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rajiv.das\SOM_SAP_ASSET_LTMC_CONVERTER\"/>
    </mc:Choice>
  </mc:AlternateContent>
  <xr:revisionPtr revIDLastSave="0" documentId="13_ncr:1_{4B468A40-A16D-4E04-9FE6-108C052C3909}" xr6:coauthVersionLast="47" xr6:coauthVersionMax="47" xr10:uidLastSave="{00000000-0000-0000-0000-000000000000}"/>
  <bookViews>
    <workbookView xWindow="-110" yWindow="-110" windowWidth="19420" windowHeight="10300" activeTab="1" xr2:uid="{9B030D96-FC9C-4D80-BD60-E7FC249C8F20}"/>
  </bookViews>
  <sheets>
    <sheet name="RC GP" sheetId="1" r:id="rId1"/>
    <sheet name="SOM" sheetId="2" r:id="rId2"/>
  </sheets>
  <definedNames>
    <definedName name="_xlnm._FilterDatabase" localSheetId="0" hidden="1">'RC GP'!$A$5:$AQ$1308</definedName>
    <definedName name="_xlnm._FilterDatabase" localSheetId="1" hidden="1">SOM!$B$1:$B$1304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Q1308" i="1" l="1"/>
  <c r="AQ1307" i="1"/>
  <c r="AQ1306" i="1"/>
  <c r="AQ1305" i="1"/>
  <c r="AQ1304" i="1"/>
  <c r="AQ1303" i="1"/>
  <c r="AQ1302" i="1"/>
  <c r="AQ1301" i="1"/>
  <c r="AQ1300" i="1"/>
  <c r="AQ1299" i="1"/>
  <c r="AQ1298" i="1"/>
  <c r="AQ1297" i="1"/>
  <c r="AQ1296" i="1"/>
  <c r="AQ1295" i="1"/>
  <c r="AQ1294" i="1"/>
  <c r="AQ1293" i="1"/>
  <c r="AQ1292" i="1"/>
  <c r="AQ1291" i="1"/>
  <c r="AQ1290" i="1"/>
  <c r="AQ1289" i="1"/>
  <c r="AQ1288" i="1"/>
  <c r="AQ1287" i="1"/>
  <c r="AQ1286" i="1"/>
  <c r="AQ1285" i="1"/>
  <c r="AQ1284" i="1"/>
  <c r="AQ1283" i="1"/>
  <c r="AQ1282" i="1"/>
  <c r="AQ1281" i="1"/>
  <c r="AQ1280" i="1"/>
  <c r="AQ1279" i="1"/>
  <c r="AQ1278" i="1"/>
  <c r="AQ1277" i="1"/>
  <c r="AQ1276" i="1"/>
  <c r="AQ1275" i="1"/>
  <c r="AQ1274" i="1"/>
  <c r="AQ1273" i="1"/>
  <c r="AQ1272" i="1"/>
  <c r="AQ1271" i="1"/>
  <c r="AQ1270" i="1"/>
  <c r="AQ1269" i="1"/>
  <c r="AQ1268" i="1"/>
  <c r="AQ1267" i="1"/>
  <c r="AQ1266" i="1"/>
  <c r="AQ1265" i="1"/>
  <c r="AQ1264" i="1"/>
  <c r="AQ1263" i="1"/>
  <c r="AQ1262" i="1"/>
  <c r="AQ1261" i="1"/>
  <c r="AQ1260" i="1"/>
  <c r="AQ1259" i="1"/>
  <c r="AQ1258" i="1"/>
  <c r="AQ1257" i="1"/>
  <c r="AQ1256" i="1"/>
  <c r="AQ1255" i="1"/>
  <c r="AQ1254" i="1"/>
  <c r="AQ1253" i="1"/>
  <c r="AQ1252" i="1"/>
  <c r="AQ1251" i="1"/>
  <c r="AQ1250" i="1"/>
  <c r="AQ1249" i="1"/>
  <c r="AQ1248" i="1"/>
  <c r="AQ1247" i="1"/>
  <c r="AQ1246" i="1"/>
  <c r="AQ1245" i="1"/>
  <c r="AQ1244" i="1"/>
  <c r="AQ1243" i="1"/>
  <c r="AQ1242" i="1"/>
  <c r="AQ1241" i="1"/>
  <c r="AQ1240" i="1"/>
  <c r="AQ1239" i="1"/>
  <c r="AQ1238" i="1"/>
  <c r="AQ1237" i="1"/>
  <c r="AQ1236" i="1"/>
  <c r="AQ1235" i="1"/>
  <c r="AQ1234" i="1"/>
  <c r="AQ1233" i="1"/>
  <c r="AQ1232" i="1"/>
  <c r="AQ1231" i="1"/>
  <c r="AQ1230" i="1"/>
  <c r="AQ1229" i="1"/>
  <c r="AQ1228" i="1"/>
  <c r="AQ1227" i="1"/>
  <c r="AQ1226" i="1"/>
  <c r="AQ1225" i="1"/>
  <c r="AQ1224" i="1"/>
  <c r="AQ1223" i="1"/>
  <c r="AQ1222" i="1"/>
  <c r="AQ1221" i="1"/>
  <c r="AQ1220" i="1"/>
  <c r="AQ1219" i="1"/>
  <c r="AQ1218" i="1"/>
  <c r="AQ1217" i="1"/>
  <c r="AQ1216" i="1"/>
  <c r="AQ1215" i="1"/>
  <c r="AQ1214" i="1"/>
  <c r="AQ1213" i="1"/>
  <c r="AQ1212" i="1"/>
  <c r="AQ1211" i="1"/>
  <c r="AQ1210" i="1"/>
  <c r="AQ1209" i="1"/>
  <c r="AQ1208" i="1"/>
  <c r="AQ1207" i="1"/>
  <c r="AQ1206" i="1"/>
  <c r="AQ1205" i="1"/>
  <c r="AQ1204" i="1"/>
  <c r="AQ1203" i="1"/>
  <c r="AQ1202" i="1"/>
  <c r="AQ1201" i="1"/>
  <c r="AQ1200" i="1"/>
  <c r="AQ1199" i="1"/>
  <c r="AQ1198" i="1"/>
  <c r="AQ1197" i="1"/>
  <c r="AQ1196" i="1"/>
  <c r="AQ1195" i="1"/>
  <c r="AQ1194" i="1"/>
  <c r="AQ1193" i="1"/>
  <c r="AQ1192" i="1"/>
  <c r="AQ1191" i="1"/>
  <c r="AQ1190" i="1"/>
  <c r="AQ1189" i="1"/>
  <c r="AQ1188" i="1"/>
  <c r="AQ1187" i="1"/>
  <c r="AQ1186" i="1"/>
  <c r="AQ1185" i="1"/>
  <c r="AQ1184" i="1"/>
  <c r="AQ1183" i="1"/>
  <c r="AQ1182" i="1"/>
  <c r="AQ1181" i="1"/>
  <c r="AQ1180" i="1"/>
  <c r="AQ1179" i="1"/>
  <c r="AQ1178" i="1"/>
  <c r="AQ1177" i="1"/>
  <c r="AQ1176" i="1"/>
  <c r="AQ1175" i="1"/>
  <c r="AQ1174" i="1"/>
  <c r="AQ1173" i="1"/>
  <c r="AQ1172" i="1"/>
  <c r="AQ1171" i="1"/>
  <c r="AQ1170" i="1"/>
  <c r="AQ1169" i="1"/>
  <c r="AQ1168" i="1"/>
  <c r="AQ1167" i="1"/>
  <c r="AQ1166" i="1"/>
  <c r="AQ1165" i="1"/>
  <c r="AQ1164" i="1"/>
  <c r="AQ1163" i="1"/>
  <c r="AQ1162" i="1"/>
  <c r="AQ1161" i="1"/>
  <c r="AQ1160" i="1"/>
  <c r="AQ1159" i="1"/>
  <c r="AQ1158" i="1"/>
  <c r="AQ1157" i="1"/>
  <c r="AQ1156" i="1"/>
  <c r="AQ1155" i="1"/>
  <c r="AQ1154" i="1"/>
  <c r="AQ1153" i="1"/>
  <c r="AQ1152" i="1"/>
  <c r="AQ1151" i="1"/>
  <c r="AQ1150" i="1"/>
  <c r="AQ1149" i="1"/>
  <c r="AQ1148" i="1"/>
  <c r="AQ1147" i="1"/>
  <c r="AQ1146" i="1"/>
  <c r="AQ1145" i="1"/>
  <c r="AQ1144" i="1"/>
  <c r="AQ1143" i="1"/>
  <c r="AQ1142" i="1"/>
  <c r="AQ1141" i="1"/>
  <c r="AQ1140" i="1"/>
  <c r="AQ1139" i="1"/>
  <c r="AQ1138" i="1"/>
  <c r="AQ1137" i="1"/>
  <c r="AQ1136" i="1"/>
  <c r="AQ1135" i="1"/>
  <c r="AQ1134" i="1"/>
  <c r="AQ1133" i="1"/>
  <c r="AQ1132" i="1"/>
  <c r="AQ1131" i="1"/>
  <c r="AQ1130" i="1"/>
  <c r="AQ1129" i="1"/>
  <c r="AQ1128" i="1"/>
  <c r="AQ1127" i="1"/>
  <c r="AQ1126" i="1"/>
  <c r="AQ1125" i="1"/>
  <c r="AQ1124" i="1"/>
  <c r="AQ1123" i="1"/>
  <c r="AQ1122" i="1"/>
  <c r="AQ1121" i="1"/>
  <c r="AQ1120" i="1"/>
  <c r="AQ1119" i="1"/>
  <c r="AQ1118" i="1"/>
  <c r="AQ1117" i="1"/>
  <c r="AQ1116" i="1"/>
  <c r="AQ1115" i="1"/>
  <c r="AQ1114" i="1"/>
  <c r="AQ1113" i="1"/>
  <c r="AQ1112" i="1"/>
  <c r="AQ1111" i="1"/>
  <c r="AQ1110" i="1"/>
  <c r="AQ1109" i="1"/>
  <c r="AQ1108" i="1"/>
  <c r="AQ1107" i="1"/>
  <c r="AQ1106" i="1"/>
  <c r="AQ1105" i="1"/>
  <c r="AQ1104" i="1"/>
  <c r="AQ1103" i="1"/>
  <c r="AQ1102" i="1"/>
  <c r="AQ1101" i="1"/>
  <c r="AQ1100" i="1"/>
  <c r="AQ1099" i="1"/>
  <c r="AQ1098" i="1"/>
  <c r="AQ1097" i="1"/>
  <c r="AQ1096" i="1"/>
  <c r="AQ1095" i="1"/>
  <c r="AQ1094" i="1"/>
  <c r="AQ1093" i="1"/>
  <c r="AQ1092" i="1"/>
  <c r="AQ1091" i="1"/>
  <c r="AQ1090" i="1"/>
  <c r="AQ1089" i="1"/>
  <c r="AQ1088" i="1"/>
  <c r="AQ1087" i="1"/>
  <c r="AQ1086" i="1"/>
  <c r="AQ1085" i="1"/>
  <c r="AQ1084" i="1"/>
  <c r="AQ1083" i="1"/>
  <c r="AQ1082" i="1"/>
  <c r="AQ1081" i="1"/>
  <c r="AQ1080" i="1"/>
  <c r="AQ1079" i="1"/>
  <c r="AQ1078" i="1"/>
  <c r="AQ1077" i="1"/>
  <c r="AQ1076" i="1"/>
  <c r="AQ1075" i="1"/>
  <c r="AQ1074" i="1"/>
  <c r="AQ1073" i="1"/>
  <c r="AQ1072" i="1"/>
  <c r="AQ1071" i="1"/>
  <c r="AQ1070" i="1"/>
  <c r="AQ1069" i="1"/>
  <c r="AQ1068" i="1"/>
  <c r="AQ1067" i="1"/>
  <c r="AQ1066" i="1"/>
  <c r="AQ1065" i="1"/>
  <c r="AQ1064" i="1"/>
  <c r="AQ1063" i="1"/>
  <c r="AQ1062" i="1"/>
  <c r="AQ1061" i="1"/>
  <c r="AQ1060" i="1"/>
  <c r="AQ1059" i="1"/>
  <c r="AQ1058" i="1"/>
  <c r="AQ1057" i="1"/>
  <c r="AQ1056" i="1"/>
  <c r="AQ1055" i="1"/>
  <c r="AQ1054" i="1"/>
  <c r="AQ1053" i="1"/>
  <c r="AQ1052" i="1"/>
  <c r="AQ1051" i="1"/>
  <c r="AQ1050" i="1"/>
  <c r="AQ1049" i="1"/>
  <c r="AQ1048" i="1"/>
  <c r="AQ1047" i="1"/>
  <c r="AQ1046" i="1"/>
  <c r="AQ1045" i="1"/>
  <c r="AQ1044" i="1"/>
  <c r="AQ1043" i="1"/>
  <c r="AQ1042" i="1"/>
  <c r="AQ1041" i="1"/>
  <c r="AQ1040" i="1"/>
  <c r="AQ1039" i="1"/>
  <c r="AQ1038" i="1"/>
  <c r="AQ1037" i="1"/>
  <c r="AQ1036" i="1"/>
  <c r="AQ1035" i="1"/>
  <c r="AQ1034" i="1"/>
  <c r="AQ1033" i="1"/>
  <c r="AQ1032" i="1"/>
  <c r="AQ1031" i="1"/>
  <c r="AQ1030" i="1"/>
  <c r="AQ1029" i="1"/>
  <c r="AQ1028" i="1"/>
  <c r="AQ1027" i="1"/>
  <c r="AQ1026" i="1"/>
  <c r="AQ1025" i="1"/>
  <c r="AQ1024" i="1"/>
  <c r="AQ1023" i="1"/>
  <c r="AQ1022" i="1"/>
  <c r="AQ1021" i="1"/>
  <c r="AQ1020" i="1"/>
  <c r="AQ1019" i="1"/>
  <c r="AQ1018" i="1"/>
  <c r="AQ1017" i="1"/>
  <c r="AQ1016" i="1"/>
  <c r="AQ1015" i="1"/>
  <c r="AQ1014" i="1"/>
  <c r="AQ1013" i="1"/>
  <c r="AQ1012" i="1"/>
  <c r="AQ1011" i="1"/>
  <c r="AQ1010" i="1"/>
  <c r="AQ1009" i="1"/>
  <c r="AQ1008" i="1"/>
  <c r="AQ1007" i="1"/>
  <c r="AQ1006" i="1"/>
  <c r="AQ1005" i="1"/>
  <c r="AQ1004" i="1"/>
  <c r="AQ1003" i="1"/>
  <c r="AQ1002" i="1"/>
  <c r="AQ1001" i="1"/>
  <c r="AQ1000" i="1"/>
  <c r="AQ999" i="1"/>
  <c r="AQ998" i="1"/>
  <c r="AQ997" i="1"/>
  <c r="AQ996" i="1"/>
  <c r="AQ995" i="1"/>
  <c r="AQ994" i="1"/>
  <c r="AQ993" i="1"/>
  <c r="AQ992" i="1"/>
  <c r="AQ991" i="1"/>
  <c r="AQ990" i="1"/>
  <c r="AQ989" i="1"/>
  <c r="AQ988" i="1"/>
  <c r="AQ987" i="1"/>
  <c r="AQ986" i="1"/>
  <c r="AQ985" i="1"/>
  <c r="AQ984" i="1"/>
  <c r="AQ983" i="1"/>
  <c r="AQ982" i="1"/>
  <c r="AQ981" i="1"/>
  <c r="AQ980" i="1"/>
  <c r="AQ979" i="1"/>
  <c r="AQ978" i="1"/>
  <c r="AQ977" i="1"/>
  <c r="AQ976" i="1"/>
  <c r="AQ975" i="1"/>
  <c r="AQ974" i="1"/>
  <c r="AQ973" i="1"/>
  <c r="AQ972" i="1"/>
  <c r="AQ971" i="1"/>
  <c r="AQ970" i="1"/>
  <c r="AQ969" i="1"/>
  <c r="AQ968" i="1"/>
  <c r="AQ967" i="1"/>
  <c r="AQ966" i="1"/>
  <c r="AQ965" i="1"/>
  <c r="AQ964" i="1"/>
  <c r="AQ963" i="1"/>
  <c r="AQ962" i="1"/>
  <c r="AQ961" i="1"/>
  <c r="AQ960" i="1"/>
  <c r="AQ959" i="1"/>
  <c r="AQ958" i="1"/>
  <c r="AQ957" i="1"/>
  <c r="AQ956" i="1"/>
  <c r="AQ955" i="1"/>
  <c r="AQ954" i="1"/>
  <c r="AQ953" i="1"/>
  <c r="AQ952" i="1"/>
  <c r="AQ951" i="1"/>
  <c r="AQ950" i="1"/>
  <c r="AQ949" i="1"/>
  <c r="AQ948" i="1"/>
  <c r="AQ947" i="1"/>
  <c r="AQ946" i="1"/>
  <c r="AQ945" i="1"/>
  <c r="AQ944" i="1"/>
  <c r="AQ943" i="1"/>
  <c r="AQ942" i="1"/>
  <c r="AQ941" i="1"/>
  <c r="AQ940" i="1"/>
  <c r="AQ939" i="1"/>
  <c r="AQ938" i="1"/>
  <c r="AQ937" i="1"/>
  <c r="AQ936" i="1"/>
  <c r="AQ935" i="1"/>
  <c r="AQ934" i="1"/>
  <c r="AQ933" i="1"/>
  <c r="AQ932" i="1"/>
  <c r="AQ931" i="1"/>
  <c r="AQ930" i="1"/>
  <c r="AQ929" i="1"/>
  <c r="AQ928" i="1"/>
  <c r="AQ927" i="1"/>
  <c r="AQ926" i="1"/>
  <c r="AQ925" i="1"/>
  <c r="AQ924" i="1"/>
  <c r="AQ923" i="1"/>
  <c r="AQ922" i="1"/>
  <c r="AQ921" i="1"/>
  <c r="AQ920" i="1"/>
  <c r="AQ919" i="1"/>
  <c r="AQ918" i="1"/>
  <c r="AQ917" i="1"/>
  <c r="AQ916" i="1"/>
  <c r="AQ915" i="1"/>
  <c r="AQ914" i="1"/>
  <c r="AQ913" i="1"/>
  <c r="AQ912" i="1"/>
  <c r="AQ911" i="1"/>
  <c r="AQ910" i="1"/>
  <c r="AQ909" i="1"/>
  <c r="AQ908" i="1"/>
  <c r="AQ907" i="1"/>
  <c r="AQ906" i="1"/>
  <c r="AQ905" i="1"/>
  <c r="AQ904" i="1"/>
  <c r="AQ903" i="1"/>
  <c r="AQ902" i="1"/>
  <c r="AQ901" i="1"/>
  <c r="AQ900" i="1"/>
  <c r="AQ899" i="1"/>
  <c r="AQ898" i="1"/>
  <c r="AQ897" i="1"/>
  <c r="AQ896" i="1"/>
  <c r="AQ895" i="1"/>
  <c r="AQ894" i="1"/>
  <c r="AQ893" i="1"/>
  <c r="AQ892" i="1"/>
  <c r="AQ891" i="1"/>
  <c r="AQ890" i="1"/>
  <c r="AQ889" i="1"/>
  <c r="AQ888" i="1"/>
  <c r="AQ887" i="1"/>
  <c r="AQ886" i="1"/>
  <c r="AQ885" i="1"/>
  <c r="AQ884" i="1"/>
  <c r="AQ883" i="1"/>
  <c r="AQ882" i="1"/>
  <c r="AQ881" i="1"/>
  <c r="AQ880" i="1"/>
  <c r="AQ879" i="1"/>
  <c r="AQ878" i="1"/>
  <c r="AQ877" i="1"/>
  <c r="AQ876" i="1"/>
  <c r="AQ875" i="1"/>
  <c r="AQ874" i="1"/>
  <c r="AQ873" i="1"/>
  <c r="AQ872" i="1"/>
  <c r="AQ871" i="1"/>
  <c r="AQ870" i="1"/>
  <c r="AQ869" i="1"/>
  <c r="AQ868" i="1"/>
  <c r="AQ867" i="1"/>
  <c r="AQ866" i="1"/>
  <c r="AQ865" i="1"/>
  <c r="AQ864" i="1"/>
  <c r="AQ863" i="1"/>
  <c r="AQ862" i="1"/>
  <c r="AQ861" i="1"/>
  <c r="AQ860" i="1"/>
  <c r="AQ859" i="1"/>
  <c r="AQ858" i="1"/>
  <c r="AQ857" i="1"/>
  <c r="AQ856" i="1"/>
  <c r="AQ855" i="1"/>
  <c r="AQ854" i="1"/>
  <c r="AQ853" i="1"/>
  <c r="AQ852" i="1"/>
  <c r="AQ851" i="1"/>
  <c r="AQ850" i="1"/>
  <c r="AQ849" i="1"/>
  <c r="AQ848" i="1"/>
  <c r="AQ847" i="1"/>
  <c r="AQ846" i="1"/>
  <c r="AQ845" i="1"/>
  <c r="AQ844" i="1"/>
  <c r="AQ843" i="1"/>
  <c r="AQ842" i="1"/>
  <c r="AQ841" i="1"/>
  <c r="AQ840" i="1"/>
  <c r="AQ839" i="1"/>
  <c r="AQ838" i="1"/>
  <c r="AQ837" i="1"/>
  <c r="AQ836" i="1"/>
  <c r="AQ835" i="1"/>
  <c r="AQ834" i="1"/>
  <c r="AQ833" i="1"/>
  <c r="AQ832" i="1"/>
  <c r="AQ831" i="1"/>
  <c r="AQ830" i="1"/>
  <c r="AQ829" i="1"/>
  <c r="AQ828" i="1"/>
  <c r="AQ827" i="1"/>
  <c r="AQ826" i="1"/>
  <c r="AQ825" i="1"/>
  <c r="AQ824" i="1"/>
  <c r="AQ823" i="1"/>
  <c r="AQ822" i="1"/>
  <c r="AQ821" i="1"/>
  <c r="AQ820" i="1"/>
  <c r="AQ819" i="1"/>
  <c r="AQ818" i="1"/>
  <c r="AQ817" i="1"/>
  <c r="AQ816" i="1"/>
  <c r="AQ815" i="1"/>
  <c r="AQ814" i="1"/>
  <c r="AQ813" i="1"/>
  <c r="AQ812" i="1"/>
  <c r="AQ811" i="1"/>
  <c r="AQ810" i="1"/>
  <c r="AQ809" i="1"/>
  <c r="AQ808" i="1"/>
  <c r="AQ807" i="1"/>
  <c r="AQ806" i="1"/>
  <c r="AQ805" i="1"/>
  <c r="AQ804" i="1"/>
  <c r="AQ803" i="1"/>
  <c r="AQ802" i="1"/>
  <c r="AQ801" i="1"/>
  <c r="AQ800" i="1"/>
  <c r="AQ799" i="1"/>
  <c r="AQ798" i="1"/>
  <c r="AQ797" i="1"/>
  <c r="AQ796" i="1"/>
  <c r="AQ795" i="1"/>
  <c r="AQ794" i="1"/>
  <c r="AQ793" i="1"/>
  <c r="AQ792" i="1"/>
  <c r="AQ791" i="1"/>
  <c r="AQ790" i="1"/>
  <c r="AQ789" i="1"/>
  <c r="AQ788" i="1"/>
  <c r="AQ787" i="1"/>
  <c r="AQ786" i="1"/>
  <c r="AQ785" i="1"/>
  <c r="AQ784" i="1"/>
  <c r="AQ783" i="1"/>
  <c r="AQ782" i="1"/>
  <c r="AQ781" i="1"/>
  <c r="AQ780" i="1"/>
  <c r="AQ779" i="1"/>
  <c r="AQ778" i="1"/>
  <c r="AQ777" i="1"/>
  <c r="AQ776" i="1"/>
  <c r="AQ775" i="1"/>
  <c r="AQ774" i="1"/>
  <c r="AQ773" i="1"/>
  <c r="AQ772" i="1"/>
  <c r="AQ771" i="1"/>
  <c r="AQ770" i="1"/>
  <c r="AQ769" i="1"/>
  <c r="AQ768" i="1"/>
  <c r="AQ767" i="1"/>
  <c r="AQ766" i="1"/>
  <c r="AQ765" i="1"/>
  <c r="AQ764" i="1"/>
  <c r="AQ763" i="1"/>
  <c r="AQ762" i="1"/>
  <c r="AQ761" i="1"/>
  <c r="AQ760" i="1"/>
  <c r="AQ759" i="1"/>
  <c r="AQ758" i="1"/>
  <c r="AQ757" i="1"/>
  <c r="AQ756" i="1"/>
  <c r="AQ755" i="1"/>
  <c r="AQ754" i="1"/>
  <c r="AQ753" i="1"/>
  <c r="AQ752" i="1"/>
  <c r="AQ751" i="1"/>
  <c r="AQ750" i="1"/>
  <c r="AQ749" i="1"/>
  <c r="AQ748" i="1"/>
  <c r="AQ747" i="1"/>
  <c r="AQ746" i="1"/>
  <c r="AQ745" i="1"/>
  <c r="AQ744" i="1"/>
  <c r="AQ743" i="1"/>
  <c r="AQ742" i="1"/>
  <c r="AQ741" i="1"/>
  <c r="AQ740" i="1"/>
  <c r="AQ739" i="1"/>
  <c r="AQ738" i="1"/>
  <c r="AQ737" i="1"/>
  <c r="AQ736" i="1"/>
  <c r="AQ735" i="1"/>
  <c r="AQ734" i="1"/>
  <c r="AQ733" i="1"/>
  <c r="AQ732" i="1"/>
  <c r="AQ731" i="1"/>
  <c r="AQ730" i="1"/>
  <c r="AQ729" i="1"/>
  <c r="AQ728" i="1"/>
  <c r="AQ727" i="1"/>
  <c r="AQ726" i="1"/>
  <c r="AQ725" i="1"/>
  <c r="AQ724" i="1"/>
  <c r="AQ723" i="1"/>
  <c r="AQ722" i="1"/>
  <c r="AQ721" i="1"/>
  <c r="AQ720" i="1"/>
  <c r="AQ719" i="1"/>
  <c r="AQ718" i="1"/>
  <c r="AQ717" i="1"/>
  <c r="AQ716" i="1"/>
  <c r="AQ715" i="1"/>
  <c r="AQ714" i="1"/>
  <c r="AQ713" i="1"/>
  <c r="AQ712" i="1"/>
  <c r="AQ711" i="1"/>
  <c r="AQ710" i="1"/>
  <c r="AQ709" i="1"/>
  <c r="AQ708" i="1"/>
  <c r="AQ707" i="1"/>
  <c r="AQ706" i="1"/>
  <c r="AQ705" i="1"/>
  <c r="AQ704" i="1"/>
  <c r="AQ703" i="1"/>
  <c r="AQ702" i="1"/>
  <c r="AQ701" i="1"/>
  <c r="AQ700" i="1"/>
  <c r="AQ699" i="1"/>
  <c r="AQ698" i="1"/>
  <c r="AQ697" i="1"/>
  <c r="AQ696" i="1"/>
  <c r="AQ695" i="1"/>
  <c r="AQ694" i="1"/>
  <c r="AQ693" i="1"/>
  <c r="AQ692" i="1"/>
  <c r="AQ691" i="1"/>
  <c r="AQ690" i="1"/>
  <c r="AQ689" i="1"/>
  <c r="AQ688" i="1"/>
  <c r="AQ687" i="1"/>
  <c r="AQ686" i="1"/>
  <c r="AQ685" i="1"/>
  <c r="AQ684" i="1"/>
  <c r="AQ683" i="1"/>
  <c r="AQ682" i="1"/>
  <c r="AQ681" i="1"/>
  <c r="AQ680" i="1"/>
  <c r="AQ679" i="1"/>
  <c r="AQ678" i="1"/>
  <c r="AQ677" i="1"/>
  <c r="AQ676" i="1"/>
  <c r="AQ675" i="1"/>
  <c r="AQ674" i="1"/>
  <c r="AQ673" i="1"/>
  <c r="AQ672" i="1"/>
  <c r="AQ671" i="1"/>
  <c r="AQ670" i="1"/>
  <c r="AQ669" i="1"/>
  <c r="AQ668" i="1"/>
  <c r="AQ667" i="1"/>
  <c r="AQ666" i="1"/>
  <c r="AQ665" i="1"/>
  <c r="AQ664" i="1"/>
  <c r="AQ663" i="1"/>
  <c r="AQ662" i="1"/>
  <c r="AQ661" i="1"/>
  <c r="AQ660" i="1"/>
  <c r="AQ659" i="1"/>
  <c r="AQ658" i="1"/>
  <c r="AQ657" i="1"/>
  <c r="AQ656" i="1"/>
  <c r="AQ655" i="1"/>
  <c r="AQ654" i="1"/>
  <c r="AQ653" i="1"/>
  <c r="AQ652" i="1"/>
  <c r="AQ651" i="1"/>
  <c r="AQ650" i="1"/>
  <c r="AQ649" i="1"/>
  <c r="AQ648" i="1"/>
  <c r="AQ647" i="1"/>
  <c r="AQ646" i="1"/>
  <c r="AQ645" i="1"/>
  <c r="AQ644" i="1"/>
  <c r="AQ643" i="1"/>
  <c r="AQ642" i="1"/>
  <c r="AQ641" i="1"/>
  <c r="AQ640" i="1"/>
  <c r="AQ639" i="1"/>
  <c r="AQ638" i="1"/>
  <c r="AQ637" i="1"/>
  <c r="AQ636" i="1"/>
  <c r="AQ635" i="1"/>
  <c r="AQ634" i="1"/>
  <c r="AQ633" i="1"/>
  <c r="AQ632" i="1"/>
  <c r="AQ631" i="1"/>
  <c r="AQ630" i="1"/>
  <c r="AQ629" i="1"/>
  <c r="AQ628" i="1"/>
  <c r="AQ627" i="1"/>
  <c r="AQ626" i="1"/>
  <c r="AQ625" i="1"/>
  <c r="AQ624" i="1"/>
  <c r="AQ623" i="1"/>
  <c r="AQ622" i="1"/>
  <c r="AQ621" i="1"/>
  <c r="AQ620" i="1"/>
  <c r="AQ619" i="1"/>
  <c r="AQ618" i="1"/>
  <c r="AQ617" i="1"/>
  <c r="AQ616" i="1"/>
  <c r="AQ615" i="1"/>
  <c r="AQ614" i="1"/>
  <c r="AQ613" i="1"/>
  <c r="AQ612" i="1"/>
  <c r="AQ611" i="1"/>
  <c r="AQ610" i="1"/>
  <c r="AQ609" i="1"/>
  <c r="AQ608" i="1"/>
  <c r="AQ607" i="1"/>
  <c r="AQ606" i="1"/>
  <c r="AQ605" i="1"/>
  <c r="AQ604" i="1"/>
  <c r="AQ603" i="1"/>
  <c r="AQ602" i="1"/>
  <c r="AQ601" i="1"/>
  <c r="AQ600" i="1"/>
  <c r="AQ599" i="1"/>
  <c r="AQ598" i="1"/>
  <c r="AQ597" i="1"/>
  <c r="AQ596" i="1"/>
  <c r="AQ595" i="1"/>
  <c r="AQ594" i="1"/>
  <c r="AQ593" i="1"/>
  <c r="AQ592" i="1"/>
  <c r="AQ591" i="1"/>
  <c r="AQ590" i="1"/>
  <c r="AQ589" i="1"/>
  <c r="AQ588" i="1"/>
  <c r="AQ587" i="1"/>
  <c r="AQ586" i="1"/>
  <c r="AQ585" i="1"/>
  <c r="AQ584" i="1"/>
  <c r="AQ583" i="1"/>
  <c r="AQ582" i="1"/>
  <c r="AQ581" i="1"/>
  <c r="AQ580" i="1"/>
  <c r="AQ579" i="1"/>
  <c r="AQ578" i="1"/>
  <c r="AQ577" i="1"/>
  <c r="AQ576" i="1"/>
  <c r="AQ575" i="1"/>
  <c r="AQ574" i="1"/>
  <c r="AQ573" i="1"/>
  <c r="AQ572" i="1"/>
  <c r="AQ571" i="1"/>
  <c r="AQ570" i="1"/>
  <c r="AQ569" i="1"/>
  <c r="AQ568" i="1"/>
  <c r="AQ567" i="1"/>
  <c r="AQ566" i="1"/>
  <c r="AQ565" i="1"/>
  <c r="AQ564" i="1"/>
  <c r="AQ563" i="1"/>
  <c r="AQ562" i="1"/>
  <c r="AQ561" i="1"/>
  <c r="AQ560" i="1"/>
  <c r="AQ559" i="1"/>
  <c r="AQ558" i="1"/>
  <c r="AQ557" i="1"/>
  <c r="AQ556" i="1"/>
  <c r="AQ555" i="1"/>
  <c r="AQ554" i="1"/>
  <c r="AQ553" i="1"/>
  <c r="AQ552" i="1"/>
  <c r="AQ551" i="1"/>
  <c r="AQ550" i="1"/>
  <c r="AQ549" i="1"/>
  <c r="AQ548" i="1"/>
  <c r="AQ547" i="1"/>
  <c r="AQ546" i="1"/>
  <c r="AQ545" i="1"/>
  <c r="AQ544" i="1"/>
  <c r="AQ543" i="1"/>
  <c r="AQ542" i="1"/>
  <c r="AQ541" i="1"/>
  <c r="AQ540" i="1"/>
  <c r="AQ539" i="1"/>
  <c r="AQ538" i="1"/>
  <c r="AQ537" i="1"/>
  <c r="AQ536" i="1"/>
  <c r="AQ535" i="1"/>
  <c r="AQ534" i="1"/>
  <c r="AQ533" i="1"/>
  <c r="AQ532" i="1"/>
  <c r="AQ531" i="1"/>
  <c r="AQ530" i="1"/>
  <c r="AQ529" i="1"/>
  <c r="AQ528" i="1"/>
  <c r="AQ527" i="1"/>
  <c r="AQ526" i="1"/>
  <c r="AQ525" i="1"/>
  <c r="AQ524" i="1"/>
  <c r="AQ523" i="1"/>
  <c r="AQ522" i="1"/>
  <c r="AQ521" i="1"/>
  <c r="AQ520" i="1"/>
  <c r="AQ519" i="1"/>
  <c r="AQ518" i="1"/>
  <c r="AQ517" i="1"/>
  <c r="AQ516" i="1"/>
  <c r="AQ515" i="1"/>
  <c r="AQ514" i="1"/>
  <c r="AQ513" i="1"/>
  <c r="AQ512" i="1"/>
  <c r="AQ511" i="1"/>
  <c r="AQ510" i="1"/>
  <c r="AQ509" i="1"/>
  <c r="AQ508" i="1"/>
  <c r="AQ507" i="1"/>
  <c r="AQ506" i="1"/>
  <c r="AQ505" i="1"/>
  <c r="AQ504" i="1"/>
  <c r="AQ503" i="1"/>
  <c r="AQ502" i="1"/>
  <c r="AQ501" i="1"/>
  <c r="AQ500" i="1"/>
  <c r="AQ499" i="1"/>
  <c r="AQ498" i="1"/>
  <c r="AQ497" i="1"/>
  <c r="AQ496" i="1"/>
  <c r="AQ495" i="1"/>
  <c r="AQ494" i="1"/>
  <c r="AQ493" i="1"/>
  <c r="AQ492" i="1"/>
  <c r="AQ491" i="1"/>
  <c r="AQ490" i="1"/>
  <c r="AQ489" i="1"/>
  <c r="AQ488" i="1"/>
  <c r="AQ487" i="1"/>
  <c r="AQ486" i="1"/>
  <c r="AQ485" i="1"/>
  <c r="AQ484" i="1"/>
  <c r="AQ483" i="1"/>
  <c r="AQ482" i="1"/>
  <c r="AQ481" i="1"/>
  <c r="AQ480" i="1"/>
  <c r="AQ479" i="1"/>
  <c r="AQ478" i="1"/>
  <c r="AQ477" i="1"/>
  <c r="AQ476" i="1"/>
  <c r="AQ475" i="1"/>
  <c r="AQ474" i="1"/>
  <c r="AQ473" i="1"/>
  <c r="AQ472" i="1"/>
  <c r="AQ471" i="1"/>
  <c r="AQ470" i="1"/>
  <c r="AQ469" i="1"/>
  <c r="AQ468" i="1"/>
  <c r="AQ467" i="1"/>
  <c r="AQ466" i="1"/>
  <c r="AQ465" i="1"/>
  <c r="AQ464" i="1"/>
  <c r="AQ463" i="1"/>
  <c r="AQ462" i="1"/>
  <c r="AQ461" i="1"/>
  <c r="AQ460" i="1"/>
  <c r="AQ459" i="1"/>
  <c r="AQ458" i="1"/>
  <c r="AQ457" i="1"/>
  <c r="AQ456" i="1"/>
  <c r="AQ455" i="1"/>
  <c r="AQ454" i="1"/>
  <c r="AQ453" i="1"/>
  <c r="AQ452" i="1"/>
  <c r="AQ451" i="1"/>
  <c r="AQ450" i="1"/>
  <c r="AQ449" i="1"/>
  <c r="AQ448" i="1"/>
  <c r="AQ447" i="1"/>
  <c r="AQ446" i="1"/>
  <c r="AQ445" i="1"/>
  <c r="AQ444" i="1"/>
  <c r="AQ443" i="1"/>
  <c r="AQ442" i="1"/>
  <c r="AQ441" i="1"/>
  <c r="AQ440" i="1"/>
  <c r="AQ439" i="1"/>
  <c r="AQ438" i="1"/>
  <c r="AQ437" i="1"/>
  <c r="AQ436" i="1"/>
  <c r="AQ435" i="1"/>
  <c r="AQ434" i="1"/>
  <c r="AQ433" i="1"/>
  <c r="AQ432" i="1"/>
  <c r="AQ431" i="1"/>
  <c r="AQ430" i="1"/>
  <c r="AQ429" i="1"/>
  <c r="AQ428" i="1"/>
  <c r="AQ427" i="1"/>
  <c r="AQ426" i="1"/>
  <c r="AQ425" i="1"/>
  <c r="AQ424" i="1"/>
  <c r="AQ423" i="1"/>
  <c r="AQ422" i="1"/>
  <c r="AQ421" i="1"/>
  <c r="AQ420" i="1"/>
  <c r="AQ419" i="1"/>
  <c r="AQ418" i="1"/>
  <c r="AQ417" i="1"/>
  <c r="AQ416" i="1"/>
  <c r="AQ415" i="1"/>
  <c r="AQ414" i="1"/>
  <c r="AQ413" i="1"/>
  <c r="AQ412" i="1"/>
  <c r="AQ411" i="1"/>
  <c r="AQ410" i="1"/>
  <c r="AQ409" i="1"/>
  <c r="AQ408" i="1"/>
  <c r="AQ407" i="1"/>
  <c r="AQ406" i="1"/>
  <c r="AQ405" i="1"/>
  <c r="AQ404" i="1"/>
  <c r="AQ403" i="1"/>
  <c r="AQ402" i="1"/>
  <c r="AQ401" i="1"/>
  <c r="AQ400" i="1"/>
  <c r="AQ399" i="1"/>
  <c r="AQ398" i="1"/>
  <c r="AQ397" i="1"/>
  <c r="AQ396" i="1"/>
  <c r="AQ395" i="1"/>
  <c r="AQ394" i="1"/>
  <c r="AQ393" i="1"/>
  <c r="AQ392" i="1"/>
  <c r="AQ391" i="1"/>
  <c r="AQ390" i="1"/>
  <c r="AQ389" i="1"/>
  <c r="AQ388" i="1"/>
  <c r="AQ387" i="1"/>
  <c r="AQ386" i="1"/>
  <c r="AQ385" i="1"/>
  <c r="AQ384" i="1"/>
  <c r="AQ383" i="1"/>
  <c r="AQ382" i="1"/>
  <c r="AQ381" i="1"/>
  <c r="AQ380" i="1"/>
  <c r="AQ379" i="1"/>
  <c r="AQ378" i="1"/>
  <c r="AQ377" i="1"/>
  <c r="AQ376" i="1"/>
  <c r="AQ375" i="1"/>
  <c r="AQ374" i="1"/>
  <c r="AQ373" i="1"/>
  <c r="AQ372" i="1"/>
  <c r="AQ371" i="1"/>
  <c r="AQ370" i="1"/>
  <c r="AQ369" i="1"/>
  <c r="AQ368" i="1"/>
  <c r="AQ367" i="1"/>
  <c r="AQ366" i="1"/>
  <c r="AQ365" i="1"/>
  <c r="AQ364" i="1"/>
  <c r="AQ363" i="1"/>
  <c r="AQ362" i="1"/>
  <c r="AQ361" i="1"/>
  <c r="AQ360" i="1"/>
  <c r="AQ359" i="1"/>
  <c r="AQ358" i="1"/>
  <c r="AQ357" i="1"/>
  <c r="AQ356" i="1"/>
  <c r="AQ355" i="1"/>
  <c r="AQ354" i="1"/>
  <c r="AQ353" i="1"/>
  <c r="AQ352" i="1"/>
  <c r="AQ351" i="1"/>
  <c r="AQ350" i="1"/>
  <c r="AQ349" i="1"/>
  <c r="AQ348" i="1"/>
  <c r="AQ347" i="1"/>
  <c r="AQ346" i="1"/>
  <c r="AQ345" i="1"/>
  <c r="AQ344" i="1"/>
  <c r="AQ343" i="1"/>
  <c r="AQ342" i="1"/>
  <c r="AQ341" i="1"/>
  <c r="AQ340" i="1"/>
  <c r="AQ339" i="1"/>
  <c r="AQ338" i="1"/>
  <c r="AQ337" i="1"/>
  <c r="AQ336" i="1"/>
  <c r="AQ335" i="1"/>
  <c r="AQ334" i="1"/>
  <c r="AQ333" i="1"/>
  <c r="AQ332" i="1"/>
  <c r="AQ331" i="1"/>
  <c r="AQ330" i="1"/>
  <c r="AQ329" i="1"/>
  <c r="AQ328" i="1"/>
  <c r="AQ327" i="1"/>
  <c r="AQ326" i="1"/>
  <c r="AQ325" i="1"/>
  <c r="AQ324" i="1"/>
  <c r="AQ323" i="1"/>
  <c r="AQ322" i="1"/>
  <c r="AQ321" i="1"/>
  <c r="AQ320" i="1"/>
  <c r="AQ319" i="1"/>
  <c r="AQ318" i="1"/>
  <c r="AQ317" i="1"/>
  <c r="AQ316" i="1"/>
  <c r="AQ315" i="1"/>
  <c r="AQ314" i="1"/>
  <c r="AQ313" i="1"/>
  <c r="AQ312" i="1"/>
  <c r="AQ311" i="1"/>
  <c r="AQ310" i="1"/>
  <c r="AQ309" i="1"/>
  <c r="AQ308" i="1"/>
  <c r="AQ307" i="1"/>
  <c r="AQ306" i="1"/>
  <c r="AQ305" i="1"/>
  <c r="AQ304" i="1"/>
  <c r="AQ303" i="1"/>
  <c r="AQ302" i="1"/>
  <c r="AQ301" i="1"/>
  <c r="AQ300" i="1"/>
  <c r="AQ299" i="1"/>
  <c r="AQ298" i="1"/>
  <c r="AQ297" i="1"/>
  <c r="AQ296" i="1"/>
  <c r="AQ295" i="1"/>
  <c r="AQ294" i="1"/>
  <c r="AQ293" i="1"/>
  <c r="AQ292" i="1"/>
  <c r="AQ291" i="1"/>
  <c r="AQ290" i="1"/>
  <c r="AQ289" i="1"/>
  <c r="AQ288" i="1"/>
  <c r="AQ287" i="1"/>
  <c r="AQ286" i="1"/>
  <c r="AQ285" i="1"/>
  <c r="AQ284" i="1"/>
  <c r="AQ283" i="1"/>
  <c r="AQ282" i="1"/>
  <c r="AQ281" i="1"/>
  <c r="AQ280" i="1"/>
  <c r="AQ279" i="1"/>
  <c r="AQ278" i="1"/>
  <c r="AQ277" i="1"/>
  <c r="AQ276" i="1"/>
  <c r="AQ275" i="1"/>
  <c r="AQ274" i="1"/>
  <c r="AQ273" i="1"/>
  <c r="AQ272" i="1"/>
  <c r="AQ271" i="1"/>
  <c r="AQ270" i="1"/>
  <c r="AQ269" i="1"/>
  <c r="AQ268" i="1"/>
  <c r="AQ267" i="1"/>
  <c r="AQ266" i="1"/>
  <c r="AQ265" i="1"/>
  <c r="AQ264" i="1"/>
  <c r="AQ263" i="1"/>
  <c r="AQ262" i="1"/>
  <c r="AQ261" i="1"/>
  <c r="AQ260" i="1"/>
  <c r="AQ259" i="1"/>
  <c r="AQ258" i="1"/>
  <c r="AQ257" i="1"/>
  <c r="AQ256" i="1"/>
  <c r="AQ255" i="1"/>
  <c r="AQ254" i="1"/>
  <c r="AQ253" i="1"/>
  <c r="AQ252" i="1"/>
  <c r="AQ251" i="1"/>
  <c r="AQ250" i="1"/>
  <c r="AQ249" i="1"/>
  <c r="AQ248" i="1"/>
  <c r="AQ247" i="1"/>
  <c r="AQ246" i="1"/>
  <c r="AQ245" i="1"/>
  <c r="AQ244" i="1"/>
  <c r="AQ243" i="1"/>
  <c r="AQ242" i="1"/>
  <c r="AQ241" i="1"/>
  <c r="AQ240" i="1"/>
  <c r="AQ239" i="1"/>
  <c r="AQ238" i="1"/>
  <c r="AQ237" i="1"/>
  <c r="AQ236" i="1"/>
  <c r="AQ235" i="1"/>
  <c r="AQ234" i="1"/>
  <c r="AQ233" i="1"/>
  <c r="AQ232" i="1"/>
  <c r="AQ231" i="1"/>
  <c r="AQ230" i="1"/>
  <c r="AQ229" i="1"/>
  <c r="AQ228" i="1"/>
  <c r="AQ227" i="1"/>
  <c r="AQ226" i="1"/>
  <c r="AQ225" i="1"/>
  <c r="AQ224" i="1"/>
  <c r="AQ223" i="1"/>
  <c r="AQ222" i="1"/>
  <c r="AQ221" i="1"/>
  <c r="AQ220" i="1"/>
  <c r="AQ219" i="1"/>
  <c r="AQ218" i="1"/>
  <c r="AQ217" i="1"/>
  <c r="AQ216" i="1"/>
  <c r="AQ215" i="1"/>
  <c r="AQ214" i="1"/>
  <c r="AQ213" i="1"/>
  <c r="AQ212" i="1"/>
  <c r="AQ211" i="1"/>
  <c r="AQ210" i="1"/>
  <c r="AQ209" i="1"/>
  <c r="AQ208" i="1"/>
  <c r="AQ207" i="1"/>
  <c r="AQ206" i="1"/>
  <c r="AQ205" i="1"/>
  <c r="AQ204" i="1"/>
  <c r="AQ203" i="1"/>
  <c r="AQ202" i="1"/>
  <c r="AQ201" i="1"/>
  <c r="AQ200" i="1"/>
  <c r="AQ199" i="1"/>
  <c r="AQ198" i="1"/>
  <c r="AQ197" i="1"/>
  <c r="AQ196" i="1"/>
  <c r="AQ195" i="1"/>
  <c r="AQ194" i="1"/>
  <c r="AQ193" i="1"/>
  <c r="AQ192" i="1"/>
  <c r="AQ191" i="1"/>
  <c r="AQ190" i="1"/>
  <c r="AQ189" i="1"/>
  <c r="AQ188" i="1"/>
  <c r="AQ187" i="1"/>
  <c r="AQ186" i="1"/>
  <c r="AQ185" i="1"/>
  <c r="AQ184" i="1"/>
  <c r="AQ183" i="1"/>
  <c r="AQ182" i="1"/>
  <c r="AQ181" i="1"/>
  <c r="AQ180" i="1"/>
  <c r="AQ179" i="1"/>
  <c r="AQ178" i="1"/>
  <c r="AQ177" i="1"/>
  <c r="AQ176" i="1"/>
  <c r="AQ175" i="1"/>
  <c r="AQ174" i="1"/>
  <c r="AQ173" i="1"/>
  <c r="AQ172" i="1"/>
  <c r="AQ171" i="1"/>
  <c r="AQ170" i="1"/>
  <c r="AQ169" i="1"/>
  <c r="AQ168" i="1"/>
  <c r="AQ167" i="1"/>
  <c r="AQ166" i="1"/>
  <c r="AQ165" i="1"/>
  <c r="AQ164" i="1"/>
  <c r="AQ163" i="1"/>
  <c r="AQ162" i="1"/>
  <c r="AQ161" i="1"/>
  <c r="AQ160" i="1"/>
  <c r="AQ159" i="1"/>
  <c r="AQ158" i="1"/>
  <c r="AQ157" i="1"/>
  <c r="AQ156" i="1"/>
  <c r="AQ155" i="1"/>
  <c r="AQ154" i="1"/>
  <c r="AQ153" i="1"/>
  <c r="AQ152" i="1"/>
  <c r="AQ151" i="1"/>
  <c r="AQ150" i="1"/>
  <c r="AQ149" i="1"/>
  <c r="AQ148" i="1"/>
  <c r="AQ147" i="1"/>
  <c r="AQ146" i="1"/>
  <c r="AQ145" i="1"/>
  <c r="AQ144" i="1"/>
  <c r="AQ143" i="1"/>
  <c r="AQ142" i="1"/>
  <c r="AQ141" i="1"/>
  <c r="AQ140" i="1"/>
  <c r="AQ139" i="1"/>
  <c r="AQ138" i="1"/>
  <c r="AQ137" i="1"/>
  <c r="AQ136" i="1"/>
  <c r="AQ135" i="1"/>
  <c r="AQ134" i="1"/>
  <c r="AQ133" i="1"/>
  <c r="AQ132" i="1"/>
  <c r="AQ131" i="1"/>
  <c r="AQ130" i="1"/>
  <c r="AQ129" i="1"/>
  <c r="AQ128" i="1"/>
  <c r="AQ127" i="1"/>
  <c r="AQ126" i="1"/>
  <c r="AQ125" i="1"/>
  <c r="AQ124" i="1"/>
  <c r="AQ123" i="1"/>
  <c r="AQ122" i="1"/>
  <c r="AQ121" i="1"/>
  <c r="AQ120" i="1"/>
  <c r="AQ119" i="1"/>
  <c r="AQ118" i="1"/>
  <c r="AQ117" i="1"/>
  <c r="AQ116" i="1"/>
  <c r="AQ115" i="1"/>
  <c r="AQ114" i="1"/>
  <c r="AQ113" i="1"/>
  <c r="AQ112" i="1"/>
  <c r="AQ111" i="1"/>
  <c r="AQ110" i="1"/>
  <c r="AQ109" i="1"/>
  <c r="AQ108" i="1"/>
  <c r="AQ107" i="1"/>
  <c r="AQ106" i="1"/>
  <c r="AQ105" i="1"/>
  <c r="AQ104" i="1"/>
  <c r="AQ103" i="1"/>
  <c r="AQ102" i="1"/>
  <c r="AQ101" i="1"/>
  <c r="AQ100" i="1"/>
  <c r="AQ99" i="1"/>
  <c r="AQ98" i="1"/>
  <c r="AQ97" i="1"/>
  <c r="AQ96" i="1"/>
  <c r="AQ95" i="1"/>
  <c r="AQ94" i="1"/>
  <c r="AQ93" i="1"/>
  <c r="AQ92" i="1"/>
  <c r="AQ91" i="1"/>
  <c r="AQ90" i="1"/>
  <c r="AQ89" i="1"/>
  <c r="AQ88" i="1"/>
  <c r="AQ87" i="1"/>
  <c r="AQ86" i="1"/>
  <c r="AQ85" i="1"/>
  <c r="AQ84" i="1"/>
  <c r="AQ83" i="1"/>
  <c r="AQ82" i="1"/>
  <c r="AQ81" i="1"/>
  <c r="AQ80" i="1"/>
  <c r="AQ79" i="1"/>
  <c r="AQ78" i="1"/>
  <c r="AQ77" i="1"/>
  <c r="AQ76" i="1"/>
  <c r="AQ75" i="1"/>
  <c r="AQ74" i="1"/>
  <c r="AQ73" i="1"/>
  <c r="AQ72" i="1"/>
  <c r="AQ71" i="1"/>
  <c r="AQ70" i="1"/>
  <c r="AQ69" i="1"/>
  <c r="AQ68" i="1"/>
  <c r="AQ67" i="1"/>
  <c r="AQ66" i="1"/>
  <c r="AQ65" i="1"/>
  <c r="AQ64" i="1"/>
  <c r="AQ63" i="1"/>
  <c r="AQ62" i="1"/>
  <c r="AQ61" i="1"/>
  <c r="AQ60" i="1"/>
  <c r="AQ59" i="1"/>
  <c r="AQ58" i="1"/>
  <c r="AQ57" i="1"/>
  <c r="AQ56" i="1"/>
  <c r="AQ55" i="1"/>
  <c r="AQ54" i="1"/>
  <c r="AQ53" i="1"/>
  <c r="AQ52" i="1"/>
  <c r="AQ51" i="1"/>
  <c r="AQ50" i="1"/>
  <c r="AQ49" i="1"/>
  <c r="AQ48" i="1"/>
  <c r="AQ47" i="1"/>
  <c r="AQ46" i="1"/>
  <c r="AQ45" i="1"/>
  <c r="AQ44" i="1"/>
  <c r="AQ43" i="1"/>
  <c r="AQ42" i="1"/>
  <c r="AQ41" i="1"/>
  <c r="AQ40" i="1"/>
  <c r="AQ39" i="1"/>
  <c r="AQ38" i="1"/>
  <c r="AQ37" i="1"/>
  <c r="AQ36" i="1"/>
  <c r="AQ35" i="1"/>
  <c r="AQ34" i="1"/>
  <c r="AQ33" i="1"/>
  <c r="AQ32" i="1"/>
  <c r="AQ31" i="1"/>
  <c r="AQ30" i="1"/>
  <c r="AQ29" i="1"/>
  <c r="AQ28" i="1"/>
  <c r="AQ27" i="1"/>
  <c r="AQ26" i="1"/>
  <c r="AQ25" i="1"/>
  <c r="AQ24" i="1"/>
  <c r="AQ23" i="1"/>
  <c r="AQ22" i="1"/>
  <c r="AQ21" i="1"/>
  <c r="AQ20" i="1"/>
  <c r="AQ19" i="1"/>
  <c r="AQ18" i="1"/>
  <c r="AQ17" i="1"/>
  <c r="AQ16" i="1"/>
  <c r="AQ15" i="1"/>
  <c r="AQ14" i="1"/>
  <c r="AQ13" i="1"/>
  <c r="AQ12" i="1"/>
  <c r="AQ11" i="1"/>
  <c r="AQ10" i="1"/>
  <c r="AQ9" i="1"/>
  <c r="AQ8" i="1"/>
  <c r="AQ7" i="1"/>
  <c r="AQ6" i="1"/>
  <c r="AO1308" i="1"/>
  <c r="AO1307" i="1"/>
  <c r="AO1306" i="1"/>
  <c r="AO1305" i="1"/>
  <c r="AO1304" i="1"/>
  <c r="AO1303" i="1"/>
  <c r="AO1302" i="1"/>
  <c r="AO1301" i="1"/>
  <c r="AO1300" i="1"/>
  <c r="AO1299" i="1"/>
  <c r="AO1298" i="1"/>
  <c r="AO1297" i="1"/>
  <c r="AO1296" i="1"/>
  <c r="AO1295" i="1"/>
  <c r="AO1294" i="1"/>
  <c r="AO1293" i="1"/>
  <c r="AO1292" i="1"/>
  <c r="AO1291" i="1"/>
  <c r="AO1290" i="1"/>
  <c r="AO1289" i="1"/>
  <c r="AO1288" i="1"/>
  <c r="AO1287" i="1"/>
  <c r="AO1286" i="1"/>
  <c r="AO1285" i="1"/>
  <c r="AO1284" i="1"/>
  <c r="AO1283" i="1"/>
  <c r="AO1282" i="1"/>
  <c r="AO1281" i="1"/>
  <c r="AO1280" i="1"/>
  <c r="AO1279" i="1"/>
  <c r="AO1278" i="1"/>
  <c r="AO1277" i="1"/>
  <c r="AO1276" i="1"/>
  <c r="AO1275" i="1"/>
  <c r="AO1274" i="1"/>
  <c r="AO1273" i="1"/>
  <c r="AO1272" i="1"/>
  <c r="AO1271" i="1"/>
  <c r="AO1270" i="1"/>
  <c r="AO1269" i="1"/>
  <c r="AO1268" i="1"/>
  <c r="AO1267" i="1"/>
  <c r="AO1266" i="1"/>
  <c r="AO1265" i="1"/>
  <c r="AO1264" i="1"/>
  <c r="AO1263" i="1"/>
  <c r="AO1262" i="1"/>
  <c r="AO1261" i="1"/>
  <c r="AO1260" i="1"/>
  <c r="AO1259" i="1"/>
  <c r="AO1258" i="1"/>
  <c r="AO1257" i="1"/>
  <c r="AO1256" i="1"/>
  <c r="AO1255" i="1"/>
  <c r="AO1254" i="1"/>
  <c r="AO1253" i="1"/>
  <c r="AO1252" i="1"/>
  <c r="AO1251" i="1"/>
  <c r="AO1250" i="1"/>
  <c r="AO1249" i="1"/>
  <c r="AO1248" i="1"/>
  <c r="AO1247" i="1"/>
  <c r="AO1246" i="1"/>
  <c r="AO1245" i="1"/>
  <c r="AO1244" i="1"/>
  <c r="AO1243" i="1"/>
  <c r="AO1242" i="1"/>
  <c r="AO1241" i="1"/>
  <c r="AO1240" i="1"/>
  <c r="AO1239" i="1"/>
  <c r="AO1238" i="1"/>
  <c r="AO1237" i="1"/>
  <c r="AO1236" i="1"/>
  <c r="AO1235" i="1"/>
  <c r="AO1234" i="1"/>
  <c r="AO1233" i="1"/>
  <c r="AO1232" i="1"/>
  <c r="AO1231" i="1"/>
  <c r="AO1230" i="1"/>
  <c r="AO1229" i="1"/>
  <c r="AO1228" i="1"/>
  <c r="AO1227" i="1"/>
  <c r="AO1226" i="1"/>
  <c r="AO1225" i="1"/>
  <c r="AO1224" i="1"/>
  <c r="AO1223" i="1"/>
  <c r="AO1222" i="1"/>
  <c r="AO1221" i="1"/>
  <c r="AO1220" i="1"/>
  <c r="AO1219" i="1"/>
  <c r="AO1218" i="1"/>
  <c r="AO1217" i="1"/>
  <c r="AO1216" i="1"/>
  <c r="AO1215" i="1"/>
  <c r="AO1214" i="1"/>
  <c r="AO1213" i="1"/>
  <c r="AO1212" i="1"/>
  <c r="AO1211" i="1"/>
  <c r="AO1210" i="1"/>
  <c r="AO1209" i="1"/>
  <c r="AO1208" i="1"/>
  <c r="AO1207" i="1"/>
  <c r="AO1206" i="1"/>
  <c r="AO1205" i="1"/>
  <c r="AO1204" i="1"/>
  <c r="AO1203" i="1"/>
  <c r="AO1202" i="1"/>
  <c r="AO1201" i="1"/>
  <c r="AO1200" i="1"/>
  <c r="AO1199" i="1"/>
  <c r="AO1198" i="1"/>
  <c r="AO1197" i="1"/>
  <c r="AO1196" i="1"/>
  <c r="AO1195" i="1"/>
  <c r="AO1194" i="1"/>
  <c r="AO1193" i="1"/>
  <c r="AO1192" i="1"/>
  <c r="AO1191" i="1"/>
  <c r="AO1190" i="1"/>
  <c r="AO1189" i="1"/>
  <c r="AO1188" i="1"/>
  <c r="AO1187" i="1"/>
  <c r="AO1186" i="1"/>
  <c r="AO1185" i="1"/>
  <c r="AO1184" i="1"/>
  <c r="AO1183" i="1"/>
  <c r="AO1182" i="1"/>
  <c r="AO1181" i="1"/>
  <c r="AO1180" i="1"/>
  <c r="AO1179" i="1"/>
  <c r="AO1178" i="1"/>
  <c r="AO1177" i="1"/>
  <c r="AO1176" i="1"/>
  <c r="AO1175" i="1"/>
  <c r="AO1174" i="1"/>
  <c r="AO1173" i="1"/>
  <c r="AO1172" i="1"/>
  <c r="AO1171" i="1"/>
  <c r="AO1170" i="1"/>
  <c r="AO1169" i="1"/>
  <c r="AO1168" i="1"/>
  <c r="AO1167" i="1"/>
  <c r="AO1166" i="1"/>
  <c r="AO1165" i="1"/>
  <c r="AO1164" i="1"/>
  <c r="AO1163" i="1"/>
  <c r="AO1162" i="1"/>
  <c r="AO1161" i="1"/>
  <c r="AO1160" i="1"/>
  <c r="AO1159" i="1"/>
  <c r="AO1158" i="1"/>
  <c r="AO1157" i="1"/>
  <c r="AO1156" i="1"/>
  <c r="AO1155" i="1"/>
  <c r="AO1154" i="1"/>
  <c r="AO1153" i="1"/>
  <c r="AO1152" i="1"/>
  <c r="AO1151" i="1"/>
  <c r="AO1150" i="1"/>
  <c r="AO1149" i="1"/>
  <c r="AO1148" i="1"/>
  <c r="AO1147" i="1"/>
  <c r="AO1146" i="1"/>
  <c r="AO1145" i="1"/>
  <c r="AO1144" i="1"/>
  <c r="AO1143" i="1"/>
  <c r="AO1142" i="1"/>
  <c r="AO1141" i="1"/>
  <c r="AO1140" i="1"/>
  <c r="AO1139" i="1"/>
  <c r="AO1138" i="1"/>
  <c r="AO1137" i="1"/>
  <c r="AO1136" i="1"/>
  <c r="AO1135" i="1"/>
  <c r="AO1134" i="1"/>
  <c r="AO1133" i="1"/>
  <c r="AO1132" i="1"/>
  <c r="AO1131" i="1"/>
  <c r="AO1130" i="1"/>
  <c r="AO1129" i="1"/>
  <c r="AO1128" i="1"/>
  <c r="AO1127" i="1"/>
  <c r="AO1126" i="1"/>
  <c r="AO1125" i="1"/>
  <c r="AO1124" i="1"/>
  <c r="AO1123" i="1"/>
  <c r="AO1122" i="1"/>
  <c r="AO1121" i="1"/>
  <c r="AO1120" i="1"/>
  <c r="AO1119" i="1"/>
  <c r="AO1118" i="1"/>
  <c r="AO1117" i="1"/>
  <c r="AO1116" i="1"/>
  <c r="AO1115" i="1"/>
  <c r="AO1114" i="1"/>
  <c r="AO1113" i="1"/>
  <c r="AO1112" i="1"/>
  <c r="AO1111" i="1"/>
  <c r="AO1110" i="1"/>
  <c r="AO1109" i="1"/>
  <c r="AO1108" i="1"/>
  <c r="AO1107" i="1"/>
  <c r="AO1106" i="1"/>
  <c r="AO1105" i="1"/>
  <c r="AO1104" i="1"/>
  <c r="AO1103" i="1"/>
  <c r="AO1102" i="1"/>
  <c r="AO1101" i="1"/>
  <c r="AO1100" i="1"/>
  <c r="AO1099" i="1"/>
  <c r="AO1098" i="1"/>
  <c r="AO1097" i="1"/>
  <c r="AO1096" i="1"/>
  <c r="AO1095" i="1"/>
  <c r="AO1094" i="1"/>
  <c r="AO1093" i="1"/>
  <c r="AO1092" i="1"/>
  <c r="AO1091" i="1"/>
  <c r="AO1090" i="1"/>
  <c r="AO1089" i="1"/>
  <c r="AO1088" i="1"/>
  <c r="AO1087" i="1"/>
  <c r="AO1086" i="1"/>
  <c r="AO1085" i="1"/>
  <c r="AO1084" i="1"/>
  <c r="AO1083" i="1"/>
  <c r="AO1082" i="1"/>
  <c r="AO1081" i="1"/>
  <c r="AO1080" i="1"/>
  <c r="AO1079" i="1"/>
  <c r="AO1078" i="1"/>
  <c r="AO1077" i="1"/>
  <c r="AO1076" i="1"/>
  <c r="AO1075" i="1"/>
  <c r="AO1074" i="1"/>
  <c r="AO1073" i="1"/>
  <c r="AO1072" i="1"/>
  <c r="AO1071" i="1"/>
  <c r="AO1070" i="1"/>
  <c r="AO1069" i="1"/>
  <c r="AO1068" i="1"/>
  <c r="AO1067" i="1"/>
  <c r="AO1066" i="1"/>
  <c r="AO1065" i="1"/>
  <c r="AO1064" i="1"/>
  <c r="AO1063" i="1"/>
  <c r="AO1062" i="1"/>
  <c r="AO1061" i="1"/>
  <c r="AO1060" i="1"/>
  <c r="AO1059" i="1"/>
  <c r="AO1058" i="1"/>
  <c r="AO1057" i="1"/>
  <c r="AO1056" i="1"/>
  <c r="AO1055" i="1"/>
  <c r="AO1054" i="1"/>
  <c r="AO1053" i="1"/>
  <c r="AO1052" i="1"/>
  <c r="AO1051" i="1"/>
  <c r="AO1050" i="1"/>
  <c r="AO1049" i="1"/>
  <c r="AO1048" i="1"/>
  <c r="AO1047" i="1"/>
  <c r="AO1046" i="1"/>
  <c r="AO1045" i="1"/>
  <c r="AO1044" i="1"/>
  <c r="AO1043" i="1"/>
  <c r="AO1042" i="1"/>
  <c r="AO1041" i="1"/>
  <c r="AO1040" i="1"/>
  <c r="AO1039" i="1"/>
  <c r="AO1038" i="1"/>
  <c r="AO1037" i="1"/>
  <c r="AO1036" i="1"/>
  <c r="AO1035" i="1"/>
  <c r="AO1034" i="1"/>
  <c r="AO1033" i="1"/>
  <c r="AO1032" i="1"/>
  <c r="AO1031" i="1"/>
  <c r="AO1030" i="1"/>
  <c r="AO1029" i="1"/>
  <c r="AO1028" i="1"/>
  <c r="AO1027" i="1"/>
  <c r="AO1026" i="1"/>
  <c r="AO1025" i="1"/>
  <c r="AO1024" i="1"/>
  <c r="AO1023" i="1"/>
  <c r="AO1022" i="1"/>
  <c r="AO1021" i="1"/>
  <c r="AO1020" i="1"/>
  <c r="AO1019" i="1"/>
  <c r="AO1018" i="1"/>
  <c r="AO1017" i="1"/>
  <c r="AO1016" i="1"/>
  <c r="AO1015" i="1"/>
  <c r="AO1014" i="1"/>
  <c r="AO1013" i="1"/>
  <c r="AO1012" i="1"/>
  <c r="AO1011" i="1"/>
  <c r="AO1010" i="1"/>
  <c r="AO1009" i="1"/>
  <c r="AO1008" i="1"/>
  <c r="AO1007" i="1"/>
  <c r="AO1006" i="1"/>
  <c r="AO1005" i="1"/>
  <c r="AO1004" i="1"/>
  <c r="AO1003" i="1"/>
  <c r="AO1002" i="1"/>
  <c r="AO1001" i="1"/>
  <c r="AO1000" i="1"/>
  <c r="AO999" i="1"/>
  <c r="AO998" i="1"/>
  <c r="AO997" i="1"/>
  <c r="AO996" i="1"/>
  <c r="AO995" i="1"/>
  <c r="AO994" i="1"/>
  <c r="AO993" i="1"/>
  <c r="AO992" i="1"/>
  <c r="AO991" i="1"/>
  <c r="AO990" i="1"/>
  <c r="AO989" i="1"/>
  <c r="AO988" i="1"/>
  <c r="AO987" i="1"/>
  <c r="AO986" i="1"/>
  <c r="AO985" i="1"/>
  <c r="AO984" i="1"/>
  <c r="AO983" i="1"/>
  <c r="AO982" i="1"/>
  <c r="AO981" i="1"/>
  <c r="AO980" i="1"/>
  <c r="AO979" i="1"/>
  <c r="AO978" i="1"/>
  <c r="AO977" i="1"/>
  <c r="AO976" i="1"/>
  <c r="AO975" i="1"/>
  <c r="AO974" i="1"/>
  <c r="AO973" i="1"/>
  <c r="AO972" i="1"/>
  <c r="AO971" i="1"/>
  <c r="AO970" i="1"/>
  <c r="AO969" i="1"/>
  <c r="AO968" i="1"/>
  <c r="AO967" i="1"/>
  <c r="AO966" i="1"/>
  <c r="AO965" i="1"/>
  <c r="AO964" i="1"/>
  <c r="AO963" i="1"/>
  <c r="AO962" i="1"/>
  <c r="AO961" i="1"/>
  <c r="AO960" i="1"/>
  <c r="AO959" i="1"/>
  <c r="AO958" i="1"/>
  <c r="AO957" i="1"/>
  <c r="AO956" i="1"/>
  <c r="AO955" i="1"/>
  <c r="AO954" i="1"/>
  <c r="AO953" i="1"/>
  <c r="AO952" i="1"/>
  <c r="AO951" i="1"/>
  <c r="AO950" i="1"/>
  <c r="AO949" i="1"/>
  <c r="AO948" i="1"/>
  <c r="AO947" i="1"/>
  <c r="AO946" i="1"/>
  <c r="AO945" i="1"/>
  <c r="AO944" i="1"/>
  <c r="AO943" i="1"/>
  <c r="AO942" i="1"/>
  <c r="AO941" i="1"/>
  <c r="AO940" i="1"/>
  <c r="AO939" i="1"/>
  <c r="AO938" i="1"/>
  <c r="AO937" i="1"/>
  <c r="AO936" i="1"/>
  <c r="AO935" i="1"/>
  <c r="AO934" i="1"/>
  <c r="AO933" i="1"/>
  <c r="AO932" i="1"/>
  <c r="AO931" i="1"/>
  <c r="AO930" i="1"/>
  <c r="AO929" i="1"/>
  <c r="AO928" i="1"/>
  <c r="AO927" i="1"/>
  <c r="AO926" i="1"/>
  <c r="AO925" i="1"/>
  <c r="AO924" i="1"/>
  <c r="AO923" i="1"/>
  <c r="AO922" i="1"/>
  <c r="AO921" i="1"/>
  <c r="AO920" i="1"/>
  <c r="AO919" i="1"/>
  <c r="AO918" i="1"/>
  <c r="AO917" i="1"/>
  <c r="AO916" i="1"/>
  <c r="AO915" i="1"/>
  <c r="AO914" i="1"/>
  <c r="AO913" i="1"/>
  <c r="AO912" i="1"/>
  <c r="AO911" i="1"/>
  <c r="AO910" i="1"/>
  <c r="AO909" i="1"/>
  <c r="AO908" i="1"/>
  <c r="AO907" i="1"/>
  <c r="AO906" i="1"/>
  <c r="AO905" i="1"/>
  <c r="AO904" i="1"/>
  <c r="AO903" i="1"/>
  <c r="AO902" i="1"/>
  <c r="AO901" i="1"/>
  <c r="AO900" i="1"/>
  <c r="AO899" i="1"/>
  <c r="AO898" i="1"/>
  <c r="AO897" i="1"/>
  <c r="AO896" i="1"/>
  <c r="AO895" i="1"/>
  <c r="AO894" i="1"/>
  <c r="AO893" i="1"/>
  <c r="AO892" i="1"/>
  <c r="AO891" i="1"/>
  <c r="AO890" i="1"/>
  <c r="AO889" i="1"/>
  <c r="AO888" i="1"/>
  <c r="AO887" i="1"/>
  <c r="AO886" i="1"/>
  <c r="AO885" i="1"/>
  <c r="AO884" i="1"/>
  <c r="AO883" i="1"/>
  <c r="AO882" i="1"/>
  <c r="AO881" i="1"/>
  <c r="AO880" i="1"/>
  <c r="AO879" i="1"/>
  <c r="AO878" i="1"/>
  <c r="AO877" i="1"/>
  <c r="AO876" i="1"/>
  <c r="AO875" i="1"/>
  <c r="AO874" i="1"/>
  <c r="AO873" i="1"/>
  <c r="AO872" i="1"/>
  <c r="AO871" i="1"/>
  <c r="AO870" i="1"/>
  <c r="AO869" i="1"/>
  <c r="AO868" i="1"/>
  <c r="AO867" i="1"/>
  <c r="AO866" i="1"/>
  <c r="AO865" i="1"/>
  <c r="AO864" i="1"/>
  <c r="AO863" i="1"/>
  <c r="AO862" i="1"/>
  <c r="AO861" i="1"/>
  <c r="AO860" i="1"/>
  <c r="AO859" i="1"/>
  <c r="AO858" i="1"/>
  <c r="AO857" i="1"/>
  <c r="AO856" i="1"/>
  <c r="AO855" i="1"/>
  <c r="AO854" i="1"/>
  <c r="AO853" i="1"/>
  <c r="AO852" i="1"/>
  <c r="AO851" i="1"/>
  <c r="AO850" i="1"/>
  <c r="AO849" i="1"/>
  <c r="AO848" i="1"/>
  <c r="AO847" i="1"/>
  <c r="AO846" i="1"/>
  <c r="AO845" i="1"/>
  <c r="AO844" i="1"/>
  <c r="AO843" i="1"/>
  <c r="AO842" i="1"/>
  <c r="AO841" i="1"/>
  <c r="AO840" i="1"/>
  <c r="AO839" i="1"/>
  <c r="AO838" i="1"/>
  <c r="AO837" i="1"/>
  <c r="AO836" i="1"/>
  <c r="AO835" i="1"/>
  <c r="AO834" i="1"/>
  <c r="AO833" i="1"/>
  <c r="AO832" i="1"/>
  <c r="AO831" i="1"/>
  <c r="AO830" i="1"/>
  <c r="AO829" i="1"/>
  <c r="AO828" i="1"/>
  <c r="AO827" i="1"/>
  <c r="AO826" i="1"/>
  <c r="AO825" i="1"/>
  <c r="AO824" i="1"/>
  <c r="AO823" i="1"/>
  <c r="AO822" i="1"/>
  <c r="AO821" i="1"/>
  <c r="AO820" i="1"/>
  <c r="AO819" i="1"/>
  <c r="AO818" i="1"/>
  <c r="AO817" i="1"/>
  <c r="AO816" i="1"/>
  <c r="AO815" i="1"/>
  <c r="AO814" i="1"/>
  <c r="AO813" i="1"/>
  <c r="AO812" i="1"/>
  <c r="AO811" i="1"/>
  <c r="AO810" i="1"/>
  <c r="AO809" i="1"/>
  <c r="AO808" i="1"/>
  <c r="AO807" i="1"/>
  <c r="AO806" i="1"/>
  <c r="AO805" i="1"/>
  <c r="AO804" i="1"/>
  <c r="AO803" i="1"/>
  <c r="AO802" i="1"/>
  <c r="AO801" i="1"/>
  <c r="AO800" i="1"/>
  <c r="AO799" i="1"/>
  <c r="AO798" i="1"/>
  <c r="AO797" i="1"/>
  <c r="AO796" i="1"/>
  <c r="AO795" i="1"/>
  <c r="AO794" i="1"/>
  <c r="AO793" i="1"/>
  <c r="AO792" i="1"/>
  <c r="AO791" i="1"/>
  <c r="AO790" i="1"/>
  <c r="AO789" i="1"/>
  <c r="AO788" i="1"/>
  <c r="AO787" i="1"/>
  <c r="AO786" i="1"/>
  <c r="AO785" i="1"/>
  <c r="AO784" i="1"/>
  <c r="AO783" i="1"/>
  <c r="AO782" i="1"/>
  <c r="AO781" i="1"/>
  <c r="AO780" i="1"/>
  <c r="AO779" i="1"/>
  <c r="AO778" i="1"/>
  <c r="AO777" i="1"/>
  <c r="AO776" i="1"/>
  <c r="AO775" i="1"/>
  <c r="AO774" i="1"/>
  <c r="AO773" i="1"/>
  <c r="AO772" i="1"/>
  <c r="AO771" i="1"/>
  <c r="AO770" i="1"/>
  <c r="AO769" i="1"/>
  <c r="AO768" i="1"/>
  <c r="AO767" i="1"/>
  <c r="AO766" i="1"/>
  <c r="AO765" i="1"/>
  <c r="AO764" i="1"/>
  <c r="AO763" i="1"/>
  <c r="AO762" i="1"/>
  <c r="AO761" i="1"/>
  <c r="AO760" i="1"/>
  <c r="AO759" i="1"/>
  <c r="AO758" i="1"/>
  <c r="AO757" i="1"/>
  <c r="AO756" i="1"/>
  <c r="AO755" i="1"/>
  <c r="AO754" i="1"/>
  <c r="AO753" i="1"/>
  <c r="AO752" i="1"/>
  <c r="AO751" i="1"/>
  <c r="AO750" i="1"/>
  <c r="AO749" i="1"/>
  <c r="AO748" i="1"/>
  <c r="AO747" i="1"/>
  <c r="AO746" i="1"/>
  <c r="AO745" i="1"/>
  <c r="AO744" i="1"/>
  <c r="AO743" i="1"/>
  <c r="AO742" i="1"/>
  <c r="AO741" i="1"/>
  <c r="AO740" i="1"/>
  <c r="AO739" i="1"/>
  <c r="AO738" i="1"/>
  <c r="AO737" i="1"/>
  <c r="AO736" i="1"/>
  <c r="AO735" i="1"/>
  <c r="AO734" i="1"/>
  <c r="AO733" i="1"/>
  <c r="AO732" i="1"/>
  <c r="AO731" i="1"/>
  <c r="AO730" i="1"/>
  <c r="AO729" i="1"/>
  <c r="AO728" i="1"/>
  <c r="AO727" i="1"/>
  <c r="AO726" i="1"/>
  <c r="AO725" i="1"/>
  <c r="AO724" i="1"/>
  <c r="AO723" i="1"/>
  <c r="AO722" i="1"/>
  <c r="AO721" i="1"/>
  <c r="AO720" i="1"/>
  <c r="AO719" i="1"/>
  <c r="AO718" i="1"/>
  <c r="AO717" i="1"/>
  <c r="AO716" i="1"/>
  <c r="AO715" i="1"/>
  <c r="AO714" i="1"/>
  <c r="AO713" i="1"/>
  <c r="AO712" i="1"/>
  <c r="AO711" i="1"/>
  <c r="AO710" i="1"/>
  <c r="AO709" i="1"/>
  <c r="AO708" i="1"/>
  <c r="AO707" i="1"/>
  <c r="AO706" i="1"/>
  <c r="AO705" i="1"/>
  <c r="AO704" i="1"/>
  <c r="AO703" i="1"/>
  <c r="AO702" i="1"/>
  <c r="AO701" i="1"/>
  <c r="AO700" i="1"/>
  <c r="AO699" i="1"/>
  <c r="AO698" i="1"/>
  <c r="AO697" i="1"/>
  <c r="AO696" i="1"/>
  <c r="AO695" i="1"/>
  <c r="AO694" i="1"/>
  <c r="AO693" i="1"/>
  <c r="AO692" i="1"/>
  <c r="AO691" i="1"/>
  <c r="AO690" i="1"/>
  <c r="AO689" i="1"/>
  <c r="AO688" i="1"/>
  <c r="AO687" i="1"/>
  <c r="AO686" i="1"/>
  <c r="AO685" i="1"/>
  <c r="AO684" i="1"/>
  <c r="AO683" i="1"/>
  <c r="AO682" i="1"/>
  <c r="AO681" i="1"/>
  <c r="AO680" i="1"/>
  <c r="AO679" i="1"/>
  <c r="AO678" i="1"/>
  <c r="AO677" i="1"/>
  <c r="AO676" i="1"/>
  <c r="AO675" i="1"/>
  <c r="AO674" i="1"/>
  <c r="AO673" i="1"/>
  <c r="AO672" i="1"/>
  <c r="AO671" i="1"/>
  <c r="AO670" i="1"/>
  <c r="AO669" i="1"/>
  <c r="AO668" i="1"/>
  <c r="AO667" i="1"/>
  <c r="AO666" i="1"/>
  <c r="AO665" i="1"/>
  <c r="AO664" i="1"/>
  <c r="AO663" i="1"/>
  <c r="AO662" i="1"/>
  <c r="AO661" i="1"/>
  <c r="AO660" i="1"/>
  <c r="AO659" i="1"/>
  <c r="AO658" i="1"/>
  <c r="AO657" i="1"/>
  <c r="AO656" i="1"/>
  <c r="AO655" i="1"/>
  <c r="AO654" i="1"/>
  <c r="AO653" i="1"/>
  <c r="AO652" i="1"/>
  <c r="AO651" i="1"/>
  <c r="AO650" i="1"/>
  <c r="AO649" i="1"/>
  <c r="AO648" i="1"/>
  <c r="AO647" i="1"/>
  <c r="AO646" i="1"/>
  <c r="AO645" i="1"/>
  <c r="AO644" i="1"/>
  <c r="AO643" i="1"/>
  <c r="AO642" i="1"/>
  <c r="AO641" i="1"/>
  <c r="AO640" i="1"/>
  <c r="AO639" i="1"/>
  <c r="AO638" i="1"/>
  <c r="AO637" i="1"/>
  <c r="AO636" i="1"/>
  <c r="AO635" i="1"/>
  <c r="AO634" i="1"/>
  <c r="AO633" i="1"/>
  <c r="AO632" i="1"/>
  <c r="AO631" i="1"/>
  <c r="AO630" i="1"/>
  <c r="AO629" i="1"/>
  <c r="AO628" i="1"/>
  <c r="AO627" i="1"/>
  <c r="AO626" i="1"/>
  <c r="AO625" i="1"/>
  <c r="AO624" i="1"/>
  <c r="AO623" i="1"/>
  <c r="AO622" i="1"/>
  <c r="AO621" i="1"/>
  <c r="AO620" i="1"/>
  <c r="AO619" i="1"/>
  <c r="AO618" i="1"/>
  <c r="AO617" i="1"/>
  <c r="AO616" i="1"/>
  <c r="AO615" i="1"/>
  <c r="AO614" i="1"/>
  <c r="AO613" i="1"/>
  <c r="AO612" i="1"/>
  <c r="AO611" i="1"/>
  <c r="AO610" i="1"/>
  <c r="AO609" i="1"/>
  <c r="AO608" i="1"/>
  <c r="AO607" i="1"/>
  <c r="AO606" i="1"/>
  <c r="AO605" i="1"/>
  <c r="AO604" i="1"/>
  <c r="AO603" i="1"/>
  <c r="AO602" i="1"/>
  <c r="AO601" i="1"/>
  <c r="AO600" i="1"/>
  <c r="AO599" i="1"/>
  <c r="AO598" i="1"/>
  <c r="AO597" i="1"/>
  <c r="AO596" i="1"/>
  <c r="AO595" i="1"/>
  <c r="AO594" i="1"/>
  <c r="AO593" i="1"/>
  <c r="AO592" i="1"/>
  <c r="AO591" i="1"/>
  <c r="AO590" i="1"/>
  <c r="AO589" i="1"/>
  <c r="AO588" i="1"/>
  <c r="AO587" i="1"/>
  <c r="AO586" i="1"/>
  <c r="AO585" i="1"/>
  <c r="AO584" i="1"/>
  <c r="AO583" i="1"/>
  <c r="AO582" i="1"/>
  <c r="AO581" i="1"/>
  <c r="AO580" i="1"/>
  <c r="AO579" i="1"/>
  <c r="AO578" i="1"/>
  <c r="AO577" i="1"/>
  <c r="AO576" i="1"/>
  <c r="AO575" i="1"/>
  <c r="AO574" i="1"/>
  <c r="AO573" i="1"/>
  <c r="AO572" i="1"/>
  <c r="AO571" i="1"/>
  <c r="AO570" i="1"/>
  <c r="AO569" i="1"/>
  <c r="AO568" i="1"/>
  <c r="AO567" i="1"/>
  <c r="AO566" i="1"/>
  <c r="AO565" i="1"/>
  <c r="AO564" i="1"/>
  <c r="AO563" i="1"/>
  <c r="AO562" i="1"/>
  <c r="AO561" i="1"/>
  <c r="AO560" i="1"/>
  <c r="AO559" i="1"/>
  <c r="AO558" i="1"/>
  <c r="AO557" i="1"/>
  <c r="AO556" i="1"/>
  <c r="AO555" i="1"/>
  <c r="AO554" i="1"/>
  <c r="AO553" i="1"/>
  <c r="AO552" i="1"/>
  <c r="AO551" i="1"/>
  <c r="AO550" i="1"/>
  <c r="AO549" i="1"/>
  <c r="AO548" i="1"/>
  <c r="AO547" i="1"/>
  <c r="AO546" i="1"/>
  <c r="AO545" i="1"/>
  <c r="AO544" i="1"/>
  <c r="AO543" i="1"/>
  <c r="AO542" i="1"/>
  <c r="AO541" i="1"/>
  <c r="AO540" i="1"/>
  <c r="AO539" i="1"/>
  <c r="AO538" i="1"/>
  <c r="AO537" i="1"/>
  <c r="AO536" i="1"/>
  <c r="AO535" i="1"/>
  <c r="AO534" i="1"/>
  <c r="AO533" i="1"/>
  <c r="AO532" i="1"/>
  <c r="AO531" i="1"/>
  <c r="AO530" i="1"/>
  <c r="AO529" i="1"/>
  <c r="AO528" i="1"/>
  <c r="AO527" i="1"/>
  <c r="AO526" i="1"/>
  <c r="AO525" i="1"/>
  <c r="AO524" i="1"/>
  <c r="AO523" i="1"/>
  <c r="AO522" i="1"/>
  <c r="AO521" i="1"/>
  <c r="AO520" i="1"/>
  <c r="AO519" i="1"/>
  <c r="AO518" i="1"/>
  <c r="AO517" i="1"/>
  <c r="AO516" i="1"/>
  <c r="AO515" i="1"/>
  <c r="AO514" i="1"/>
  <c r="AO513" i="1"/>
  <c r="AO512" i="1"/>
  <c r="AO511" i="1"/>
  <c r="AO510" i="1"/>
  <c r="AO509" i="1"/>
  <c r="AO508" i="1"/>
  <c r="AO507" i="1"/>
  <c r="AO506" i="1"/>
  <c r="AO505" i="1"/>
  <c r="AO504" i="1"/>
  <c r="AO503" i="1"/>
  <c r="AO502" i="1"/>
  <c r="AO501" i="1"/>
  <c r="AO500" i="1"/>
  <c r="AO499" i="1"/>
  <c r="AO498" i="1"/>
  <c r="AO497" i="1"/>
  <c r="AO496" i="1"/>
  <c r="AO495" i="1"/>
  <c r="AO494" i="1"/>
  <c r="AO493" i="1"/>
  <c r="AO492" i="1"/>
  <c r="AO491" i="1"/>
  <c r="AO490" i="1"/>
  <c r="AO489" i="1"/>
  <c r="AO488" i="1"/>
  <c r="AO487" i="1"/>
  <c r="AO486" i="1"/>
  <c r="AO485" i="1"/>
  <c r="AO484" i="1"/>
  <c r="AO483" i="1"/>
  <c r="AO482" i="1"/>
  <c r="AO481" i="1"/>
  <c r="AO480" i="1"/>
  <c r="AO479" i="1"/>
  <c r="AO478" i="1"/>
  <c r="AO477" i="1"/>
  <c r="AO476" i="1"/>
  <c r="AO475" i="1"/>
  <c r="AO474" i="1"/>
  <c r="AO473" i="1"/>
  <c r="AO472" i="1"/>
  <c r="AO471" i="1"/>
  <c r="AO470" i="1"/>
  <c r="AO469" i="1"/>
  <c r="AO468" i="1"/>
  <c r="AO467" i="1"/>
  <c r="AO466" i="1"/>
  <c r="AO465" i="1"/>
  <c r="AO464" i="1"/>
  <c r="AO463" i="1"/>
  <c r="AO462" i="1"/>
  <c r="AO461" i="1"/>
  <c r="AO460" i="1"/>
  <c r="AO459" i="1"/>
  <c r="AO458" i="1"/>
  <c r="AO457" i="1"/>
  <c r="AO456" i="1"/>
  <c r="AO455" i="1"/>
  <c r="AO454" i="1"/>
  <c r="AO453" i="1"/>
  <c r="AO452" i="1"/>
  <c r="AO451" i="1"/>
  <c r="AO450" i="1"/>
  <c r="AO449" i="1"/>
  <c r="AO448" i="1"/>
  <c r="AO447" i="1"/>
  <c r="AO446" i="1"/>
  <c r="AO445" i="1"/>
  <c r="AO444" i="1"/>
  <c r="AO443" i="1"/>
  <c r="AO442" i="1"/>
  <c r="AO441" i="1"/>
  <c r="AO440" i="1"/>
  <c r="AO439" i="1"/>
  <c r="AO438" i="1"/>
  <c r="AO437" i="1"/>
  <c r="AO436" i="1"/>
  <c r="AO435" i="1"/>
  <c r="AO434" i="1"/>
  <c r="AO433" i="1"/>
  <c r="AO432" i="1"/>
  <c r="AO431" i="1"/>
  <c r="AO430" i="1"/>
  <c r="AO429" i="1"/>
  <c r="AO428" i="1"/>
  <c r="AO427" i="1"/>
  <c r="AO426" i="1"/>
  <c r="AO425" i="1"/>
  <c r="AO424" i="1"/>
  <c r="AO423" i="1"/>
  <c r="AO422" i="1"/>
  <c r="AO421" i="1"/>
  <c r="AO420" i="1"/>
  <c r="AO419" i="1"/>
  <c r="AO418" i="1"/>
  <c r="AO417" i="1"/>
  <c r="AO416" i="1"/>
  <c r="AO415" i="1"/>
  <c r="AO414" i="1"/>
  <c r="AO413" i="1"/>
  <c r="AO412" i="1"/>
  <c r="AO411" i="1"/>
  <c r="AO410" i="1"/>
  <c r="AO409" i="1"/>
  <c r="AO408" i="1"/>
  <c r="AO407" i="1"/>
  <c r="AO406" i="1"/>
  <c r="AO405" i="1"/>
  <c r="AO404" i="1"/>
  <c r="AO403" i="1"/>
  <c r="AO402" i="1"/>
  <c r="AO401" i="1"/>
  <c r="AO400" i="1"/>
  <c r="AO399" i="1"/>
  <c r="AO398" i="1"/>
  <c r="AO397" i="1"/>
  <c r="AO396" i="1"/>
  <c r="AO395" i="1"/>
  <c r="AO394" i="1"/>
  <c r="AO393" i="1"/>
  <c r="AO392" i="1"/>
  <c r="AO391" i="1"/>
  <c r="AO390" i="1"/>
  <c r="AO389" i="1"/>
  <c r="AO388" i="1"/>
  <c r="AO387" i="1"/>
  <c r="AO386" i="1"/>
  <c r="AO385" i="1"/>
  <c r="AO384" i="1"/>
  <c r="AO383" i="1"/>
  <c r="AO382" i="1"/>
  <c r="AO381" i="1"/>
  <c r="AO380" i="1"/>
  <c r="AO379" i="1"/>
  <c r="AO378" i="1"/>
  <c r="AO377" i="1"/>
  <c r="AO376" i="1"/>
  <c r="AO375" i="1"/>
  <c r="AO374" i="1"/>
  <c r="AO373" i="1"/>
  <c r="AO372" i="1"/>
  <c r="AO371" i="1"/>
  <c r="AO370" i="1"/>
  <c r="AO369" i="1"/>
  <c r="AO368" i="1"/>
  <c r="AO367" i="1"/>
  <c r="AO366" i="1"/>
  <c r="AO365" i="1"/>
  <c r="AO364" i="1"/>
  <c r="AO363" i="1"/>
  <c r="AO362" i="1"/>
  <c r="AO361" i="1"/>
  <c r="AO360" i="1"/>
  <c r="AO359" i="1"/>
  <c r="AO358" i="1"/>
  <c r="AO357" i="1"/>
  <c r="AO356" i="1"/>
  <c r="AO355" i="1"/>
  <c r="AO354" i="1"/>
  <c r="AO353" i="1"/>
  <c r="AO352" i="1"/>
  <c r="AO351" i="1"/>
  <c r="AO350" i="1"/>
  <c r="AO349" i="1"/>
  <c r="AO348" i="1"/>
  <c r="AO347" i="1"/>
  <c r="AO346" i="1"/>
  <c r="AO345" i="1"/>
  <c r="AO344" i="1"/>
  <c r="AO343" i="1"/>
  <c r="AO342" i="1"/>
  <c r="AO341" i="1"/>
  <c r="AO340" i="1"/>
  <c r="AO339" i="1"/>
  <c r="AO338" i="1"/>
  <c r="AO337" i="1"/>
  <c r="AO336" i="1"/>
  <c r="AO335" i="1"/>
  <c r="AO334" i="1"/>
  <c r="AO333" i="1"/>
  <c r="AO332" i="1"/>
  <c r="AO331" i="1"/>
  <c r="AO330" i="1"/>
  <c r="AO329" i="1"/>
  <c r="AO328" i="1"/>
  <c r="AO327" i="1"/>
  <c r="AO326" i="1"/>
  <c r="AO325" i="1"/>
  <c r="AO324" i="1"/>
  <c r="AO323" i="1"/>
  <c r="AO322" i="1"/>
  <c r="AO321" i="1"/>
  <c r="AO320" i="1"/>
  <c r="AO319" i="1"/>
  <c r="AO318" i="1"/>
  <c r="AO317" i="1"/>
  <c r="AO316" i="1"/>
  <c r="AO315" i="1"/>
  <c r="AO314" i="1"/>
  <c r="AO313" i="1"/>
  <c r="AO312" i="1"/>
  <c r="AO311" i="1"/>
  <c r="AO310" i="1"/>
  <c r="AO309" i="1"/>
  <c r="AO308" i="1"/>
  <c r="AO307" i="1"/>
  <c r="AO306" i="1"/>
  <c r="AO305" i="1"/>
  <c r="AO304" i="1"/>
  <c r="AO303" i="1"/>
  <c r="AO302" i="1"/>
  <c r="AO301" i="1"/>
  <c r="AO300" i="1"/>
  <c r="AO299" i="1"/>
  <c r="AO298" i="1"/>
  <c r="AO297" i="1"/>
  <c r="AO296" i="1"/>
  <c r="AO295" i="1"/>
  <c r="AO294" i="1"/>
  <c r="AO293" i="1"/>
  <c r="AO292" i="1"/>
  <c r="AO291" i="1"/>
  <c r="AO290" i="1"/>
  <c r="AO289" i="1"/>
  <c r="AO288" i="1"/>
  <c r="AO287" i="1"/>
  <c r="AO286" i="1"/>
  <c r="AO285" i="1"/>
  <c r="AO284" i="1"/>
  <c r="AO283" i="1"/>
  <c r="AO282" i="1"/>
  <c r="AO281" i="1"/>
  <c r="AO280" i="1"/>
  <c r="AO279" i="1"/>
  <c r="AO278" i="1"/>
  <c r="AO277" i="1"/>
  <c r="AO276" i="1"/>
  <c r="AO275" i="1"/>
  <c r="AO274" i="1"/>
  <c r="AO273" i="1"/>
  <c r="AO272" i="1"/>
  <c r="AO271" i="1"/>
  <c r="AO270" i="1"/>
  <c r="AO269" i="1"/>
  <c r="AO268" i="1"/>
  <c r="AO267" i="1"/>
  <c r="AO266" i="1"/>
  <c r="AO265" i="1"/>
  <c r="AO264" i="1"/>
  <c r="AO263" i="1"/>
  <c r="AO262" i="1"/>
  <c r="AO261" i="1"/>
  <c r="AO260" i="1"/>
  <c r="AO259" i="1"/>
  <c r="AO258" i="1"/>
  <c r="AO257" i="1"/>
  <c r="AO256" i="1"/>
  <c r="AO255" i="1"/>
  <c r="AO254" i="1"/>
  <c r="AO253" i="1"/>
  <c r="AO252" i="1"/>
  <c r="AO251" i="1"/>
  <c r="AO250" i="1"/>
  <c r="AO249" i="1"/>
  <c r="AO248" i="1"/>
  <c r="AO247" i="1"/>
  <c r="AO246" i="1"/>
  <c r="AO245" i="1"/>
  <c r="AO244" i="1"/>
  <c r="AO243" i="1"/>
  <c r="AO242" i="1"/>
  <c r="AO241" i="1"/>
  <c r="AO240" i="1"/>
  <c r="AO239" i="1"/>
  <c r="AO238" i="1"/>
  <c r="AO237" i="1"/>
  <c r="AO236" i="1"/>
  <c r="AO235" i="1"/>
  <c r="AO234" i="1"/>
  <c r="AO233" i="1"/>
  <c r="AO232" i="1"/>
  <c r="AO231" i="1"/>
  <c r="AO230" i="1"/>
  <c r="AO229" i="1"/>
  <c r="AO228" i="1"/>
  <c r="AO227" i="1"/>
  <c r="AO226" i="1"/>
  <c r="AO225" i="1"/>
  <c r="AO224" i="1"/>
  <c r="AO223" i="1"/>
  <c r="AO222" i="1"/>
  <c r="AO221" i="1"/>
  <c r="AO220" i="1"/>
  <c r="AO219" i="1"/>
  <c r="AO218" i="1"/>
  <c r="AO217" i="1"/>
  <c r="AO216" i="1"/>
  <c r="AO215" i="1"/>
  <c r="AO214" i="1"/>
  <c r="AO213" i="1"/>
  <c r="AO212" i="1"/>
  <c r="AO211" i="1"/>
  <c r="AO210" i="1"/>
  <c r="AO209" i="1"/>
  <c r="AO208" i="1"/>
  <c r="AO207" i="1"/>
  <c r="AO206" i="1"/>
  <c r="AO205" i="1"/>
  <c r="AO204" i="1"/>
  <c r="AO203" i="1"/>
  <c r="AO202" i="1"/>
  <c r="AO201" i="1"/>
  <c r="AO200" i="1"/>
  <c r="AO199" i="1"/>
  <c r="AO198" i="1"/>
  <c r="AO197" i="1"/>
  <c r="AO196" i="1"/>
  <c r="AO195" i="1"/>
  <c r="AO194" i="1"/>
  <c r="AO193" i="1"/>
  <c r="AO192" i="1"/>
  <c r="AO191" i="1"/>
  <c r="AO190" i="1"/>
  <c r="AO189" i="1"/>
  <c r="AO188" i="1"/>
  <c r="AO187" i="1"/>
  <c r="AO186" i="1"/>
  <c r="AO185" i="1"/>
  <c r="AO184" i="1"/>
  <c r="AO183" i="1"/>
  <c r="AO182" i="1"/>
  <c r="AO181" i="1"/>
  <c r="AO180" i="1"/>
  <c r="AO179" i="1"/>
  <c r="AO178" i="1"/>
  <c r="AO177" i="1"/>
  <c r="AO176" i="1"/>
  <c r="AO175" i="1"/>
  <c r="AO174" i="1"/>
  <c r="AO173" i="1"/>
  <c r="AO172" i="1"/>
  <c r="AO171" i="1"/>
  <c r="AO170" i="1"/>
  <c r="AO169" i="1"/>
  <c r="AO168" i="1"/>
  <c r="AO167" i="1"/>
  <c r="AO166" i="1"/>
  <c r="AO165" i="1"/>
  <c r="AO164" i="1"/>
  <c r="AO163" i="1"/>
  <c r="AO162" i="1"/>
  <c r="AO161" i="1"/>
  <c r="AO160" i="1"/>
  <c r="AO159" i="1"/>
  <c r="AO158" i="1"/>
  <c r="AO157" i="1"/>
  <c r="AO156" i="1"/>
  <c r="AO155" i="1"/>
  <c r="AO154" i="1"/>
  <c r="AO153" i="1"/>
  <c r="AO152" i="1"/>
  <c r="AO151" i="1"/>
  <c r="AO150" i="1"/>
  <c r="AO149" i="1"/>
  <c r="AO148" i="1"/>
  <c r="AO147" i="1"/>
  <c r="AO146" i="1"/>
  <c r="AO145" i="1"/>
  <c r="AO144" i="1"/>
  <c r="AO143" i="1"/>
  <c r="AO142" i="1"/>
  <c r="AO141" i="1"/>
  <c r="AO140" i="1"/>
  <c r="AO139" i="1"/>
  <c r="AO138" i="1"/>
  <c r="AO137" i="1"/>
  <c r="AO136" i="1"/>
  <c r="AO135" i="1"/>
  <c r="AO134" i="1"/>
  <c r="AO133" i="1"/>
  <c r="AO132" i="1"/>
  <c r="AO131" i="1"/>
  <c r="AO130" i="1"/>
  <c r="AO129" i="1"/>
  <c r="AO128" i="1"/>
  <c r="AO127" i="1"/>
  <c r="AO126" i="1"/>
  <c r="AO125" i="1"/>
  <c r="AO124" i="1"/>
  <c r="AO123" i="1"/>
  <c r="AO122" i="1"/>
  <c r="AO121" i="1"/>
  <c r="AO120" i="1"/>
  <c r="AO119" i="1"/>
  <c r="AO118" i="1"/>
  <c r="AO117" i="1"/>
  <c r="AO116" i="1"/>
  <c r="AO115" i="1"/>
  <c r="AO114" i="1"/>
  <c r="AO113" i="1"/>
  <c r="AO112" i="1"/>
  <c r="AO111" i="1"/>
  <c r="AO110" i="1"/>
  <c r="AO109" i="1"/>
  <c r="AO108" i="1"/>
  <c r="AO107" i="1"/>
  <c r="AO106" i="1"/>
  <c r="AO105" i="1"/>
  <c r="AO104" i="1"/>
  <c r="AO103" i="1"/>
  <c r="AO102" i="1"/>
  <c r="AO101" i="1"/>
  <c r="AO100" i="1"/>
  <c r="AO99" i="1"/>
  <c r="AO98" i="1"/>
  <c r="AO97" i="1"/>
  <c r="AO96" i="1"/>
  <c r="AO95" i="1"/>
  <c r="AO94" i="1"/>
  <c r="AO93" i="1"/>
  <c r="AO92" i="1"/>
  <c r="AO91" i="1"/>
  <c r="AO90" i="1"/>
  <c r="AO89" i="1"/>
  <c r="AO88" i="1"/>
  <c r="AO87" i="1"/>
  <c r="AO86" i="1"/>
  <c r="AO85" i="1"/>
  <c r="AO84" i="1"/>
  <c r="AO83" i="1"/>
  <c r="AO82" i="1"/>
  <c r="AO81" i="1"/>
  <c r="AO80" i="1"/>
  <c r="AO79" i="1"/>
  <c r="AO78" i="1"/>
  <c r="AO77" i="1"/>
  <c r="AO76" i="1"/>
  <c r="AO75" i="1"/>
  <c r="AO74" i="1"/>
  <c r="AO73" i="1"/>
  <c r="AO72" i="1"/>
  <c r="AO71" i="1"/>
  <c r="AO70" i="1"/>
  <c r="AO69" i="1"/>
  <c r="AO68" i="1"/>
  <c r="AO67" i="1"/>
  <c r="AO66" i="1"/>
  <c r="AO65" i="1"/>
  <c r="AO64" i="1"/>
  <c r="AO63" i="1"/>
  <c r="AO62" i="1"/>
  <c r="AO61" i="1"/>
  <c r="AO60" i="1"/>
  <c r="AO59" i="1"/>
  <c r="AO58" i="1"/>
  <c r="AO57" i="1"/>
  <c r="AO56" i="1"/>
  <c r="AO55" i="1"/>
  <c r="AO54" i="1"/>
  <c r="AO53" i="1"/>
  <c r="AO52" i="1"/>
  <c r="AO51" i="1"/>
  <c r="AO50" i="1"/>
  <c r="AO49" i="1"/>
  <c r="AO48" i="1"/>
  <c r="AO47" i="1"/>
  <c r="AO46" i="1"/>
  <c r="AO45" i="1"/>
  <c r="AO44" i="1"/>
  <c r="AO43" i="1"/>
  <c r="AO42" i="1"/>
  <c r="AO41" i="1"/>
  <c r="AO40" i="1"/>
  <c r="AO39" i="1"/>
  <c r="AO38" i="1"/>
  <c r="AO37" i="1"/>
  <c r="AO36" i="1"/>
  <c r="AO35" i="1"/>
  <c r="AO34" i="1"/>
  <c r="AO33" i="1"/>
  <c r="AO32" i="1"/>
  <c r="AO31" i="1"/>
  <c r="AO30" i="1"/>
  <c r="AO29" i="1"/>
  <c r="AO28" i="1"/>
  <c r="AO27" i="1"/>
  <c r="AO26" i="1"/>
  <c r="AO25" i="1"/>
  <c r="AO24" i="1"/>
  <c r="AO23" i="1"/>
  <c r="AO22" i="1"/>
  <c r="AO21" i="1"/>
  <c r="AO20" i="1"/>
  <c r="AO19" i="1"/>
  <c r="AO18" i="1"/>
  <c r="AO17" i="1"/>
  <c r="AO16" i="1"/>
  <c r="AO15" i="1"/>
  <c r="AO14" i="1"/>
  <c r="AO13" i="1"/>
  <c r="AO12" i="1"/>
  <c r="AO11" i="1"/>
  <c r="AO10" i="1"/>
  <c r="AO9" i="1"/>
  <c r="AO8" i="1"/>
  <c r="AO7" i="1"/>
  <c r="AO6" i="1"/>
  <c r="AM1308" i="1"/>
  <c r="AM1307" i="1"/>
  <c r="AM1306" i="1"/>
  <c r="AM1305" i="1"/>
  <c r="AM1304" i="1"/>
  <c r="AM1303" i="1"/>
  <c r="AM1302" i="1"/>
  <c r="AM1301" i="1"/>
  <c r="AM1300" i="1"/>
  <c r="AM1299" i="1"/>
  <c r="AM1298" i="1"/>
  <c r="AM1297" i="1"/>
  <c r="AM1296" i="1"/>
  <c r="AM1295" i="1"/>
  <c r="AM1294" i="1"/>
  <c r="AM1293" i="1"/>
  <c r="AM1292" i="1"/>
  <c r="AM1291" i="1"/>
  <c r="AM1290" i="1"/>
  <c r="AM1289" i="1"/>
  <c r="AM1288" i="1"/>
  <c r="AM1287" i="1"/>
  <c r="AM1286" i="1"/>
  <c r="AM1285" i="1"/>
  <c r="AM1284" i="1"/>
  <c r="AM1283" i="1"/>
  <c r="AM1282" i="1"/>
  <c r="AM1281" i="1"/>
  <c r="AM1280" i="1"/>
  <c r="AM1279" i="1"/>
  <c r="AM1278" i="1"/>
  <c r="AM1277" i="1"/>
  <c r="AM1276" i="1"/>
  <c r="AM1275" i="1"/>
  <c r="AM1274" i="1"/>
  <c r="AM1273" i="1"/>
  <c r="AM1272" i="1"/>
  <c r="AM1271" i="1"/>
  <c r="AM1270" i="1"/>
  <c r="AM1269" i="1"/>
  <c r="AM1268" i="1"/>
  <c r="AM1267" i="1"/>
  <c r="AM1266" i="1"/>
  <c r="AM1265" i="1"/>
  <c r="AM1264" i="1"/>
  <c r="AM1263" i="1"/>
  <c r="AM1262" i="1"/>
  <c r="AM1261" i="1"/>
  <c r="AM1260" i="1"/>
  <c r="AM1259" i="1"/>
  <c r="AM1258" i="1"/>
  <c r="AM1257" i="1"/>
  <c r="AM1256" i="1"/>
  <c r="AM1255" i="1"/>
  <c r="AM1254" i="1"/>
  <c r="AM1253" i="1"/>
  <c r="AM1252" i="1"/>
  <c r="AM1251" i="1"/>
  <c r="AM1250" i="1"/>
  <c r="AM1249" i="1"/>
  <c r="AM1248" i="1"/>
  <c r="AM1247" i="1"/>
  <c r="AM1246" i="1"/>
  <c r="AM1245" i="1"/>
  <c r="AM1244" i="1"/>
  <c r="AM1243" i="1"/>
  <c r="AM1242" i="1"/>
  <c r="AM1241" i="1"/>
  <c r="AM1240" i="1"/>
  <c r="AM1239" i="1"/>
  <c r="AM1238" i="1"/>
  <c r="AM1237" i="1"/>
  <c r="AM1236" i="1"/>
  <c r="AM1235" i="1"/>
  <c r="AM1234" i="1"/>
  <c r="AM1233" i="1"/>
  <c r="AM1232" i="1"/>
  <c r="AM1231" i="1"/>
  <c r="AM1230" i="1"/>
  <c r="AM1229" i="1"/>
  <c r="AM1228" i="1"/>
  <c r="AM1227" i="1"/>
  <c r="AM1226" i="1"/>
  <c r="AM1225" i="1"/>
  <c r="AM1224" i="1"/>
  <c r="AM1223" i="1"/>
  <c r="AM1222" i="1"/>
  <c r="AM1221" i="1"/>
  <c r="AM1220" i="1"/>
  <c r="AM1219" i="1"/>
  <c r="AM1218" i="1"/>
  <c r="AM1217" i="1"/>
  <c r="AM1216" i="1"/>
  <c r="AM1215" i="1"/>
  <c r="AM1214" i="1"/>
  <c r="AM1213" i="1"/>
  <c r="AM1212" i="1"/>
  <c r="AM1211" i="1"/>
  <c r="AM1210" i="1"/>
  <c r="AM1209" i="1"/>
  <c r="AM1208" i="1"/>
  <c r="AM1207" i="1"/>
  <c r="AM1206" i="1"/>
  <c r="AM1205" i="1"/>
  <c r="AM1204" i="1"/>
  <c r="AM1203" i="1"/>
  <c r="AM1202" i="1"/>
  <c r="AM1201" i="1"/>
  <c r="AM1200" i="1"/>
  <c r="AM1199" i="1"/>
  <c r="AM1198" i="1"/>
  <c r="AM1197" i="1"/>
  <c r="AM1196" i="1"/>
  <c r="AM1195" i="1"/>
  <c r="AM1194" i="1"/>
  <c r="AM1193" i="1"/>
  <c r="AM1192" i="1"/>
  <c r="AM1191" i="1"/>
  <c r="AM1190" i="1"/>
  <c r="AM1189" i="1"/>
  <c r="AM1188" i="1"/>
  <c r="AM1187" i="1"/>
  <c r="AM1186" i="1"/>
  <c r="AM1185" i="1"/>
  <c r="AM1184" i="1"/>
  <c r="AM1183" i="1"/>
  <c r="AM1182" i="1"/>
  <c r="AM1181" i="1"/>
  <c r="AM1180" i="1"/>
  <c r="AM1179" i="1"/>
  <c r="AM1178" i="1"/>
  <c r="AM1177" i="1"/>
  <c r="AM1176" i="1"/>
  <c r="AM1175" i="1"/>
  <c r="AM1174" i="1"/>
  <c r="AM1173" i="1"/>
  <c r="AM1172" i="1"/>
  <c r="AM1171" i="1"/>
  <c r="AM1170" i="1"/>
  <c r="AM1169" i="1"/>
  <c r="AM1168" i="1"/>
  <c r="AM1167" i="1"/>
  <c r="AM1166" i="1"/>
  <c r="AM1165" i="1"/>
  <c r="AM1164" i="1"/>
  <c r="AM1163" i="1"/>
  <c r="AM1162" i="1"/>
  <c r="AM1161" i="1"/>
  <c r="AM1160" i="1"/>
  <c r="AM1159" i="1"/>
  <c r="AM1158" i="1"/>
  <c r="AM1157" i="1"/>
  <c r="AM1156" i="1"/>
  <c r="AM1155" i="1"/>
  <c r="AM1154" i="1"/>
  <c r="AM1153" i="1"/>
  <c r="AM1152" i="1"/>
  <c r="AM1151" i="1"/>
  <c r="AM1150" i="1"/>
  <c r="AM1149" i="1"/>
  <c r="AM1148" i="1"/>
  <c r="AM1147" i="1"/>
  <c r="AM1146" i="1"/>
  <c r="AM1145" i="1"/>
  <c r="AM1144" i="1"/>
  <c r="AM1143" i="1"/>
  <c r="AM1142" i="1"/>
  <c r="AM1141" i="1"/>
  <c r="AM1140" i="1"/>
  <c r="AM1139" i="1"/>
  <c r="AM1138" i="1"/>
  <c r="AM1137" i="1"/>
  <c r="AM1136" i="1"/>
  <c r="AM1135" i="1"/>
  <c r="AM1134" i="1"/>
  <c r="AM1133" i="1"/>
  <c r="AM1132" i="1"/>
  <c r="AM1131" i="1"/>
  <c r="AM1130" i="1"/>
  <c r="AM1129" i="1"/>
  <c r="AM1128" i="1"/>
  <c r="AM1127" i="1"/>
  <c r="AM1126" i="1"/>
  <c r="AM1125" i="1"/>
  <c r="AM1124" i="1"/>
  <c r="AM1123" i="1"/>
  <c r="AM1122" i="1"/>
  <c r="AM1121" i="1"/>
  <c r="AM1120" i="1"/>
  <c r="AM1119" i="1"/>
  <c r="AM1118" i="1"/>
  <c r="AM1117" i="1"/>
  <c r="AM1116" i="1"/>
  <c r="AM1115" i="1"/>
  <c r="AM1114" i="1"/>
  <c r="AM1113" i="1"/>
  <c r="AM1112" i="1"/>
  <c r="AM1111" i="1"/>
  <c r="AM1110" i="1"/>
  <c r="AM1109" i="1"/>
  <c r="AM1108" i="1"/>
  <c r="AM1107" i="1"/>
  <c r="AM1106" i="1"/>
  <c r="AM1105" i="1"/>
  <c r="AM1104" i="1"/>
  <c r="AM1103" i="1"/>
  <c r="AM1102" i="1"/>
  <c r="AM1101" i="1"/>
  <c r="AM1100" i="1"/>
  <c r="AM1099" i="1"/>
  <c r="AM1098" i="1"/>
  <c r="AM1097" i="1"/>
  <c r="AM1096" i="1"/>
  <c r="AM1095" i="1"/>
  <c r="AM1094" i="1"/>
  <c r="AM1093" i="1"/>
  <c r="AM1092" i="1"/>
  <c r="AM1091" i="1"/>
  <c r="AM1090" i="1"/>
  <c r="AM1089" i="1"/>
  <c r="AM1088" i="1"/>
  <c r="AM1087" i="1"/>
  <c r="AM1086" i="1"/>
  <c r="AM1085" i="1"/>
  <c r="AM1084" i="1"/>
  <c r="AM1083" i="1"/>
  <c r="AM1082" i="1"/>
  <c r="AM1081" i="1"/>
  <c r="AM1080" i="1"/>
  <c r="AM1079" i="1"/>
  <c r="AM1078" i="1"/>
  <c r="AM1077" i="1"/>
  <c r="AM1076" i="1"/>
  <c r="AM1075" i="1"/>
  <c r="AM1074" i="1"/>
  <c r="AM1073" i="1"/>
  <c r="AM1072" i="1"/>
  <c r="AM1071" i="1"/>
  <c r="AM1070" i="1"/>
  <c r="AM1069" i="1"/>
  <c r="AM1068" i="1"/>
  <c r="AM1067" i="1"/>
  <c r="AM1066" i="1"/>
  <c r="AM1065" i="1"/>
  <c r="AM1064" i="1"/>
  <c r="AM1063" i="1"/>
  <c r="AM1062" i="1"/>
  <c r="AM1061" i="1"/>
  <c r="AM1060" i="1"/>
  <c r="AM1059" i="1"/>
  <c r="AM1058" i="1"/>
  <c r="AM1057" i="1"/>
  <c r="AM1056" i="1"/>
  <c r="AM1055" i="1"/>
  <c r="AM1054" i="1"/>
  <c r="AM1053" i="1"/>
  <c r="AM1052" i="1"/>
  <c r="AM1051" i="1"/>
  <c r="AM1050" i="1"/>
  <c r="AM1049" i="1"/>
  <c r="AM1048" i="1"/>
  <c r="AM1047" i="1"/>
  <c r="AM1046" i="1"/>
  <c r="AM1045" i="1"/>
  <c r="AM1044" i="1"/>
  <c r="AM1043" i="1"/>
  <c r="AM1042" i="1"/>
  <c r="AM1041" i="1"/>
  <c r="AM1040" i="1"/>
  <c r="AM1039" i="1"/>
  <c r="AM1038" i="1"/>
  <c r="AM1037" i="1"/>
  <c r="AM1036" i="1"/>
  <c r="AM1035" i="1"/>
  <c r="AM1034" i="1"/>
  <c r="AM1033" i="1"/>
  <c r="AM1032" i="1"/>
  <c r="AM1031" i="1"/>
  <c r="AM1030" i="1"/>
  <c r="AM1029" i="1"/>
  <c r="AM1028" i="1"/>
  <c r="AM1027" i="1"/>
  <c r="AM1026" i="1"/>
  <c r="AM1025" i="1"/>
  <c r="AM1024" i="1"/>
  <c r="AM1023" i="1"/>
  <c r="AM1022" i="1"/>
  <c r="AM1021" i="1"/>
  <c r="AM1020" i="1"/>
  <c r="AM1019" i="1"/>
  <c r="AM1018" i="1"/>
  <c r="AM1017" i="1"/>
  <c r="AM1016" i="1"/>
  <c r="AM1015" i="1"/>
  <c r="AM1014" i="1"/>
  <c r="AM1013" i="1"/>
  <c r="AM1012" i="1"/>
  <c r="AM1011" i="1"/>
  <c r="AM1010" i="1"/>
  <c r="AM1009" i="1"/>
  <c r="AM1008" i="1"/>
  <c r="AM1007" i="1"/>
  <c r="AM1006" i="1"/>
  <c r="AM1005" i="1"/>
  <c r="AM1004" i="1"/>
  <c r="AM1003" i="1"/>
  <c r="AM1002" i="1"/>
  <c r="AM1001" i="1"/>
  <c r="AM1000" i="1"/>
  <c r="AM999" i="1"/>
  <c r="AM998" i="1"/>
  <c r="AM997" i="1"/>
  <c r="AM996" i="1"/>
  <c r="AM995" i="1"/>
  <c r="AM994" i="1"/>
  <c r="AM993" i="1"/>
  <c r="AM992" i="1"/>
  <c r="AM991" i="1"/>
  <c r="AM990" i="1"/>
  <c r="AM989" i="1"/>
  <c r="AM988" i="1"/>
  <c r="AM987" i="1"/>
  <c r="AM986" i="1"/>
  <c r="AM985" i="1"/>
  <c r="AM984" i="1"/>
  <c r="AM983" i="1"/>
  <c r="AM982" i="1"/>
  <c r="AM981" i="1"/>
  <c r="AM980" i="1"/>
  <c r="AM979" i="1"/>
  <c r="AM978" i="1"/>
  <c r="AM977" i="1"/>
  <c r="AM976" i="1"/>
  <c r="AM975" i="1"/>
  <c r="AM974" i="1"/>
  <c r="AM973" i="1"/>
  <c r="AM972" i="1"/>
  <c r="AM971" i="1"/>
  <c r="AM970" i="1"/>
  <c r="AM969" i="1"/>
  <c r="AM968" i="1"/>
  <c r="AM967" i="1"/>
  <c r="AM966" i="1"/>
  <c r="AM965" i="1"/>
  <c r="AM964" i="1"/>
  <c r="AM963" i="1"/>
  <c r="AM962" i="1"/>
  <c r="AM961" i="1"/>
  <c r="AM960" i="1"/>
  <c r="AM959" i="1"/>
  <c r="AM958" i="1"/>
  <c r="AM957" i="1"/>
  <c r="AM956" i="1"/>
  <c r="AM955" i="1"/>
  <c r="AM954" i="1"/>
  <c r="AM953" i="1"/>
  <c r="AM952" i="1"/>
  <c r="AM951" i="1"/>
  <c r="AM950" i="1"/>
  <c r="AM949" i="1"/>
  <c r="AM948" i="1"/>
  <c r="AM947" i="1"/>
  <c r="AM946" i="1"/>
  <c r="AM945" i="1"/>
  <c r="AM944" i="1"/>
  <c r="AM943" i="1"/>
  <c r="AM942" i="1"/>
  <c r="AM941" i="1"/>
  <c r="AM940" i="1"/>
  <c r="AM939" i="1"/>
  <c r="AM938" i="1"/>
  <c r="AM937" i="1"/>
  <c r="AM936" i="1"/>
  <c r="AM935" i="1"/>
  <c r="AM934" i="1"/>
  <c r="AM933" i="1"/>
  <c r="AM932" i="1"/>
  <c r="AM931" i="1"/>
  <c r="AM930" i="1"/>
  <c r="AM929" i="1"/>
  <c r="AM928" i="1"/>
  <c r="AM927" i="1"/>
  <c r="AM926" i="1"/>
  <c r="AM925" i="1"/>
  <c r="AM924" i="1"/>
  <c r="AM923" i="1"/>
  <c r="AM922" i="1"/>
  <c r="AM921" i="1"/>
  <c r="AM920" i="1"/>
  <c r="AM919" i="1"/>
  <c r="AM918" i="1"/>
  <c r="AM917" i="1"/>
  <c r="AM916" i="1"/>
  <c r="AM915" i="1"/>
  <c r="AM914" i="1"/>
  <c r="AM913" i="1"/>
  <c r="AM912" i="1"/>
  <c r="AM911" i="1"/>
  <c r="AM910" i="1"/>
  <c r="AM909" i="1"/>
  <c r="AM908" i="1"/>
  <c r="AM907" i="1"/>
  <c r="AM906" i="1"/>
  <c r="AM905" i="1"/>
  <c r="AM904" i="1"/>
  <c r="AM903" i="1"/>
  <c r="AM902" i="1"/>
  <c r="AM901" i="1"/>
  <c r="AM900" i="1"/>
  <c r="AM899" i="1"/>
  <c r="AM898" i="1"/>
  <c r="AM897" i="1"/>
  <c r="AM896" i="1"/>
  <c r="AM895" i="1"/>
  <c r="AM894" i="1"/>
  <c r="AM893" i="1"/>
  <c r="AM892" i="1"/>
  <c r="AM891" i="1"/>
  <c r="AM890" i="1"/>
  <c r="AM889" i="1"/>
  <c r="AM888" i="1"/>
  <c r="AM887" i="1"/>
  <c r="AM886" i="1"/>
  <c r="AM885" i="1"/>
  <c r="AM884" i="1"/>
  <c r="AM883" i="1"/>
  <c r="AM882" i="1"/>
  <c r="AM881" i="1"/>
  <c r="AM880" i="1"/>
  <c r="AM879" i="1"/>
  <c r="AM878" i="1"/>
  <c r="AM877" i="1"/>
  <c r="AM876" i="1"/>
  <c r="AM875" i="1"/>
  <c r="AM874" i="1"/>
  <c r="AM873" i="1"/>
  <c r="AM872" i="1"/>
  <c r="AM871" i="1"/>
  <c r="AM870" i="1"/>
  <c r="AM869" i="1"/>
  <c r="AM868" i="1"/>
  <c r="AM867" i="1"/>
  <c r="AM866" i="1"/>
  <c r="AM865" i="1"/>
  <c r="AM864" i="1"/>
  <c r="AM863" i="1"/>
  <c r="AM862" i="1"/>
  <c r="AM861" i="1"/>
  <c r="AM860" i="1"/>
  <c r="AM859" i="1"/>
  <c r="AM858" i="1"/>
  <c r="AM857" i="1"/>
  <c r="AM856" i="1"/>
  <c r="AM855" i="1"/>
  <c r="AM854" i="1"/>
  <c r="AM853" i="1"/>
  <c r="AM852" i="1"/>
  <c r="AM851" i="1"/>
  <c r="AM850" i="1"/>
  <c r="AM849" i="1"/>
  <c r="AM848" i="1"/>
  <c r="AM847" i="1"/>
  <c r="AM846" i="1"/>
  <c r="AM845" i="1"/>
  <c r="AM844" i="1"/>
  <c r="AM843" i="1"/>
  <c r="AM842" i="1"/>
  <c r="AM841" i="1"/>
  <c r="AM840" i="1"/>
  <c r="AM839" i="1"/>
  <c r="AM838" i="1"/>
  <c r="AM837" i="1"/>
  <c r="AM836" i="1"/>
  <c r="AM835" i="1"/>
  <c r="AM834" i="1"/>
  <c r="AM833" i="1"/>
  <c r="AM832" i="1"/>
  <c r="AM831" i="1"/>
  <c r="AM830" i="1"/>
  <c r="AM829" i="1"/>
  <c r="AM828" i="1"/>
  <c r="AM827" i="1"/>
  <c r="AM826" i="1"/>
  <c r="AM825" i="1"/>
  <c r="AM824" i="1"/>
  <c r="AM823" i="1"/>
  <c r="AM822" i="1"/>
  <c r="AM821" i="1"/>
  <c r="AM820" i="1"/>
  <c r="AM819" i="1"/>
  <c r="AM818" i="1"/>
  <c r="AM817" i="1"/>
  <c r="AM816" i="1"/>
  <c r="AM815" i="1"/>
  <c r="AM814" i="1"/>
  <c r="AM813" i="1"/>
  <c r="AM812" i="1"/>
  <c r="AM811" i="1"/>
  <c r="AM810" i="1"/>
  <c r="AM809" i="1"/>
  <c r="AM808" i="1"/>
  <c r="AM807" i="1"/>
  <c r="AM806" i="1"/>
  <c r="AM805" i="1"/>
  <c r="AM804" i="1"/>
  <c r="AM803" i="1"/>
  <c r="AM802" i="1"/>
  <c r="AM801" i="1"/>
  <c r="AM800" i="1"/>
  <c r="AM799" i="1"/>
  <c r="AM798" i="1"/>
  <c r="AM797" i="1"/>
  <c r="AM796" i="1"/>
  <c r="AM795" i="1"/>
  <c r="AM794" i="1"/>
  <c r="AM793" i="1"/>
  <c r="AM792" i="1"/>
  <c r="AM791" i="1"/>
  <c r="AM790" i="1"/>
  <c r="AM789" i="1"/>
  <c r="AM788" i="1"/>
  <c r="AM787" i="1"/>
  <c r="AM786" i="1"/>
  <c r="AM785" i="1"/>
  <c r="AM784" i="1"/>
  <c r="AM783" i="1"/>
  <c r="AM782" i="1"/>
  <c r="AM781" i="1"/>
  <c r="AM780" i="1"/>
  <c r="AM779" i="1"/>
  <c r="AM778" i="1"/>
  <c r="AM777" i="1"/>
  <c r="AM776" i="1"/>
  <c r="AM775" i="1"/>
  <c r="AM774" i="1"/>
  <c r="AM773" i="1"/>
  <c r="AM772" i="1"/>
  <c r="AM771" i="1"/>
  <c r="AM770" i="1"/>
  <c r="AM769" i="1"/>
  <c r="AM768" i="1"/>
  <c r="AM767" i="1"/>
  <c r="AM766" i="1"/>
  <c r="AM765" i="1"/>
  <c r="AM764" i="1"/>
  <c r="AM763" i="1"/>
  <c r="AM762" i="1"/>
  <c r="AM761" i="1"/>
  <c r="AM760" i="1"/>
  <c r="AM759" i="1"/>
  <c r="AM758" i="1"/>
  <c r="AM757" i="1"/>
  <c r="AM756" i="1"/>
  <c r="AM755" i="1"/>
  <c r="AM754" i="1"/>
  <c r="AM753" i="1"/>
  <c r="AM752" i="1"/>
  <c r="AM751" i="1"/>
  <c r="AM750" i="1"/>
  <c r="AM749" i="1"/>
  <c r="AM748" i="1"/>
  <c r="AM747" i="1"/>
  <c r="AM746" i="1"/>
  <c r="AM745" i="1"/>
  <c r="AM744" i="1"/>
  <c r="AM743" i="1"/>
  <c r="AM742" i="1"/>
  <c r="AM741" i="1"/>
  <c r="AM740" i="1"/>
  <c r="AM739" i="1"/>
  <c r="AM738" i="1"/>
  <c r="AM737" i="1"/>
  <c r="AM736" i="1"/>
  <c r="AM735" i="1"/>
  <c r="AM734" i="1"/>
  <c r="AM733" i="1"/>
  <c r="AM732" i="1"/>
  <c r="AM731" i="1"/>
  <c r="AM730" i="1"/>
  <c r="AM729" i="1"/>
  <c r="AM728" i="1"/>
  <c r="AM727" i="1"/>
  <c r="AM726" i="1"/>
  <c r="AM725" i="1"/>
  <c r="AM724" i="1"/>
  <c r="AM723" i="1"/>
  <c r="AM722" i="1"/>
  <c r="AM721" i="1"/>
  <c r="AM720" i="1"/>
  <c r="AM719" i="1"/>
  <c r="AM718" i="1"/>
  <c r="AM717" i="1"/>
  <c r="AM716" i="1"/>
  <c r="AM715" i="1"/>
  <c r="AM714" i="1"/>
  <c r="AM713" i="1"/>
  <c r="AM712" i="1"/>
  <c r="AM711" i="1"/>
  <c r="AM710" i="1"/>
  <c r="AM709" i="1"/>
  <c r="AM708" i="1"/>
  <c r="AM707" i="1"/>
  <c r="AM706" i="1"/>
  <c r="AM705" i="1"/>
  <c r="AM704" i="1"/>
  <c r="AM703" i="1"/>
  <c r="AM702" i="1"/>
  <c r="AM701" i="1"/>
  <c r="AM700" i="1"/>
  <c r="AM699" i="1"/>
  <c r="AM698" i="1"/>
  <c r="AM697" i="1"/>
  <c r="AM696" i="1"/>
  <c r="AM695" i="1"/>
  <c r="AM694" i="1"/>
  <c r="AM693" i="1"/>
  <c r="AM692" i="1"/>
  <c r="AM691" i="1"/>
  <c r="AM690" i="1"/>
  <c r="AM689" i="1"/>
  <c r="AM688" i="1"/>
  <c r="AM687" i="1"/>
  <c r="AM686" i="1"/>
  <c r="AM685" i="1"/>
  <c r="AM684" i="1"/>
  <c r="AM683" i="1"/>
  <c r="AM682" i="1"/>
  <c r="AM681" i="1"/>
  <c r="AM680" i="1"/>
  <c r="AM679" i="1"/>
  <c r="AM678" i="1"/>
  <c r="AM677" i="1"/>
  <c r="AM676" i="1"/>
  <c r="AM675" i="1"/>
  <c r="AM674" i="1"/>
  <c r="AM673" i="1"/>
  <c r="AM672" i="1"/>
  <c r="AM671" i="1"/>
  <c r="AM670" i="1"/>
  <c r="AM669" i="1"/>
  <c r="AM668" i="1"/>
  <c r="AM667" i="1"/>
  <c r="AM666" i="1"/>
  <c r="AM665" i="1"/>
  <c r="AM664" i="1"/>
  <c r="AM663" i="1"/>
  <c r="AM662" i="1"/>
  <c r="AM661" i="1"/>
  <c r="AM660" i="1"/>
  <c r="AM659" i="1"/>
  <c r="AM658" i="1"/>
  <c r="AM657" i="1"/>
  <c r="AM656" i="1"/>
  <c r="AM655" i="1"/>
  <c r="AM654" i="1"/>
  <c r="AM653" i="1"/>
  <c r="AM652" i="1"/>
  <c r="AM651" i="1"/>
  <c r="AM650" i="1"/>
  <c r="AM649" i="1"/>
  <c r="AM648" i="1"/>
  <c r="AM647" i="1"/>
  <c r="AM646" i="1"/>
  <c r="AM645" i="1"/>
  <c r="AM644" i="1"/>
  <c r="AM643" i="1"/>
  <c r="AM642" i="1"/>
  <c r="AM641" i="1"/>
  <c r="AM640" i="1"/>
  <c r="AM639" i="1"/>
  <c r="AM638" i="1"/>
  <c r="AM637" i="1"/>
  <c r="AM636" i="1"/>
  <c r="AM635" i="1"/>
  <c r="AM634" i="1"/>
  <c r="AM633" i="1"/>
  <c r="AM632" i="1"/>
  <c r="AM631" i="1"/>
  <c r="AM630" i="1"/>
  <c r="AM629" i="1"/>
  <c r="AM628" i="1"/>
  <c r="AM627" i="1"/>
  <c r="AM626" i="1"/>
  <c r="AM625" i="1"/>
  <c r="AM624" i="1"/>
  <c r="AM623" i="1"/>
  <c r="AM622" i="1"/>
  <c r="AM621" i="1"/>
  <c r="AM620" i="1"/>
  <c r="AM619" i="1"/>
  <c r="AM618" i="1"/>
  <c r="AM617" i="1"/>
  <c r="AM616" i="1"/>
  <c r="AM615" i="1"/>
  <c r="AM614" i="1"/>
  <c r="AM613" i="1"/>
  <c r="AM612" i="1"/>
  <c r="AM611" i="1"/>
  <c r="AM610" i="1"/>
  <c r="AM609" i="1"/>
  <c r="AM608" i="1"/>
  <c r="AM607" i="1"/>
  <c r="AM606" i="1"/>
  <c r="AM605" i="1"/>
  <c r="AM604" i="1"/>
  <c r="AM603" i="1"/>
  <c r="AM602" i="1"/>
  <c r="AM601" i="1"/>
  <c r="AM600" i="1"/>
  <c r="AM599" i="1"/>
  <c r="AM598" i="1"/>
  <c r="AM597" i="1"/>
  <c r="AM596" i="1"/>
  <c r="AM595" i="1"/>
  <c r="AM594" i="1"/>
  <c r="AM593" i="1"/>
  <c r="AM592" i="1"/>
  <c r="AM591" i="1"/>
  <c r="AM590" i="1"/>
  <c r="AM589" i="1"/>
  <c r="AM588" i="1"/>
  <c r="AM587" i="1"/>
  <c r="AM586" i="1"/>
  <c r="AM585" i="1"/>
  <c r="AM584" i="1"/>
  <c r="AM583" i="1"/>
  <c r="AM582" i="1"/>
  <c r="AM581" i="1"/>
  <c r="AM580" i="1"/>
  <c r="AM579" i="1"/>
  <c r="AM578" i="1"/>
  <c r="AM577" i="1"/>
  <c r="AM576" i="1"/>
  <c r="AM575" i="1"/>
  <c r="AM574" i="1"/>
  <c r="AM573" i="1"/>
  <c r="AM572" i="1"/>
  <c r="AM571" i="1"/>
  <c r="AM570" i="1"/>
  <c r="AM569" i="1"/>
  <c r="AM568" i="1"/>
  <c r="AM567" i="1"/>
  <c r="AM566" i="1"/>
  <c r="AM565" i="1"/>
  <c r="AM564" i="1"/>
  <c r="AM563" i="1"/>
  <c r="AM562" i="1"/>
  <c r="AM561" i="1"/>
  <c r="AM560" i="1"/>
  <c r="AM559" i="1"/>
  <c r="AM558" i="1"/>
  <c r="AM557" i="1"/>
  <c r="AM556" i="1"/>
  <c r="AM555" i="1"/>
  <c r="AM554" i="1"/>
  <c r="AM553" i="1"/>
  <c r="AM552" i="1"/>
  <c r="AM551" i="1"/>
  <c r="AM550" i="1"/>
  <c r="AM549" i="1"/>
  <c r="AM548" i="1"/>
  <c r="AM547" i="1"/>
  <c r="AM546" i="1"/>
  <c r="AM545" i="1"/>
  <c r="AM544" i="1"/>
  <c r="AM543" i="1"/>
  <c r="AM542" i="1"/>
  <c r="AM541" i="1"/>
  <c r="AM540" i="1"/>
  <c r="AM539" i="1"/>
  <c r="AM538" i="1"/>
  <c r="AM537" i="1"/>
  <c r="AM536" i="1"/>
  <c r="AM535" i="1"/>
  <c r="AM534" i="1"/>
  <c r="AM533" i="1"/>
  <c r="AM532" i="1"/>
  <c r="AM531" i="1"/>
  <c r="AM530" i="1"/>
  <c r="AM529" i="1"/>
  <c r="AM528" i="1"/>
  <c r="AM527" i="1"/>
  <c r="AM526" i="1"/>
  <c r="AM525" i="1"/>
  <c r="AM524" i="1"/>
  <c r="AM523" i="1"/>
  <c r="AM522" i="1"/>
  <c r="AM521" i="1"/>
  <c r="AM520" i="1"/>
  <c r="AM519" i="1"/>
  <c r="AM518" i="1"/>
  <c r="AM517" i="1"/>
  <c r="AM516" i="1"/>
  <c r="AM515" i="1"/>
  <c r="AM514" i="1"/>
  <c r="AM513" i="1"/>
  <c r="AM512" i="1"/>
  <c r="AM511" i="1"/>
  <c r="AM510" i="1"/>
  <c r="AM509" i="1"/>
  <c r="AM508" i="1"/>
  <c r="AM507" i="1"/>
  <c r="AM506" i="1"/>
  <c r="AM505" i="1"/>
  <c r="AM504" i="1"/>
  <c r="AM503" i="1"/>
  <c r="AM502" i="1"/>
  <c r="AM501" i="1"/>
  <c r="AM500" i="1"/>
  <c r="AM499" i="1"/>
  <c r="AM498" i="1"/>
  <c r="AM497" i="1"/>
  <c r="AM496" i="1"/>
  <c r="AM495" i="1"/>
  <c r="AM494" i="1"/>
  <c r="AM493" i="1"/>
  <c r="AM492" i="1"/>
  <c r="AM491" i="1"/>
  <c r="AM490" i="1"/>
  <c r="AM489" i="1"/>
  <c r="AM488" i="1"/>
  <c r="AM487" i="1"/>
  <c r="AM486" i="1"/>
  <c r="AM485" i="1"/>
  <c r="AM484" i="1"/>
  <c r="AM483" i="1"/>
  <c r="AM482" i="1"/>
  <c r="AM481" i="1"/>
  <c r="AM480" i="1"/>
  <c r="AM479" i="1"/>
  <c r="AM478" i="1"/>
  <c r="AM477" i="1"/>
  <c r="AM476" i="1"/>
  <c r="AM475" i="1"/>
  <c r="AM474" i="1"/>
  <c r="AM473" i="1"/>
  <c r="AM472" i="1"/>
  <c r="AM471" i="1"/>
  <c r="AM470" i="1"/>
  <c r="AM469" i="1"/>
  <c r="AM468" i="1"/>
  <c r="AM467" i="1"/>
  <c r="AM466" i="1"/>
  <c r="AM465" i="1"/>
  <c r="AM464" i="1"/>
  <c r="AM463" i="1"/>
  <c r="AM462" i="1"/>
  <c r="AM461" i="1"/>
  <c r="AM460" i="1"/>
  <c r="AM459" i="1"/>
  <c r="AM458" i="1"/>
  <c r="AM457" i="1"/>
  <c r="AM456" i="1"/>
  <c r="AM455" i="1"/>
  <c r="AM454" i="1"/>
  <c r="AM453" i="1"/>
  <c r="AM452" i="1"/>
  <c r="AM451" i="1"/>
  <c r="AM450" i="1"/>
  <c r="AM449" i="1"/>
  <c r="AM448" i="1"/>
  <c r="AM447" i="1"/>
  <c r="AM446" i="1"/>
  <c r="AM445" i="1"/>
  <c r="AM444" i="1"/>
  <c r="AM443" i="1"/>
  <c r="AM442" i="1"/>
  <c r="AM441" i="1"/>
  <c r="AM440" i="1"/>
  <c r="AM439" i="1"/>
  <c r="AM438" i="1"/>
  <c r="AM437" i="1"/>
  <c r="AM436" i="1"/>
  <c r="AM435" i="1"/>
  <c r="AM434" i="1"/>
  <c r="AM433" i="1"/>
  <c r="AM432" i="1"/>
  <c r="AM431" i="1"/>
  <c r="AM430" i="1"/>
  <c r="AM429" i="1"/>
  <c r="AM428" i="1"/>
  <c r="AM427" i="1"/>
  <c r="AM426" i="1"/>
  <c r="AM425" i="1"/>
  <c r="AM424" i="1"/>
  <c r="AM423" i="1"/>
  <c r="AM422" i="1"/>
  <c r="AM421" i="1"/>
  <c r="AM420" i="1"/>
  <c r="AM419" i="1"/>
  <c r="AM418" i="1"/>
  <c r="AM417" i="1"/>
  <c r="AM416" i="1"/>
  <c r="AM415" i="1"/>
  <c r="AM414" i="1"/>
  <c r="AM413" i="1"/>
  <c r="AM412" i="1"/>
  <c r="AM411" i="1"/>
  <c r="AM410" i="1"/>
  <c r="AM409" i="1"/>
  <c r="AM408" i="1"/>
  <c r="AM407" i="1"/>
  <c r="AM406" i="1"/>
  <c r="AM405" i="1"/>
  <c r="AM404" i="1"/>
  <c r="AM403" i="1"/>
  <c r="AM402" i="1"/>
  <c r="AM401" i="1"/>
  <c r="AM400" i="1"/>
  <c r="AM399" i="1"/>
  <c r="AM398" i="1"/>
  <c r="AM397" i="1"/>
  <c r="AM396" i="1"/>
  <c r="AM395" i="1"/>
  <c r="AM394" i="1"/>
  <c r="AM393" i="1"/>
  <c r="AM392" i="1"/>
  <c r="AM391" i="1"/>
  <c r="AM390" i="1"/>
  <c r="AM389" i="1"/>
  <c r="AM388" i="1"/>
  <c r="AM387" i="1"/>
  <c r="AM386" i="1"/>
  <c r="AM385" i="1"/>
  <c r="AM384" i="1"/>
  <c r="AM383" i="1"/>
  <c r="AM382" i="1"/>
  <c r="AM381" i="1"/>
  <c r="AM380" i="1"/>
  <c r="AM379" i="1"/>
  <c r="AM378" i="1"/>
  <c r="AM377" i="1"/>
  <c r="AM376" i="1"/>
  <c r="AM375" i="1"/>
  <c r="AM374" i="1"/>
  <c r="AM373" i="1"/>
  <c r="AM372" i="1"/>
  <c r="AM371" i="1"/>
  <c r="AM370" i="1"/>
  <c r="AM369" i="1"/>
  <c r="AM368" i="1"/>
  <c r="AM367" i="1"/>
  <c r="AM366" i="1"/>
  <c r="AM365" i="1"/>
  <c r="AM364" i="1"/>
  <c r="AM363" i="1"/>
  <c r="AM362" i="1"/>
  <c r="AM361" i="1"/>
  <c r="AM360" i="1"/>
  <c r="AM359" i="1"/>
  <c r="AM358" i="1"/>
  <c r="AM357" i="1"/>
  <c r="AM356" i="1"/>
  <c r="AM355" i="1"/>
  <c r="AM354" i="1"/>
  <c r="AM353" i="1"/>
  <c r="AM352" i="1"/>
  <c r="AM351" i="1"/>
  <c r="AM350" i="1"/>
  <c r="AM349" i="1"/>
  <c r="AM348" i="1"/>
  <c r="AM347" i="1"/>
  <c r="AM346" i="1"/>
  <c r="AM345" i="1"/>
  <c r="AM344" i="1"/>
  <c r="AM343" i="1"/>
  <c r="AM342" i="1"/>
  <c r="AM341" i="1"/>
  <c r="AM340" i="1"/>
  <c r="AM339" i="1"/>
  <c r="AM338" i="1"/>
  <c r="AM337" i="1"/>
  <c r="AM336" i="1"/>
  <c r="AM335" i="1"/>
  <c r="AM334" i="1"/>
  <c r="AM333" i="1"/>
  <c r="AM332" i="1"/>
  <c r="AM331" i="1"/>
  <c r="AM330" i="1"/>
  <c r="AM329" i="1"/>
  <c r="AM328" i="1"/>
  <c r="AM327" i="1"/>
  <c r="AM326" i="1"/>
  <c r="AM325" i="1"/>
  <c r="AM324" i="1"/>
  <c r="AM323" i="1"/>
  <c r="AM322" i="1"/>
  <c r="AM321" i="1"/>
  <c r="AM320" i="1"/>
  <c r="AM319" i="1"/>
  <c r="AM318" i="1"/>
  <c r="AM317" i="1"/>
  <c r="AM316" i="1"/>
  <c r="AM315" i="1"/>
  <c r="AM314" i="1"/>
  <c r="AM313" i="1"/>
  <c r="AM312" i="1"/>
  <c r="AM311" i="1"/>
  <c r="AM310" i="1"/>
  <c r="AM309" i="1"/>
  <c r="AM308" i="1"/>
  <c r="AM307" i="1"/>
  <c r="AM306" i="1"/>
  <c r="AM305" i="1"/>
  <c r="AM304" i="1"/>
  <c r="AM303" i="1"/>
  <c r="AM302" i="1"/>
  <c r="AM301" i="1"/>
  <c r="AM300" i="1"/>
  <c r="AM299" i="1"/>
  <c r="AM298" i="1"/>
  <c r="AM297" i="1"/>
  <c r="AM296" i="1"/>
  <c r="AM295" i="1"/>
  <c r="AM294" i="1"/>
  <c r="AM293" i="1"/>
  <c r="AM292" i="1"/>
  <c r="AM291" i="1"/>
  <c r="AM290" i="1"/>
  <c r="AM289" i="1"/>
  <c r="AM288" i="1"/>
  <c r="AM287" i="1"/>
  <c r="AM286" i="1"/>
  <c r="AM285" i="1"/>
  <c r="AM284" i="1"/>
  <c r="AM283" i="1"/>
  <c r="AM282" i="1"/>
  <c r="AM281" i="1"/>
  <c r="AM280" i="1"/>
  <c r="AM279" i="1"/>
  <c r="AM278" i="1"/>
  <c r="AM277" i="1"/>
  <c r="AM276" i="1"/>
  <c r="AM275" i="1"/>
  <c r="AM274" i="1"/>
  <c r="AM273" i="1"/>
  <c r="AM272" i="1"/>
  <c r="AM271" i="1"/>
  <c r="AM270" i="1"/>
  <c r="AM269" i="1"/>
  <c r="AM268" i="1"/>
  <c r="AM267" i="1"/>
  <c r="AM266" i="1"/>
  <c r="AM265" i="1"/>
  <c r="AM264" i="1"/>
  <c r="AM263" i="1"/>
  <c r="AM262" i="1"/>
  <c r="AM261" i="1"/>
  <c r="AM260" i="1"/>
  <c r="AM259" i="1"/>
  <c r="AM258" i="1"/>
  <c r="AM257" i="1"/>
  <c r="AM256" i="1"/>
  <c r="AM255" i="1"/>
  <c r="AM254" i="1"/>
  <c r="AM253" i="1"/>
  <c r="AM252" i="1"/>
  <c r="AM251" i="1"/>
  <c r="AM250" i="1"/>
  <c r="AM249" i="1"/>
  <c r="AM248" i="1"/>
  <c r="AM247" i="1"/>
  <c r="AM246" i="1"/>
  <c r="AM245" i="1"/>
  <c r="AM244" i="1"/>
  <c r="AM243" i="1"/>
  <c r="AM242" i="1"/>
  <c r="AM241" i="1"/>
  <c r="AM240" i="1"/>
  <c r="AM239" i="1"/>
  <c r="AM238" i="1"/>
  <c r="AM237" i="1"/>
  <c r="AM236" i="1"/>
  <c r="AM235" i="1"/>
  <c r="AM234" i="1"/>
  <c r="AM233" i="1"/>
  <c r="AM232" i="1"/>
  <c r="AM231" i="1"/>
  <c r="AM230" i="1"/>
  <c r="AM229" i="1"/>
  <c r="AM228" i="1"/>
  <c r="AM227" i="1"/>
  <c r="AM226" i="1"/>
  <c r="AM225" i="1"/>
  <c r="AM224" i="1"/>
  <c r="AM223" i="1"/>
  <c r="AM222" i="1"/>
  <c r="AM221" i="1"/>
  <c r="AM220" i="1"/>
  <c r="AM219" i="1"/>
  <c r="AM218" i="1"/>
  <c r="AM217" i="1"/>
  <c r="AM216" i="1"/>
  <c r="AM215" i="1"/>
  <c r="AM214" i="1"/>
  <c r="AM213" i="1"/>
  <c r="AM212" i="1"/>
  <c r="AM211" i="1"/>
  <c r="AM210" i="1"/>
  <c r="AM209" i="1"/>
  <c r="AM208" i="1"/>
  <c r="AM207" i="1"/>
  <c r="AM206" i="1"/>
  <c r="AM205" i="1"/>
  <c r="AM204" i="1"/>
  <c r="AM203" i="1"/>
  <c r="AM202" i="1"/>
  <c r="AM201" i="1"/>
  <c r="AM200" i="1"/>
  <c r="AM199" i="1"/>
  <c r="AM198" i="1"/>
  <c r="AM197" i="1"/>
  <c r="AM196" i="1"/>
  <c r="AM195" i="1"/>
  <c r="AM194" i="1"/>
  <c r="AM193" i="1"/>
  <c r="AM192" i="1"/>
  <c r="AM191" i="1"/>
  <c r="AM190" i="1"/>
  <c r="AM189" i="1"/>
  <c r="AM188" i="1"/>
  <c r="AM187" i="1"/>
  <c r="AM186" i="1"/>
  <c r="AM185" i="1"/>
  <c r="AM184" i="1"/>
  <c r="AM183" i="1"/>
  <c r="AM182" i="1"/>
  <c r="AM181" i="1"/>
  <c r="AM180" i="1"/>
  <c r="AM179" i="1"/>
  <c r="AM178" i="1"/>
  <c r="AM177" i="1"/>
  <c r="AM176" i="1"/>
  <c r="AM175" i="1"/>
  <c r="AM174" i="1"/>
  <c r="AM173" i="1"/>
  <c r="AM172" i="1"/>
  <c r="AM171" i="1"/>
  <c r="AM170" i="1"/>
  <c r="AM169" i="1"/>
  <c r="AM168" i="1"/>
  <c r="AM167" i="1"/>
  <c r="AM166" i="1"/>
  <c r="AM165" i="1"/>
  <c r="AM164" i="1"/>
  <c r="AM163" i="1"/>
  <c r="AM162" i="1"/>
  <c r="AM161" i="1"/>
  <c r="AM160" i="1"/>
  <c r="AM159" i="1"/>
  <c r="AM158" i="1"/>
  <c r="AM157" i="1"/>
  <c r="AM156" i="1"/>
  <c r="AM155" i="1"/>
  <c r="AM154" i="1"/>
  <c r="AM153" i="1"/>
  <c r="AM152" i="1"/>
  <c r="AM151" i="1"/>
  <c r="AM150" i="1"/>
  <c r="AM149" i="1"/>
  <c r="AM148" i="1"/>
  <c r="AM147" i="1"/>
  <c r="AM146" i="1"/>
  <c r="AM145" i="1"/>
  <c r="AM144" i="1"/>
  <c r="AM143" i="1"/>
  <c r="AM142" i="1"/>
  <c r="AM141" i="1"/>
  <c r="AM140" i="1"/>
  <c r="AM139" i="1"/>
  <c r="AM138" i="1"/>
  <c r="AM137" i="1"/>
  <c r="AM136" i="1"/>
  <c r="AM135" i="1"/>
  <c r="AM134" i="1"/>
  <c r="AM133" i="1"/>
  <c r="AM132" i="1"/>
  <c r="AM131" i="1"/>
  <c r="AM130" i="1"/>
  <c r="AM129" i="1"/>
  <c r="AM128" i="1"/>
  <c r="AM127" i="1"/>
  <c r="AM126" i="1"/>
  <c r="AM125" i="1"/>
  <c r="AM124" i="1"/>
  <c r="AM123" i="1"/>
  <c r="AM122" i="1"/>
  <c r="AM121" i="1"/>
  <c r="AM120" i="1"/>
  <c r="AM119" i="1"/>
  <c r="AM118" i="1"/>
  <c r="AM117" i="1"/>
  <c r="AM116" i="1"/>
  <c r="AM115" i="1"/>
  <c r="AM114" i="1"/>
  <c r="AM113" i="1"/>
  <c r="AM112" i="1"/>
  <c r="AM111" i="1"/>
  <c r="AM110" i="1"/>
  <c r="AM109" i="1"/>
  <c r="AM108" i="1"/>
  <c r="AM107" i="1"/>
  <c r="AM106" i="1"/>
  <c r="AM105" i="1"/>
  <c r="AM104" i="1"/>
  <c r="AM103" i="1"/>
  <c r="AM102" i="1"/>
  <c r="AM101" i="1"/>
  <c r="AM100" i="1"/>
  <c r="AM99" i="1"/>
  <c r="AM98" i="1"/>
  <c r="AM97" i="1"/>
  <c r="AM96" i="1"/>
  <c r="AM95" i="1"/>
  <c r="AM94" i="1"/>
  <c r="AM93" i="1"/>
  <c r="AM92" i="1"/>
  <c r="AM91" i="1"/>
  <c r="AM90" i="1"/>
  <c r="AM89" i="1"/>
  <c r="AM88" i="1"/>
  <c r="AM87" i="1"/>
  <c r="AM86" i="1"/>
  <c r="AM85" i="1"/>
  <c r="AM84" i="1"/>
  <c r="AM83" i="1"/>
  <c r="AM82" i="1"/>
  <c r="AM81" i="1"/>
  <c r="AM80" i="1"/>
  <c r="AM79" i="1"/>
  <c r="AM78" i="1"/>
  <c r="AM77" i="1"/>
  <c r="AM76" i="1"/>
  <c r="AM75" i="1"/>
  <c r="AM74" i="1"/>
  <c r="AM73" i="1"/>
  <c r="AM72" i="1"/>
  <c r="AM71" i="1"/>
  <c r="AM70" i="1"/>
  <c r="AM69" i="1"/>
  <c r="AM68" i="1"/>
  <c r="AM67" i="1"/>
  <c r="AM66" i="1"/>
  <c r="AM65" i="1"/>
  <c r="AM64" i="1"/>
  <c r="AM63" i="1"/>
  <c r="AM62" i="1"/>
  <c r="AM61" i="1"/>
  <c r="AM60" i="1"/>
  <c r="AM59" i="1"/>
  <c r="AM58" i="1"/>
  <c r="AM57" i="1"/>
  <c r="AM56" i="1"/>
  <c r="AM55" i="1"/>
  <c r="AM54" i="1"/>
  <c r="AM53" i="1"/>
  <c r="AM52" i="1"/>
  <c r="AM51" i="1"/>
  <c r="AM50" i="1"/>
  <c r="AM49" i="1"/>
  <c r="AM48" i="1"/>
  <c r="AM47" i="1"/>
  <c r="AM46" i="1"/>
  <c r="AM45" i="1"/>
  <c r="AM44" i="1"/>
  <c r="AM43" i="1"/>
  <c r="AM42" i="1"/>
  <c r="AM41" i="1"/>
  <c r="AM40" i="1"/>
  <c r="AM39" i="1"/>
  <c r="AM38" i="1"/>
  <c r="AM37" i="1"/>
  <c r="AM36" i="1"/>
  <c r="AM35" i="1"/>
  <c r="AM34" i="1"/>
  <c r="AM33" i="1"/>
  <c r="AM32" i="1"/>
  <c r="AM31" i="1"/>
  <c r="AM30" i="1"/>
  <c r="AM29" i="1"/>
  <c r="AM28" i="1"/>
  <c r="AM27" i="1"/>
  <c r="AM26" i="1"/>
  <c r="AM25" i="1"/>
  <c r="AM24" i="1"/>
  <c r="AM23" i="1"/>
  <c r="AM22" i="1"/>
  <c r="AM21" i="1"/>
  <c r="AM20" i="1"/>
  <c r="AM19" i="1"/>
  <c r="AM18" i="1"/>
  <c r="AM17" i="1"/>
  <c r="AM16" i="1"/>
  <c r="AM15" i="1"/>
  <c r="AM14" i="1"/>
  <c r="AM13" i="1"/>
  <c r="AM12" i="1"/>
  <c r="AM11" i="1"/>
  <c r="AM10" i="1"/>
  <c r="AM9" i="1"/>
  <c r="AM8" i="1"/>
  <c r="AM7" i="1"/>
  <c r="AM6" i="1"/>
  <c r="AG1308" i="1"/>
  <c r="AG1307" i="1"/>
  <c r="AG1306" i="1"/>
  <c r="AG1305" i="1"/>
  <c r="AG1304" i="1"/>
  <c r="AG1303" i="1"/>
  <c r="AG1302" i="1"/>
  <c r="AG1301" i="1"/>
  <c r="AG1300" i="1"/>
  <c r="AG1299" i="1"/>
  <c r="AG1298" i="1"/>
  <c r="AG1297" i="1"/>
  <c r="AG1296" i="1"/>
  <c r="AG1295" i="1"/>
  <c r="AG1294" i="1"/>
  <c r="AG1293" i="1"/>
  <c r="AG1292" i="1"/>
  <c r="AG1291" i="1"/>
  <c r="AG1290" i="1"/>
  <c r="AG1289" i="1"/>
  <c r="AG1288" i="1"/>
  <c r="AG1287" i="1"/>
  <c r="AG1286" i="1"/>
  <c r="AG1285" i="1"/>
  <c r="AG1284" i="1"/>
  <c r="AG1283" i="1"/>
  <c r="AG1282" i="1"/>
  <c r="AG1281" i="1"/>
  <c r="AG1280" i="1"/>
  <c r="AG1279" i="1"/>
  <c r="AG1278" i="1"/>
  <c r="AG1277" i="1"/>
  <c r="AG1276" i="1"/>
  <c r="AG1275" i="1"/>
  <c r="AG1274" i="1"/>
  <c r="AG1273" i="1"/>
  <c r="AG1272" i="1"/>
  <c r="AG1271" i="1"/>
  <c r="AG1270" i="1"/>
  <c r="AG1269" i="1"/>
  <c r="AG1268" i="1"/>
  <c r="AG1267" i="1"/>
  <c r="AG1266" i="1"/>
  <c r="AG1265" i="1"/>
  <c r="AG1264" i="1"/>
  <c r="AG1263" i="1"/>
  <c r="AG1262" i="1"/>
  <c r="AG1261" i="1"/>
  <c r="AG1260" i="1"/>
  <c r="AG1259" i="1"/>
  <c r="AG1258" i="1"/>
  <c r="AG1257" i="1"/>
  <c r="AG1256" i="1"/>
  <c r="AG1255" i="1"/>
  <c r="AG1254" i="1"/>
  <c r="AG1253" i="1"/>
  <c r="AG1252" i="1"/>
  <c r="AG1251" i="1"/>
  <c r="AG1250" i="1"/>
  <c r="AG1249" i="1"/>
  <c r="AG1248" i="1"/>
  <c r="AG1247" i="1"/>
  <c r="AG1246" i="1"/>
  <c r="AG1245" i="1"/>
  <c r="AG1244" i="1"/>
  <c r="AG1243" i="1"/>
  <c r="AG1242" i="1"/>
  <c r="AG1241" i="1"/>
  <c r="AG1240" i="1"/>
  <c r="AG1239" i="1"/>
  <c r="AG1238" i="1"/>
  <c r="AG1237" i="1"/>
  <c r="AG1236" i="1"/>
  <c r="AG1235" i="1"/>
  <c r="AG1234" i="1"/>
  <c r="AG1233" i="1"/>
  <c r="AG1232" i="1"/>
  <c r="AG1231" i="1"/>
  <c r="AG1230" i="1"/>
  <c r="AG1229" i="1"/>
  <c r="AG1228" i="1"/>
  <c r="AG1227" i="1"/>
  <c r="AG1226" i="1"/>
  <c r="AG1225" i="1"/>
  <c r="AG1224" i="1"/>
  <c r="AG1223" i="1"/>
  <c r="AG1222" i="1"/>
  <c r="AG1221" i="1"/>
  <c r="AG1220" i="1"/>
  <c r="AG1219" i="1"/>
  <c r="AG1218" i="1"/>
  <c r="AG1217" i="1"/>
  <c r="AG1216" i="1"/>
  <c r="AG1215" i="1"/>
  <c r="AG1214" i="1"/>
  <c r="AG1213" i="1"/>
  <c r="AG1212" i="1"/>
  <c r="AG1211" i="1"/>
  <c r="AG1210" i="1"/>
  <c r="AG1209" i="1"/>
  <c r="AG1208" i="1"/>
  <c r="AG1207" i="1"/>
  <c r="AG1206" i="1"/>
  <c r="AG1205" i="1"/>
  <c r="AG1204" i="1"/>
  <c r="AG1203" i="1"/>
  <c r="AG1202" i="1"/>
  <c r="AG1201" i="1"/>
  <c r="AG1200" i="1"/>
  <c r="AG1199" i="1"/>
  <c r="AG1198" i="1"/>
  <c r="AG1197" i="1"/>
  <c r="AG1196" i="1"/>
  <c r="AG1195" i="1"/>
  <c r="AG1194" i="1"/>
  <c r="AG1193" i="1"/>
  <c r="AG1192" i="1"/>
  <c r="AG1191" i="1"/>
  <c r="AG1190" i="1"/>
  <c r="AG1189" i="1"/>
  <c r="AG1188" i="1"/>
  <c r="AG1187" i="1"/>
  <c r="AG1186" i="1"/>
  <c r="AG1185" i="1"/>
  <c r="AG1184" i="1"/>
  <c r="AG1183" i="1"/>
  <c r="AG1182" i="1"/>
  <c r="AG1181" i="1"/>
  <c r="AG1180" i="1"/>
  <c r="AG1179" i="1"/>
  <c r="AG1178" i="1"/>
  <c r="AG1177" i="1"/>
  <c r="AG1176" i="1"/>
  <c r="AG1175" i="1"/>
  <c r="AG1174" i="1"/>
  <c r="AG1173" i="1"/>
  <c r="AG1172" i="1"/>
  <c r="AG1171" i="1"/>
  <c r="AG1170" i="1"/>
  <c r="AG1169" i="1"/>
  <c r="AG1168" i="1"/>
  <c r="AG1167" i="1"/>
  <c r="AG1166" i="1"/>
  <c r="AG1165" i="1"/>
  <c r="AG1164" i="1"/>
  <c r="AG1163" i="1"/>
  <c r="AG1162" i="1"/>
  <c r="AG1161" i="1"/>
  <c r="AG1160" i="1"/>
  <c r="AG1159" i="1"/>
  <c r="AG1158" i="1"/>
  <c r="AG1157" i="1"/>
  <c r="AG1156" i="1"/>
  <c r="AG1155" i="1"/>
  <c r="AG1154" i="1"/>
  <c r="AG1153" i="1"/>
  <c r="AG1152" i="1"/>
  <c r="AG1151" i="1"/>
  <c r="AG1150" i="1"/>
  <c r="AG1149" i="1"/>
  <c r="AG1148" i="1"/>
  <c r="AG1147" i="1"/>
  <c r="AG1146" i="1"/>
  <c r="AG1145" i="1"/>
  <c r="AG1144" i="1"/>
  <c r="AG1143" i="1"/>
  <c r="AG1142" i="1"/>
  <c r="AG1141" i="1"/>
  <c r="AG1140" i="1"/>
  <c r="AG1139" i="1"/>
  <c r="AG1138" i="1"/>
  <c r="AG1137" i="1"/>
  <c r="AG1136" i="1"/>
  <c r="AG1135" i="1"/>
  <c r="AG1134" i="1"/>
  <c r="AG1133" i="1"/>
  <c r="AG1132" i="1"/>
  <c r="AG1131" i="1"/>
  <c r="AG1130" i="1"/>
  <c r="AG1129" i="1"/>
  <c r="AG1128" i="1"/>
  <c r="AG1127" i="1"/>
  <c r="AG1126" i="1"/>
  <c r="AG1125" i="1"/>
  <c r="AG1124" i="1"/>
  <c r="AG1123" i="1"/>
  <c r="AG1122" i="1"/>
  <c r="AG1121" i="1"/>
  <c r="AG1120" i="1"/>
  <c r="AG1119" i="1"/>
  <c r="AG1118" i="1"/>
  <c r="AG1117" i="1"/>
  <c r="AG1116" i="1"/>
  <c r="AG1115" i="1"/>
  <c r="AG1114" i="1"/>
  <c r="AG1113" i="1"/>
  <c r="AG1112" i="1"/>
  <c r="AG1111" i="1"/>
  <c r="AG1110" i="1"/>
  <c r="AG1109" i="1"/>
  <c r="AG1108" i="1"/>
  <c r="AG1107" i="1"/>
  <c r="AG1106" i="1"/>
  <c r="AG1105" i="1"/>
  <c r="AG1104" i="1"/>
  <c r="AG1103" i="1"/>
  <c r="AG1102" i="1"/>
  <c r="AG1101" i="1"/>
  <c r="AG1100" i="1"/>
  <c r="AG1099" i="1"/>
  <c r="AG1098" i="1"/>
  <c r="AG1097" i="1"/>
  <c r="AG1096" i="1"/>
  <c r="AG1095" i="1"/>
  <c r="AG1094" i="1"/>
  <c r="AG1093" i="1"/>
  <c r="AG1092" i="1"/>
  <c r="AG1091" i="1"/>
  <c r="AG1090" i="1"/>
  <c r="AG1089" i="1"/>
  <c r="AG1088" i="1"/>
  <c r="AG1087" i="1"/>
  <c r="AG1086" i="1"/>
  <c r="AG1085" i="1"/>
  <c r="AG1084" i="1"/>
  <c r="AG1083" i="1"/>
  <c r="AG1082" i="1"/>
  <c r="AG1081" i="1"/>
  <c r="AG1080" i="1"/>
  <c r="AG1079" i="1"/>
  <c r="AG1078" i="1"/>
  <c r="AG1077" i="1"/>
  <c r="AG1076" i="1"/>
  <c r="AG1075" i="1"/>
  <c r="AG1074" i="1"/>
  <c r="AG1073" i="1"/>
  <c r="AG1072" i="1"/>
  <c r="AG1071" i="1"/>
  <c r="AG1070" i="1"/>
  <c r="AG1069" i="1"/>
  <c r="AG1068" i="1"/>
  <c r="AG1067" i="1"/>
  <c r="AG1066" i="1"/>
  <c r="AG1065" i="1"/>
  <c r="AG1064" i="1"/>
  <c r="AG1063" i="1"/>
  <c r="AG1062" i="1"/>
  <c r="AG1061" i="1"/>
  <c r="AG1060" i="1"/>
  <c r="AG1059" i="1"/>
  <c r="AG1058" i="1"/>
  <c r="AG1057" i="1"/>
  <c r="AG1056" i="1"/>
  <c r="AG1055" i="1"/>
  <c r="AG1054" i="1"/>
  <c r="AG1053" i="1"/>
  <c r="AG1052" i="1"/>
  <c r="AG1051" i="1"/>
  <c r="AG1050" i="1"/>
  <c r="AG1049" i="1"/>
  <c r="AG1048" i="1"/>
  <c r="AG1047" i="1"/>
  <c r="AG1046" i="1"/>
  <c r="AG1045" i="1"/>
  <c r="AG1044" i="1"/>
  <c r="AG1043" i="1"/>
  <c r="AG1042" i="1"/>
  <c r="AG1041" i="1"/>
  <c r="AG1040" i="1"/>
  <c r="AG1039" i="1"/>
  <c r="AG1038" i="1"/>
  <c r="AG1037" i="1"/>
  <c r="AG1036" i="1"/>
  <c r="AG1035" i="1"/>
  <c r="AG1034" i="1"/>
  <c r="AG1033" i="1"/>
  <c r="AG1032" i="1"/>
  <c r="AG1031" i="1"/>
  <c r="AG1030" i="1"/>
  <c r="AG1029" i="1"/>
  <c r="AG1028" i="1"/>
  <c r="AG1027" i="1"/>
  <c r="AG1026" i="1"/>
  <c r="AG1025" i="1"/>
  <c r="AG1024" i="1"/>
  <c r="AG1023" i="1"/>
  <c r="AG1022" i="1"/>
  <c r="AG1021" i="1"/>
  <c r="AG1020" i="1"/>
  <c r="AG1019" i="1"/>
  <c r="AG1018" i="1"/>
  <c r="AG1017" i="1"/>
  <c r="AG1016" i="1"/>
  <c r="AG1015" i="1"/>
  <c r="AG1014" i="1"/>
  <c r="AG1013" i="1"/>
  <c r="AG1012" i="1"/>
  <c r="AG1011" i="1"/>
  <c r="AG1010" i="1"/>
  <c r="AG1009" i="1"/>
  <c r="AG1008" i="1"/>
  <c r="AG1007" i="1"/>
  <c r="AG1006" i="1"/>
  <c r="AG1005" i="1"/>
  <c r="AG1004" i="1"/>
  <c r="AG1003" i="1"/>
  <c r="AG1002" i="1"/>
  <c r="AG1001" i="1"/>
  <c r="AG1000" i="1"/>
  <c r="AG999" i="1"/>
  <c r="AG998" i="1"/>
  <c r="AG997" i="1"/>
  <c r="AG996" i="1"/>
  <c r="AG995" i="1"/>
  <c r="AG994" i="1"/>
  <c r="AG993" i="1"/>
  <c r="AG992" i="1"/>
  <c r="AG991" i="1"/>
  <c r="AG990" i="1"/>
  <c r="AG989" i="1"/>
  <c r="AG988" i="1"/>
  <c r="AG987" i="1"/>
  <c r="AG986" i="1"/>
  <c r="AG985" i="1"/>
  <c r="AG984" i="1"/>
  <c r="AG983" i="1"/>
  <c r="AG982" i="1"/>
  <c r="AG981" i="1"/>
  <c r="AG980" i="1"/>
  <c r="AG979" i="1"/>
  <c r="AG978" i="1"/>
  <c r="AG977" i="1"/>
  <c r="AG976" i="1"/>
  <c r="AG975" i="1"/>
  <c r="AG974" i="1"/>
  <c r="AG973" i="1"/>
  <c r="AG972" i="1"/>
  <c r="AG971" i="1"/>
  <c r="AG970" i="1"/>
  <c r="AG969" i="1"/>
  <c r="AG968" i="1"/>
  <c r="AG967" i="1"/>
  <c r="AG966" i="1"/>
  <c r="AG965" i="1"/>
  <c r="AG964" i="1"/>
  <c r="AG963" i="1"/>
  <c r="AG962" i="1"/>
  <c r="AG961" i="1"/>
  <c r="AG960" i="1"/>
  <c r="AG959" i="1"/>
  <c r="AG958" i="1"/>
  <c r="AG957" i="1"/>
  <c r="AG956" i="1"/>
  <c r="AG955" i="1"/>
  <c r="AG954" i="1"/>
  <c r="AG953" i="1"/>
  <c r="AG952" i="1"/>
  <c r="AG951" i="1"/>
  <c r="AG950" i="1"/>
  <c r="AG949" i="1"/>
  <c r="AG948" i="1"/>
  <c r="AG947" i="1"/>
  <c r="AG946" i="1"/>
  <c r="AG945" i="1"/>
  <c r="AG944" i="1"/>
  <c r="AG943" i="1"/>
  <c r="AG942" i="1"/>
  <c r="AG941" i="1"/>
  <c r="AG940" i="1"/>
  <c r="AG939" i="1"/>
  <c r="AG938" i="1"/>
  <c r="AG937" i="1"/>
  <c r="AG936" i="1"/>
  <c r="AG935" i="1"/>
  <c r="AG934" i="1"/>
  <c r="AG933" i="1"/>
  <c r="AG932" i="1"/>
  <c r="AG931" i="1"/>
  <c r="AG930" i="1"/>
  <c r="AG929" i="1"/>
  <c r="AG928" i="1"/>
  <c r="AG927" i="1"/>
  <c r="AG926" i="1"/>
  <c r="AG925" i="1"/>
  <c r="AG924" i="1"/>
  <c r="AG923" i="1"/>
  <c r="AG922" i="1"/>
  <c r="AG921" i="1"/>
  <c r="AG920" i="1"/>
  <c r="AG919" i="1"/>
  <c r="AG918" i="1"/>
  <c r="AG917" i="1"/>
  <c r="AG916" i="1"/>
  <c r="AG915" i="1"/>
  <c r="AG914" i="1"/>
  <c r="AG913" i="1"/>
  <c r="AG912" i="1"/>
  <c r="AG911" i="1"/>
  <c r="AG910" i="1"/>
  <c r="AG909" i="1"/>
  <c r="AG908" i="1"/>
  <c r="AG907" i="1"/>
  <c r="AG906" i="1"/>
  <c r="AG905" i="1"/>
  <c r="AG904" i="1"/>
  <c r="AG903" i="1"/>
  <c r="AG902" i="1"/>
  <c r="AG901" i="1"/>
  <c r="AG900" i="1"/>
  <c r="AG899" i="1"/>
  <c r="AG898" i="1"/>
  <c r="AG897" i="1"/>
  <c r="AG896" i="1"/>
  <c r="AG895" i="1"/>
  <c r="AG894" i="1"/>
  <c r="AG893" i="1"/>
  <c r="AG892" i="1"/>
  <c r="AG891" i="1"/>
  <c r="AG890" i="1"/>
  <c r="AG889" i="1"/>
  <c r="AG888" i="1"/>
  <c r="AG887" i="1"/>
  <c r="AG886" i="1"/>
  <c r="AG885" i="1"/>
  <c r="AG884" i="1"/>
  <c r="AG883" i="1"/>
  <c r="AG882" i="1"/>
  <c r="AG881" i="1"/>
  <c r="AG880" i="1"/>
  <c r="AG879" i="1"/>
  <c r="AG878" i="1"/>
  <c r="AG877" i="1"/>
  <c r="AG876" i="1"/>
  <c r="AG875" i="1"/>
  <c r="AG874" i="1"/>
  <c r="AG873" i="1"/>
  <c r="AG872" i="1"/>
  <c r="AG871" i="1"/>
  <c r="AG870" i="1"/>
  <c r="AG869" i="1"/>
  <c r="AG868" i="1"/>
  <c r="AG867" i="1"/>
  <c r="AG866" i="1"/>
  <c r="AG865" i="1"/>
  <c r="AG864" i="1"/>
  <c r="AG863" i="1"/>
  <c r="AG862" i="1"/>
  <c r="AG861" i="1"/>
  <c r="AG860" i="1"/>
  <c r="AG859" i="1"/>
  <c r="AG858" i="1"/>
  <c r="AG857" i="1"/>
  <c r="AG856" i="1"/>
  <c r="AG855" i="1"/>
  <c r="AG854" i="1"/>
  <c r="AG853" i="1"/>
  <c r="AG852" i="1"/>
  <c r="AG851" i="1"/>
  <c r="AG850" i="1"/>
  <c r="AG849" i="1"/>
  <c r="AG848" i="1"/>
  <c r="AG847" i="1"/>
  <c r="AG846" i="1"/>
  <c r="AG845" i="1"/>
  <c r="AG844" i="1"/>
  <c r="AG843" i="1"/>
  <c r="AG842" i="1"/>
  <c r="AG841" i="1"/>
  <c r="AG840" i="1"/>
  <c r="AG839" i="1"/>
  <c r="AG838" i="1"/>
  <c r="AG837" i="1"/>
  <c r="AG836" i="1"/>
  <c r="AG835" i="1"/>
  <c r="AG834" i="1"/>
  <c r="AG833" i="1"/>
  <c r="AG832" i="1"/>
  <c r="AG831" i="1"/>
  <c r="AG830" i="1"/>
  <c r="AG829" i="1"/>
  <c r="AG828" i="1"/>
  <c r="AG827" i="1"/>
  <c r="AG826" i="1"/>
  <c r="AG825" i="1"/>
  <c r="AG824" i="1"/>
  <c r="AG823" i="1"/>
  <c r="AG822" i="1"/>
  <c r="AG821" i="1"/>
  <c r="AG820" i="1"/>
  <c r="AG819" i="1"/>
  <c r="AG818" i="1"/>
  <c r="AG817" i="1"/>
  <c r="AG816" i="1"/>
  <c r="AG815" i="1"/>
  <c r="AG814" i="1"/>
  <c r="AG813" i="1"/>
  <c r="AG812" i="1"/>
  <c r="AG811" i="1"/>
  <c r="AG810" i="1"/>
  <c r="AG809" i="1"/>
  <c r="AG808" i="1"/>
  <c r="AG807" i="1"/>
  <c r="AG806" i="1"/>
  <c r="AG805" i="1"/>
  <c r="AG804" i="1"/>
  <c r="AG803" i="1"/>
  <c r="AG802" i="1"/>
  <c r="AG801" i="1"/>
  <c r="AG800" i="1"/>
  <c r="AG799" i="1"/>
  <c r="AG798" i="1"/>
  <c r="AG797" i="1"/>
  <c r="AG796" i="1"/>
  <c r="AG795" i="1"/>
  <c r="AG794" i="1"/>
  <c r="AG793" i="1"/>
  <c r="AG792" i="1"/>
  <c r="AG791" i="1"/>
  <c r="AG790" i="1"/>
  <c r="AG789" i="1"/>
  <c r="AG788" i="1"/>
  <c r="AG787" i="1"/>
  <c r="AG786" i="1"/>
  <c r="AG785" i="1"/>
  <c r="AG784" i="1"/>
  <c r="AG783" i="1"/>
  <c r="AG782" i="1"/>
  <c r="AG781" i="1"/>
  <c r="AG780" i="1"/>
  <c r="AG779" i="1"/>
  <c r="AG778" i="1"/>
  <c r="AG777" i="1"/>
  <c r="AG776" i="1"/>
  <c r="AG775" i="1"/>
  <c r="AG774" i="1"/>
  <c r="AG773" i="1"/>
  <c r="AG772" i="1"/>
  <c r="AG771" i="1"/>
  <c r="AG770" i="1"/>
  <c r="AG769" i="1"/>
  <c r="AG768" i="1"/>
  <c r="AG767" i="1"/>
  <c r="AG766" i="1"/>
  <c r="AG765" i="1"/>
  <c r="AG764" i="1"/>
  <c r="AG763" i="1"/>
  <c r="AG762" i="1"/>
  <c r="AG761" i="1"/>
  <c r="AG760" i="1"/>
  <c r="AG759" i="1"/>
  <c r="AG758" i="1"/>
  <c r="AG757" i="1"/>
  <c r="AG756" i="1"/>
  <c r="AG755" i="1"/>
  <c r="AG754" i="1"/>
  <c r="AG753" i="1"/>
  <c r="AG752" i="1"/>
  <c r="AG751" i="1"/>
  <c r="AG750" i="1"/>
  <c r="AG749" i="1"/>
  <c r="AG748" i="1"/>
  <c r="AG747" i="1"/>
  <c r="AG746" i="1"/>
  <c r="AG745" i="1"/>
  <c r="AG744" i="1"/>
  <c r="AG743" i="1"/>
  <c r="AG742" i="1"/>
  <c r="AG741" i="1"/>
  <c r="AG740" i="1"/>
  <c r="AG739" i="1"/>
  <c r="AG738" i="1"/>
  <c r="AG737" i="1"/>
  <c r="AG736" i="1"/>
  <c r="AG735" i="1"/>
  <c r="AG734" i="1"/>
  <c r="AG733" i="1"/>
  <c r="AG732" i="1"/>
  <c r="AG731" i="1"/>
  <c r="AG730" i="1"/>
  <c r="AG729" i="1"/>
  <c r="AG728" i="1"/>
  <c r="AG727" i="1"/>
  <c r="AG726" i="1"/>
  <c r="AG725" i="1"/>
  <c r="AG724" i="1"/>
  <c r="AG723" i="1"/>
  <c r="AG722" i="1"/>
  <c r="AG721" i="1"/>
  <c r="AG720" i="1"/>
  <c r="AG719" i="1"/>
  <c r="AG718" i="1"/>
  <c r="AG717" i="1"/>
  <c r="AG716" i="1"/>
  <c r="AG715" i="1"/>
  <c r="AG714" i="1"/>
  <c r="AG713" i="1"/>
  <c r="AG712" i="1"/>
  <c r="AG711" i="1"/>
  <c r="AG710" i="1"/>
  <c r="AG709" i="1"/>
  <c r="AG708" i="1"/>
  <c r="AG707" i="1"/>
  <c r="AG706" i="1"/>
  <c r="AG705" i="1"/>
  <c r="AG704" i="1"/>
  <c r="AG703" i="1"/>
  <c r="AG702" i="1"/>
  <c r="AG701" i="1"/>
  <c r="AG700" i="1"/>
  <c r="AG699" i="1"/>
  <c r="AG698" i="1"/>
  <c r="AG697" i="1"/>
  <c r="AG696" i="1"/>
  <c r="AG695" i="1"/>
  <c r="AG694" i="1"/>
  <c r="AG693" i="1"/>
  <c r="AG692" i="1"/>
  <c r="AG691" i="1"/>
  <c r="AG690" i="1"/>
  <c r="AG689" i="1"/>
  <c r="AG688" i="1"/>
  <c r="AG687" i="1"/>
  <c r="AG686" i="1"/>
  <c r="AG685" i="1"/>
  <c r="AG684" i="1"/>
  <c r="AG683" i="1"/>
  <c r="AG682" i="1"/>
  <c r="AG681" i="1"/>
  <c r="AG680" i="1"/>
  <c r="AG679" i="1"/>
  <c r="AG678" i="1"/>
  <c r="AG677" i="1"/>
  <c r="AG676" i="1"/>
  <c r="AG675" i="1"/>
  <c r="AG674" i="1"/>
  <c r="AG673" i="1"/>
  <c r="AG672" i="1"/>
  <c r="AG671" i="1"/>
  <c r="AG670" i="1"/>
  <c r="AG669" i="1"/>
  <c r="AG668" i="1"/>
  <c r="AG667" i="1"/>
  <c r="AG666" i="1"/>
  <c r="AG665" i="1"/>
  <c r="AG664" i="1"/>
  <c r="AG663" i="1"/>
  <c r="AG662" i="1"/>
  <c r="AG661" i="1"/>
  <c r="AG660" i="1"/>
  <c r="AG659" i="1"/>
  <c r="AG658" i="1"/>
  <c r="AG657" i="1"/>
  <c r="AG656" i="1"/>
  <c r="AG655" i="1"/>
  <c r="AG654" i="1"/>
  <c r="AG653" i="1"/>
  <c r="AG652" i="1"/>
  <c r="AG651" i="1"/>
  <c r="AG650" i="1"/>
  <c r="AG649" i="1"/>
  <c r="AG648" i="1"/>
  <c r="AG647" i="1"/>
  <c r="AG646" i="1"/>
  <c r="AG645" i="1"/>
  <c r="AG644" i="1"/>
  <c r="AG643" i="1"/>
  <c r="AG642" i="1"/>
  <c r="AG641" i="1"/>
  <c r="AG640" i="1"/>
  <c r="AG639" i="1"/>
  <c r="AG638" i="1"/>
  <c r="AG637" i="1"/>
  <c r="AG636" i="1"/>
  <c r="AG635" i="1"/>
  <c r="AG634" i="1"/>
  <c r="AG633" i="1"/>
  <c r="AG632" i="1"/>
  <c r="AG631" i="1"/>
  <c r="AG630" i="1"/>
  <c r="AG629" i="1"/>
  <c r="AG628" i="1"/>
  <c r="AG627" i="1"/>
  <c r="AG626" i="1"/>
  <c r="AG625" i="1"/>
  <c r="AG624" i="1"/>
  <c r="AG623" i="1"/>
  <c r="AG622" i="1"/>
  <c r="AG621" i="1"/>
  <c r="AG620" i="1"/>
  <c r="AG619" i="1"/>
  <c r="AG618" i="1"/>
  <c r="AG617" i="1"/>
  <c r="AG616" i="1"/>
  <c r="AG615" i="1"/>
  <c r="AG614" i="1"/>
  <c r="AG613" i="1"/>
  <c r="AG612" i="1"/>
  <c r="AG611" i="1"/>
  <c r="AG610" i="1"/>
  <c r="AG609" i="1"/>
  <c r="AG608" i="1"/>
  <c r="AG607" i="1"/>
  <c r="AG606" i="1"/>
  <c r="AG605" i="1"/>
  <c r="AG604" i="1"/>
  <c r="AG603" i="1"/>
  <c r="AG602" i="1"/>
  <c r="AG601" i="1"/>
  <c r="AG600" i="1"/>
  <c r="AG599" i="1"/>
  <c r="AG598" i="1"/>
  <c r="AG597" i="1"/>
  <c r="AG596" i="1"/>
  <c r="AG595" i="1"/>
  <c r="AG594" i="1"/>
  <c r="AG593" i="1"/>
  <c r="AG592" i="1"/>
  <c r="AG591" i="1"/>
  <c r="AG590" i="1"/>
  <c r="AG589" i="1"/>
  <c r="AG588" i="1"/>
  <c r="AG587" i="1"/>
  <c r="AG586" i="1"/>
  <c r="AG585" i="1"/>
  <c r="AG584" i="1"/>
  <c r="AG583" i="1"/>
  <c r="AG582" i="1"/>
  <c r="AG581" i="1"/>
  <c r="AG580" i="1"/>
  <c r="AG579" i="1"/>
  <c r="AG578" i="1"/>
  <c r="AG577" i="1"/>
  <c r="AG576" i="1"/>
  <c r="AG575" i="1"/>
  <c r="AG574" i="1"/>
  <c r="AG573" i="1"/>
  <c r="AG572" i="1"/>
  <c r="AG571" i="1"/>
  <c r="AG570" i="1"/>
  <c r="AG569" i="1"/>
  <c r="AG568" i="1"/>
  <c r="AG567" i="1"/>
  <c r="AG566" i="1"/>
  <c r="AG565" i="1"/>
  <c r="AG564" i="1"/>
  <c r="AG563" i="1"/>
  <c r="AG562" i="1"/>
  <c r="AG561" i="1"/>
  <c r="AG560" i="1"/>
  <c r="AG559" i="1"/>
  <c r="AG558" i="1"/>
  <c r="AG557" i="1"/>
  <c r="AG556" i="1"/>
  <c r="AG555" i="1"/>
  <c r="AG554" i="1"/>
  <c r="AG553" i="1"/>
  <c r="AG552" i="1"/>
  <c r="AG551" i="1"/>
  <c r="AG550" i="1"/>
  <c r="AG549" i="1"/>
  <c r="AG548" i="1"/>
  <c r="AG547" i="1"/>
  <c r="AG546" i="1"/>
  <c r="AG545" i="1"/>
  <c r="AG544" i="1"/>
  <c r="AG543" i="1"/>
  <c r="AG542" i="1"/>
  <c r="AG541" i="1"/>
  <c r="AG540" i="1"/>
  <c r="AG539" i="1"/>
  <c r="AG538" i="1"/>
  <c r="AG537" i="1"/>
  <c r="AG536" i="1"/>
  <c r="AG535" i="1"/>
  <c r="AG534" i="1"/>
  <c r="AG533" i="1"/>
  <c r="AG532" i="1"/>
  <c r="AG531" i="1"/>
  <c r="AG530" i="1"/>
  <c r="AG529" i="1"/>
  <c r="AG528" i="1"/>
  <c r="AG527" i="1"/>
  <c r="AG526" i="1"/>
  <c r="AG525" i="1"/>
  <c r="AG524" i="1"/>
  <c r="AG523" i="1"/>
  <c r="AG522" i="1"/>
  <c r="AG521" i="1"/>
  <c r="AG520" i="1"/>
  <c r="AG519" i="1"/>
  <c r="AG518" i="1"/>
  <c r="AG517" i="1"/>
  <c r="AG516" i="1"/>
  <c r="AG515" i="1"/>
  <c r="AG514" i="1"/>
  <c r="AG513" i="1"/>
  <c r="AG512" i="1"/>
  <c r="AG511" i="1"/>
  <c r="AG510" i="1"/>
  <c r="AG509" i="1"/>
  <c r="AG508" i="1"/>
  <c r="AG507" i="1"/>
  <c r="AG506" i="1"/>
  <c r="AG505" i="1"/>
  <c r="AG504" i="1"/>
  <c r="AG503" i="1"/>
  <c r="AG502" i="1"/>
  <c r="AG501" i="1"/>
  <c r="AG500" i="1"/>
  <c r="AG499" i="1"/>
  <c r="AG498" i="1"/>
  <c r="AG497" i="1"/>
  <c r="AG496" i="1"/>
  <c r="AG495" i="1"/>
  <c r="AG494" i="1"/>
  <c r="AG493" i="1"/>
  <c r="AG492" i="1"/>
  <c r="AG491" i="1"/>
  <c r="AG490" i="1"/>
  <c r="AG489" i="1"/>
  <c r="AG488" i="1"/>
  <c r="AG487" i="1"/>
  <c r="AG486" i="1"/>
  <c r="AG485" i="1"/>
  <c r="AG484" i="1"/>
  <c r="AG483" i="1"/>
  <c r="AG482" i="1"/>
  <c r="AG481" i="1"/>
  <c r="AG480" i="1"/>
  <c r="AG479" i="1"/>
  <c r="AG478" i="1"/>
  <c r="AG477" i="1"/>
  <c r="AG476" i="1"/>
  <c r="AG475" i="1"/>
  <c r="AG474" i="1"/>
  <c r="AG473" i="1"/>
  <c r="AG472" i="1"/>
  <c r="AG471" i="1"/>
  <c r="AG470" i="1"/>
  <c r="AG469" i="1"/>
  <c r="AG468" i="1"/>
  <c r="AG467" i="1"/>
  <c r="AG466" i="1"/>
  <c r="AG465" i="1"/>
  <c r="AG464" i="1"/>
  <c r="AG463" i="1"/>
  <c r="AG462" i="1"/>
  <c r="AG461" i="1"/>
  <c r="AG460" i="1"/>
  <c r="AG459" i="1"/>
  <c r="AG458" i="1"/>
  <c r="AG457" i="1"/>
  <c r="AG456" i="1"/>
  <c r="AG455" i="1"/>
  <c r="AG454" i="1"/>
  <c r="AG453" i="1"/>
  <c r="AG452" i="1"/>
  <c r="AG451" i="1"/>
  <c r="AG450" i="1"/>
  <c r="AG449" i="1"/>
  <c r="AG448" i="1"/>
  <c r="AG447" i="1"/>
  <c r="AG446" i="1"/>
  <c r="AG445" i="1"/>
  <c r="AG444" i="1"/>
  <c r="AG443" i="1"/>
  <c r="AG442" i="1"/>
  <c r="AG441" i="1"/>
  <c r="AG440" i="1"/>
  <c r="AG439" i="1"/>
  <c r="AG438" i="1"/>
  <c r="AG437" i="1"/>
  <c r="AG436" i="1"/>
  <c r="AG435" i="1"/>
  <c r="AG434" i="1"/>
  <c r="AG433" i="1"/>
  <c r="AG432" i="1"/>
  <c r="AG431" i="1"/>
  <c r="AG430" i="1"/>
  <c r="AG429" i="1"/>
  <c r="AG428" i="1"/>
  <c r="AG427" i="1"/>
  <c r="AG426" i="1"/>
  <c r="AG425" i="1"/>
  <c r="AG424" i="1"/>
  <c r="AG423" i="1"/>
  <c r="AG422" i="1"/>
  <c r="AG421" i="1"/>
  <c r="AG420" i="1"/>
  <c r="AG419" i="1"/>
  <c r="AG418" i="1"/>
  <c r="AG417" i="1"/>
  <c r="AG416" i="1"/>
  <c r="AG415" i="1"/>
  <c r="AG414" i="1"/>
  <c r="AG413" i="1"/>
  <c r="AG412" i="1"/>
  <c r="AG411" i="1"/>
  <c r="AG410" i="1"/>
  <c r="AG409" i="1"/>
  <c r="AG408" i="1"/>
  <c r="AG407" i="1"/>
  <c r="AG406" i="1"/>
  <c r="AG405" i="1"/>
  <c r="AG404" i="1"/>
  <c r="AG403" i="1"/>
  <c r="AG402" i="1"/>
  <c r="AG401" i="1"/>
  <c r="AG400" i="1"/>
  <c r="AG399" i="1"/>
  <c r="AG398" i="1"/>
  <c r="AG397" i="1"/>
  <c r="AG396" i="1"/>
  <c r="AG395" i="1"/>
  <c r="AG394" i="1"/>
  <c r="AG393" i="1"/>
  <c r="AG392" i="1"/>
  <c r="AG391" i="1"/>
  <c r="AG390" i="1"/>
  <c r="AG389" i="1"/>
  <c r="AG388" i="1"/>
  <c r="AG387" i="1"/>
  <c r="AG386" i="1"/>
  <c r="AG385" i="1"/>
  <c r="AG384" i="1"/>
  <c r="AG383" i="1"/>
  <c r="AG382" i="1"/>
  <c r="AG381" i="1"/>
  <c r="AG380" i="1"/>
  <c r="AG379" i="1"/>
  <c r="AG378" i="1"/>
  <c r="AG377" i="1"/>
  <c r="AG376" i="1"/>
  <c r="AG375" i="1"/>
  <c r="AG374" i="1"/>
  <c r="AG373" i="1"/>
  <c r="AG372" i="1"/>
  <c r="AG371" i="1"/>
  <c r="AG370" i="1"/>
  <c r="AG369" i="1"/>
  <c r="AG368" i="1"/>
  <c r="AG367" i="1"/>
  <c r="AG366" i="1"/>
  <c r="AG365" i="1"/>
  <c r="AG364" i="1"/>
  <c r="AG363" i="1"/>
  <c r="AG362" i="1"/>
  <c r="AG361" i="1"/>
  <c r="AG360" i="1"/>
  <c r="AG359" i="1"/>
  <c r="AG358" i="1"/>
  <c r="AG357" i="1"/>
  <c r="AG356" i="1"/>
  <c r="AG355" i="1"/>
  <c r="AG354" i="1"/>
  <c r="AG353" i="1"/>
  <c r="AG352" i="1"/>
  <c r="AG351" i="1"/>
  <c r="AG350" i="1"/>
  <c r="AG349" i="1"/>
  <c r="AG348" i="1"/>
  <c r="AG347" i="1"/>
  <c r="AG346" i="1"/>
  <c r="AG345" i="1"/>
  <c r="AG344" i="1"/>
  <c r="AG343" i="1"/>
  <c r="AG342" i="1"/>
  <c r="AG341" i="1"/>
  <c r="AG340" i="1"/>
  <c r="AG339" i="1"/>
  <c r="AG338" i="1"/>
  <c r="AG337" i="1"/>
  <c r="AG336" i="1"/>
  <c r="AG335" i="1"/>
  <c r="AG334" i="1"/>
  <c r="AG333" i="1"/>
  <c r="AG332" i="1"/>
  <c r="AG331" i="1"/>
  <c r="AG330" i="1"/>
  <c r="AG329" i="1"/>
  <c r="AG328" i="1"/>
  <c r="AG327" i="1"/>
  <c r="AG326" i="1"/>
  <c r="AG325" i="1"/>
  <c r="AG324" i="1"/>
  <c r="AG323" i="1"/>
  <c r="AG322" i="1"/>
  <c r="AG321" i="1"/>
  <c r="AG320" i="1"/>
  <c r="AG319" i="1"/>
  <c r="AG318" i="1"/>
  <c r="AG317" i="1"/>
  <c r="AG316" i="1"/>
  <c r="AG315" i="1"/>
  <c r="AG314" i="1"/>
  <c r="AG313" i="1"/>
  <c r="AG312" i="1"/>
  <c r="AG311" i="1"/>
  <c r="AG310" i="1"/>
  <c r="AG309" i="1"/>
  <c r="AG308" i="1"/>
  <c r="AG307" i="1"/>
  <c r="AG306" i="1"/>
  <c r="AG305" i="1"/>
  <c r="AG304" i="1"/>
  <c r="AG303" i="1"/>
  <c r="AG302" i="1"/>
  <c r="AG301" i="1"/>
  <c r="AG300" i="1"/>
  <c r="AG299" i="1"/>
  <c r="AG298" i="1"/>
  <c r="AG297" i="1"/>
  <c r="AG296" i="1"/>
  <c r="AG295" i="1"/>
  <c r="AG294" i="1"/>
  <c r="AG293" i="1"/>
  <c r="AG292" i="1"/>
  <c r="AG291" i="1"/>
  <c r="AG290" i="1"/>
  <c r="AG289" i="1"/>
  <c r="AG288" i="1"/>
  <c r="AG287" i="1"/>
  <c r="AG286" i="1"/>
  <c r="AG285" i="1"/>
  <c r="AG284" i="1"/>
  <c r="AG283" i="1"/>
  <c r="AG282" i="1"/>
  <c r="AG281" i="1"/>
  <c r="AG280" i="1"/>
  <c r="AG279" i="1"/>
  <c r="AG278" i="1"/>
  <c r="AG277" i="1"/>
  <c r="AG276" i="1"/>
  <c r="AG275" i="1"/>
  <c r="AG274" i="1"/>
  <c r="AG273" i="1"/>
  <c r="AG272" i="1"/>
  <c r="AG271" i="1"/>
  <c r="AG270" i="1"/>
  <c r="AG269" i="1"/>
  <c r="AG268" i="1"/>
  <c r="AG267" i="1"/>
  <c r="AG266" i="1"/>
  <c r="AG265" i="1"/>
  <c r="AG264" i="1"/>
  <c r="AG263" i="1"/>
  <c r="AG262" i="1"/>
  <c r="AG261" i="1"/>
  <c r="AG260" i="1"/>
  <c r="AG259" i="1"/>
  <c r="AG258" i="1"/>
  <c r="AG257" i="1"/>
  <c r="AG256" i="1"/>
  <c r="AG255" i="1"/>
  <c r="AG254" i="1"/>
  <c r="AG253" i="1"/>
  <c r="AG252" i="1"/>
  <c r="AG251" i="1"/>
  <c r="AG250" i="1"/>
  <c r="AG249" i="1"/>
  <c r="AG248" i="1"/>
  <c r="AG247" i="1"/>
  <c r="AG246" i="1"/>
  <c r="AG245" i="1"/>
  <c r="AG244" i="1"/>
  <c r="AG243" i="1"/>
  <c r="AG242" i="1"/>
  <c r="AG241" i="1"/>
  <c r="AG240" i="1"/>
  <c r="AG239" i="1"/>
  <c r="AG238" i="1"/>
  <c r="AG237" i="1"/>
  <c r="AG236" i="1"/>
  <c r="AG235" i="1"/>
  <c r="AG234" i="1"/>
  <c r="AG233" i="1"/>
  <c r="AG232" i="1"/>
  <c r="AG231" i="1"/>
  <c r="AG230" i="1"/>
  <c r="AG229" i="1"/>
  <c r="AG228" i="1"/>
  <c r="AG227" i="1"/>
  <c r="AG226" i="1"/>
  <c r="AG225" i="1"/>
  <c r="AG224" i="1"/>
  <c r="AG223" i="1"/>
  <c r="AG222" i="1"/>
  <c r="AG221" i="1"/>
  <c r="AG220" i="1"/>
  <c r="AG219" i="1"/>
  <c r="AG218" i="1"/>
  <c r="AG217" i="1"/>
  <c r="AG216" i="1"/>
  <c r="AG215" i="1"/>
  <c r="AG214" i="1"/>
  <c r="AG213" i="1"/>
  <c r="AG212" i="1"/>
  <c r="AG211" i="1"/>
  <c r="AG210" i="1"/>
  <c r="AG209" i="1"/>
  <c r="AG208" i="1"/>
  <c r="AG207" i="1"/>
  <c r="AG206" i="1"/>
  <c r="AG205" i="1"/>
  <c r="AG204" i="1"/>
  <c r="AG203" i="1"/>
  <c r="AG202" i="1"/>
  <c r="AG201" i="1"/>
  <c r="AG200" i="1"/>
  <c r="AG199" i="1"/>
  <c r="AG198" i="1"/>
  <c r="AG197" i="1"/>
  <c r="AG196" i="1"/>
  <c r="AG195" i="1"/>
  <c r="AG194" i="1"/>
  <c r="AG193" i="1"/>
  <c r="AG192" i="1"/>
  <c r="AG191" i="1"/>
  <c r="AG190" i="1"/>
  <c r="AG189" i="1"/>
  <c r="AG188" i="1"/>
  <c r="AG187" i="1"/>
  <c r="AG186" i="1"/>
  <c r="AG185" i="1"/>
  <c r="AG184" i="1"/>
  <c r="AG183" i="1"/>
  <c r="AG182" i="1"/>
  <c r="AG181" i="1"/>
  <c r="AG180" i="1"/>
  <c r="AG179" i="1"/>
  <c r="AG178" i="1"/>
  <c r="AG177" i="1"/>
  <c r="AG176" i="1"/>
  <c r="AG175" i="1"/>
  <c r="AG174" i="1"/>
  <c r="AG173" i="1"/>
  <c r="AG172" i="1"/>
  <c r="AG171" i="1"/>
  <c r="AG170" i="1"/>
  <c r="AG169" i="1"/>
  <c r="AG168" i="1"/>
  <c r="AG167" i="1"/>
  <c r="AG166" i="1"/>
  <c r="AG165" i="1"/>
  <c r="AG164" i="1"/>
  <c r="AG163" i="1"/>
  <c r="AG162" i="1"/>
  <c r="AG161" i="1"/>
  <c r="AG160" i="1"/>
  <c r="AG159" i="1"/>
  <c r="AG158" i="1"/>
  <c r="AG157" i="1"/>
  <c r="AG156" i="1"/>
  <c r="AG155" i="1"/>
  <c r="AG154" i="1"/>
  <c r="AG153" i="1"/>
  <c r="AG152" i="1"/>
  <c r="AG151" i="1"/>
  <c r="AG150" i="1"/>
  <c r="AG149" i="1"/>
  <c r="AG148" i="1"/>
  <c r="AG147" i="1"/>
  <c r="AG146" i="1"/>
  <c r="AG145" i="1"/>
  <c r="AG144" i="1"/>
  <c r="AG143" i="1"/>
  <c r="AG142" i="1"/>
  <c r="AG141" i="1"/>
  <c r="AG140" i="1"/>
  <c r="AG139" i="1"/>
  <c r="AG138" i="1"/>
  <c r="AG137" i="1"/>
  <c r="AG136" i="1"/>
  <c r="AG135" i="1"/>
  <c r="AG134" i="1"/>
  <c r="AG133" i="1"/>
  <c r="AG132" i="1"/>
  <c r="AG131" i="1"/>
  <c r="AG130" i="1"/>
  <c r="AG129" i="1"/>
  <c r="AG128" i="1"/>
  <c r="AG127" i="1"/>
  <c r="AG126" i="1"/>
  <c r="AG125" i="1"/>
  <c r="AG124" i="1"/>
  <c r="AG123" i="1"/>
  <c r="AG122" i="1"/>
  <c r="AG121" i="1"/>
  <c r="AG120" i="1"/>
  <c r="AG119" i="1"/>
  <c r="AG118" i="1"/>
  <c r="AG117" i="1"/>
  <c r="AG116" i="1"/>
  <c r="AG115" i="1"/>
  <c r="AG114" i="1"/>
  <c r="AG113" i="1"/>
  <c r="AG112" i="1"/>
  <c r="AG111" i="1"/>
  <c r="AG110" i="1"/>
  <c r="AG109" i="1"/>
  <c r="AG108" i="1"/>
  <c r="AG107" i="1"/>
  <c r="AG106" i="1"/>
  <c r="AG105" i="1"/>
  <c r="AG104" i="1"/>
  <c r="AG103" i="1"/>
  <c r="AG102" i="1"/>
  <c r="AG101" i="1"/>
  <c r="AG100" i="1"/>
  <c r="AG99" i="1"/>
  <c r="AG98" i="1"/>
  <c r="AG97" i="1"/>
  <c r="AG96" i="1"/>
  <c r="AG95" i="1"/>
  <c r="AG94" i="1"/>
  <c r="AG93" i="1"/>
  <c r="AG92" i="1"/>
  <c r="AG91" i="1"/>
  <c r="AG90" i="1"/>
  <c r="AG89" i="1"/>
  <c r="AG88" i="1"/>
  <c r="AG87" i="1"/>
  <c r="AG86" i="1"/>
  <c r="AG85" i="1"/>
  <c r="AG84" i="1"/>
  <c r="AG83" i="1"/>
  <c r="AG82" i="1"/>
  <c r="AG81" i="1"/>
  <c r="AG80" i="1"/>
  <c r="AG79" i="1"/>
  <c r="AG78" i="1"/>
  <c r="AG77" i="1"/>
  <c r="AG76" i="1"/>
  <c r="AG75" i="1"/>
  <c r="AG74" i="1"/>
  <c r="AG73" i="1"/>
  <c r="AG72" i="1"/>
  <c r="AG71" i="1"/>
  <c r="AG70" i="1"/>
  <c r="AG69" i="1"/>
  <c r="AG68" i="1"/>
  <c r="AG67" i="1"/>
  <c r="AG66" i="1"/>
  <c r="AG65" i="1"/>
  <c r="AG64" i="1"/>
  <c r="AG63" i="1"/>
  <c r="AG62" i="1"/>
  <c r="AG61" i="1"/>
  <c r="AG60" i="1"/>
  <c r="AG59" i="1"/>
  <c r="AG58" i="1"/>
  <c r="AG57" i="1"/>
  <c r="AG56" i="1"/>
  <c r="AG55" i="1"/>
  <c r="AG54" i="1"/>
  <c r="AG53" i="1"/>
  <c r="AG52" i="1"/>
  <c r="AG51" i="1"/>
  <c r="AG50" i="1"/>
  <c r="AG49" i="1"/>
  <c r="AG48" i="1"/>
  <c r="AG47" i="1"/>
  <c r="AG46" i="1"/>
  <c r="AG45" i="1"/>
  <c r="AG44" i="1"/>
  <c r="AG43" i="1"/>
  <c r="AG42" i="1"/>
  <c r="AG41" i="1"/>
  <c r="AG40" i="1"/>
  <c r="AG39" i="1"/>
  <c r="AG38" i="1"/>
  <c r="AG37" i="1"/>
  <c r="AG36" i="1"/>
  <c r="AG35" i="1"/>
  <c r="AG34" i="1"/>
  <c r="AG33" i="1"/>
  <c r="AG32" i="1"/>
  <c r="AG31" i="1"/>
  <c r="AG30" i="1"/>
  <c r="AG29" i="1"/>
  <c r="AG28" i="1"/>
  <c r="AG27" i="1"/>
  <c r="AG26" i="1"/>
  <c r="AG25" i="1"/>
  <c r="AG24" i="1"/>
  <c r="AG23" i="1"/>
  <c r="AG22" i="1"/>
  <c r="AG21" i="1"/>
  <c r="AG20" i="1"/>
  <c r="AG19" i="1"/>
  <c r="AG18" i="1"/>
  <c r="AG17" i="1"/>
  <c r="AG16" i="1"/>
  <c r="AG15" i="1"/>
  <c r="AG14" i="1"/>
  <c r="AG13" i="1"/>
  <c r="AG12" i="1"/>
  <c r="AG11" i="1"/>
  <c r="AG10" i="1"/>
  <c r="AG9" i="1"/>
  <c r="AG8" i="1"/>
  <c r="AG7" i="1"/>
  <c r="AF1303" i="2"/>
  <c r="AF1299" i="2"/>
  <c r="AF1297" i="2"/>
  <c r="AF1293" i="2"/>
  <c r="AF1291" i="2"/>
  <c r="AF1287" i="2"/>
  <c r="AF1285" i="2"/>
  <c r="AF1281" i="2"/>
  <c r="AF1279" i="2"/>
  <c r="AF1275" i="2"/>
  <c r="AF1273" i="2"/>
  <c r="AF1269" i="2"/>
  <c r="AF1267" i="2"/>
  <c r="AF1263" i="2"/>
  <c r="AF1261" i="2"/>
  <c r="AF1257" i="2"/>
  <c r="AF1255" i="2"/>
  <c r="AF1251" i="2"/>
  <c r="AF1249" i="2"/>
  <c r="AF1245" i="2"/>
  <c r="AF1243" i="2"/>
  <c r="AF1239" i="2"/>
  <c r="AF1237" i="2"/>
  <c r="AF1233" i="2"/>
  <c r="AF1231" i="2"/>
  <c r="AF1227" i="2"/>
  <c r="AF1225" i="2"/>
  <c r="AF1223" i="2"/>
  <c r="AF1221" i="2"/>
  <c r="AF1219" i="2"/>
  <c r="AF1215" i="2"/>
  <c r="AF1209" i="2"/>
  <c r="AF1207" i="2"/>
  <c r="AF1205" i="2"/>
  <c r="AF1203" i="2"/>
  <c r="AF1201" i="2"/>
  <c r="AF1200" i="2"/>
  <c r="AF1197" i="2"/>
  <c r="AF1195" i="2"/>
  <c r="AF1194" i="2"/>
  <c r="AF1193" i="2"/>
  <c r="AF1191" i="2"/>
  <c r="AF1189" i="2"/>
  <c r="AF1188" i="2"/>
  <c r="AF1187" i="2"/>
  <c r="AF1185" i="2"/>
  <c r="AF1183" i="2"/>
  <c r="AF1181" i="2"/>
  <c r="AF1179" i="2"/>
  <c r="AF1177" i="2"/>
  <c r="AF1173" i="2"/>
  <c r="AF1171" i="2"/>
  <c r="AF1167" i="2"/>
  <c r="AF1165" i="2"/>
  <c r="AF1163" i="2"/>
  <c r="AF1161" i="2"/>
  <c r="AF1159" i="2"/>
  <c r="AF1158" i="2"/>
  <c r="AF1155" i="2"/>
  <c r="AF1153" i="2"/>
  <c r="AF1152" i="2"/>
  <c r="AF1151" i="2"/>
  <c r="AF1149" i="2"/>
  <c r="AF1148" i="2"/>
  <c r="AF1147" i="2"/>
  <c r="AF1146" i="2"/>
  <c r="AF1145" i="2"/>
  <c r="AF1143" i="2"/>
  <c r="AF1142" i="2"/>
  <c r="AF1141" i="2"/>
  <c r="AF1140" i="2"/>
  <c r="AF1139" i="2"/>
  <c r="AF1137" i="2"/>
  <c r="AF1136" i="2"/>
  <c r="AF1135" i="2"/>
  <c r="AF1134" i="2"/>
  <c r="AF1131" i="2"/>
  <c r="AF1130" i="2"/>
  <c r="AF1129" i="2"/>
  <c r="AF1128" i="2"/>
  <c r="AF1125" i="2"/>
  <c r="AF1123" i="2"/>
  <c r="AF1122" i="2"/>
  <c r="AF1121" i="2"/>
  <c r="AF1119" i="2"/>
  <c r="AF1118" i="2"/>
  <c r="AF1117" i="2"/>
  <c r="AF1116" i="2"/>
  <c r="AF1113" i="2"/>
  <c r="AF1112" i="2"/>
  <c r="AF1111" i="2"/>
  <c r="AF1110" i="2"/>
  <c r="AF1109" i="2"/>
  <c r="AF1107" i="2"/>
  <c r="AF1106" i="2"/>
  <c r="AF1105" i="2"/>
  <c r="AF1104" i="2"/>
  <c r="AF1103" i="2"/>
  <c r="AF1101" i="2"/>
  <c r="AF1100" i="2"/>
  <c r="AF1099" i="2"/>
  <c r="AF1098" i="2"/>
  <c r="AF1097" i="2"/>
  <c r="AF1095" i="2"/>
  <c r="AF1094" i="2"/>
  <c r="AF1093" i="2"/>
  <c r="AF1092" i="2"/>
  <c r="AF1091" i="2"/>
  <c r="AF1089" i="2"/>
  <c r="AF1088" i="2"/>
  <c r="AF1087" i="2"/>
  <c r="AF1086" i="2"/>
  <c r="AF1083" i="2"/>
  <c r="AF1082" i="2"/>
  <c r="AF1081" i="2"/>
  <c r="AF1080" i="2"/>
  <c r="AF1079" i="2"/>
  <c r="AF1077" i="2"/>
  <c r="AF1076" i="2"/>
  <c r="AF1075" i="2"/>
  <c r="AF1074" i="2"/>
  <c r="AF1071" i="2"/>
  <c r="AF1070" i="2"/>
  <c r="AF1069" i="2"/>
  <c r="AF1068" i="2"/>
  <c r="AF1065" i="2"/>
  <c r="AF1064" i="2"/>
  <c r="AF1063" i="2"/>
  <c r="AF1062" i="2"/>
  <c r="AF1061" i="2"/>
  <c r="AF1059" i="2"/>
  <c r="AF1058" i="2"/>
  <c r="AF1057" i="2"/>
  <c r="AF1056" i="2"/>
  <c r="AF1053" i="2"/>
  <c r="AF1052" i="2"/>
  <c r="AF1051" i="2"/>
  <c r="AF1050" i="2"/>
  <c r="AF1049" i="2"/>
  <c r="AF1047" i="2"/>
  <c r="AF1046" i="2"/>
  <c r="AF1045" i="2"/>
  <c r="AF1044" i="2"/>
  <c r="AF1043" i="2"/>
  <c r="AF1041" i="2"/>
  <c r="AF1040" i="2"/>
  <c r="AF1039" i="2"/>
  <c r="AF1038" i="2"/>
  <c r="AF1037" i="2"/>
  <c r="AF1035" i="2"/>
  <c r="AF1034" i="2"/>
  <c r="AF1033" i="2"/>
  <c r="AF1032" i="2"/>
  <c r="AF1029" i="2"/>
  <c r="AF1028" i="2"/>
  <c r="AF1027" i="2"/>
  <c r="AF1026" i="2"/>
  <c r="AF1023" i="2"/>
  <c r="AF1022" i="2"/>
  <c r="AF1021" i="2"/>
  <c r="AF1020" i="2"/>
  <c r="AF1017" i="2"/>
  <c r="AF1016" i="2"/>
  <c r="AF1015" i="2"/>
  <c r="AF1014" i="2"/>
  <c r="AF1011" i="2"/>
  <c r="AF1010" i="2"/>
  <c r="AF1009" i="2"/>
  <c r="AF1008" i="2"/>
  <c r="AF1007" i="2"/>
  <c r="AF1005" i="2"/>
  <c r="AF1004" i="2"/>
  <c r="AF1003" i="2"/>
  <c r="AF1002" i="2"/>
  <c r="AF1001" i="2"/>
  <c r="AF999" i="2"/>
  <c r="AF998" i="2"/>
  <c r="AF997" i="2"/>
  <c r="AF996" i="2"/>
  <c r="AF995" i="2"/>
  <c r="AF993" i="2"/>
  <c r="AF992" i="2"/>
  <c r="AF991" i="2"/>
  <c r="AF990" i="2"/>
  <c r="AF987" i="2"/>
  <c r="AF986" i="2"/>
  <c r="AF985" i="2"/>
  <c r="AF984" i="2"/>
  <c r="AF981" i="2"/>
  <c r="AF980" i="2"/>
  <c r="AF979" i="2"/>
  <c r="AF978" i="2"/>
  <c r="AF977" i="2"/>
  <c r="AF975" i="2"/>
  <c r="AF974" i="2"/>
  <c r="AF973" i="2"/>
  <c r="AF972" i="2"/>
  <c r="AF969" i="2"/>
  <c r="AF968" i="2"/>
  <c r="AF967" i="2"/>
  <c r="AF966" i="2"/>
  <c r="AF965" i="2"/>
  <c r="AF963" i="2"/>
  <c r="AF962" i="2"/>
  <c r="AF961" i="2"/>
  <c r="AF960" i="2"/>
  <c r="AF959" i="2"/>
  <c r="AF957" i="2"/>
  <c r="AF956" i="2"/>
  <c r="AF955" i="2"/>
  <c r="AF954" i="2"/>
  <c r="AF953" i="2"/>
  <c r="AF951" i="2"/>
  <c r="AF950" i="2"/>
  <c r="AF949" i="2"/>
  <c r="AF948" i="2"/>
  <c r="AF947" i="2"/>
  <c r="AF945" i="2"/>
  <c r="AF944" i="2"/>
  <c r="AF943" i="2"/>
  <c r="AF942" i="2"/>
  <c r="AF939" i="2"/>
  <c r="AF938" i="2"/>
  <c r="AF937" i="2"/>
  <c r="AF936" i="2"/>
  <c r="AF935" i="2"/>
  <c r="AF933" i="2"/>
  <c r="AF932" i="2"/>
  <c r="AF931" i="2"/>
  <c r="AF930" i="2"/>
  <c r="AF927" i="2"/>
  <c r="AF926" i="2"/>
  <c r="AF925" i="2"/>
  <c r="AF924" i="2"/>
  <c r="AF921" i="2"/>
  <c r="AF920" i="2"/>
  <c r="AF919" i="2"/>
  <c r="AF918" i="2"/>
  <c r="AF917" i="2"/>
  <c r="AF915" i="2"/>
  <c r="AF914" i="2"/>
  <c r="AF913" i="2"/>
  <c r="AF912" i="2"/>
  <c r="AF909" i="2"/>
  <c r="AF908" i="2"/>
  <c r="AF907" i="2"/>
  <c r="AF906" i="2"/>
  <c r="AF905" i="2"/>
  <c r="AF903" i="2"/>
  <c r="AF902" i="2"/>
  <c r="AF901" i="2"/>
  <c r="AF900" i="2"/>
  <c r="AF897" i="2"/>
  <c r="AF896" i="2"/>
  <c r="AF895" i="2"/>
  <c r="AF894" i="2"/>
  <c r="AF891" i="2"/>
  <c r="AF890" i="2"/>
  <c r="AF889" i="2"/>
  <c r="AF888" i="2"/>
  <c r="AF885" i="2"/>
  <c r="AF884" i="2"/>
  <c r="AF883" i="2"/>
  <c r="AF882" i="2"/>
  <c r="AF879" i="2"/>
  <c r="AF878" i="2"/>
  <c r="AF877" i="2"/>
  <c r="AF876" i="2"/>
  <c r="AF873" i="2"/>
  <c r="AF872" i="2"/>
  <c r="AF871" i="2"/>
  <c r="AF870" i="2"/>
  <c r="AF867" i="2"/>
  <c r="AF866" i="2"/>
  <c r="AF865" i="2"/>
  <c r="AF864" i="2"/>
  <c r="AF861" i="2"/>
  <c r="AF860" i="2"/>
  <c r="AF859" i="2"/>
  <c r="AF858" i="2"/>
  <c r="AF855" i="2"/>
  <c r="AF854" i="2"/>
  <c r="AF853" i="2"/>
  <c r="AF852" i="2"/>
  <c r="AF849" i="2"/>
  <c r="AF848" i="2"/>
  <c r="AF847" i="2"/>
  <c r="AF846" i="2"/>
  <c r="AF843" i="2"/>
  <c r="AF842" i="2"/>
  <c r="AF841" i="2"/>
  <c r="AF840" i="2"/>
  <c r="AF837" i="2"/>
  <c r="AF836" i="2"/>
  <c r="AF835" i="2"/>
  <c r="AF834" i="2"/>
  <c r="AF831" i="2"/>
  <c r="AF830" i="2"/>
  <c r="AF829" i="2"/>
  <c r="AF828" i="2"/>
  <c r="AF825" i="2"/>
  <c r="AF824" i="2"/>
  <c r="AF823" i="2"/>
  <c r="AF822" i="2"/>
  <c r="AF819" i="2"/>
  <c r="AF818" i="2"/>
  <c r="AF817" i="2"/>
  <c r="AF816" i="2"/>
  <c r="AF813" i="2"/>
  <c r="AF812" i="2"/>
  <c r="AF811" i="2"/>
  <c r="AF810" i="2"/>
  <c r="AF807" i="2"/>
  <c r="AF806" i="2"/>
  <c r="AF805" i="2"/>
  <c r="AF804" i="2"/>
  <c r="AF801" i="2"/>
  <c r="AF800" i="2"/>
  <c r="AF799" i="2"/>
  <c r="AF798" i="2"/>
  <c r="AF795" i="2"/>
  <c r="AF794" i="2"/>
  <c r="AF793" i="2"/>
  <c r="AF792" i="2"/>
  <c r="AF789" i="2"/>
  <c r="AF788" i="2"/>
  <c r="AF787" i="2"/>
  <c r="AF786" i="2"/>
  <c r="AF783" i="2"/>
  <c r="AF782" i="2"/>
  <c r="AF781" i="2"/>
  <c r="AF780" i="2"/>
  <c r="AF777" i="2"/>
  <c r="AF776" i="2"/>
  <c r="AF775" i="2"/>
  <c r="AF774" i="2"/>
  <c r="AF771" i="2"/>
  <c r="AF770" i="2"/>
  <c r="AF769" i="2"/>
  <c r="AF768" i="2"/>
  <c r="AF765" i="2"/>
  <c r="AF764" i="2"/>
  <c r="AF763" i="2"/>
  <c r="AF762" i="2"/>
  <c r="AF759" i="2"/>
  <c r="AF758" i="2"/>
  <c r="AF757" i="2"/>
  <c r="AF756" i="2"/>
  <c r="AF753" i="2"/>
  <c r="AF752" i="2"/>
  <c r="AF751" i="2"/>
  <c r="AF750" i="2"/>
  <c r="AF747" i="2"/>
  <c r="AF746" i="2"/>
  <c r="AF745" i="2"/>
  <c r="AF744" i="2"/>
  <c r="AF741" i="2"/>
  <c r="AF740" i="2"/>
  <c r="AF739" i="2"/>
  <c r="AF738" i="2"/>
  <c r="AF735" i="2"/>
  <c r="AF734" i="2"/>
  <c r="AF733" i="2"/>
  <c r="AF732" i="2"/>
  <c r="AF729" i="2"/>
  <c r="AF728" i="2"/>
  <c r="AF727" i="2"/>
  <c r="AF726" i="2"/>
  <c r="AF723" i="2"/>
  <c r="AF722" i="2"/>
  <c r="AF721" i="2"/>
  <c r="AF720" i="2"/>
  <c r="AF717" i="2"/>
  <c r="AF716" i="2"/>
  <c r="AF715" i="2"/>
  <c r="AF714" i="2"/>
  <c r="AF711" i="2"/>
  <c r="AF709" i="2"/>
  <c r="AF708" i="2"/>
  <c r="AF706" i="2"/>
  <c r="AF705" i="2"/>
  <c r="AF704" i="2"/>
  <c r="AF703" i="2"/>
  <c r="AF702" i="2"/>
  <c r="AF700" i="2"/>
  <c r="AF699" i="2"/>
  <c r="AF698" i="2"/>
  <c r="AF697" i="2"/>
  <c r="AF696" i="2"/>
  <c r="AF694" i="2"/>
  <c r="AF693" i="2"/>
  <c r="AF692" i="2"/>
  <c r="AF691" i="2"/>
  <c r="AF690" i="2"/>
  <c r="AF688" i="2"/>
  <c r="AF687" i="2"/>
  <c r="AF686" i="2"/>
  <c r="AF685" i="2"/>
  <c r="AF684" i="2"/>
  <c r="AF682" i="2"/>
  <c r="AF681" i="2"/>
  <c r="AF680" i="2"/>
  <c r="AF679" i="2"/>
  <c r="AF678" i="2"/>
  <c r="AF676" i="2"/>
  <c r="AF675" i="2"/>
  <c r="AF674" i="2"/>
  <c r="AF673" i="2"/>
  <c r="AF672" i="2"/>
  <c r="AF670" i="2"/>
  <c r="AF669" i="2"/>
  <c r="AF668" i="2"/>
  <c r="AF667" i="2"/>
  <c r="AF666" i="2"/>
  <c r="AF664" i="2"/>
  <c r="AF663" i="2"/>
  <c r="AF662" i="2"/>
  <c r="AF661" i="2"/>
  <c r="AF660" i="2"/>
  <c r="AF658" i="2"/>
  <c r="AF657" i="2"/>
  <c r="AF656" i="2"/>
  <c r="AF655" i="2"/>
  <c r="AF654" i="2"/>
  <c r="AF652" i="2"/>
  <c r="AF651" i="2"/>
  <c r="AF650" i="2"/>
  <c r="AF649" i="2"/>
  <c r="AF648" i="2"/>
  <c r="AF646" i="2"/>
  <c r="AF645" i="2"/>
  <c r="AF644" i="2"/>
  <c r="AF643" i="2"/>
  <c r="AF642" i="2"/>
  <c r="AF640" i="2"/>
  <c r="AF639" i="2"/>
  <c r="AF638" i="2"/>
  <c r="AF637" i="2"/>
  <c r="AF636" i="2"/>
  <c r="AF634" i="2"/>
  <c r="AF633" i="2"/>
  <c r="AF632" i="2"/>
  <c r="AF631" i="2"/>
  <c r="AF630" i="2"/>
  <c r="AF628" i="2"/>
  <c r="AF627" i="2"/>
  <c r="AF626" i="2"/>
  <c r="AF625" i="2"/>
  <c r="AF624" i="2"/>
  <c r="AF622" i="2"/>
  <c r="AF621" i="2"/>
  <c r="AF620" i="2"/>
  <c r="AF619" i="2"/>
  <c r="AF618" i="2"/>
  <c r="AF616" i="2"/>
  <c r="AF615" i="2"/>
  <c r="AF614" i="2"/>
  <c r="AF613" i="2"/>
  <c r="AF612" i="2"/>
  <c r="AF610" i="2"/>
  <c r="AF609" i="2"/>
  <c r="AF608" i="2"/>
  <c r="AF607" i="2"/>
  <c r="AF606" i="2"/>
  <c r="AF604" i="2"/>
  <c r="AF603" i="2"/>
  <c r="AF602" i="2"/>
  <c r="AF601" i="2"/>
  <c r="AF600" i="2"/>
  <c r="AF598" i="2"/>
  <c r="AF597" i="2"/>
  <c r="AF596" i="2"/>
  <c r="AF595" i="2"/>
  <c r="AF594" i="2"/>
  <c r="AF592" i="2"/>
  <c r="AF591" i="2"/>
  <c r="AF590" i="2"/>
  <c r="AF589" i="2"/>
  <c r="AF588" i="2"/>
  <c r="AF586" i="2"/>
  <c r="AF585" i="2"/>
  <c r="AF584" i="2"/>
  <c r="AF583" i="2"/>
  <c r="AF582" i="2"/>
  <c r="AF580" i="2"/>
  <c r="AF579" i="2"/>
  <c r="AF578" i="2"/>
  <c r="AF577" i="2"/>
  <c r="AF576" i="2"/>
  <c r="AF574" i="2"/>
  <c r="AF573" i="2"/>
  <c r="AF572" i="2"/>
  <c r="AF571" i="2"/>
  <c r="AF570" i="2"/>
  <c r="AF568" i="2"/>
  <c r="AF567" i="2"/>
  <c r="AF566" i="2"/>
  <c r="AF565" i="2"/>
  <c r="AF564" i="2"/>
  <c r="AF562" i="2"/>
  <c r="AF561" i="2"/>
  <c r="AF560" i="2"/>
  <c r="AF559" i="2"/>
  <c r="AF558" i="2"/>
  <c r="AF556" i="2"/>
  <c r="AF555" i="2"/>
  <c r="AF554" i="2"/>
  <c r="AF553" i="2"/>
  <c r="AF552" i="2"/>
  <c r="AF550" i="2"/>
  <c r="AF549" i="2"/>
  <c r="AF548" i="2"/>
  <c r="AF547" i="2"/>
  <c r="AF546" i="2"/>
  <c r="AF544" i="2"/>
  <c r="AF543" i="2"/>
  <c r="AF542" i="2"/>
  <c r="AF541" i="2"/>
  <c r="AF540" i="2"/>
  <c r="AF538" i="2"/>
  <c r="AF537" i="2"/>
  <c r="AF536" i="2"/>
  <c r="AF535" i="2"/>
  <c r="AF534" i="2"/>
  <c r="AF532" i="2"/>
  <c r="AF531" i="2"/>
  <c r="AF530" i="2"/>
  <c r="AF529" i="2"/>
  <c r="AF528" i="2"/>
  <c r="AF526" i="2"/>
  <c r="AF525" i="2"/>
  <c r="AF524" i="2"/>
  <c r="AF523" i="2"/>
  <c r="AF522" i="2"/>
  <c r="AF520" i="2"/>
  <c r="AF519" i="2"/>
  <c r="AF518" i="2"/>
  <c r="AF517" i="2"/>
  <c r="AF516" i="2"/>
  <c r="AF514" i="2"/>
  <c r="AF513" i="2"/>
  <c r="AF512" i="2"/>
  <c r="AF511" i="2"/>
  <c r="AF510" i="2"/>
  <c r="AF508" i="2"/>
  <c r="AF507" i="2"/>
  <c r="AF506" i="2"/>
  <c r="AF505" i="2"/>
  <c r="AF504" i="2"/>
  <c r="AF502" i="2"/>
  <c r="AF501" i="2"/>
  <c r="AF500" i="2"/>
  <c r="AF499" i="2"/>
  <c r="AF498" i="2"/>
  <c r="AF496" i="2"/>
  <c r="AF495" i="2"/>
  <c r="AF494" i="2"/>
  <c r="AF493" i="2"/>
  <c r="AF492" i="2"/>
  <c r="AF490" i="2"/>
  <c r="AF489" i="2"/>
  <c r="AF488" i="2"/>
  <c r="AF487" i="2"/>
  <c r="AF486" i="2"/>
  <c r="AF484" i="2"/>
  <c r="AF483" i="2"/>
  <c r="AF482" i="2"/>
  <c r="AF481" i="2"/>
  <c r="AF480" i="2"/>
  <c r="AF478" i="2"/>
  <c r="AF477" i="2"/>
  <c r="AF476" i="2"/>
  <c r="AF475" i="2"/>
  <c r="AF474" i="2"/>
  <c r="AF473" i="2"/>
  <c r="AF472" i="2"/>
  <c r="AF471" i="2"/>
  <c r="AF470" i="2"/>
  <c r="AF469" i="2"/>
  <c r="AF468" i="2"/>
  <c r="AF467" i="2"/>
  <c r="AF466" i="2"/>
  <c r="AF465" i="2"/>
  <c r="AF464" i="2"/>
  <c r="AF463" i="2"/>
  <c r="AF462" i="2"/>
  <c r="AF461" i="2"/>
  <c r="AF460" i="2"/>
  <c r="AF459" i="2"/>
  <c r="AF458" i="2"/>
  <c r="AF457" i="2"/>
  <c r="AF456" i="2"/>
  <c r="AF455" i="2"/>
  <c r="AF454" i="2"/>
  <c r="AF453" i="2"/>
  <c r="AF452" i="2"/>
  <c r="AF451" i="2"/>
  <c r="AF450" i="2"/>
  <c r="AF449" i="2"/>
  <c r="AF448" i="2"/>
  <c r="AF447" i="2"/>
  <c r="AF446" i="2"/>
  <c r="AF445" i="2"/>
  <c r="AF444" i="2"/>
  <c r="AF443" i="2"/>
  <c r="AF442" i="2"/>
  <c r="AF441" i="2"/>
  <c r="AF440" i="2"/>
  <c r="AF439" i="2"/>
  <c r="AF438" i="2"/>
  <c r="AF437" i="2"/>
  <c r="AF436" i="2"/>
  <c r="AF435" i="2"/>
  <c r="AF434" i="2"/>
  <c r="AF433" i="2"/>
  <c r="AF432" i="2"/>
  <c r="AF431" i="2"/>
  <c r="AF430" i="2"/>
  <c r="AF429" i="2"/>
  <c r="AF428" i="2"/>
  <c r="AF427" i="2"/>
  <c r="AF426" i="2"/>
  <c r="AF425" i="2"/>
  <c r="AF424" i="2"/>
  <c r="AF423" i="2"/>
  <c r="AF422" i="2"/>
  <c r="AF421" i="2"/>
  <c r="AF420" i="2"/>
  <c r="AF419" i="2"/>
  <c r="AF418" i="2"/>
  <c r="AF417" i="2"/>
  <c r="AF416" i="2"/>
  <c r="AF415" i="2"/>
  <c r="AF414" i="2"/>
  <c r="AF413" i="2"/>
  <c r="AF412" i="2"/>
  <c r="AF411" i="2"/>
  <c r="AF410" i="2"/>
  <c r="AF409" i="2"/>
  <c r="AF408" i="2"/>
  <c r="AF407" i="2"/>
  <c r="AF406" i="2"/>
  <c r="AF405" i="2"/>
  <c r="AF404" i="2"/>
  <c r="AF403" i="2"/>
  <c r="AF402" i="2"/>
  <c r="AF401" i="2"/>
  <c r="AF400" i="2"/>
  <c r="AF399" i="2"/>
  <c r="AF398" i="2"/>
  <c r="AF397" i="2"/>
  <c r="AF396" i="2"/>
  <c r="AF395" i="2"/>
  <c r="AF394" i="2"/>
  <c r="AF393" i="2"/>
  <c r="AF392" i="2"/>
  <c r="AF391" i="2"/>
  <c r="AF390" i="2"/>
  <c r="AF389" i="2"/>
  <c r="AF388" i="2"/>
  <c r="AF386" i="2"/>
  <c r="AF385" i="2"/>
  <c r="AF384" i="2"/>
  <c r="AF383" i="2"/>
  <c r="AF382" i="2"/>
  <c r="AF381" i="2"/>
  <c r="AF380" i="2"/>
  <c r="AF379" i="2"/>
  <c r="AF378" i="2"/>
  <c r="AF377" i="2"/>
  <c r="AF376" i="2"/>
  <c r="AF375" i="2"/>
  <c r="AF374" i="2"/>
  <c r="AF373" i="2"/>
  <c r="AF372" i="2"/>
  <c r="AF371" i="2"/>
  <c r="AF370" i="2"/>
  <c r="AF369" i="2"/>
  <c r="AF368" i="2"/>
  <c r="AF367" i="2"/>
  <c r="AF366" i="2"/>
  <c r="AF365" i="2"/>
  <c r="AF364" i="2"/>
  <c r="AF363" i="2"/>
  <c r="AF362" i="2"/>
  <c r="AF361" i="2"/>
  <c r="AF360" i="2"/>
  <c r="AF359" i="2"/>
  <c r="AF358" i="2"/>
  <c r="AF357" i="2"/>
  <c r="AF356" i="2"/>
  <c r="AF355" i="2"/>
  <c r="AF354" i="2"/>
  <c r="AF353" i="2"/>
  <c r="AF352" i="2"/>
  <c r="AF351" i="2"/>
  <c r="AF350" i="2"/>
  <c r="AF349" i="2"/>
  <c r="AF348" i="2"/>
  <c r="AF347" i="2"/>
  <c r="AF346" i="2"/>
  <c r="AF345" i="2"/>
  <c r="AF344" i="2"/>
  <c r="AF343" i="2"/>
  <c r="AF342" i="2"/>
  <c r="AF341" i="2"/>
  <c r="AF340" i="2"/>
  <c r="AF339" i="2"/>
  <c r="AF338" i="2"/>
  <c r="AF337" i="2"/>
  <c r="AF336" i="2"/>
  <c r="AF335" i="2"/>
  <c r="AF334" i="2"/>
  <c r="AF333" i="2"/>
  <c r="AF332" i="2"/>
  <c r="AF331" i="2"/>
  <c r="AF330" i="2"/>
  <c r="AF329" i="2"/>
  <c r="AF328" i="2"/>
  <c r="AF327" i="2"/>
  <c r="AF326" i="2"/>
  <c r="AF325" i="2"/>
  <c r="AF324" i="2"/>
  <c r="AF323" i="2"/>
  <c r="AF322" i="2"/>
  <c r="AF321" i="2"/>
  <c r="AF320" i="2"/>
  <c r="AF319" i="2"/>
  <c r="AF318" i="2"/>
  <c r="AF317" i="2"/>
  <c r="AF316" i="2"/>
  <c r="AF315" i="2"/>
  <c r="AF314" i="2"/>
  <c r="AF313" i="2"/>
  <c r="AF312" i="2"/>
  <c r="AF311" i="2"/>
  <c r="AF310" i="2"/>
  <c r="AF309" i="2"/>
  <c r="AF308" i="2"/>
  <c r="AF307" i="2"/>
  <c r="AF306" i="2"/>
  <c r="AF305" i="2"/>
  <c r="AF304" i="2"/>
  <c r="AF303" i="2"/>
  <c r="AF302" i="2"/>
  <c r="AF301" i="2"/>
  <c r="AF300" i="2"/>
  <c r="AF299" i="2"/>
  <c r="AF298" i="2"/>
  <c r="AF297" i="2"/>
  <c r="AF296" i="2"/>
  <c r="AF295" i="2"/>
  <c r="AF294" i="2"/>
  <c r="AF293" i="2"/>
  <c r="AF292" i="2"/>
  <c r="AF291" i="2"/>
  <c r="AF290" i="2"/>
  <c r="AF289" i="2"/>
  <c r="AF288" i="2"/>
  <c r="AF287" i="2"/>
  <c r="AF286" i="2"/>
  <c r="AF285" i="2"/>
  <c r="AF284" i="2"/>
  <c r="AF283" i="2"/>
  <c r="AF282" i="2"/>
  <c r="AF281" i="2"/>
  <c r="AF280" i="2"/>
  <c r="AF279" i="2"/>
  <c r="AF278" i="2"/>
  <c r="AF277" i="2"/>
  <c r="AF276" i="2"/>
  <c r="AF275" i="2"/>
  <c r="AF274" i="2"/>
  <c r="AF273" i="2"/>
  <c r="AF272" i="2"/>
  <c r="AF271" i="2"/>
  <c r="AF270" i="2"/>
  <c r="AF269" i="2"/>
  <c r="AF268" i="2"/>
  <c r="AF267" i="2"/>
  <c r="AF266" i="2"/>
  <c r="AF265" i="2"/>
  <c r="AF264" i="2"/>
  <c r="AF263" i="2"/>
  <c r="AF262" i="2"/>
  <c r="AF261" i="2"/>
  <c r="AF260" i="2"/>
  <c r="AF259" i="2"/>
  <c r="AF258" i="2"/>
  <c r="AF257" i="2"/>
  <c r="AF256" i="2"/>
  <c r="AF255" i="2"/>
  <c r="AF254" i="2"/>
  <c r="AF253" i="2"/>
  <c r="AF252" i="2"/>
  <c r="AF251" i="2"/>
  <c r="AF250" i="2"/>
  <c r="AF249" i="2"/>
  <c r="AF248" i="2"/>
  <c r="AF247" i="2"/>
  <c r="AF246" i="2"/>
  <c r="AF245" i="2"/>
  <c r="AF244" i="2"/>
  <c r="AF243" i="2"/>
  <c r="AF242" i="2"/>
  <c r="AF241" i="2"/>
  <c r="AF240" i="2"/>
  <c r="AF239" i="2"/>
  <c r="AF238" i="2"/>
  <c r="AF237" i="2"/>
  <c r="AF236" i="2"/>
  <c r="AF235" i="2"/>
  <c r="AF234" i="2"/>
  <c r="AF233" i="2"/>
  <c r="AF232" i="2"/>
  <c r="AF231" i="2"/>
  <c r="AF230" i="2"/>
  <c r="AF229" i="2"/>
  <c r="AF228" i="2"/>
  <c r="AF227" i="2"/>
  <c r="AF226" i="2"/>
  <c r="AF225" i="2"/>
  <c r="AF224" i="2"/>
  <c r="AF223" i="2"/>
  <c r="AF222" i="2"/>
  <c r="AF221" i="2"/>
  <c r="AF219" i="2"/>
  <c r="AF218" i="2"/>
  <c r="AF217" i="2"/>
  <c r="AF216" i="2"/>
  <c r="AF215" i="2"/>
  <c r="AF213" i="2"/>
  <c r="AF212" i="2"/>
  <c r="AF211" i="2"/>
  <c r="AF210" i="2"/>
  <c r="AF209" i="2"/>
  <c r="AF207" i="2"/>
  <c r="AF206" i="2"/>
  <c r="AF205" i="2"/>
  <c r="AF204" i="2"/>
  <c r="AF203" i="2"/>
  <c r="AF201" i="2"/>
  <c r="AF200" i="2"/>
  <c r="AF199" i="2"/>
  <c r="AF198" i="2"/>
  <c r="AF197" i="2"/>
  <c r="AF195" i="2"/>
  <c r="AF194" i="2"/>
  <c r="AF193" i="2"/>
  <c r="AF192" i="2"/>
  <c r="AF191" i="2"/>
  <c r="AF189" i="2"/>
  <c r="AF188" i="2"/>
  <c r="AF187" i="2"/>
  <c r="AF186" i="2"/>
  <c r="AF185" i="2"/>
  <c r="AF183" i="2"/>
  <c r="AF182" i="2"/>
  <c r="AF181" i="2"/>
  <c r="AF180" i="2"/>
  <c r="AF179" i="2"/>
  <c r="AF178" i="2"/>
  <c r="AF177" i="2"/>
  <c r="AF176" i="2"/>
  <c r="AF175" i="2"/>
  <c r="AF174" i="2"/>
  <c r="AF173" i="2"/>
  <c r="AF171" i="2"/>
  <c r="AF170" i="2"/>
  <c r="AF169" i="2"/>
  <c r="AF168" i="2"/>
  <c r="AF167" i="2"/>
  <c r="AF165" i="2"/>
  <c r="AF164" i="2"/>
  <c r="AF163" i="2"/>
  <c r="AF162" i="2"/>
  <c r="AF161" i="2"/>
  <c r="AF159" i="2"/>
  <c r="AF158" i="2"/>
  <c r="AF157" i="2"/>
  <c r="AF156" i="2"/>
  <c r="AF155" i="2"/>
  <c r="AF153" i="2"/>
  <c r="AF152" i="2"/>
  <c r="AF151" i="2"/>
  <c r="AF150" i="2"/>
  <c r="AF149" i="2"/>
  <c r="AF147" i="2"/>
  <c r="AF146" i="2"/>
  <c r="AF145" i="2"/>
  <c r="AF144" i="2"/>
  <c r="AF143" i="2"/>
  <c r="AF141" i="2"/>
  <c r="AF140" i="2"/>
  <c r="AF139" i="2"/>
  <c r="AF138" i="2"/>
  <c r="AF137" i="2"/>
  <c r="AF135" i="2"/>
  <c r="AF134" i="2"/>
  <c r="AF133" i="2"/>
  <c r="AF132" i="2"/>
  <c r="AF131" i="2"/>
  <c r="AF129" i="2"/>
  <c r="AF128" i="2"/>
  <c r="AF127" i="2"/>
  <c r="AF126" i="2"/>
  <c r="AF125" i="2"/>
  <c r="AF123" i="2"/>
  <c r="AF122" i="2"/>
  <c r="AF121" i="2"/>
  <c r="AF120" i="2"/>
  <c r="AF119" i="2"/>
  <c r="AF117" i="2"/>
  <c r="AF116" i="2"/>
  <c r="AF115" i="2"/>
  <c r="AF114" i="2"/>
  <c r="AF113" i="2"/>
  <c r="AF111" i="2"/>
  <c r="AF110" i="2"/>
  <c r="AF109" i="2"/>
  <c r="AF108" i="2"/>
  <c r="AF107" i="2"/>
  <c r="AF105" i="2"/>
  <c r="AF104" i="2"/>
  <c r="AF103" i="2"/>
  <c r="AF102" i="2"/>
  <c r="AF101" i="2"/>
  <c r="AF99" i="2"/>
  <c r="AF98" i="2"/>
  <c r="AF97" i="2"/>
  <c r="AF96" i="2"/>
  <c r="AF95" i="2"/>
  <c r="AF93" i="2"/>
  <c r="AF92" i="2"/>
  <c r="AF91" i="2"/>
  <c r="AF90" i="2"/>
  <c r="AF89" i="2"/>
  <c r="AF87" i="2"/>
  <c r="AF86" i="2"/>
  <c r="AF85" i="2"/>
  <c r="AF84" i="2"/>
  <c r="AF83" i="2"/>
  <c r="AF81" i="2"/>
  <c r="AF80" i="2"/>
  <c r="AF79" i="2"/>
  <c r="AF78" i="2"/>
  <c r="AF77" i="2"/>
  <c r="AF75" i="2"/>
  <c r="AF74" i="2"/>
  <c r="AF73" i="2"/>
  <c r="AF72" i="2"/>
  <c r="AF71" i="2"/>
  <c r="AF69" i="2"/>
  <c r="AF68" i="2"/>
  <c r="AF67" i="2"/>
  <c r="AF66" i="2"/>
  <c r="AF65" i="2"/>
  <c r="AF63" i="2"/>
  <c r="AF62" i="2"/>
  <c r="AF61" i="2"/>
  <c r="AF60" i="2"/>
  <c r="AF59" i="2"/>
  <c r="AF57" i="2"/>
  <c r="AF56" i="2"/>
  <c r="AF55" i="2"/>
  <c r="AF54" i="2"/>
  <c r="AF53" i="2"/>
  <c r="AF51" i="2"/>
  <c r="AF50" i="2"/>
  <c r="AF49" i="2"/>
  <c r="AF48" i="2"/>
  <c r="AF47" i="2"/>
  <c r="AF45" i="2"/>
  <c r="AF44" i="2"/>
  <c r="AF43" i="2"/>
  <c r="AF42" i="2"/>
  <c r="AF41" i="2"/>
  <c r="AF39" i="2"/>
  <c r="AF38" i="2"/>
  <c r="AF37" i="2"/>
  <c r="AF36" i="2"/>
  <c r="AF35" i="2"/>
  <c r="AF34" i="2"/>
  <c r="AF33" i="2"/>
  <c r="AF32" i="2"/>
  <c r="AF31" i="2"/>
  <c r="AF30" i="2"/>
  <c r="AF29" i="2"/>
  <c r="AF27" i="2"/>
  <c r="AF26" i="2"/>
  <c r="AF25" i="2"/>
  <c r="AF24" i="2"/>
  <c r="AF23" i="2"/>
  <c r="AF21" i="2"/>
  <c r="AF20" i="2"/>
  <c r="AF19" i="2"/>
  <c r="AF18" i="2"/>
  <c r="AF17" i="2"/>
  <c r="AF15" i="2"/>
  <c r="AF14" i="2"/>
  <c r="AF13" i="2"/>
  <c r="AF12" i="2"/>
  <c r="AF11" i="2"/>
  <c r="AF9" i="2"/>
  <c r="AF8" i="2"/>
  <c r="AF7" i="2"/>
  <c r="AF6" i="2"/>
  <c r="AF5" i="2"/>
  <c r="AF3" i="2"/>
  <c r="AF2" i="2"/>
  <c r="D86" i="1"/>
  <c r="D88" i="1"/>
  <c r="D89" i="1"/>
  <c r="D90" i="1"/>
  <c r="D91" i="1"/>
  <c r="D93" i="1"/>
  <c r="D95" i="1"/>
  <c r="D96" i="1"/>
  <c r="D97" i="1"/>
  <c r="D101" i="1"/>
  <c r="D102" i="1"/>
  <c r="D103" i="1"/>
  <c r="D104" i="1"/>
  <c r="D105" i="1"/>
  <c r="D106" i="1"/>
  <c r="D108" i="1"/>
  <c r="D109" i="1"/>
  <c r="D113" i="1"/>
  <c r="D114" i="1"/>
  <c r="D115" i="1"/>
  <c r="D117" i="1"/>
  <c r="D119" i="1"/>
  <c r="D121" i="1"/>
  <c r="D123" i="1"/>
  <c r="D125" i="1"/>
  <c r="D127" i="1"/>
  <c r="D128" i="1"/>
  <c r="D132" i="1"/>
  <c r="D133" i="1"/>
  <c r="D134" i="1"/>
  <c r="D136" i="1"/>
  <c r="D137" i="1"/>
  <c r="D139" i="1"/>
  <c r="D140" i="1"/>
  <c r="D141" i="1"/>
  <c r="D142" i="1"/>
  <c r="D143" i="1"/>
  <c r="D144" i="1"/>
  <c r="D146" i="1"/>
  <c r="D147" i="1"/>
  <c r="D149" i="1"/>
  <c r="D151" i="1"/>
  <c r="D152" i="1"/>
  <c r="D153" i="1"/>
  <c r="D156" i="1"/>
  <c r="D158" i="1"/>
  <c r="D159" i="1"/>
  <c r="D160" i="1"/>
  <c r="D163" i="1"/>
  <c r="D164" i="1"/>
  <c r="D165" i="1"/>
  <c r="D166" i="1"/>
  <c r="D167" i="1"/>
  <c r="D168" i="1"/>
  <c r="D169" i="1"/>
  <c r="D170" i="1"/>
  <c r="D171" i="1"/>
  <c r="D172" i="1"/>
  <c r="D173" i="1"/>
  <c r="D174" i="1"/>
  <c r="D177" i="1"/>
  <c r="D183" i="1"/>
  <c r="D190" i="1"/>
  <c r="D191" i="1"/>
  <c r="D192" i="1"/>
  <c r="D193" i="1"/>
  <c r="D198" i="1"/>
  <c r="D199" i="1"/>
  <c r="D205" i="1"/>
  <c r="D206" i="1"/>
  <c r="D207" i="1"/>
  <c r="D208" i="1"/>
  <c r="D209" i="1"/>
  <c r="D210" i="1"/>
  <c r="D215" i="1"/>
  <c r="D218" i="1"/>
  <c r="D219" i="1"/>
  <c r="D220" i="1"/>
  <c r="D221" i="1"/>
  <c r="D222" i="1"/>
  <c r="D223" i="1"/>
  <c r="D224" i="1"/>
  <c r="D225" i="1"/>
  <c r="D226" i="1"/>
  <c r="D227" i="1"/>
  <c r="D233" i="1"/>
  <c r="D239" i="1"/>
  <c r="D240" i="1"/>
  <c r="D246" i="1"/>
  <c r="D248" i="1"/>
  <c r="D250" i="1"/>
  <c r="D252" i="1"/>
  <c r="D253" i="1"/>
  <c r="D254" i="1"/>
  <c r="D255"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4" i="1"/>
  <c r="D285" i="1"/>
  <c r="D287" i="1"/>
  <c r="D289" i="1"/>
  <c r="D290" i="1"/>
  <c r="D291" i="1"/>
  <c r="D293" i="1"/>
  <c r="D294"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70" i="1"/>
  <c r="D375" i="1"/>
  <c r="D380" i="1"/>
  <c r="D382" i="1"/>
  <c r="D383" i="1"/>
  <c r="D384" i="1"/>
  <c r="D386" i="1"/>
  <c r="D387" i="1"/>
  <c r="D389" i="1"/>
  <c r="D391" i="1"/>
  <c r="D392" i="1"/>
  <c r="D393" i="1"/>
  <c r="D394" i="1"/>
  <c r="D395" i="1"/>
  <c r="D396" i="1"/>
  <c r="D398" i="1"/>
  <c r="D400" i="1"/>
  <c r="D402" i="1"/>
  <c r="D403" i="1"/>
  <c r="D405" i="1"/>
  <c r="D406" i="1"/>
  <c r="D408" i="1"/>
  <c r="D409" i="1"/>
  <c r="D410" i="1"/>
  <c r="D412" i="1"/>
  <c r="D415" i="1"/>
  <c r="D419" i="1"/>
  <c r="D420" i="1"/>
  <c r="D422" i="1"/>
  <c r="D423" i="1"/>
  <c r="D424" i="1"/>
  <c r="D425" i="1"/>
  <c r="D427" i="1"/>
  <c r="D428" i="1"/>
  <c r="D430" i="1"/>
  <c r="D432" i="1"/>
  <c r="D434" i="1"/>
  <c r="D435" i="1"/>
  <c r="D436" i="1"/>
  <c r="D438" i="1"/>
  <c r="D440" i="1"/>
  <c r="D441" i="1"/>
  <c r="D443" i="1"/>
  <c r="D445" i="1"/>
  <c r="D446" i="1"/>
  <c r="D447" i="1"/>
  <c r="D449" i="1"/>
  <c r="D453" i="1"/>
  <c r="D458" i="1"/>
  <c r="D459" i="1"/>
  <c r="D460" i="1"/>
  <c r="D461" i="1"/>
  <c r="D463" i="1"/>
  <c r="D465" i="1"/>
  <c r="D467" i="1"/>
  <c r="D468" i="1"/>
  <c r="D469" i="1"/>
  <c r="D471" i="1"/>
  <c r="D472" i="1"/>
  <c r="D473" i="1"/>
  <c r="D474" i="1"/>
  <c r="D475" i="1"/>
  <c r="D476" i="1"/>
  <c r="D478" i="1"/>
  <c r="D479" i="1"/>
  <c r="D481" i="1"/>
  <c r="D482" i="1"/>
  <c r="D483" i="1"/>
  <c r="D485" i="1"/>
  <c r="D486" i="1"/>
  <c r="D487" i="1"/>
  <c r="D488" i="1"/>
  <c r="D489" i="1"/>
  <c r="D491" i="1"/>
  <c r="D494" i="1"/>
  <c r="D495" i="1"/>
  <c r="D496" i="1"/>
  <c r="D497" i="1"/>
  <c r="D498" i="1"/>
  <c r="D499" i="1"/>
  <c r="D501" i="1"/>
  <c r="D502" i="1"/>
  <c r="D503" i="1"/>
  <c r="D504" i="1"/>
  <c r="D506" i="1"/>
  <c r="D507" i="1"/>
  <c r="D509" i="1"/>
  <c r="D510" i="1"/>
  <c r="D511" i="1"/>
  <c r="D513" i="1"/>
  <c r="D514" i="1"/>
  <c r="D516" i="1"/>
  <c r="D517" i="1"/>
  <c r="D518" i="1"/>
  <c r="D519" i="1"/>
  <c r="D521" i="1"/>
  <c r="D522" i="1"/>
  <c r="D523" i="1"/>
  <c r="D524" i="1"/>
  <c r="D526" i="1"/>
  <c r="D527" i="1"/>
  <c r="D529" i="1"/>
  <c r="D537" i="1"/>
  <c r="D541" i="1"/>
  <c r="D543" i="1"/>
  <c r="D545" i="1"/>
  <c r="D547" i="1"/>
  <c r="D548" i="1"/>
  <c r="D555" i="1"/>
  <c r="D562" i="1"/>
  <c r="D563" i="1"/>
  <c r="D564" i="1"/>
  <c r="D565" i="1"/>
  <c r="D566" i="1"/>
  <c r="D567" i="1"/>
  <c r="D578" i="1"/>
  <c r="D579" i="1"/>
  <c r="D580" i="1"/>
  <c r="D588" i="1"/>
  <c r="D597" i="1"/>
  <c r="D598" i="1"/>
  <c r="D599" i="1"/>
  <c r="D600" i="1"/>
  <c r="D602" i="1"/>
  <c r="D603" i="1"/>
  <c r="D605" i="1"/>
  <c r="D606" i="1"/>
  <c r="D607" i="1"/>
  <c r="D608" i="1"/>
  <c r="D609" i="1"/>
  <c r="D610" i="1"/>
  <c r="D611" i="1"/>
  <c r="AF1270" i="2" l="1"/>
  <c r="AF1264" i="2"/>
  <c r="AF1253" i="2"/>
  <c r="AF1289" i="2"/>
  <c r="AF1144" i="2"/>
  <c r="AF1228" i="2"/>
  <c r="AF1276" i="2"/>
  <c r="AF1235" i="2"/>
  <c r="AF1154" i="2"/>
  <c r="AF1160" i="2"/>
  <c r="AF1166" i="2"/>
  <c r="AF1172" i="2"/>
  <c r="AF1178" i="2"/>
  <c r="AF1184" i="2"/>
  <c r="AF1190" i="2"/>
  <c r="AF1196" i="2"/>
  <c r="AF1202" i="2"/>
  <c r="AF1208" i="2"/>
  <c r="AF1214" i="2"/>
  <c r="AF712" i="2"/>
  <c r="AF718" i="2"/>
  <c r="AF724" i="2"/>
  <c r="AF730" i="2"/>
  <c r="AF736" i="2"/>
  <c r="AF742" i="2"/>
  <c r="AF748" i="2"/>
  <c r="AF754" i="2"/>
  <c r="AF760" i="2"/>
  <c r="AF766" i="2"/>
  <c r="AF1288" i="2"/>
  <c r="AF710" i="2"/>
  <c r="AF1124" i="2"/>
  <c r="AF1241" i="2"/>
  <c r="AF1247" i="2"/>
  <c r="AF1265" i="2"/>
  <c r="AF1283" i="2"/>
  <c r="AF1295" i="2"/>
  <c r="AF387" i="2"/>
  <c r="AF1213" i="2"/>
  <c r="AF1019" i="2"/>
  <c r="AF1164" i="2"/>
  <c r="AF1170" i="2"/>
  <c r="AF1176" i="2"/>
  <c r="AF1182" i="2"/>
  <c r="AF1206" i="2"/>
  <c r="AF1212" i="2"/>
  <c r="AF1218" i="2"/>
  <c r="AF1224" i="2"/>
  <c r="AF1230" i="2"/>
  <c r="AF1236" i="2"/>
  <c r="AF1242" i="2"/>
  <c r="AF1248" i="2"/>
  <c r="AF1254" i="2"/>
  <c r="AF772" i="2"/>
  <c r="AF778" i="2"/>
  <c r="AF784" i="2"/>
  <c r="AF790" i="2"/>
  <c r="AF796" i="2"/>
  <c r="AF802" i="2"/>
  <c r="AF808" i="2"/>
  <c r="AF814" i="2"/>
  <c r="AF820" i="2"/>
  <c r="AF826" i="2"/>
  <c r="AF832" i="2"/>
  <c r="AF838" i="2"/>
  <c r="AF844" i="2"/>
  <c r="AF850" i="2"/>
  <c r="AF856" i="2"/>
  <c r="AF862" i="2"/>
  <c r="AF868" i="2"/>
  <c r="AF874" i="2"/>
  <c r="AF880" i="2"/>
  <c r="AF886" i="2"/>
  <c r="AF892" i="2"/>
  <c r="AF898" i="2"/>
  <c r="AF904" i="2"/>
  <c r="AF910" i="2"/>
  <c r="AF916" i="2"/>
  <c r="AF922" i="2"/>
  <c r="AF928" i="2"/>
  <c r="AF934" i="2"/>
  <c r="AF940" i="2"/>
  <c r="AF946" i="2"/>
  <c r="AF952" i="2"/>
  <c r="AF958" i="2"/>
  <c r="AF964" i="2"/>
  <c r="AF970" i="2"/>
  <c r="AF976" i="2"/>
  <c r="AF982" i="2"/>
  <c r="AF988" i="2"/>
  <c r="AF994" i="2"/>
  <c r="AF1000" i="2"/>
  <c r="AF1006" i="2"/>
  <c r="AF1012" i="2"/>
  <c r="AF1018" i="2"/>
  <c r="AF1024" i="2"/>
  <c r="AF1030" i="2"/>
  <c r="AF1036" i="2"/>
  <c r="AF1042" i="2"/>
  <c r="AF1048" i="2"/>
  <c r="AF1054" i="2"/>
  <c r="AF1060" i="2"/>
  <c r="AF1066" i="2"/>
  <c r="AF1072" i="2"/>
  <c r="AF1078" i="2"/>
  <c r="AF1084" i="2"/>
  <c r="AF1090" i="2"/>
  <c r="AF1096" i="2"/>
  <c r="AF1102" i="2"/>
  <c r="AF1108" i="2"/>
  <c r="AF1114" i="2"/>
  <c r="AF1120" i="2"/>
  <c r="AF1126" i="2"/>
  <c r="AF1132" i="2"/>
  <c r="AF1138" i="2"/>
  <c r="AF1150" i="2"/>
  <c r="AF1156" i="2"/>
  <c r="AF1162" i="2"/>
  <c r="AF1168" i="2"/>
  <c r="AF1174" i="2"/>
  <c r="AF1180" i="2"/>
  <c r="AF1186" i="2"/>
  <c r="AF1192" i="2"/>
  <c r="AF1198" i="2"/>
  <c r="AF1204" i="2"/>
  <c r="AF1210" i="2"/>
  <c r="AF1216" i="2"/>
  <c r="AF1222" i="2"/>
  <c r="AF1234" i="2"/>
  <c r="AF1240" i="2"/>
  <c r="AF1246" i="2"/>
  <c r="AF1252" i="2"/>
  <c r="AF1258" i="2"/>
  <c r="AF1282" i="2"/>
  <c r="AF1294" i="2"/>
  <c r="AF1300" i="2"/>
  <c r="AF1260" i="2"/>
  <c r="AF1284" i="2"/>
  <c r="AF1296" i="2"/>
  <c r="AF4" i="2"/>
  <c r="AF10" i="2"/>
  <c r="AF16" i="2"/>
  <c r="AF22" i="2"/>
  <c r="AF28" i="2"/>
  <c r="AF40" i="2"/>
  <c r="AF46" i="2"/>
  <c r="AF52" i="2"/>
  <c r="AF58" i="2"/>
  <c r="AF64" i="2"/>
  <c r="AF70" i="2"/>
  <c r="AF76" i="2"/>
  <c r="AF82" i="2"/>
  <c r="AF88" i="2"/>
  <c r="AF94" i="2"/>
  <c r="AF100" i="2"/>
  <c r="AF106" i="2"/>
  <c r="AF112" i="2"/>
  <c r="AF118" i="2"/>
  <c r="AF124" i="2"/>
  <c r="AF130" i="2"/>
  <c r="AF136" i="2"/>
  <c r="AF142" i="2"/>
  <c r="AF148" i="2"/>
  <c r="AF154" i="2"/>
  <c r="AF160" i="2"/>
  <c r="AF166" i="2"/>
  <c r="AF172" i="2"/>
  <c r="AF184" i="2"/>
  <c r="AF190" i="2"/>
  <c r="AF196" i="2"/>
  <c r="AF202" i="2"/>
  <c r="AF208" i="2"/>
  <c r="AF214" i="2"/>
  <c r="AF220" i="2"/>
  <c r="AF479" i="2"/>
  <c r="AF485" i="2"/>
  <c r="AF491" i="2"/>
  <c r="AF497" i="2"/>
  <c r="AF503" i="2"/>
  <c r="AF509" i="2"/>
  <c r="AF515" i="2"/>
  <c r="AF521" i="2"/>
  <c r="AF527" i="2"/>
  <c r="AF533" i="2"/>
  <c r="AF539" i="2"/>
  <c r="AF545" i="2"/>
  <c r="AF551" i="2"/>
  <c r="AF557" i="2"/>
  <c r="AF563" i="2"/>
  <c r="AF569" i="2"/>
  <c r="AF575" i="2"/>
  <c r="AF581" i="2"/>
  <c r="AF587" i="2"/>
  <c r="AF593" i="2"/>
  <c r="AF599" i="2"/>
  <c r="AF605" i="2"/>
  <c r="AF611" i="2"/>
  <c r="AF617" i="2"/>
  <c r="AF623" i="2"/>
  <c r="AF629" i="2"/>
  <c r="AF635" i="2"/>
  <c r="AF641" i="2"/>
  <c r="AF647" i="2"/>
  <c r="AF653" i="2"/>
  <c r="AF659" i="2"/>
  <c r="AF665" i="2"/>
  <c r="AF671" i="2"/>
  <c r="AF677" i="2"/>
  <c r="AF683" i="2"/>
  <c r="AF689" i="2"/>
  <c r="AF695" i="2"/>
  <c r="AF701" i="2"/>
  <c r="AF707" i="2"/>
  <c r="AF713" i="2"/>
  <c r="AF719" i="2"/>
  <c r="AF725" i="2"/>
  <c r="AF731" i="2"/>
  <c r="AF737" i="2"/>
  <c r="AF743" i="2"/>
  <c r="AF749" i="2"/>
  <c r="AF755" i="2"/>
  <c r="AF761" i="2"/>
  <c r="AF767" i="2"/>
  <c r="AF773" i="2"/>
  <c r="AF785" i="2"/>
  <c r="AF803" i="2"/>
  <c r="AF821" i="2"/>
  <c r="AF839" i="2"/>
  <c r="AF857" i="2"/>
  <c r="AF875" i="2"/>
  <c r="AF893" i="2"/>
  <c r="AF899" i="2"/>
  <c r="AF779" i="2"/>
  <c r="AF791" i="2"/>
  <c r="AF797" i="2"/>
  <c r="AF809" i="2"/>
  <c r="AF815" i="2"/>
  <c r="AF827" i="2"/>
  <c r="AF833" i="2"/>
  <c r="AF845" i="2"/>
  <c r="AF851" i="2"/>
  <c r="AF863" i="2"/>
  <c r="AF869" i="2"/>
  <c r="AF881" i="2"/>
  <c r="AF887" i="2"/>
  <c r="AF911" i="2"/>
  <c r="AF923" i="2"/>
  <c r="AF929" i="2"/>
  <c r="AF941" i="2"/>
  <c r="AF971" i="2"/>
  <c r="AF983" i="2"/>
  <c r="AF989" i="2"/>
  <c r="AF1013" i="2"/>
  <c r="AF1025" i="2"/>
  <c r="AF1031" i="2"/>
  <c r="AF1055" i="2"/>
  <c r="AF1067" i="2"/>
  <c r="AF1073" i="2"/>
  <c r="AF1085" i="2"/>
  <c r="AF1115" i="2"/>
  <c r="AF1127" i="2"/>
  <c r="AF1133" i="2"/>
  <c r="AF1157" i="2"/>
  <c r="AF1169" i="2"/>
  <c r="AF1175" i="2"/>
  <c r="AF1199" i="2"/>
  <c r="AF1211" i="2"/>
  <c r="AF1217" i="2"/>
  <c r="AF1229" i="2"/>
  <c r="AF1259" i="2"/>
  <c r="AF1271" i="2"/>
  <c r="AF1277" i="2"/>
  <c r="AF1301" i="2"/>
  <c r="AF1266" i="2"/>
  <c r="AF1272" i="2"/>
  <c r="AF1278" i="2"/>
  <c r="AF1290" i="2"/>
  <c r="AF1302" i="2"/>
  <c r="AF1220" i="2"/>
  <c r="AF1226" i="2"/>
  <c r="AF1232" i="2"/>
  <c r="AF1238" i="2"/>
  <c r="AF1244" i="2"/>
  <c r="AF1250" i="2"/>
  <c r="AF1256" i="2"/>
  <c r="AF1262" i="2"/>
  <c r="AF1268" i="2"/>
  <c r="AF1274" i="2"/>
  <c r="AF1280" i="2"/>
  <c r="AF1286" i="2"/>
  <c r="AF1292" i="2"/>
  <c r="AF1298" i="2"/>
  <c r="AF1304" i="2"/>
  <c r="AG6"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Manoj Ughade</author>
  </authors>
  <commentList>
    <comment ref="AA5" authorId="0" shapeId="0" xr:uid="{D43A92D7-D3D6-45BC-8259-98F81D093427}">
      <text>
        <r>
          <rPr>
            <b/>
            <sz val="9"/>
            <color indexed="81"/>
            <rFont val="Tahoma"/>
            <family val="2"/>
          </rPr>
          <t>Manoj Ughade:</t>
        </r>
        <r>
          <rPr>
            <sz val="9"/>
            <color indexed="81"/>
            <rFont val="Tahoma"/>
            <family val="2"/>
          </rPr>
          <t xml:space="preserve">
To Discuss</t>
        </r>
      </text>
    </comment>
    <comment ref="AB5" authorId="0" shapeId="0" xr:uid="{6AD1E51B-FB37-4402-BCF4-9A126CE4A5D4}">
      <text>
        <r>
          <rPr>
            <b/>
            <sz val="9"/>
            <color indexed="81"/>
            <rFont val="Tahoma"/>
            <family val="2"/>
          </rPr>
          <t>Manoj Ughade:</t>
        </r>
        <r>
          <rPr>
            <sz val="9"/>
            <color indexed="81"/>
            <rFont val="Tahoma"/>
            <family val="2"/>
          </rPr>
          <t xml:space="preserve">
To Discuss</t>
        </r>
      </text>
    </comment>
    <comment ref="AJ5" authorId="0" shapeId="0" xr:uid="{06A9DBB6-E36D-4BB1-AA01-84BF2EC60BD1}">
      <text>
        <r>
          <rPr>
            <b/>
            <sz val="9"/>
            <color indexed="81"/>
            <rFont val="Tahoma"/>
            <family val="2"/>
          </rPr>
          <t>Manoj Ughade:</t>
        </r>
        <r>
          <rPr>
            <sz val="9"/>
            <color indexed="81"/>
            <rFont val="Tahoma"/>
            <family val="2"/>
          </rPr>
          <t xml:space="preserve">
To be Diacussed</t>
        </r>
      </text>
    </comment>
    <comment ref="AK5" authorId="0" shapeId="0" xr:uid="{768E30B8-912F-4019-9387-0A7AFA0DC48D}">
      <text>
        <r>
          <rPr>
            <b/>
            <sz val="9"/>
            <color indexed="81"/>
            <rFont val="Tahoma"/>
            <family val="2"/>
          </rPr>
          <t>Manoj Ughade:</t>
        </r>
        <r>
          <rPr>
            <sz val="9"/>
            <color indexed="81"/>
            <rFont val="Tahoma"/>
            <family val="2"/>
          </rPr>
          <t xml:space="preserve">
To Be Discuss
</t>
        </r>
      </text>
    </comment>
    <comment ref="AL5" authorId="0" shapeId="0" xr:uid="{CE41A85B-78D0-4E2C-AF3E-DDE4016CD211}">
      <text>
        <r>
          <rPr>
            <b/>
            <sz val="9"/>
            <color indexed="81"/>
            <rFont val="Tahoma"/>
            <family val="2"/>
          </rPr>
          <t>Manoj Ughade:</t>
        </r>
        <r>
          <rPr>
            <sz val="9"/>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Manoj Ughade</author>
  </authors>
  <commentList>
    <comment ref="AA1" authorId="0" shapeId="0" xr:uid="{206DD08B-4ADF-4FB4-BFF5-830A2016C938}">
      <text>
        <r>
          <rPr>
            <b/>
            <sz val="9"/>
            <color indexed="81"/>
            <rFont val="Tahoma"/>
            <family val="2"/>
          </rPr>
          <t>Manoj Ughade:</t>
        </r>
        <r>
          <rPr>
            <sz val="9"/>
            <color indexed="81"/>
            <rFont val="Tahoma"/>
            <family val="2"/>
          </rPr>
          <t xml:space="preserve">
To Discuss</t>
        </r>
      </text>
    </comment>
    <comment ref="AB1" authorId="0" shapeId="0" xr:uid="{57676F3C-995A-4324-9523-41460B805C29}">
      <text>
        <r>
          <rPr>
            <b/>
            <sz val="9"/>
            <color indexed="81"/>
            <rFont val="Tahoma"/>
            <family val="2"/>
          </rPr>
          <t>Manoj Ughade:</t>
        </r>
        <r>
          <rPr>
            <sz val="9"/>
            <color indexed="81"/>
            <rFont val="Tahoma"/>
            <family val="2"/>
          </rPr>
          <t xml:space="preserve">
To Discuss</t>
        </r>
      </text>
    </comment>
    <comment ref="AI1" authorId="0" shapeId="0" xr:uid="{217D06D6-7C7A-4B0D-88F7-FF1F9AC66840}">
      <text>
        <r>
          <rPr>
            <b/>
            <sz val="9"/>
            <color indexed="81"/>
            <rFont val="Tahoma"/>
            <family val="2"/>
          </rPr>
          <t>Manoj Ughade:</t>
        </r>
        <r>
          <rPr>
            <sz val="9"/>
            <color indexed="81"/>
            <rFont val="Tahoma"/>
            <family val="2"/>
          </rPr>
          <t xml:space="preserve">
</t>
        </r>
      </text>
    </comment>
  </commentList>
</comments>
</file>

<file path=xl/sharedStrings.xml><?xml version="1.0" encoding="utf-8"?>
<sst xmlns="http://schemas.openxmlformats.org/spreadsheetml/2006/main" count="31518" uniqueCount="4134">
  <si>
    <t xml:space="preserve">Accumulated </t>
  </si>
  <si>
    <t>Ordinary Dep</t>
  </si>
  <si>
    <t>in years</t>
  </si>
  <si>
    <t>in days</t>
  </si>
  <si>
    <t>Company Code</t>
  </si>
  <si>
    <t>External/Legacy Asset Number*
External/legacy asset ID.
It is an unique number that identifies a fixed asset in the Legacy System.
Please note: In S/4HANA Cloud only INTERNAL number assignment is supported.
The legacy asset number is migrated to the field "Original Asset" in the tab "Origin" for reference.
Key fields are mandatory and must always be filled with a unique key.
If there is internal numbering, you can provide the key of your source system or any other unique key.
The key is technically mandatory for the tool to internally connect the records of subordinated sheets with
the records of the superordinated sheets.
Type: Text
Length: 12</t>
  </si>
  <si>
    <t>Asset number</t>
  </si>
  <si>
    <t>Main Asset Legacy Number</t>
  </si>
  <si>
    <t>Asset Subnumber*
Must be "0", when migrating a MAIN asset source file.
Must be a sequential number (unequal "0"), when migrating an asset subnumber source file (max. 4-digits).
The asset subnumber is migrated to the field "Original Asset Subnumber" in the tab "Origin" for reference.
This is the number which, together with the main asset number, uniquely identifies a fixed asset in Asset Accounting.
Using the asset sub-number, you can:
- Provide for separate management of later acquisitions to assets.
- Represent complex fixed assets with their component parts.
Type: Text
Length: 4</t>
  </si>
  <si>
    <t>Asset Class*
Note: Ensure that the subasset has the same asset class than the main asset.
Type: Text
Length: 80</t>
  </si>
  <si>
    <t>Asset Class in SAP</t>
  </si>
  <si>
    <t>PM Sheet Maped Cost Center</t>
  </si>
  <si>
    <t>Cost Center Code</t>
  </si>
  <si>
    <t>Equipment ID</t>
  </si>
  <si>
    <t>Asset Description*
Asset Description
Type: Text
Length: 50</t>
  </si>
  <si>
    <t>Asset Description 2
Additional Asset description.
Type: Text
Length: 50</t>
  </si>
  <si>
    <t>Serial Number
You can enter the manufacturer's serial number in this field.
Type: Text
Length: 18</t>
  </si>
  <si>
    <t>Quantity
Quantity
Type: Number
Length: 13
Decimal: 3</t>
  </si>
  <si>
    <t>Base Unit of Measure
Base Unit of Measure, for example: KG, KM, TON...
Type: Text
Length: 80</t>
  </si>
  <si>
    <t>Asset is managed historically
Set this indicator to 'X', if the asset is managed historically.
Type: Text
Length: 1</t>
  </si>
  <si>
    <t>Asset Main Number Text
In this field, you can enter any desired name for an asset main number. The text is then used, for example, in reporting, and in the display values transaction when accessing totals per asset main number.
Type: Text
Length: 50</t>
  </si>
  <si>
    <t>Original Purchase Date</t>
  </si>
  <si>
    <t>Asset Capitalization Date*
Reference date of the posting that leads to asset being capitalized.
Type: Date</t>
  </si>
  <si>
    <t>Deactivation Date
Asset value date of the retirement posting for a full retirement in this field.
Type: Date</t>
  </si>
  <si>
    <t>Plant
The Plant is mandatory for migrating an Asset Location. Without indicating the Plant the Asset Location
cannot be determined.
Type: Text
Length: 80</t>
  </si>
  <si>
    <t>Asset Location
Migrating an Asset Location, the indication of the Plant is mandatory. Without a plant the Asset Location
cannot be determined.
Type: Text
Length: 80</t>
  </si>
  <si>
    <t>License Plate No. of Vehicle
You can enter the license plate number for a vehicle here.
Your entry is saved as time-dependent data, so that a history is created when there is a change in the license
plate number.
Type: Text
Length: 15</t>
  </si>
  <si>
    <t>Fiscal Year of Original Acquisition
Fiscal year in which the asset was originally acquired (before the asset transfer).
This field is not automatically filled; you need to supply it.
Type: Number
Length: 4</t>
  </si>
  <si>
    <t>Original Acquisition Value
Acquisition value of the asset before the asset transfer.
This field is not automatically filled; you need to supply it.
Type: Number
Length: 23
Decimal: 2</t>
  </si>
  <si>
    <t>Depreciation Area*
Depreciation area, which is managed in the system as a real depreciation area (not a derived depreciation area).
Type: Text
Length: 80</t>
  </si>
  <si>
    <t>Depreciation Key*
Depreciation keys are defined at the level of the chart of depreciation.
Type: Text
Length: 80</t>
  </si>
  <si>
    <t>Life of Assets as per Co's Act</t>
  </si>
  <si>
    <t>Useful Life (in years)
The two fields ‘Useful Life (in years)’ and ‘Useful Life (in periods)’ are additive. For example, a useful
life of 3.5 years would be maintained as ‘Useful Life (in years)’ = 3 and ‘Useful Life (in periods)’ = 6.
Type: Number
Length: 3</t>
  </si>
  <si>
    <t>Useful Life (in periods)
The two fields ‘Useful Life (in years)’ and ‘Useful Life (in periods)’ are additive. For example, a useful
life of 3.5 years would be maintained as ‘Useful Life (in years)’ = 3 and ‘Useful Life (in periods)’ = 6.
Type: Number
Length: 3</t>
  </si>
  <si>
    <t>Used life</t>
  </si>
  <si>
    <t>Exp. usef. life in years at start of FY
The portion of the useful life of the asset that has already expired.
Type: Number
Length: 3</t>
  </si>
  <si>
    <t>Exp. usef. life in perio. at start of FY
The portion of the useful life of the asset that has already expired.
Type: Number
Length: 3</t>
  </si>
  <si>
    <t>Asset Scrap Value
You can specify an absolute amount here which cannot be depreciated in this depreciation area (memo value). If you specify a value here, then the cut-off value percentage determined on the basis of the cut-off value key in the depreciation key will not be taken into account. Even if no cut-off key is defined, depreciation will stop when this value is reached.
Depending on how the cut-off value key is defined, this amount is either deducted from the depreciation base value before the start of depreciation, or depreciation is stopped as soon as this amount is reached.
Type: Number
Length: 23
Decimal: 2</t>
  </si>
  <si>
    <t>Scrap Value as Percentage of APC
Type: Number
Length: 14
Decimal: 11</t>
  </si>
  <si>
    <t>Cumulated Acquisition Value
Please enter one row for each depreciation area.
Type: Number
Length: 23
Decimal: 2</t>
  </si>
  <si>
    <t>Accumulated Ordinary Depreciation
Must be negative, e.g. -1267,00, in most of the business cases.
Type: Number
Length: 23
Decimal: 2</t>
  </si>
  <si>
    <t>Current Fiscal Year*
Current fiscal year = active fiscal year in system.
Period, 12  as a rule, for which the company is to create its inventory and balance sheet. The fiscal
year can be the same as the calendar year, but does not have to be.
Type: Number
Length: 4</t>
  </si>
  <si>
    <t>Posted Ordinary Deprec. for the Year
Depreciation values must be negative, e.g. -1234,56 and corrections of depreciation values positve, e.g. 1234,56.
Type: Number
Length: 23
Decimal: 2</t>
  </si>
  <si>
    <t>INO1</t>
  </si>
  <si>
    <t>1131400080</t>
  </si>
  <si>
    <t>9001</t>
  </si>
  <si>
    <t>Factory Building  </t>
  </si>
  <si>
    <t>Buildings &amp; Admin</t>
  </si>
  <si>
    <t>Factory Building-1</t>
  </si>
  <si>
    <t/>
  </si>
  <si>
    <t>EA</t>
  </si>
  <si>
    <t>X</t>
  </si>
  <si>
    <t>01</t>
  </si>
  <si>
    <t xml:space="preserve"> ZSLM </t>
  </si>
  <si>
    <t>1131400212</t>
  </si>
  <si>
    <t>Factory Building-2</t>
  </si>
  <si>
    <t>1131400574</t>
  </si>
  <si>
    <t>Factory Building-3</t>
  </si>
  <si>
    <t>1131400670</t>
  </si>
  <si>
    <t>Factory Building-4</t>
  </si>
  <si>
    <t>1131400713</t>
  </si>
  <si>
    <t>Factory Building-5</t>
  </si>
  <si>
    <t>1131400975</t>
  </si>
  <si>
    <t>Factory Building-6</t>
  </si>
  <si>
    <t>1131401678</t>
  </si>
  <si>
    <t>Toilet Line Orrisa Pan Fitting with Pipe Lin-7</t>
  </si>
  <si>
    <t>e Complete</t>
  </si>
  <si>
    <t>1131100078</t>
  </si>
  <si>
    <t>Factory Building-8</t>
  </si>
  <si>
    <t>1131100083</t>
  </si>
  <si>
    <t>Factory Building-9</t>
  </si>
  <si>
    <t>1131100087</t>
  </si>
  <si>
    <t>Factory Building-10</t>
  </si>
  <si>
    <t>1131100092</t>
  </si>
  <si>
    <t>Factory Building-11</t>
  </si>
  <si>
    <t>1131100094</t>
  </si>
  <si>
    <t>Factory Building-12</t>
  </si>
  <si>
    <t>1131100100</t>
  </si>
  <si>
    <t>Factory Building-13</t>
  </si>
  <si>
    <t>1131100110</t>
  </si>
  <si>
    <t>Factory Building-14</t>
  </si>
  <si>
    <t>1131100116</t>
  </si>
  <si>
    <t>Factory Building-15</t>
  </si>
  <si>
    <t>1131100119</t>
  </si>
  <si>
    <t>Factory Building-16</t>
  </si>
  <si>
    <t>1131100122</t>
  </si>
  <si>
    <t>Factory Building-17</t>
  </si>
  <si>
    <t>1131100400</t>
  </si>
  <si>
    <t>Factory Building-18</t>
  </si>
  <si>
    <t>1131100497</t>
  </si>
  <si>
    <t>Factory Building-19</t>
  </si>
  <si>
    <t>1131100965</t>
  </si>
  <si>
    <t>Factory Building-20</t>
  </si>
  <si>
    <t>1131101359</t>
  </si>
  <si>
    <t>Factory Building-21</t>
  </si>
  <si>
    <t>1131402939</t>
  </si>
  <si>
    <t>BEING NON WALKABLE METAL CEILINGCAPITALISED -22</t>
  </si>
  <si>
    <t xml:space="preserve">VIDE PURCHASE FROM ROYAL AIRCON BILL NO 286 DTD </t>
  </si>
  <si>
    <t>1131403183</t>
  </si>
  <si>
    <t>Being Non Walkable Metal Ceiling fitting wor-23</t>
  </si>
  <si>
    <t>k done</t>
  </si>
  <si>
    <t>1131403175</t>
  </si>
  <si>
    <t>Being HR Sheets &amp; HR Plates pur from Gayatri-24</t>
  </si>
  <si>
    <t xml:space="preserve"> Steel &amp; Pipes vide inv no 0969 dt 27.11.19 ag P</t>
  </si>
  <si>
    <t>1131403093</t>
  </si>
  <si>
    <t>Being Construction work done by Jai Mata Con-25</t>
  </si>
  <si>
    <t>struction vide inv no 09 dt 05.11.19 ag PO# SMPO</t>
  </si>
  <si>
    <t>1131403088</t>
  </si>
  <si>
    <t>Being 3mm Epoxy Flooring work done by H A M -26</t>
  </si>
  <si>
    <t>Corporation vide inv no 47 dt 09.11.19 ag PO# SM</t>
  </si>
  <si>
    <t>1131403188</t>
  </si>
  <si>
    <t>Being 3mm Epoxy Flooring work done by HAM Co-27</t>
  </si>
  <si>
    <t>rporation vide inv no 57 dt 16.12.19 ag PO# SMPO</t>
  </si>
  <si>
    <t>1131403286</t>
  </si>
  <si>
    <t>Being New Compound wall work done by Pyramid-28</t>
  </si>
  <si>
    <t xml:space="preserve"> Construction vide inv no 3 dt 04.02.20 ag PO# S</t>
  </si>
  <si>
    <t>1131403288</t>
  </si>
  <si>
    <t>Being MS Round &amp; Square Bar pur from Sainath-29</t>
  </si>
  <si>
    <t xml:space="preserve"> Structures Pvt Ltd vide inv no GST3983 dt 08.01</t>
  </si>
  <si>
    <t>1131403289</t>
  </si>
  <si>
    <t>Being Main Gate Office Side Old Road RCC Ruf-30</t>
  </si>
  <si>
    <t>f work done by Jai Mata Construction vide inv no</t>
  </si>
  <si>
    <t>1131403491</t>
  </si>
  <si>
    <t>Being MS Chanel, Chakar Plate, MS angle, MS -31</t>
  </si>
  <si>
    <t>Pipes pur from Sainath Structures Pvt Ltd vide i</t>
  </si>
  <si>
    <t>1131403492</t>
  </si>
  <si>
    <t>Being Fabrication Work for Extra Receiver In-32</t>
  </si>
  <si>
    <t>stallation for Header Connecting With Support Wo</t>
  </si>
  <si>
    <t>1131403486</t>
  </si>
  <si>
    <t>Being PARKING SHADE FABRICATION WORK DONE FO-33</t>
  </si>
  <si>
    <t>R NEW PLANT pur from Grace Engineering Works vid</t>
  </si>
  <si>
    <t>1131403631</t>
  </si>
  <si>
    <t>Being Temporary Storage Area fabrication at -34</t>
  </si>
  <si>
    <t>back side plant work done by Jai Mata Constructi</t>
  </si>
  <si>
    <t>1131403671</t>
  </si>
  <si>
    <t>Being Epoxy Flooring 3 mm &amp; New  Epoxy Covin-35</t>
  </si>
  <si>
    <t xml:space="preserve">g ( Wall to Floor) 50mm X 50mm work done by HAM </t>
  </si>
  <si>
    <t>1131403632</t>
  </si>
  <si>
    <t>Being Car Parking Area Excavation Soling Fil-36</t>
  </si>
  <si>
    <t>ling, Chamber Brick Work done by Jai Mata Constr</t>
  </si>
  <si>
    <t>1131403724</t>
  </si>
  <si>
    <t>Being Temporary Pkg material storage area fa-37</t>
  </si>
  <si>
    <t>brication work done by Grace Engineering Works v</t>
  </si>
  <si>
    <t>1131403820</t>
  </si>
  <si>
    <t>Being 145 x 82 x 4 mm rectangle bar, Pipe, F-38</t>
  </si>
  <si>
    <t>lat bar, MS Flat pur from Gayatri Steel &amp; Pipe v</t>
  </si>
  <si>
    <t>1131403854</t>
  </si>
  <si>
    <t>Being HI SPEED SHUTTER with Safety Sensor pu-39</t>
  </si>
  <si>
    <t>r from Panchal Industries vide inv no 86 dt 21.0</t>
  </si>
  <si>
    <t>1131403864</t>
  </si>
  <si>
    <t>Being Civil work done by Jai Mata Constructi-40</t>
  </si>
  <si>
    <t>on vide inv no 03 dt 06.10.21 ag PO# SMPOCG/21-2</t>
  </si>
  <si>
    <t>1131404996</t>
  </si>
  <si>
    <t>Being Factory Building work Capitalised for -41</t>
  </si>
  <si>
    <t>NPD Office</t>
  </si>
  <si>
    <t>1131405135</t>
  </si>
  <si>
    <t>ARCHITECTURAL &amp; INTERIOR DESIGN drawing &amp; Su-42</t>
  </si>
  <si>
    <t>ppervision for NPD section</t>
  </si>
  <si>
    <t>1131405136</t>
  </si>
  <si>
    <t>BEING T/F THROUGH J/V AGTS B/NO. M-163/2023--43</t>
  </si>
  <si>
    <t>24 DT: 14.12.23 OF PRAGMATIC HVAC BOOKED FOR INS</t>
  </si>
  <si>
    <t>1131405137</t>
  </si>
  <si>
    <t>B/NO. 366/23-24 DT: 02.02.24 OF LAXMI ELECTR-44</t>
  </si>
  <si>
    <t xml:space="preserve">ICALS BOOKED FOR EPOXY FLOORING AT NPD DESPATCH </t>
  </si>
  <si>
    <t>1131405156</t>
  </si>
  <si>
    <t>B/NO. BILL/24-25/001 DTD: 05.04.24 OF PK ENT-45</t>
  </si>
  <si>
    <t>ERPRISES BOOKED FOR RCC ROAD ON OLD OFFICE ENTRA</t>
  </si>
  <si>
    <t>1131103866</t>
  </si>
  <si>
    <t>Being MS SQ Pipe &amp; MS Angle pur from Gayatri-46</t>
  </si>
  <si>
    <t xml:space="preserve"> Steel &amp; Pipe vide inv no 708 dt 03.09.21 ag PO#</t>
  </si>
  <si>
    <t>1131504444</t>
  </si>
  <si>
    <t>BEING MATERIAL PURCHASED AS SQUARE PIPE, MS -47</t>
  </si>
  <si>
    <t>FLAT FOR STAGE-2 FRONT SIDE RELLING PURPOSE 1 ST</t>
  </si>
  <si>
    <t>1131404646</t>
  </si>
  <si>
    <t>Addition to New Building (Addition to New Pl-48</t>
  </si>
  <si>
    <t>ant)</t>
  </si>
  <si>
    <t>1131404732</t>
  </si>
  <si>
    <t>Improvement In Factory Building-49</t>
  </si>
  <si>
    <t>1131404801</t>
  </si>
  <si>
    <t>B/NO. 033 DT: 15.06.23 OF GRACE ENGINEERING -50</t>
  </si>
  <si>
    <t xml:space="preserve">WORKS BOOKED FOR STP PLANT ROOF MAKING ,  JALLY </t>
  </si>
  <si>
    <t>1131404809</t>
  </si>
  <si>
    <t>B/NO. 43 DT: 03.07.23 OF PRAFULLA SHEET BOOK-51</t>
  </si>
  <si>
    <t xml:space="preserve">ED FOR PVC PIPE RAIN WATER LINE FITTING , ELBOW </t>
  </si>
  <si>
    <t>1131404920</t>
  </si>
  <si>
    <t>Being Factory Building work Capitalised-52</t>
  </si>
  <si>
    <t>1131404966</t>
  </si>
  <si>
    <t>B/NO. 27 DT: 23.05.23 OF PANCHAL INDUSTRIES -53</t>
  </si>
  <si>
    <t>BOOKED FOR PUR ROLLING SHUTTER  VIDE TSGO/23-24/</t>
  </si>
  <si>
    <t>1131404967</t>
  </si>
  <si>
    <t>B/NO. 88 DT: 04.08.23 OF PANCHAL INDUSTRIES -54</t>
  </si>
  <si>
    <t>BOOKED FOR PUR GLASS DOOR ,  RADAR &amp; DIGITAL LOC</t>
  </si>
  <si>
    <t>1131404968</t>
  </si>
  <si>
    <t>B/NO. 04 DT: 09.09.23 OF JAI MATA CONSTRUCTI-55</t>
  </si>
  <si>
    <t>ON BOOKED FOR HT YARD 2500 KVA AREA WALL BREAKIN</t>
  </si>
  <si>
    <t>1131404969</t>
  </si>
  <si>
    <t>B/NO. 05 DT: 11.09.23 OF JAI MATA CONSTRUCTI-56</t>
  </si>
  <si>
    <t xml:space="preserve">ON BOOKED FOR ROAD EXCAVATION , RCC 200 MM THIK </t>
  </si>
  <si>
    <t>1131404970</t>
  </si>
  <si>
    <t>B/NO. BILL/23-24/19 DT: 01.10.23 OF PK ENTER-57</t>
  </si>
  <si>
    <t>PRISES BOOEKD FOR CIVIL WORK AGST PO SMPOCG/23-2</t>
  </si>
  <si>
    <t>1131404971</t>
  </si>
  <si>
    <t>B/NO. 08 DT: 05.10.23 OF JAI MATA CONSTRUCTI-58</t>
  </si>
  <si>
    <t>ON BOOKED FOR ROAD EXCAVATION , GSB FILLING , ST</t>
  </si>
  <si>
    <t>1131404972</t>
  </si>
  <si>
    <t>B/NO. 354/23-24 DT: 06.10.23 OF LAXMI ELE BO-59</t>
  </si>
  <si>
    <t>OKED FOR PU FLOORING AGST PO SMPOCG/23-24/202 DT</t>
  </si>
  <si>
    <t>1131404973</t>
  </si>
  <si>
    <t>B/NO. 053 DT: 16.10.23 OF GRACE  ENGINEERING-60</t>
  </si>
  <si>
    <t xml:space="preserve"> BOOKED FOR HAND RAILING MAKING OF UTILITY AGTS </t>
  </si>
  <si>
    <t>1131405014</t>
  </si>
  <si>
    <t>BEING T/F THROUGH J/V AGST B/NO. S-123/2023--61</t>
  </si>
  <si>
    <t>24 DT: 10.10.23 OF PRAGMATIC HVAC BOOKED FOR PUR</t>
  </si>
  <si>
    <t>1131405015</t>
  </si>
  <si>
    <t>BEING AMT T/F THROUGH J/V AGST B/NO. 1099 DT-62</t>
  </si>
  <si>
    <t>: 06.11.23 OF SOLANKI ENTERPRISES BOOKED FOR PUR</t>
  </si>
  <si>
    <t>1131405075</t>
  </si>
  <si>
    <t>BEING T/F THROUGH J/V AGTS B/NO. 075 DT: 22.-63</t>
  </si>
  <si>
    <t>01.24 OF GRACE ENGINEERING WORKS BOOKED FOR RAMP</t>
  </si>
  <si>
    <t>1131405107</t>
  </si>
  <si>
    <t>BEING T/F THROUGH J/V AGST B/NO. BILL/23-24/-64</t>
  </si>
  <si>
    <t>30 DTD: 02.02.24 OF PK ENTERPRISES BOOKED FOR RC</t>
  </si>
  <si>
    <t>1131405108</t>
  </si>
  <si>
    <t>BEING T/F THROUGH J/V AGST B/NO. BILL/23-24/-65</t>
  </si>
  <si>
    <t>32 DTD: 02.02.24 OF P K ENTERPRISES BOOKED FOR F</t>
  </si>
  <si>
    <t>1131405109</t>
  </si>
  <si>
    <t>BEING T/F THROUGH J/V AGST B/NO. BILL/23-24/-66</t>
  </si>
  <si>
    <t>31 DTD: 02.02.24 OF P K ENTERPRISES BOOEKD FOR C</t>
  </si>
  <si>
    <t>1131405213</t>
  </si>
  <si>
    <t>Fire hydrant Foam Monitor-67</t>
  </si>
  <si>
    <t>1131405214</t>
  </si>
  <si>
    <t>Being installation in new Security cabin &amp; E-68</t>
  </si>
  <si>
    <t>mergency control for Fire safety</t>
  </si>
  <si>
    <t>1131405260</t>
  </si>
  <si>
    <t>Being Workers canteen ( New) Capitalised-69</t>
  </si>
  <si>
    <t>1131405261</t>
  </si>
  <si>
    <t>BEING T/F THROUGH J/V AGST B/NO. BILL/25-26/-70</t>
  </si>
  <si>
    <t xml:space="preserve">05 DTD: 01.06.25 OF P K  ENTERPRISES BOOEKD FOR </t>
  </si>
  <si>
    <t>1131105131</t>
  </si>
  <si>
    <t>Factory Building work Capitalised-71</t>
  </si>
  <si>
    <t>1131400003</t>
  </si>
  <si>
    <t>9002</t>
  </si>
  <si>
    <t>Flat </t>
  </si>
  <si>
    <t>Flat (A-306 - Horizon)-72</t>
  </si>
  <si>
    <t>1131400006</t>
  </si>
  <si>
    <t>Flat (One) (L-4 - Parth CHS)-73</t>
  </si>
  <si>
    <t>1131400007</t>
  </si>
  <si>
    <t>Flat (Three) (L-22, 23, 26 - Parth CHS) -74</t>
  </si>
  <si>
    <t>1131400164</t>
  </si>
  <si>
    <t>2 Nos. Flat no 17 &amp; 16 Area 16.84 Sq Miters -75</t>
  </si>
  <si>
    <t>Purchase</t>
  </si>
  <si>
    <t>Astha Hights-76</t>
  </si>
  <si>
    <t>1191402530</t>
  </si>
  <si>
    <t>9005</t>
  </si>
  <si>
    <t>Freehold Land </t>
  </si>
  <si>
    <t>Land-77</t>
  </si>
  <si>
    <t>1191403090</t>
  </si>
  <si>
    <t>Freehold Land Survey No-215/2/2-78</t>
  </si>
  <si>
    <t>1101400906</t>
  </si>
  <si>
    <t>9007</t>
  </si>
  <si>
    <t>Factory Equipment &amp; Tools</t>
  </si>
  <si>
    <t>Utility</t>
  </si>
  <si>
    <t>TPAC/SIL/RO-001</t>
  </si>
  <si>
    <t>Ro Plant 5000Lph Bill No. 287/21.1.13 Scale -79</t>
  </si>
  <si>
    <t>Guard</t>
  </si>
  <si>
    <t>1101404676</t>
  </si>
  <si>
    <t>TPAC/SIL/RO-002</t>
  </si>
  <si>
    <t>T/F THROUGH J/V AGST B/NO. GST/SG054/22-23 D-81</t>
  </si>
  <si>
    <t>T: 26.04.22 BOOKED FOR PUR RO PLANT 500 LPH VIDE</t>
  </si>
  <si>
    <t>1101101761</t>
  </si>
  <si>
    <t>Water Purification Ro System 250ltr/hr-82</t>
  </si>
  <si>
    <t>1101400341</t>
  </si>
  <si>
    <t>CHILLER140TR</t>
  </si>
  <si>
    <t>Trans Chiller with all accessories-84</t>
  </si>
  <si>
    <t>1101404647</t>
  </si>
  <si>
    <t>Being Expences towords SS 304 pipe 4 Schedul-85</t>
  </si>
  <si>
    <t>e 20 Qty.42nos,Short Elbow 4 schedule 20 Qty.12n</t>
  </si>
  <si>
    <t>1101404922</t>
  </si>
  <si>
    <t>B/NO. 047 DT: 19.09.23 OF GRACE ENGINEERING -86</t>
  </si>
  <si>
    <t>WORKS BOOKED FOR DRYER STAND MAKING FOR 70 DPH M</t>
  </si>
  <si>
    <t>1101404936</t>
  </si>
  <si>
    <t>Being purchased MS PIPE VIDE TSGO/23-24/387 -87</t>
  </si>
  <si>
    <t>DT: 25.09.23 from Solanki Enterprises and PUR CO</t>
  </si>
  <si>
    <t>1101104016</t>
  </si>
  <si>
    <t>Chiller 140 TR ( Assesories)</t>
  </si>
  <si>
    <t>B/NO: 472 DT: 27.1.2022 BEING PURCHASED AS A-88</t>
  </si>
  <si>
    <t xml:space="preserve">LUMINIUM ARMOURED CABLE &amp; COPPER FLEXIBLE CABLE </t>
  </si>
  <si>
    <t>1101400661</t>
  </si>
  <si>
    <t>CHILLER170TR + ATB</t>
  </si>
  <si>
    <t>import 170 TR WATER COOLED SCREW CHILLER ,MO-90</t>
  </si>
  <si>
    <t>DEL NO,CRTHD QTY-1, TOTAL COST US $ 43000/-CIF R</t>
  </si>
  <si>
    <t>1101405290</t>
  </si>
  <si>
    <t>Chiller 170 TR ( Assesories)</t>
  </si>
  <si>
    <t>new chilling water pipe line capitalised-91</t>
  </si>
  <si>
    <t>1101404540</t>
  </si>
  <si>
    <t>CHILLER500TR + ATB (Accessories)</t>
  </si>
  <si>
    <t>500TR CENTRIFUGAL CHILLER &amp; ITS ACESSARY.(Ad-93</t>
  </si>
  <si>
    <t>dition to New Plant)</t>
  </si>
  <si>
    <t>1101404673</t>
  </si>
  <si>
    <t>CHILLER500TR + ATB</t>
  </si>
  <si>
    <t>T/F THROUGH J/V AGST B/NO 8260588 DT: 13.04.-94</t>
  </si>
  <si>
    <t>22  OF BOOKED FOR PUR WATER COOLED CENTRIFUGAL C</t>
  </si>
  <si>
    <t>1101405093</t>
  </si>
  <si>
    <t>BEING T/F THROUGH J/V AGST B/NO. ACPL/131/23-95</t>
  </si>
  <si>
    <t>-24 DT: 02.02.24 OF AMICRON CLEANTECH BOOKED FOR</t>
  </si>
  <si>
    <t>1101104040</t>
  </si>
  <si>
    <t>Being Booked for charges towards Comissionin-96</t>
  </si>
  <si>
    <t>g for 1 no Trane chiller from Trane Technologies</t>
  </si>
  <si>
    <t>1101400916</t>
  </si>
  <si>
    <t>PHE -05 (ALFA LAVEL) PHE -06 (ALFA LAVEL)</t>
  </si>
  <si>
    <t>Plate Heat Exchanger Tl 10 Pfm With 152 Plat-98</t>
  </si>
  <si>
    <t>es-2 Pcs.Agst.Bno:8 Dt:21.01.13 From Pastan Engi</t>
  </si>
  <si>
    <t>1101401778</t>
  </si>
  <si>
    <t>PHE -04 (ALFA LAVEL)</t>
  </si>
  <si>
    <t>Plate Heat Exchanger TL 10PFM with 155 Plate-100</t>
  </si>
  <si>
    <t>s</t>
  </si>
  <si>
    <t>1101400923</t>
  </si>
  <si>
    <t>Grundfos Make Pump Crcm 64-2 &amp; Nb 125-250/24-102</t>
  </si>
  <si>
    <t xml:space="preserve">8 Cooling Tower Agst.Bno:260 Dt:30.01.2013 From </t>
  </si>
  <si>
    <t>1101404553</t>
  </si>
  <si>
    <t>COOLING WATER SEC. PRO. PUMP-01 TO 06,  CHILLING WATER SEC. PRO. PUMP-01 TO 07, PHE PRIMERY PROCESS PUMP-01 TO 03, CHILLER PRIMERY PROCESS PUMP-01 TO  03, TPAC/SIL/COOLING TOWER-02 &amp; 03, PHE -01 TO 03 (ALFA LAVEL)</t>
  </si>
  <si>
    <t>B/NO : GST/356/21-22 DT.17.01.22 OF SCALE GU-103</t>
  </si>
  <si>
    <t>ARD BOOKED FOR PURGRUNDFOS PUMP VIDE TSGO/21-22/</t>
  </si>
  <si>
    <t>1101404680</t>
  </si>
  <si>
    <t>Clloing Tower Pipe Line</t>
  </si>
  <si>
    <t>SS SEAMLESS ,SS ERW,PPR PIPE  &amp; FITTINGS INC-104</t>
  </si>
  <si>
    <t>LUDING INSULATION (All Pipe Lines)(Addition to N</t>
  </si>
  <si>
    <t>1101405165</t>
  </si>
  <si>
    <t>CHILLER Primary Pump 1</t>
  </si>
  <si>
    <t>B/NO. EPL/2023-24/167 DTD: 30.03.24 OF ENERP-105</t>
  </si>
  <si>
    <t>RONE BOOKED FOR PUR 15 KW CHILLER PUMP VIDE TSGO</t>
  </si>
  <si>
    <t>1101100498</t>
  </si>
  <si>
    <t>Cooling Tower-106</t>
  </si>
  <si>
    <t>1101504332</t>
  </si>
  <si>
    <t>Grundfos Chilled water Pump for Cooling Towe-107</t>
  </si>
  <si>
    <t>r  Model no NB-50-200/181</t>
  </si>
  <si>
    <t>1101504335</t>
  </si>
  <si>
    <t>Supply of Grundfos Make Pump Model no NB 40--108</t>
  </si>
  <si>
    <t>160/144</t>
  </si>
  <si>
    <t>1101403333</t>
  </si>
  <si>
    <t>TPAC/SIL/HPAD-001</t>
  </si>
  <si>
    <t>Being Compressed air dryer high pressure 300-110</t>
  </si>
  <si>
    <t xml:space="preserve"> cfm 40 to 42 bar G . Air dryer cooled . R134A p</t>
  </si>
  <si>
    <t>1101404036</t>
  </si>
  <si>
    <t>TPAC/SIL/HP-001</t>
  </si>
  <si>
    <t>Being COMPRESSOR BLOCK-P10(LOCAL P/R) pur fr-111</t>
  </si>
  <si>
    <t>om Chicago Pneumatic Compressors vide inv no FO2</t>
  </si>
  <si>
    <t>1101405073</t>
  </si>
  <si>
    <t>BEING T/F THROUGH J/V AGST B/NO. 070 DT: 18.-112</t>
  </si>
  <si>
    <t>01.24 OF GRACE ENGINEERING WORKS BOOKED FOR CHIL</t>
  </si>
  <si>
    <t>1101400374</t>
  </si>
  <si>
    <t>TPAC/SIL/HP-002 &amp; HPAD 2</t>
  </si>
  <si>
    <t>Air Compressor-Chicago Phenu-114</t>
  </si>
  <si>
    <t>1101400525</t>
  </si>
  <si>
    <t>TPAC/SIL/HP-003 &amp; HPAD 3</t>
  </si>
  <si>
    <t>Oil Free Air Pet Compressor-Big-116</t>
  </si>
  <si>
    <t>1101400613</t>
  </si>
  <si>
    <t xml:space="preserve">TPAC/SIL/HP-004 </t>
  </si>
  <si>
    <t>Oil Free Air Pet Compressor-118</t>
  </si>
  <si>
    <t>1101403697</t>
  </si>
  <si>
    <t>TPAC/SIL/HPAD-004</t>
  </si>
  <si>
    <t>Being Compressed air dryer high pressure 300-119</t>
  </si>
  <si>
    <t>cfm 40 to 42 bar G air cooled R134A pur from Gem</t>
  </si>
  <si>
    <t>1101404755</t>
  </si>
  <si>
    <t>BEING T/F THROUGH J/V AGST B/NO. T/23-24/015-120</t>
  </si>
  <si>
    <t xml:space="preserve"> DT: 09.05.23 OF PACE AFTERMARKET BOOKED FOR PUR</t>
  </si>
  <si>
    <t>1101404799</t>
  </si>
  <si>
    <t>B/NO. 031 DT: 15.06.23 OF GRACE ENGINEERING -121</t>
  </si>
  <si>
    <t xml:space="preserve">BOOKED FOR AIRLINE MAKING FOR NEW MOULD ROOM IN </t>
  </si>
  <si>
    <t>1101504320</t>
  </si>
  <si>
    <t>TPAC/SIL/HP-005, TPAC/SIL/HPAD-005</t>
  </si>
  <si>
    <t>Compressor AIR DRYER-123</t>
  </si>
  <si>
    <t>1101404871</t>
  </si>
  <si>
    <t>BEING T/F THROUGH J/V AGST B/NO. 23-324/2981-124</t>
  </si>
  <si>
    <t xml:space="preserve"> DT: 18.08.23 OF SAINATH STRUCTURES BOOKED FOR P</t>
  </si>
  <si>
    <t>1101504267</t>
  </si>
  <si>
    <t>TPAC/SIL/HP-006,                      TPAC/SIL/HPAD-006</t>
  </si>
  <si>
    <t>CP AIR COMPRESSOR with all Accessories-126</t>
  </si>
  <si>
    <t>1101504330</t>
  </si>
  <si>
    <t>Second Stage InterCooter for HP Compressor s-127</t>
  </si>
  <si>
    <t>ingle stage</t>
  </si>
  <si>
    <t>1101402671</t>
  </si>
  <si>
    <t>TPAC/SIL/LP-001,  TPAC/SIL/LPAD-001</t>
  </si>
  <si>
    <t>LP AIR COMPRESSOR -129</t>
  </si>
  <si>
    <t>1101100979</t>
  </si>
  <si>
    <t xml:space="preserve"> AIR DRYER -130</t>
  </si>
  <si>
    <t>1101402942</t>
  </si>
  <si>
    <t>TPAC/SIL/LP-002 &amp; TPAC/SIL/LPAD-002</t>
  </si>
  <si>
    <t>BEING LP AIR COMPRESSOR &amp; GI HOT DIP PLATE F-132</t>
  </si>
  <si>
    <t>OR COMPRESSOR CAPITALIZED VIDE PUR FROM KAESER O</t>
  </si>
  <si>
    <t>1101402943</t>
  </si>
  <si>
    <t>BEING COPPER FLEXIBLE CABLE AND WALKER ALLOY-133</t>
  </si>
  <si>
    <t xml:space="preserve"> HIGH PREASURE FILTER CAPITALISED PUR FROM GANES</t>
  </si>
  <si>
    <t>1101404035</t>
  </si>
  <si>
    <t>TPAC/SIL/LP-003.             TPAC/SIL/LPAD-003</t>
  </si>
  <si>
    <t>Being Sullair make screw air compressor Mode-135</t>
  </si>
  <si>
    <t>l:AS75 12 vsd pur from Yashashwi Pumps &amp; Compres</t>
  </si>
  <si>
    <t>1101404848</t>
  </si>
  <si>
    <t>BEING T/F THROUGH J/V AGST B/NO. 00805 DT: 0-136</t>
  </si>
  <si>
    <t>3.08.23 OF GANESH ELE BOOKED FOR PUR PRESSURE SW</t>
  </si>
  <si>
    <t>1101404550</t>
  </si>
  <si>
    <t>TPAC/SIL/LP-004 &amp; 005 , TPAC/SIL/LPAD-004, 005</t>
  </si>
  <si>
    <t>T/F THROUGH J/V AGTS B/NO. PI1000036532 DT: -138</t>
  </si>
  <si>
    <t>08.06.22 BOOKED FOR PUR LP AIR COMPRESSOR FOR NE</t>
  </si>
  <si>
    <t>1101404554</t>
  </si>
  <si>
    <t xml:space="preserve">LP 04 &amp; 05 </t>
  </si>
  <si>
    <t>B/NO. DOM/211 DT: 22.12.21 OF PRAKASH STEELA-139</t>
  </si>
  <si>
    <t>GE BOOKED FOR PUR STAINLESS STEEL PIPE VIDE TSGO</t>
  </si>
  <si>
    <t>1101404583</t>
  </si>
  <si>
    <t>Part of Kessor Compressor-140</t>
  </si>
  <si>
    <t>1101504313</t>
  </si>
  <si>
    <t>TPAC/SIL/LP-006</t>
  </si>
  <si>
    <t>KESSOR COMPRESSOR SET -142</t>
  </si>
  <si>
    <t>1101402806</t>
  </si>
  <si>
    <t>TPAC/SIL/BOOSTER-001</t>
  </si>
  <si>
    <t>BEING PURCHASE BOOSTER COMPRESSOR,SS FLANGE,-144</t>
  </si>
  <si>
    <t>HYD.NIPPLE,SS REDUCER,PLUG,SS BALL VALE PURCHASE</t>
  </si>
  <si>
    <t>1101404682</t>
  </si>
  <si>
    <t>TPAC/SIL/BOOSTER-002,003,004,005 HPAD07 &amp; 08</t>
  </si>
  <si>
    <t>HP &amp; LP AIR COMPRESSOR WITH ITS ACESSORIES.(-146</t>
  </si>
  <si>
    <t>Addition to New Plant)</t>
  </si>
  <si>
    <t>1101403842</t>
  </si>
  <si>
    <t>Being Hydralic Hand Pump pur from K Engineer-147</t>
  </si>
  <si>
    <t>s vide inv no KE/T/681 dt 07.09.21 ag PO# SMPOCG</t>
  </si>
  <si>
    <t>1101101598</t>
  </si>
  <si>
    <t>Air Regulator,SS Body Valve,Body Pressure,Ba-148</t>
  </si>
  <si>
    <t>llValve Threaded,SS Solendoid,Filter etc for Air</t>
  </si>
  <si>
    <t>1101101623</t>
  </si>
  <si>
    <t>Air Receiver Tank 500LTR-149</t>
  </si>
  <si>
    <t>1101405289</t>
  </si>
  <si>
    <t>EXUST FAN UNIT</t>
  </si>
  <si>
    <t>new plant Utility compressor area capitalise-151</t>
  </si>
  <si>
    <t>d</t>
  </si>
  <si>
    <t>1101102924</t>
  </si>
  <si>
    <t>BEING PURCHASED AS AIR VENTILATOR FAN WITH F-152</t>
  </si>
  <si>
    <t>RP BASE-21:DIA FROM SAHADEI ENTERPRISES AGST. IN</t>
  </si>
  <si>
    <t>1101103628</t>
  </si>
  <si>
    <t>Being Wall Fan, Wall Mounting Fan pur from R-153</t>
  </si>
  <si>
    <t xml:space="preserve">athore Light House vide inv no 2070 dt 27.03.21 </t>
  </si>
  <si>
    <t>1101400597</t>
  </si>
  <si>
    <t>TPAC/SIL/EXT-AHU-001,002,003</t>
  </si>
  <si>
    <t>Clean Room With Ducting For All ASB-155</t>
  </si>
  <si>
    <t>1101400954</t>
  </si>
  <si>
    <t>Ss Welded Pipes Astm A 312 Tp 304 Sch 10 Pur-156</t>
  </si>
  <si>
    <t>chased From Prakash Steelage Ltd.Agst.Bno:1090 D</t>
  </si>
  <si>
    <t>1101400878</t>
  </si>
  <si>
    <t>Ss Welded Pipes Astm , Ss Seamless Pipes Dif-157</t>
  </si>
  <si>
    <t>ferecnt Sizes 107 Pcs Bill No864 22/12/012 Praka</t>
  </si>
  <si>
    <t>1101400902</t>
  </si>
  <si>
    <t>Assessories Pur.For Clean Room Purpose Agst.-158</t>
  </si>
  <si>
    <t>Bno:823 Dt:19.01.13 Purchase From Fabtech Techno</t>
  </si>
  <si>
    <t>1101400903</t>
  </si>
  <si>
    <t>Assessories Pur.For Clean Room Purpose Agst.-159</t>
  </si>
  <si>
    <t>Bno:824 Dt:19.01.13 Purchase From Fabtech Techno</t>
  </si>
  <si>
    <t>1101400955</t>
  </si>
  <si>
    <t>Ss Welded Pipes Atsm - 73.75 Mtrs.Purchased -160</t>
  </si>
  <si>
    <t>From Prakash Steelage Ltd.Agst.Bno:1091 Dt:09.03</t>
  </si>
  <si>
    <t>1101403326</t>
  </si>
  <si>
    <t>Being SS 304 Ball Valve, and Coupling pur fr-161</t>
  </si>
  <si>
    <t>om Praneshwar Metal &amp; Hardware vide inv no GST/0</t>
  </si>
  <si>
    <t>1101400892</t>
  </si>
  <si>
    <t>TPAC/SIL/EXT-AHU-004, TPAC/SIL/EXT-AHU-006</t>
  </si>
  <si>
    <t>Air Handling Unit 10500 Cfm - 2 Nos.Purchase-163</t>
  </si>
  <si>
    <t>d From M.K.Precision Metal Parts Pvt.Ltd.Agst.Bn</t>
  </si>
  <si>
    <t>1101400875</t>
  </si>
  <si>
    <t>Ahu,Fire Damper,Diffuser,Damper-1 Set For Pa-164</t>
  </si>
  <si>
    <t>cking Room Purchased From M.K.Precision Metal Pa</t>
  </si>
  <si>
    <t>1101400905</t>
  </si>
  <si>
    <t>Air Handling Unit 10500 Cfm - 1 No.Purchased-165</t>
  </si>
  <si>
    <t xml:space="preserve"> From M.K.Precision Metal Parts Pvt.Ltd.Agst.Bno</t>
  </si>
  <si>
    <t>1101400893</t>
  </si>
  <si>
    <t>TPAC/SIL/EXT-AHU-005</t>
  </si>
  <si>
    <t>Ahu G02 For M/C.Room-3 Nos.Purchased From M.-167</t>
  </si>
  <si>
    <t>K.Precision Metal Parts P.Ltd.Agst.No.2098 Dt:10</t>
  </si>
  <si>
    <t>1101400907</t>
  </si>
  <si>
    <t>Ahu G02 For M/C.Room-3 Nos.Purchased From M.-168</t>
  </si>
  <si>
    <t>K.Precision Metal Parts P.Ltd.Agst.No.2193 Dt:22</t>
  </si>
  <si>
    <t>1101404551</t>
  </si>
  <si>
    <t>TPAC/SIL/NEW-AHU-001 TO 008</t>
  </si>
  <si>
    <t>T/F THROUGH J/V AGST B/NO. ACPL/019/22-23 DT-170</t>
  </si>
  <si>
    <t>: 10.06.2022 BOOKED FOR HAVC SYSTEM DUCTWORK  FO</t>
  </si>
  <si>
    <t>1101404678</t>
  </si>
  <si>
    <t>HVAC,CLEAN ROOM( CLASSIFIED &amp; NON CLASSIFIED-171</t>
  </si>
  <si>
    <t xml:space="preserve">) &amp; FLOORING(Addition to New Plant)(Addition to </t>
  </si>
  <si>
    <t>1101404754</t>
  </si>
  <si>
    <t>BEING T/F THROUGH J/V AGST B/NO. ACPL/004/23-172</t>
  </si>
  <si>
    <t>-24 DT: 06.04.23  OF AMICRON BOOKED FOR VALIDATI</t>
  </si>
  <si>
    <t>1101405162</t>
  </si>
  <si>
    <t>B/NO. S-011/2024-25 DTD: 25.04.24 OF PRAGMAT-173</t>
  </si>
  <si>
    <t>IC HVAC BOOKED FOR PUR MAGNEHALIC GAUGE VIDE TSG</t>
  </si>
  <si>
    <t>1101403077</t>
  </si>
  <si>
    <t>TPAC/SIL/AIR SHOWER-001</t>
  </si>
  <si>
    <t>Being MAN AIR SHOWER ( 3 TO 5 PERSON ENTRY) -175</t>
  </si>
  <si>
    <t>for Workers Entry Area pur from Royal Aircon Pvt</t>
  </si>
  <si>
    <t>1101400551</t>
  </si>
  <si>
    <t xml:space="preserve">CENTRALIZING BLOWER UNIT-001 &amp; 002 </t>
  </si>
  <si>
    <t>Vaccum Unit With Utility-Small-177</t>
  </si>
  <si>
    <t>1101401561</t>
  </si>
  <si>
    <t>Feeding System for 8*ASB 50 Machines in CKD -178</t>
  </si>
  <si>
    <t>Condition (Euro 15388.72*79.90)</t>
  </si>
  <si>
    <t>1101400862</t>
  </si>
  <si>
    <t>CENTRALIZING BLOWER UNIT-003 &amp; 004, 005</t>
  </si>
  <si>
    <t>Being Feeding System For 16X Asb 50Mb Machin-180</t>
  </si>
  <si>
    <t>e 1 And Feeding System For  6X Asb 70 Dph M/C. B</t>
  </si>
  <si>
    <t>1101401096</t>
  </si>
  <si>
    <t>TPAC/SIL/SS. SILO-03</t>
  </si>
  <si>
    <t>S.S.304 Sq.type tank -181</t>
  </si>
  <si>
    <t>1101402656</t>
  </si>
  <si>
    <t>Feeding System with Feeding System Component-182</t>
  </si>
  <si>
    <t>s (qty-1) on delivery challan agst D/INT/18-19/0</t>
  </si>
  <si>
    <t>1101504272</t>
  </si>
  <si>
    <t>Pivon Blower-183</t>
  </si>
  <si>
    <t>1101404112</t>
  </si>
  <si>
    <t>FERROUS NON FEROUS SEPARATOR</t>
  </si>
  <si>
    <t>B/NO SIT/2022-23/026 DT: 10.05.22 BOOKED FOR-185</t>
  </si>
  <si>
    <t xml:space="preserve"> PUR METER DETECTOR SR NO 2022-1040-PN VIDE  TSG</t>
  </si>
  <si>
    <t>1101403256</t>
  </si>
  <si>
    <t>Centralised Unit 6 ,7 ,8 ,9</t>
  </si>
  <si>
    <t>Being Centralized Feeding System pur from Pi-187</t>
  </si>
  <si>
    <t>ovan India Pvt Ltd vide inv no PI/LS/208/19-20 d</t>
  </si>
  <si>
    <t>1101404034</t>
  </si>
  <si>
    <t>Being Centralized Feeding System pur from Pi-188</t>
  </si>
  <si>
    <t>ovan India Pvt Ltd vide inv no PI/LS/150/21-22 d</t>
  </si>
  <si>
    <t>1101404544</t>
  </si>
  <si>
    <t xml:space="preserve"> CENTRALIZING BLOWER 06 TO 09 &amp; ACCESSORIES</t>
  </si>
  <si>
    <t>CENTRALIZING FEEDING SYSTEM(Addition to New -189</t>
  </si>
  <si>
    <t>Plant)</t>
  </si>
  <si>
    <t>1101404675</t>
  </si>
  <si>
    <t>TPAC/SIL/SS. SILO-01 &amp; 02 / PRESSURE FEEDING UNIT</t>
  </si>
  <si>
    <t>T/F THROUGH AGST B/NO. MF2223/0124 DT: 26.04-190</t>
  </si>
  <si>
    <t>.22 OF MATSUI TECHNOLOGIES INDIA  BOOKED FOR PUR</t>
  </si>
  <si>
    <t>1101404818</t>
  </si>
  <si>
    <t>PUR SS 304 PIPE &amp; ROTAY PADDLE FOR PRESSURE -191</t>
  </si>
  <si>
    <t>FEEDING SYSTEM</t>
  </si>
  <si>
    <t>1101404806</t>
  </si>
  <si>
    <t>Centralised Blower 6/7/8/9</t>
  </si>
  <si>
    <t>PUR VACUUM UNIT , MODEL &amp; CABLE CONNECTION &amp;-192</t>
  </si>
  <si>
    <t xml:space="preserve"> SS STEEL PIPE , FLEXIBLE HOSE , BEND , NYLON TU</t>
  </si>
  <si>
    <t>1101404870</t>
  </si>
  <si>
    <t>BEING T/F THROUGH J/V AGST B/NO. 039 DT: 08.-193</t>
  </si>
  <si>
    <t>08.23 OF GRACE ENGINEERING WORKS BOOKED FOR MODI</t>
  </si>
  <si>
    <t>1101404921</t>
  </si>
  <si>
    <t>B/NO. 048  DT: 19.09.23 OF GRACE ENGINEERING-194</t>
  </si>
  <si>
    <t xml:space="preserve"> BOOKED FOR TROLLEY MAKING FORE RESIN SHIFTING D</t>
  </si>
  <si>
    <t>1101404932</t>
  </si>
  <si>
    <t>B/NO. 043 DT: 30.08.23 OF GRACE ENGINEERING -195</t>
  </si>
  <si>
    <t>WORKS BOOKED FOR CRANE STRUCTURE MAKING &amp; INSTAL</t>
  </si>
  <si>
    <t>1101404978</t>
  </si>
  <si>
    <t>B/NO. PI/LS/180/23-24 DT: 26.09.23 OF PIOVAN-196</t>
  </si>
  <si>
    <t xml:space="preserve"> INDIA BOOKED FOR PUR CYLINDER &amp; VALVE VIDE TSGO</t>
  </si>
  <si>
    <t>1101405018</t>
  </si>
  <si>
    <t>BEING T/F THROUGH J/V AGST B/NO. PI/LS/2220/-197</t>
  </si>
  <si>
    <t xml:space="preserve">23-24 &amp; PI/SI/026/23-24 DT: 03.11.23 &amp; 07.07.23 </t>
  </si>
  <si>
    <t>1101104049</t>
  </si>
  <si>
    <t>Being Purchased as Material removing Mouldin-198</t>
  </si>
  <si>
    <t>g Machine Hopper Sliding System from Shreemad En</t>
  </si>
  <si>
    <t>1101504271</t>
  </si>
  <si>
    <t>CENTRALIZING BLOWER UNIT-006/07/08/09</t>
  </si>
  <si>
    <t>Centerlised Feeding System for 9ASB m/c's IN-199</t>
  </si>
  <si>
    <t xml:space="preserve"> CKD Condition</t>
  </si>
  <si>
    <t>1101504266</t>
  </si>
  <si>
    <t>TPAC/SIL/SS. SILO-05 &amp; 6</t>
  </si>
  <si>
    <t>HOPPER LOADER CONVEYING SYSTEM-201</t>
  </si>
  <si>
    <t>1101403246</t>
  </si>
  <si>
    <t>Being Nido Mobile Scissor Lift pur from Nido-203</t>
  </si>
  <si>
    <t xml:space="preserve"> Machineries Pvt Ltd vide inv no 1424/19-20 dt07</t>
  </si>
  <si>
    <t>1101403890</t>
  </si>
  <si>
    <t>TPAC/SIL/OVER HEAD CRANE-01</t>
  </si>
  <si>
    <t>Being Hoist Lift Model : TN2 pur from Emirat-204</t>
  </si>
  <si>
    <t>es Elevators &amp; Sunrise Enterprises vide inv no 5</t>
  </si>
  <si>
    <t>1101401481</t>
  </si>
  <si>
    <t>TPAC/SIL/OILL FILLTER M/C-01 &amp; M/C-02</t>
  </si>
  <si>
    <t>Ferrocare Electrostatic Liquid Cleaner Machi-206</t>
  </si>
  <si>
    <t>ne Model no ELC 50C 3PH IH for 50 MB Machine Pur</t>
  </si>
  <si>
    <t>1101101458</t>
  </si>
  <si>
    <t>TPAC/SIL/OILL FILLTER M/C-03</t>
  </si>
  <si>
    <t>Ferrocare Electrostic Liquid Cleaner Machine-208</t>
  </si>
  <si>
    <t xml:space="preserve"> Model ELC 50C 3PH IH EL</t>
  </si>
  <si>
    <t>1101404701</t>
  </si>
  <si>
    <t>FLOOR CLEAN MACHINE-01&amp; 02</t>
  </si>
  <si>
    <t>B/NO. 722104413 DT: 21.03.23 OF COMAC INDIA -210</t>
  </si>
  <si>
    <t>BOOKED FOR PUR SCRUBBER VIDE TSGR/22-23/1089 DT:</t>
  </si>
  <si>
    <t>1101404829</t>
  </si>
  <si>
    <t>FLOOR CLEAN MACHINE-03,04,05</t>
  </si>
  <si>
    <t>B/NO. 723101331 DT: 10.07.23 OF COMAC INDIA -212</t>
  </si>
  <si>
    <t>BOOKED FOR PUR SCRUBBER VISPA VIDE TSGO/23-24/02</t>
  </si>
  <si>
    <t>1101404654</t>
  </si>
  <si>
    <t>VACCUM CLEANER-03 &amp; 04</t>
  </si>
  <si>
    <t>T/F TRHOUGH J/V AGST B/NO. 722103954 DT: 21.-214</t>
  </si>
  <si>
    <t>02.2023 OF COMAC INDIA BOOEKD FOR PUR VACUUM CLE</t>
  </si>
  <si>
    <t>1101100709</t>
  </si>
  <si>
    <t>Vacuum Handling System-215</t>
  </si>
  <si>
    <t>1101400564</t>
  </si>
  <si>
    <t>ASB 50 MB-6 Ton</t>
  </si>
  <si>
    <t>50MB CL ROOM-01 CONV.-33,34</t>
  </si>
  <si>
    <t>Belt Conveyor -217</t>
  </si>
  <si>
    <t>1101401006</t>
  </si>
  <si>
    <t>50MB CL ROOM-02 CONV.-35</t>
  </si>
  <si>
    <t>Powerised Belt Conveyor 16 Mtr.Long-219</t>
  </si>
  <si>
    <t>1101401624</t>
  </si>
  <si>
    <t>50MB CL ROOM-02 CONV.-36</t>
  </si>
  <si>
    <t>Power Belt Conveyor (16 Mtr.Long 570 mm Widt-221</t>
  </si>
  <si>
    <t>h 230 mm Working Heigth) for Clean Room Purpose</t>
  </si>
  <si>
    <t>1101400921</t>
  </si>
  <si>
    <t>FG Entrée conveyor-38</t>
  </si>
  <si>
    <t>Inclined Powerised Belt Conveyor For Trf Mou-223</t>
  </si>
  <si>
    <t xml:space="preserve">lded Materials  1Nos, Bill No .-162/30.1.13 Pac </t>
  </si>
  <si>
    <t>1101403770</t>
  </si>
  <si>
    <t>FG Exist conveyor-40</t>
  </si>
  <si>
    <t>Being The ovaral length of conveyor will be -225</t>
  </si>
  <si>
    <t>10100 mm, pur from Pac Equipments vide inv no 00</t>
  </si>
  <si>
    <t>1101402941</t>
  </si>
  <si>
    <t>BEING PVC BELT CONVEYOR CAPITALIZED VIDE PUR-227</t>
  </si>
  <si>
    <t xml:space="preserve">. FROM PAC EQUIPMENT BILL NO. 200 DT 28/12/18 &amp; </t>
  </si>
  <si>
    <t>1101404185</t>
  </si>
  <si>
    <t>Being Purchased Take Out Machine change part-228</t>
  </si>
  <si>
    <t>s for ASB 70 DPW against PO: SMPOCG/22-23/011 da</t>
  </si>
  <si>
    <t>1101404552</t>
  </si>
  <si>
    <t>NEW PLANT FG ENTRÉE CONVEYOR-52,53,54,55 &amp; FG Exist conveyor-41</t>
  </si>
  <si>
    <t>T/F THROUGH J/V AGST B/NO. 88/22-23 DT: 13.0-229</t>
  </si>
  <si>
    <t>8.22 BOOKED FOR PUR CONVEYOR BELT VIDE TSGO/22-2</t>
  </si>
  <si>
    <t>1101404753</t>
  </si>
  <si>
    <t>Conveyar 53 &amp; 54</t>
  </si>
  <si>
    <t>B/NO. 0216/22-23 DT: 22.03.2023 OF PAC EQUIP-230</t>
  </si>
  <si>
    <t>MENTS BOOKED FOR PUR TRUCK LOADING CONVEYOR VIDE</t>
  </si>
  <si>
    <t>1101404804</t>
  </si>
  <si>
    <t>B/NO. 24 DT: 06.06.23 OF RAJ ENGINEERING BOO-231</t>
  </si>
  <si>
    <t>KED FOR PURV SS 304 STAIRCASE FOR CONVERY BELT C</t>
  </si>
  <si>
    <t>1101405163</t>
  </si>
  <si>
    <t>SCISSOR LIFT / GOODS LIFT- 01</t>
  </si>
  <si>
    <t>B/NO. CL14 DT: 28.12.23 OF CLASSIC LIFTS BOO-233</t>
  </si>
  <si>
    <t>KED FOR PUR HYDRAULIC SCISSOR LIFT PUR VIDE TSGO</t>
  </si>
  <si>
    <t>1101405160</t>
  </si>
  <si>
    <t>RETROT MACHINE</t>
  </si>
  <si>
    <t>B/NO. 10501241427 DT: 26.01.24 OF MACHINF AB-235</t>
  </si>
  <si>
    <t>RIK INDUSTRIES BOOKED FOR PUR AUTOCLAVE VIDE TSG</t>
  </si>
  <si>
    <t>1101402670</t>
  </si>
  <si>
    <t>VCB-01</t>
  </si>
  <si>
    <t>VCB Panel of 11 KV 1250 AMP Single Alone-237</t>
  </si>
  <si>
    <t>1101403053</t>
  </si>
  <si>
    <t>TRANSFORMER-01 / Oil TC 1 CTPT / LVS with VCB</t>
  </si>
  <si>
    <t>BEING 11KV OUTDOOR TYPE LBS PANEL 2500 KVA T-239</t>
  </si>
  <si>
    <t>RANSFORMER INSTALLATION</t>
  </si>
  <si>
    <t>1101404187</t>
  </si>
  <si>
    <t>B/NO. 325 DT: 08.09.22 BOOKED FOR PUR SAFE E-240</t>
  </si>
  <si>
    <t>LECTRODE EARTHING &amp; 11 KV OUTDOOR CTPT AGST PO S</t>
  </si>
  <si>
    <t>1101404188</t>
  </si>
  <si>
    <t>B/NO. 324 DT: 07.09.22 BOOKED FOR ELECTRICAL-241</t>
  </si>
  <si>
    <t xml:space="preserve"> INSTALLATIONS AGST PO SMPOCG/22-23/141 DT: 29.0</t>
  </si>
  <si>
    <t>1101400908</t>
  </si>
  <si>
    <t>SUB PANEL-02</t>
  </si>
  <si>
    <t>Main Pannel Mb-50 Ii Purchased From Saraswat-243</t>
  </si>
  <si>
    <t xml:space="preserve"> Engg.Services Agst.Bno:13330 Dt:23.01.2013</t>
  </si>
  <si>
    <t>1101400432</t>
  </si>
  <si>
    <t>SUB PANEL-03</t>
  </si>
  <si>
    <t>M.B.automation L.T Panel-245</t>
  </si>
  <si>
    <t>1101400433</t>
  </si>
  <si>
    <t>SUB PANEL-05 &amp; 06</t>
  </si>
  <si>
    <t>M.B.automation Distribution Panel-247</t>
  </si>
  <si>
    <t>1101400514</t>
  </si>
  <si>
    <t>SUB PANEL-07 ,08</t>
  </si>
  <si>
    <t>Power Distributional Panel-249</t>
  </si>
  <si>
    <t>1101404546</t>
  </si>
  <si>
    <t>TRANSFORMER-02, OLTC-02, VCB-02,2000AMP BUSDUCT - DPH,2000AMP BUSDUCT - DPw</t>
  </si>
  <si>
    <t>Being pur 2500 KVA Oil Type 11/KV/433V trans-251</t>
  </si>
  <si>
    <t>former from Sudhir Power Ltd Inv No. GST10522432</t>
  </si>
  <si>
    <t>1101404700</t>
  </si>
  <si>
    <t>B/NO. 841 DT: 31.03.2023 OF SHREE KRISHNA EL-252</t>
  </si>
  <si>
    <t>E BOOOKED FOR PUR LIGHTING ARRESTOR  VIDE TSGO/2</t>
  </si>
  <si>
    <t>1101404837</t>
  </si>
  <si>
    <t>B/NO. 365 DT: 15.07.23 OF SHREE KRISHNA ELE -253</t>
  </si>
  <si>
    <t>BOOKED FOR ELECTRICAL INSTALLATION AGST PO SMPOC</t>
  </si>
  <si>
    <t>1101404845</t>
  </si>
  <si>
    <t>BEING T/F THROUGH J/V AGST B/NO. 364 DT: 16.-254</t>
  </si>
  <si>
    <t>07.23 OF SHREE KRISHNA ELE BOOKED FOR PUR SOCKET</t>
  </si>
  <si>
    <t>1101404850</t>
  </si>
  <si>
    <t>BEING T/F THROUGH J/V AGST B/NO. 422 DT: 01.-255</t>
  </si>
  <si>
    <t>08.23 OF SHREE KRISHNA ELE BOOKED FOR PUR APFC R</t>
  </si>
  <si>
    <t>1101103759</t>
  </si>
  <si>
    <t>Being HPL Meter CT-2E PAMCT2E0005 &amp; 250/5A C-256</t>
  </si>
  <si>
    <t>T Current Transformer pur from Rathore Light Hou</t>
  </si>
  <si>
    <t>1101104041</t>
  </si>
  <si>
    <t>Being 11KV CTPT Unit 3phase with accessories-257</t>
  </si>
  <si>
    <t xml:space="preserve"> pur from Shree Krishna Electricals vide inv no </t>
  </si>
  <si>
    <t>1101404681</t>
  </si>
  <si>
    <t>4000 AMP PCC PANEL,2000 AMP SUB-PANEL-11,2000 AMP SUB-PANEL-12,400 AMP SUB-PANEL -13,14,15</t>
  </si>
  <si>
    <t>ELECTRICAL INSTALLATION for new plant (as pe-259</t>
  </si>
  <si>
    <t>r list)(Addition to New Plant)</t>
  </si>
  <si>
    <t>1101400632</t>
  </si>
  <si>
    <t>Stores Logi &amp; Desp</t>
  </si>
  <si>
    <t>1202010203</t>
  </si>
  <si>
    <t>TPAC/SIL/FORK LIFT -01</t>
  </si>
  <si>
    <t>bill no. 51014910 dtd.23.07.11 twds purchase-261</t>
  </si>
  <si>
    <t xml:space="preserve"> Godrej electric Fork LIft Model Gx 300 E capici</t>
  </si>
  <si>
    <t>1101404699</t>
  </si>
  <si>
    <t>TPAC/SIL/FORK LIFT -02</t>
  </si>
  <si>
    <t>T/F THROUGH J/V B/NO. VE22230143 DT: 27.03.2-263</t>
  </si>
  <si>
    <t>023 OF VMX TRADING BOOKED FOR PUR ELECTRIC FORKL</t>
  </si>
  <si>
    <t>1101403037</t>
  </si>
  <si>
    <t>DIESEL ENGINE-01 &amp; OTHER EQUIPMENTS</t>
  </si>
  <si>
    <t>Being Fire Fitghting System with Accessories-265</t>
  </si>
  <si>
    <t>1101405218</t>
  </si>
  <si>
    <t>Deisel Engine 01 ( Accesoriers)</t>
  </si>
  <si>
    <t>Fire hydrant line for safety purposes -266</t>
  </si>
  <si>
    <t>1101403456</t>
  </si>
  <si>
    <t>MANUAL CALL POINTS                    (FIRE ALRAM SYSTE)</t>
  </si>
  <si>
    <t>Being Fire Pipe alarm system installation do-268</t>
  </si>
  <si>
    <t>ne by Unique Tech 1 vide inv no UT-1/48 dt 14.03</t>
  </si>
  <si>
    <t>1101404674</t>
  </si>
  <si>
    <t>DIESEL ENGINE-02 &amp; OTHER EQUIPMENTS</t>
  </si>
  <si>
    <t>B/NO. 1153 DT: 28.03.22 OF SAFEGUARD INDUSTR-270</t>
  </si>
  <si>
    <t>IES BOOKED FOR PUR MS PIPE VIDE TSGO/21-22/717 D</t>
  </si>
  <si>
    <t>1101403245</t>
  </si>
  <si>
    <t>Being Double Axis system pur from Interpack -271</t>
  </si>
  <si>
    <t>Technologies vide inv no 139/19-20 dt 25.01.20 a</t>
  </si>
  <si>
    <t>1101403287</t>
  </si>
  <si>
    <t>Being GI Pipes pur from Sainath Structures P-272</t>
  </si>
  <si>
    <t>vt Ltd vide inv no GST4225 dt 23.01.20 ag PO# SM</t>
  </si>
  <si>
    <t>1101403571</t>
  </si>
  <si>
    <t>Being Fire Hydrant Line work done for New Pl-273</t>
  </si>
  <si>
    <t xml:space="preserve">ant done by Grace Engineering works vide inv no </t>
  </si>
  <si>
    <t>1101403794</t>
  </si>
  <si>
    <t>Being 4 mm chequre plate Ms &amp; MS Chennal 100-274</t>
  </si>
  <si>
    <t>x50mm pur from Gayatri Steel &amp; Pipes vide inv no</t>
  </si>
  <si>
    <t>1101404549</t>
  </si>
  <si>
    <t>T/F THROUGH J/V AGST B/NO. 692 DT: 20.10.22 -275</t>
  </si>
  <si>
    <t>BOOKED FOR SAFETY SYSTEM FOR NEW PROJECT CPX# 17</t>
  </si>
  <si>
    <t>1101404805</t>
  </si>
  <si>
    <t>B/NO. 0033/23-24 DT: 10.06.23 OF PAC EQUIPME-276</t>
  </si>
  <si>
    <t>NTS BOOEKD FOR PUR TRUCK LOADING CONVEYOR VIDE T</t>
  </si>
  <si>
    <t>1101404812</t>
  </si>
  <si>
    <t>B/NO. 243 DT: 27.06.23 OF SAFEGUARD INDUSTRI-277</t>
  </si>
  <si>
    <t>ES BOOKED FOR ERECTION OF PRESSURE GAUGE , GI PI</t>
  </si>
  <si>
    <t>1101404864</t>
  </si>
  <si>
    <t>Deisel Engine &amp; Other Equpiment</t>
  </si>
  <si>
    <t>Fire System Installed-278</t>
  </si>
  <si>
    <t>1101504324</t>
  </si>
  <si>
    <t>Electric Panel Control Board and Electric In-279</t>
  </si>
  <si>
    <t>stallation</t>
  </si>
  <si>
    <t>1101504337</t>
  </si>
  <si>
    <t>WATER PUMP Model  - CR 15-04 A - F - A - HQQ-280</t>
  </si>
  <si>
    <t xml:space="preserve">E Capacity ( M3 / Hr) : 11 purchased from Harsh </t>
  </si>
  <si>
    <t>1101401512</t>
  </si>
  <si>
    <t>Quality Control</t>
  </si>
  <si>
    <t>Pressure Gauge/Bursting strength Tester</t>
  </si>
  <si>
    <t>Bushing Strieight Tester Machine for packing-282</t>
  </si>
  <si>
    <t xml:space="preserve"> material purpose</t>
  </si>
  <si>
    <t>1101401547</t>
  </si>
  <si>
    <t>Digital Weighing Balance-01</t>
  </si>
  <si>
    <t>Electronic Weighing Machine DC-85 1.5 Kgs-284</t>
  </si>
  <si>
    <t>1101403588</t>
  </si>
  <si>
    <t>Digital Weighing Balance-02</t>
  </si>
  <si>
    <t>Being weighing scale DS-852G capacity 600g p-286</t>
  </si>
  <si>
    <t>ur from Bharat Electro Marketing vide inv no 274</t>
  </si>
  <si>
    <t>1101401548</t>
  </si>
  <si>
    <t>Hot Air Oven (Environmental Chamber)</t>
  </si>
  <si>
    <t>Hot air Oven Inner chamber size /Dimensions -288</t>
  </si>
  <si>
    <t>12"*12"*12" &amp; 1 Stainless Steel tray</t>
  </si>
  <si>
    <t>1101404925</t>
  </si>
  <si>
    <t>Electric Weighing Machine</t>
  </si>
  <si>
    <t>B/NO. 229 DT: 28.09.23 OF BAHRAT ELECTRO BOO-290</t>
  </si>
  <si>
    <t>KED FOR PUR ESSAE TERAOKA ELECTRONIC WEIGHING SC</t>
  </si>
  <si>
    <t>1101404055</t>
  </si>
  <si>
    <t>B/NO. 2122/000994 DT: 03.03.22 OF SHREE VINA-291</t>
  </si>
  <si>
    <t>YAK WEIGHING SERVICE BOOKED FOR PUR ELECTRIC WEI</t>
  </si>
  <si>
    <t>1101404126</t>
  </si>
  <si>
    <t xml:space="preserve">Torque Tester &amp; Vacuum Leak Tester </t>
  </si>
  <si>
    <t>B/NO. 360 DT: 20.05.22 BOOKED FOR PUR TORQUE-293</t>
  </si>
  <si>
    <t xml:space="preserve"> TESTER DIGITAL &amp; VACCUM LEAK TESTER VIDE TSGO/2</t>
  </si>
  <si>
    <t>1101404692</t>
  </si>
  <si>
    <t>Leak tester machine</t>
  </si>
  <si>
    <t>T/F THROUGH J/V AGST B/NO. 233/22-23 DT: 16.-295</t>
  </si>
  <si>
    <t>03.23 OF EMINENCE ENGINEERING BOOKED FOR PUR LEA</t>
  </si>
  <si>
    <t>1101504446</t>
  </si>
  <si>
    <t>Magnet gause meter</t>
  </si>
  <si>
    <t>BEING PURCHASED AS TESLA METER MAG ASSLY FOR-297</t>
  </si>
  <si>
    <t xml:space="preserve"> VACCUM LOADER MAGNETIS FROM PERMANENT MAGNETS </t>
  </si>
  <si>
    <t>1101405250</t>
  </si>
  <si>
    <t xml:space="preserve">Auto slealing machine </t>
  </si>
  <si>
    <t>B/NO. SA/0140/24-25 DTD: 18.07.24 OF HILDA A-299</t>
  </si>
  <si>
    <t>UTOMATION BOOKED FOR PUR SEMI AUTOMATIC SINGLE C</t>
  </si>
  <si>
    <t>1101403636</t>
  </si>
  <si>
    <t>Borowell-01 &amp; 02 CGW  meter</t>
  </si>
  <si>
    <t>Being Installation &amp; Supply of Electromagnet-301</t>
  </si>
  <si>
    <t>ic Flow Meter by Aditi Infotech vide inv no W75/</t>
  </si>
  <si>
    <t>1101102829</t>
  </si>
  <si>
    <t>BEING PURCHASED AS HYDRUALIC JECK 20TON  &amp; W-302</t>
  </si>
  <si>
    <t>ATER METER THREADED FROM K ENGINEERS AGST. INV.N</t>
  </si>
  <si>
    <t>1101103627</t>
  </si>
  <si>
    <t>Being Installation and supply of Electromagn-303</t>
  </si>
  <si>
    <t>etic Flow Meter by Aditi Infotech vide inv no W7</t>
  </si>
  <si>
    <t>1101403365</t>
  </si>
  <si>
    <t>HYD PALLET TRUCK-01</t>
  </si>
  <si>
    <t>Being HARK HYDRAULIC PALLET TRUCK pur from H-305</t>
  </si>
  <si>
    <t>ark Engineers Pvt Ltd vide inv no 000227 dt 07.0</t>
  </si>
  <si>
    <t>1101403710</t>
  </si>
  <si>
    <t>HYD PALLET TRUCK-02</t>
  </si>
  <si>
    <t>Being HARK HYDRAULIC PALLET TRUCK pur from H-307</t>
  </si>
  <si>
    <t>ark Engineers Pvt Ltd vide inv no 000119 dt 24.0</t>
  </si>
  <si>
    <t>1101403841</t>
  </si>
  <si>
    <t>HYD PALLET TRUCK-03</t>
  </si>
  <si>
    <t>Being 2000Kgs Capacity HARK HYDRAULIC PALLET-309</t>
  </si>
  <si>
    <t xml:space="preserve"> TRUCK pur from Hark Engineers Pvt Ltd vide inv </t>
  </si>
  <si>
    <t>1101400289</t>
  </si>
  <si>
    <t>HYD PALLET TRUCK-04</t>
  </si>
  <si>
    <t>Hyd Pallet Truck-311</t>
  </si>
  <si>
    <t>1101400740</t>
  </si>
  <si>
    <t>HYD PALLET TRUCK-05</t>
  </si>
  <si>
    <t>Pallet Truck  Bill No.130/15.6.12  Hark Engi-313</t>
  </si>
  <si>
    <t>neers P. Ltd</t>
  </si>
  <si>
    <t>1101104050</t>
  </si>
  <si>
    <t>B/No: 168 Dt: 16.3.2022 Being Purchased as T-314</t>
  </si>
  <si>
    <t>PAC GRinder Rotor for Pet Section from Panchal P</t>
  </si>
  <si>
    <t>1101402767</t>
  </si>
  <si>
    <t>HYD PALLET TRUCK-06</t>
  </si>
  <si>
    <t>HYDRAULIC PALLET TRUCK FOR PKG AREA. ( FOR L-316</t>
  </si>
  <si>
    <t>OADING &amp; UNLOADING MATERIAL )</t>
  </si>
  <si>
    <t>1101404672</t>
  </si>
  <si>
    <t>NA</t>
  </si>
  <si>
    <t>B/NO. 21-22/7453 DT: 23.03.22 OF SAINATH STR-317</t>
  </si>
  <si>
    <t>UCTURES BOOKED FOR PUR MS BEAM VIDE TSGO/21-22/6</t>
  </si>
  <si>
    <t>1101404089</t>
  </si>
  <si>
    <t>HYD PALLET TRUCK-07</t>
  </si>
  <si>
    <t>B/NO. VE22230002 DT: 08.04.22 OF VMX TRADING-319</t>
  </si>
  <si>
    <t xml:space="preserve"> BOOKED FOR PUR GODREJ 2.5 TON HAND PALLET TRUCK</t>
  </si>
  <si>
    <t>1101404679</t>
  </si>
  <si>
    <t>NA ( Check in Tally)</t>
  </si>
  <si>
    <t>MATERIAL HANDELING EQUIPMENTS.(Addition to N-320</t>
  </si>
  <si>
    <t>ew Plant)</t>
  </si>
  <si>
    <t>1101401345</t>
  </si>
  <si>
    <t>Cooling Tower 1</t>
  </si>
  <si>
    <t>FRP Induced Draught Cooling Tower,FRP Besin/-322</t>
  </si>
  <si>
    <t>Tank For Cooling Tower Purpose</t>
  </si>
  <si>
    <t>1101400910</t>
  </si>
  <si>
    <t>Frp Induced Draught Cooling Tower 1Nos  Basi-323</t>
  </si>
  <si>
    <t>n  1No, Bill No 293/24.1.13 Himraj Cooling Syste</t>
  </si>
  <si>
    <t>1101402839</t>
  </si>
  <si>
    <t>PUR ENERGY SAVER VIDE TSGO/18-19/0233 AGTS P-324</t>
  </si>
  <si>
    <t>O SMPOCG/18-19/028 FOR COOLING TOWER FAN MOTOR .</t>
  </si>
  <si>
    <t>1101402963</t>
  </si>
  <si>
    <t>Being TECHSUPPEN 9.3KW ENERGY SAVER (FOR COO-325</t>
  </si>
  <si>
    <t>LING TOWER) PUR FROM TECHSUPPEN ENTERPRISES VIDE</t>
  </si>
  <si>
    <t>1101100041</t>
  </si>
  <si>
    <t>HYD PALLET TRUCK-08</t>
  </si>
  <si>
    <t>Pallet Truck-326</t>
  </si>
  <si>
    <t>1101400390</t>
  </si>
  <si>
    <t>Pallets</t>
  </si>
  <si>
    <t>HDPE Pvc Pallet-328</t>
  </si>
  <si>
    <t>1101400756</t>
  </si>
  <si>
    <t>Mm Pallet -Nos 107, Bill No 047-21.7.12 Chha-329</t>
  </si>
  <si>
    <t>ya Wooden Box Packing</t>
  </si>
  <si>
    <t>1101400795</t>
  </si>
  <si>
    <t>Mm Pallet -210 Pcs Bill No 358-22.8.12 Archa-330</t>
  </si>
  <si>
    <t>na Wooden Box Packaging</t>
  </si>
  <si>
    <t>1101403414</t>
  </si>
  <si>
    <t>Being Plastic Pallet White Colour pur from C-331</t>
  </si>
  <si>
    <t>hhaya Wooden Box Packing vide inv no 211 dt 07.1</t>
  </si>
  <si>
    <t>1101404031</t>
  </si>
  <si>
    <t>Being SS Pallet, Drum &amp; Lid pur from Raj Eng-332</t>
  </si>
  <si>
    <t>ineering Co vide inv no 128 dt 31.12.21 ag PO# S</t>
  </si>
  <si>
    <t>1101404100</t>
  </si>
  <si>
    <t>B/NO. 23 DT: 07.05.22 BOOKED FOR PUR SS TREY-333</t>
  </si>
  <si>
    <t xml:space="preserve"> STAND &amp; PALLET VIDE TSGO/22-23/106 DT: 07.05.22</t>
  </si>
  <si>
    <t>1101404189</t>
  </si>
  <si>
    <t>Being Purchased Pallets Qty 400  @ Rs 2200/p-334</t>
  </si>
  <si>
    <t>cs Capitalised</t>
  </si>
  <si>
    <t>1101404548</t>
  </si>
  <si>
    <t>Pallets(Addition to New Plant)-335</t>
  </si>
  <si>
    <t>1101404696</t>
  </si>
  <si>
    <t>Being Purchase towords NSS Injection pallet -336</t>
  </si>
  <si>
    <t>SP1210 Qty.300nos of Nilkamal Storage Systems Pv</t>
  </si>
  <si>
    <t>1101404677</t>
  </si>
  <si>
    <t>BEING MATERIAL PURCHASED AS PVC PALLET BLUE -337</t>
  </si>
  <si>
    <t>COLOUR FOR NEW PLANT FG STORAGE AREA PURPOSE FRO</t>
  </si>
  <si>
    <t>1101404725</t>
  </si>
  <si>
    <t>Being material purchased as Plastic Pallets -338</t>
  </si>
  <si>
    <t>for FG and RM Stacking purpose agst. INV.No: 526</t>
  </si>
  <si>
    <t>1101404800</t>
  </si>
  <si>
    <t>B/NO. 6108366544 DT: 26.06.23 OF NILKAMAL BO-339</t>
  </si>
  <si>
    <t>OKED FOR PUR PVC PALLET VIDE TSGO/23-24/0170 DT:</t>
  </si>
  <si>
    <t>1101404813</t>
  </si>
  <si>
    <t>B/NO. 6108366704 DT: 29.06.23 OF NILKAMAL BO-340</t>
  </si>
  <si>
    <t xml:space="preserve">OKED FOR PUR PVC PALLET VIDE TSGO/23-24/179 DT: </t>
  </si>
  <si>
    <t>1101404866</t>
  </si>
  <si>
    <t>BEING T/F THROUGH J/V AGST B/NO. 6108369570 -341</t>
  </si>
  <si>
    <t>DT: 11.08.23 OF NILKAMAL BOOKED FOR PUR PALLET V</t>
  </si>
  <si>
    <t>1101404930</t>
  </si>
  <si>
    <t>B/NO. 6108370805 DT: 31.08.23 OF NILKAMAL BO-342</t>
  </si>
  <si>
    <t>OKED FOR PUR PALLET VIDE TSGO/23-24/337 DT: 31.0</t>
  </si>
  <si>
    <t>1101404979</t>
  </si>
  <si>
    <t>BEING T/F THROUGH J/V AGST B/NO. 6108373141 -343</t>
  </si>
  <si>
    <t xml:space="preserve">DT: 07.10.23 OF NILKAMAL LIMITED BOOKED FOR PUR </t>
  </si>
  <si>
    <t>1101405019</t>
  </si>
  <si>
    <t>BEING T/F THROUGH J/V AGST B/NO. SS/2023-24/-344</t>
  </si>
  <si>
    <t>01386 &amp; 6108376620 &amp;6108376910 DT: 02.12.23 &amp; 02</t>
  </si>
  <si>
    <t>1101100132</t>
  </si>
  <si>
    <t>HYD PALLET TRUCK-09</t>
  </si>
  <si>
    <t>Hy.Pallet Truck-345</t>
  </si>
  <si>
    <t>1101504393</t>
  </si>
  <si>
    <t>Being Plastic Pallet White Colour pur from C-346</t>
  </si>
  <si>
    <t>hhaya Wooden Box Packing vide inv no 146 dt 21.0</t>
  </si>
  <si>
    <t>1101504333</t>
  </si>
  <si>
    <t>Being material purchased as Plastic Pallets -347</t>
  </si>
  <si>
    <t>1101504424</t>
  </si>
  <si>
    <t>Being Plastic Pallet White Colour pur from C-348</t>
  </si>
  <si>
    <t>hhaya Wooden Box Packing vide inv no 455 dt 09.1</t>
  </si>
  <si>
    <t>1101504425</t>
  </si>
  <si>
    <t>Being Plastic Pallet White Colour pur from C-349</t>
  </si>
  <si>
    <t>1101504430</t>
  </si>
  <si>
    <t>Being material purchased as Plastic Pallets -350</t>
  </si>
  <si>
    <t>1101504426</t>
  </si>
  <si>
    <t>Being Plastic Pallet White Colour pur from C-351</t>
  </si>
  <si>
    <t>1101504456</t>
  </si>
  <si>
    <t>Being material purchased as Plastic Pallets -352</t>
  </si>
  <si>
    <t>1101504443</t>
  </si>
  <si>
    <t>Being material purchased as Plastic Pallets -353</t>
  </si>
  <si>
    <t>1101504536</t>
  </si>
  <si>
    <t>Being material purchased as Plastic Pallets -354</t>
  </si>
  <si>
    <t>1101100353</t>
  </si>
  <si>
    <t>HYD PALLET TRUCK-10</t>
  </si>
  <si>
    <t>Pallet Truck 2000 Cap.-356</t>
  </si>
  <si>
    <t>1101404980</t>
  </si>
  <si>
    <t>BEING T/F THROUGH J/V AGST B/NO. EPL/2023-24-357</t>
  </si>
  <si>
    <t>/078 DT: 04.10.23 OF ENERPRONE PVT LTD BOOKED FO</t>
  </si>
  <si>
    <t>1101102816</t>
  </si>
  <si>
    <t>BEING PURCHASED AS DT 03 DRAM LOADER TROLLY -358</t>
  </si>
  <si>
    <t xml:space="preserve"> FOR HANDLING 600MM DIAMETER STEEL/ PLASTIC BARR</t>
  </si>
  <si>
    <t>1101100938</t>
  </si>
  <si>
    <t>HYD PALLET TRUCK-11</t>
  </si>
  <si>
    <t>Hydrolic Pallet Truck-360</t>
  </si>
  <si>
    <t>1101404651</t>
  </si>
  <si>
    <t>T/F THROUGH J/V AGTS B/NO. SSE/22-23/7098 DT-361</t>
  </si>
  <si>
    <t>: 16.02.23 OF SS ELECTRONICS BOOKED FOR  PUR AC-</t>
  </si>
  <si>
    <t>1101403395</t>
  </si>
  <si>
    <t>TPAC/SIL/AIR SHOWER-002</t>
  </si>
  <si>
    <t>Being Man Air Shower (1 to 2 person Entry) f-363</t>
  </si>
  <si>
    <t>rom Royal Aircon Pvt Ltd vide inv no GST/0824/19</t>
  </si>
  <si>
    <t>1101403502</t>
  </si>
  <si>
    <t>MODULAR PANELING WORK FOR CLEAN WORK AREA AT-364</t>
  </si>
  <si>
    <t xml:space="preserve"> 70 DPH SECTION VIDE S/OTH/18-19/0405 AGST PO NO</t>
  </si>
  <si>
    <t>1101403503</t>
  </si>
  <si>
    <t>MODULAR PANELING WORK VIDE S/OTH/18-19/0406 -365</t>
  </si>
  <si>
    <t xml:space="preserve">AGST PO NO SM/PO/CG/18-19/095 FOR CLEAN AREA AT </t>
  </si>
  <si>
    <t>1101100464</t>
  </si>
  <si>
    <t>HYD PALLET TRUCK-12</t>
  </si>
  <si>
    <t>HY Pallet Truck-366</t>
  </si>
  <si>
    <t>1101101552</t>
  </si>
  <si>
    <t>HYD PALLET TRUCK-13 / HYD PALLET TRUCK-14</t>
  </si>
  <si>
    <t>Hydraulic Pallet Truck (M8) for Packing mate-368</t>
  </si>
  <si>
    <t>rial lifting Purpose</t>
  </si>
  <si>
    <t>1101402810</t>
  </si>
  <si>
    <t>PUR M S TROLLY VIDE TSGR/18-19/200 AGST PO S-369</t>
  </si>
  <si>
    <t>MPOCG/18-19/012 FOR PACKING DEPT.PURCHASE FROM J</t>
  </si>
  <si>
    <t>1101404037</t>
  </si>
  <si>
    <t>B/NO: 248 DT. 07.02.22 OF YASHASWI PUMPS &amp; C-370</t>
  </si>
  <si>
    <t>OMPRESSORS PVT.LTD BOOKED FOR PUR AIR FILTER   V</t>
  </si>
  <si>
    <t>1101401085</t>
  </si>
  <si>
    <t>SUB PANEL-04, 09 ,10 , 100AMP SUB PANEL 50MB-01 to 08</t>
  </si>
  <si>
    <t>Electric Control Panel Board L.T.Starter Pan-372</t>
  </si>
  <si>
    <t>el board for new cooling tower PHE</t>
  </si>
  <si>
    <t>1101400228</t>
  </si>
  <si>
    <t>Crane-374</t>
  </si>
  <si>
    <t>1101400319</t>
  </si>
  <si>
    <t>Electronic Weight Scale-375</t>
  </si>
  <si>
    <t>1101400368</t>
  </si>
  <si>
    <t>Electronic Weighing Machine-376</t>
  </si>
  <si>
    <t>1101400376</t>
  </si>
  <si>
    <t>Grandfos Pump-377</t>
  </si>
  <si>
    <t>1101400417</t>
  </si>
  <si>
    <t>Electronic Weighing Machine-378</t>
  </si>
  <si>
    <t>1101400419</t>
  </si>
  <si>
    <t>Mould Lifting Truck-SCL-379</t>
  </si>
  <si>
    <t>1101400428</t>
  </si>
  <si>
    <t>Vibro Energy Seprator-380</t>
  </si>
  <si>
    <t>1101400434</t>
  </si>
  <si>
    <t>Chilling Plant-SCL-381</t>
  </si>
  <si>
    <t>1101400537</t>
  </si>
  <si>
    <t>Grandfos Pump-382</t>
  </si>
  <si>
    <t>1101400538</t>
  </si>
  <si>
    <t>Grandfos Pump-383</t>
  </si>
  <si>
    <t>1101400543</t>
  </si>
  <si>
    <t>Grandfos Pump-384</t>
  </si>
  <si>
    <t>1101400566</t>
  </si>
  <si>
    <t>Conveyor Belt-385</t>
  </si>
  <si>
    <t>1101400585</t>
  </si>
  <si>
    <t>Conveyor Belt-386</t>
  </si>
  <si>
    <t>1101400590</t>
  </si>
  <si>
    <t>Electroic Weighing Machine-387</t>
  </si>
  <si>
    <t>1101400616</t>
  </si>
  <si>
    <t>Plant &amp; Machinery - Vaccum Pump-388</t>
  </si>
  <si>
    <t>1101400635</t>
  </si>
  <si>
    <t>bill no. 51014911 dtd.23.07.11 twds purchase-389</t>
  </si>
  <si>
    <t xml:space="preserve">  electronic battery charger 3 phase, 440 volts </t>
  </si>
  <si>
    <t>1101400636</t>
  </si>
  <si>
    <t>Plant &amp; Machinery - Electronic Weighing M/C-390</t>
  </si>
  <si>
    <t>1101400640</t>
  </si>
  <si>
    <t>Plant &amp; Machinery - Conveyor-391</t>
  </si>
  <si>
    <t>1101400650</t>
  </si>
  <si>
    <t>Plant &amp; Machinery -392</t>
  </si>
  <si>
    <t>1101400653</t>
  </si>
  <si>
    <t>PLANT &amp; MACHINERY - cleaner machine-393</t>
  </si>
  <si>
    <t>1101400700</t>
  </si>
  <si>
    <t>AUTOMATIC TUBE  ATB TRAIN CHILLER PARTS, LOG-394</t>
  </si>
  <si>
    <t xml:space="preserve">ISTIC FEES, OCEAN FREIGHT , INSURANCE CHARGES , </t>
  </si>
  <si>
    <t>1101401176</t>
  </si>
  <si>
    <t>Ground fos pump with m/c.seal &amp; nelp motor -395</t>
  </si>
  <si>
    <t>1101401182</t>
  </si>
  <si>
    <t>Ground fos pump with m/c.seal &amp; nelp motor -396</t>
  </si>
  <si>
    <t>1101401298</t>
  </si>
  <si>
    <t>Platform Trolley for Mould Transportation an-397</t>
  </si>
  <si>
    <t>d Movement Purpose</t>
  </si>
  <si>
    <t>1101401511</t>
  </si>
  <si>
    <t>Piping Expenses and Other Expenses for Insta-398</t>
  </si>
  <si>
    <t>llation for  machines purchased from ASB Interna</t>
  </si>
  <si>
    <t>1101401806</t>
  </si>
  <si>
    <t>Magna-Mike 8600 Hall Effect Thickness Gage w-399</t>
  </si>
  <si>
    <t>ith Internal Alphanumeric Datalogger Standard Ki</t>
  </si>
  <si>
    <t>1101402538</t>
  </si>
  <si>
    <t>Chilling Plant TRFD TO Sunrise Containers Lt-400</t>
  </si>
  <si>
    <t>d.SIL From Dadra Agst.Delivery Challan D/INT/18-</t>
  </si>
  <si>
    <t>1101402883</t>
  </si>
  <si>
    <t>FREIGHT CHGS.PAID THROUGH CASH M.S.TROLLY PU-401</t>
  </si>
  <si>
    <t>RCHASE FROM JAY AMBE FABRICATION</t>
  </si>
  <si>
    <t>1101404723</t>
  </si>
  <si>
    <t>INTEL DUAL CORE CPU, MOTHER BOARD, 320GB HAR-402</t>
  </si>
  <si>
    <t>D DISK DRIVE, CABINET WITH SMPS FOR MR. ASHISH S</t>
  </si>
  <si>
    <t>1101100042</t>
  </si>
  <si>
    <t>Weighing Scale Machine-403</t>
  </si>
  <si>
    <t>1101100046</t>
  </si>
  <si>
    <t>Exhaust Fan-404</t>
  </si>
  <si>
    <t>1101100047</t>
  </si>
  <si>
    <t>Exhaust Fan-405</t>
  </si>
  <si>
    <t>1101100064</t>
  </si>
  <si>
    <t>Pet Strech Blow Moulding Machine-406</t>
  </si>
  <si>
    <t>1101100206</t>
  </si>
  <si>
    <t>83 mm Holder for auto Machine with Nikel Pla-407</t>
  </si>
  <si>
    <t>ting</t>
  </si>
  <si>
    <t>1101100162</t>
  </si>
  <si>
    <t>Krauss Maffei -KM-1-408</t>
  </si>
  <si>
    <t>1101100397</t>
  </si>
  <si>
    <t>Air Receiver-409</t>
  </si>
  <si>
    <t>1101100396</t>
  </si>
  <si>
    <t>Compressor SCL with Aoki-410</t>
  </si>
  <si>
    <t>1101100357</t>
  </si>
  <si>
    <t>Servo Injection Mold Chenhong-411</t>
  </si>
  <si>
    <t>1101100516</t>
  </si>
  <si>
    <t>Compressor-412</t>
  </si>
  <si>
    <t>1101100560</t>
  </si>
  <si>
    <t>Hydrolic Motors-413</t>
  </si>
  <si>
    <t>1101100449</t>
  </si>
  <si>
    <t>Semi Stramping Machine -414</t>
  </si>
  <si>
    <t>1101100182</t>
  </si>
  <si>
    <t>Transformer-415</t>
  </si>
  <si>
    <t>1101100592</t>
  </si>
  <si>
    <t>Control Panel-416</t>
  </si>
  <si>
    <t>1101100634</t>
  </si>
  <si>
    <t>Elect Weighing Machine-417</t>
  </si>
  <si>
    <t>1101100701</t>
  </si>
  <si>
    <t>Barcode Machine-418</t>
  </si>
  <si>
    <t>1101100624</t>
  </si>
  <si>
    <t>Compressor-419</t>
  </si>
  <si>
    <t>1101100942</t>
  </si>
  <si>
    <t>Runner Remover-420</t>
  </si>
  <si>
    <t>1101100981</t>
  </si>
  <si>
    <t>Chain type Conveyor -421</t>
  </si>
  <si>
    <t>1101101340</t>
  </si>
  <si>
    <t>MSP-10C/4(SR NO5232-03-1906) Fasti machine -422</t>
  </si>
  <si>
    <t>1101101343</t>
  </si>
  <si>
    <t>Air Compressor and Air Receiver Tank -423</t>
  </si>
  <si>
    <t>1101101344</t>
  </si>
  <si>
    <t>Hopper -424</t>
  </si>
  <si>
    <t>1101101411</t>
  </si>
  <si>
    <t>Labour charges for Fitting 50 MM Pipe SS 304-425</t>
  </si>
  <si>
    <t>,40 MM Pipe SS 304,50MM Flanges SS 304 etc</t>
  </si>
  <si>
    <t>1101101435</t>
  </si>
  <si>
    <t>Cooling Tower with Pipes-426</t>
  </si>
  <si>
    <t>1101101473</t>
  </si>
  <si>
    <t>Blowing Machine Purchased From International-427</t>
  </si>
  <si>
    <t xml:space="preserve"> Enterprises (Model No:Xt/5500) </t>
  </si>
  <si>
    <t>1101101972</t>
  </si>
  <si>
    <t>ELECTRIC Weighing Machine Model : DS 415-428</t>
  </si>
  <si>
    <t>1101103062</t>
  </si>
  <si>
    <t>Being APL Single Stitch Bag Closer Portable -429</t>
  </si>
  <si>
    <t>Machine purchase from Shree Balaji Corporation v</t>
  </si>
  <si>
    <t>1101504312</t>
  </si>
  <si>
    <t>Compressor-430</t>
  </si>
  <si>
    <t>1101504329</t>
  </si>
  <si>
    <t>Electric Panel Control Board and Electric In-431</t>
  </si>
  <si>
    <t>1101504382</t>
  </si>
  <si>
    <t>Conveyor (Shrink Tunnel Machine)-432</t>
  </si>
  <si>
    <t>1101504336</t>
  </si>
  <si>
    <t>Belt Conveyor-433</t>
  </si>
  <si>
    <t>1101504341</t>
  </si>
  <si>
    <t>Complete Panel Board-434</t>
  </si>
  <si>
    <t>1101504352</t>
  </si>
  <si>
    <t>GA 55 COMPRESSOR  SET-435</t>
  </si>
  <si>
    <t>1101504389</t>
  </si>
  <si>
    <t>Shrink Tunnel With Teflon Mesh Belt Conveyor-436</t>
  </si>
  <si>
    <t>1101504427</t>
  </si>
  <si>
    <t>Cable &amp; Elect Installation-437</t>
  </si>
  <si>
    <t>1101504434</t>
  </si>
  <si>
    <t>Trolly-438</t>
  </si>
  <si>
    <t>1101504452</t>
  </si>
  <si>
    <t>Electronic Weighing Machine DC-85 3 Kgs-439</t>
  </si>
  <si>
    <t>1101504501</t>
  </si>
  <si>
    <t>Llyod A/c 1-ton -440</t>
  </si>
  <si>
    <t>1101504559</t>
  </si>
  <si>
    <t>Being Weighing Scale DS-852G Capacity 600g p-441</t>
  </si>
  <si>
    <t>ur from Bharat Electro Marketing vide inv no 132</t>
  </si>
  <si>
    <t>1101504560</t>
  </si>
  <si>
    <t>BOTTLE COMPRESSION TESTER -442</t>
  </si>
  <si>
    <t>1101504562</t>
  </si>
  <si>
    <t>Being Induction Heater Model Sigma Flex pur -443</t>
  </si>
  <si>
    <t xml:space="preserve">from Electronics Devices worldwide pvt ltd vide </t>
  </si>
  <si>
    <t>1101504563</t>
  </si>
  <si>
    <t>Being Weighing Scale DS-852G Capacity 600g p-444</t>
  </si>
  <si>
    <t>1101504564</t>
  </si>
  <si>
    <t>Being Color Machine Cabinet Spectrum -1 pur -445</t>
  </si>
  <si>
    <t xml:space="preserve">from Presto Stantest Pvt Ltd vide inv no 001181 </t>
  </si>
  <si>
    <t>1101504565</t>
  </si>
  <si>
    <t>Being Purchased as EPSON INK TANK Printer L3-446</t>
  </si>
  <si>
    <t>216 Serial No: XAGS005244   1Year Company Warran</t>
  </si>
  <si>
    <t>1101403529</t>
  </si>
  <si>
    <t>Being Induction heater pur from Electronics -448</t>
  </si>
  <si>
    <t>Devices Worldwide Pvt Ltd vide inv no M0507/20-2</t>
  </si>
  <si>
    <t>1101102146</t>
  </si>
  <si>
    <t>Handy Induction Sealing Machine-449</t>
  </si>
  <si>
    <t>1101504377</t>
  </si>
  <si>
    <t>Shrink Tunnel with SS Slat Type Conveyor SST-451</t>
  </si>
  <si>
    <t>-SL-114 ,Pucks &amp; Motorised Roating Unit</t>
  </si>
  <si>
    <t>1101405248</t>
  </si>
  <si>
    <t>B/NO. SME/24-25/067 DTD: 02.07.24 OF SHREEMA-453</t>
  </si>
  <si>
    <t>D ENGINEERING BOOKED FOR PUR MACHINERY PARTS TEF</t>
  </si>
  <si>
    <t>1101404686</t>
  </si>
  <si>
    <t>T/F THROUGH J/V AGST B/NO. NE040571/HO DT: 0-455</t>
  </si>
  <si>
    <t>2.03.23 OF SHREE NM ELECTRICALS BOOEKD FOR PUR C</t>
  </si>
  <si>
    <t>1101504395</t>
  </si>
  <si>
    <t>B/NO: 44 DT: 5.5.22 BEING PURCHASED AS ESSAE-457</t>
  </si>
  <si>
    <t xml:space="preserve"> TERAOKA ELECTRONIC WEIGHING SCALE , ETHERNET PO</t>
  </si>
  <si>
    <t>1101504397</t>
  </si>
  <si>
    <t>ELECTRONIC WEIGHING SCALE ( MODEL DS-415) CA-458</t>
  </si>
  <si>
    <t>PACITY -100KGS</t>
  </si>
  <si>
    <t>1101504448</t>
  </si>
  <si>
    <t>Being Equinox Hudromette Compact Moisture Me-460</t>
  </si>
  <si>
    <t>ter pur from Ankom International vide inv no A-2</t>
  </si>
  <si>
    <t>1101504561</t>
  </si>
  <si>
    <t>Precision Thickness Gauge Magna Mike ® 8600 -462</t>
  </si>
  <si>
    <t>1101400932</t>
  </si>
  <si>
    <t>50 Mm Thk Vertical Panel Agst.Bno:888 Dt:14.-464</t>
  </si>
  <si>
    <t>02.13 Purchased From Fabtech Technologies Intere</t>
  </si>
  <si>
    <t>1101400510</t>
  </si>
  <si>
    <t>9008</t>
  </si>
  <si>
    <t>Machinery </t>
  </si>
  <si>
    <t>TPAC/SIL/50MB-001</t>
  </si>
  <si>
    <t>ASB -50 MB-466</t>
  </si>
  <si>
    <t>1101400431</t>
  </si>
  <si>
    <t>TPAC/SIL/MTC-001</t>
  </si>
  <si>
    <t>Mould Temprature Controler-467</t>
  </si>
  <si>
    <t>1101400513</t>
  </si>
  <si>
    <t>TPAC/SIL/50MB-002</t>
  </si>
  <si>
    <t>ASB -50 MB-469</t>
  </si>
  <si>
    <t>1101400482</t>
  </si>
  <si>
    <t>TPAC/SIL/MTC-002,003,004,005,006</t>
  </si>
  <si>
    <t>Mould Temperature Controller-470</t>
  </si>
  <si>
    <t>1101400504</t>
  </si>
  <si>
    <t>50MB M/C SS CONV.-01,02</t>
  </si>
  <si>
    <t>Conveyor -471</t>
  </si>
  <si>
    <t>1101400605</t>
  </si>
  <si>
    <t>TPAC/SIL/MB/DR-001,002</t>
  </si>
  <si>
    <t>Plant &amp; Machinery - Air Receiver-472</t>
  </si>
  <si>
    <t>1101400869</t>
  </si>
  <si>
    <t>TPAC/SIL/50MB-003</t>
  </si>
  <si>
    <t>Nissei Asb Biaxial Orientation Injection Str-474</t>
  </si>
  <si>
    <t>etch Blow Moulding M/C.Model Asb 50 Am-V3 - 4 No</t>
  </si>
  <si>
    <t>1101400478</t>
  </si>
  <si>
    <t>TPAC/SIL/DU/001,002,003,004</t>
  </si>
  <si>
    <t>Nova Colour 12 Dosing Unit-475</t>
  </si>
  <si>
    <t>1101400544</t>
  </si>
  <si>
    <t>50MB M/C SS CONV.-03 T0 10</t>
  </si>
  <si>
    <t>Powersied Belt Conveyor with Stainless-476</t>
  </si>
  <si>
    <t>1101400867</t>
  </si>
  <si>
    <t>TPAC/SIL/50MB-004</t>
  </si>
  <si>
    <t>Nissei Asb Injection Strech Blowing Moulding-478</t>
  </si>
  <si>
    <t xml:space="preserve"> Machine Asb 50Mb Ver .3 359D91786 No.1- Bill No</t>
  </si>
  <si>
    <t>1101400604</t>
  </si>
  <si>
    <t>50MB M/C SS CONV.-04</t>
  </si>
  <si>
    <t>Plant &amp; Machinery - Conveyor-479</t>
  </si>
  <si>
    <t>1101400530</t>
  </si>
  <si>
    <t>TPAC/SIL/50MB-005</t>
  </si>
  <si>
    <t>ASB -50 MB-481</t>
  </si>
  <si>
    <t>1101400488</t>
  </si>
  <si>
    <t>TPAC/SIL/DU/005,006,007.008</t>
  </si>
  <si>
    <t>Nova Colour 12 Dosing Unit-482</t>
  </si>
  <si>
    <t>1101400533</t>
  </si>
  <si>
    <t>TPAC/SIL/MB/DR-005</t>
  </si>
  <si>
    <t>Air Drayer For ASB Machine-483</t>
  </si>
  <si>
    <t>1101400617</t>
  </si>
  <si>
    <t>50MB M/C SS CONV.-05</t>
  </si>
  <si>
    <t>Plant &amp; Machinery - Conveyor-484</t>
  </si>
  <si>
    <t>1101101919</t>
  </si>
  <si>
    <t>TPAC/SIL/MB/DR-003</t>
  </si>
  <si>
    <t>DEHUMIDIFIER FOR ASB 50MB MC MODEL DS 507 &amp; -485</t>
  </si>
  <si>
    <t>1101101443</t>
  </si>
  <si>
    <t>BAS RDL 400 R resin Dryer (11500 Euro @81.70-486</t>
  </si>
  <si>
    <t>)</t>
  </si>
  <si>
    <t>1101101486</t>
  </si>
  <si>
    <t>BAS RDL 400 R resin Dryer (11500 Euro @83.05-487</t>
  </si>
  <si>
    <t>1101400531</t>
  </si>
  <si>
    <t>TPAC/SIL/50MB-006</t>
  </si>
  <si>
    <t>ASB -50 MB-490</t>
  </si>
  <si>
    <t>1101400534</t>
  </si>
  <si>
    <t>TPAC/SIL/MB/DR-006</t>
  </si>
  <si>
    <t>Air Drayer For ASB Machine-491</t>
  </si>
  <si>
    <t>1101400535</t>
  </si>
  <si>
    <t>TPAC/SIL/50MB-007</t>
  </si>
  <si>
    <t>ASB -50 MB-493</t>
  </si>
  <si>
    <t>1101400587</t>
  </si>
  <si>
    <t>TPAC/SIL/MB/DR-007</t>
  </si>
  <si>
    <t>Air Drayer Insulation Kit-494</t>
  </si>
  <si>
    <t>1101400540</t>
  </si>
  <si>
    <t>TPAC/SIL/50MB-008</t>
  </si>
  <si>
    <t>ASB -50 MB-496</t>
  </si>
  <si>
    <t>1101400622</t>
  </si>
  <si>
    <t>TPAC/SIL/MTC-007 &amp; 008</t>
  </si>
  <si>
    <t>Mould Temperature Controller - 2 NOS-497</t>
  </si>
  <si>
    <t>1101400588</t>
  </si>
  <si>
    <t>TPAC/SIL/MB/DR-008</t>
  </si>
  <si>
    <t>Air Drayer For ASB Machine-498</t>
  </si>
  <si>
    <t>1101400541</t>
  </si>
  <si>
    <t>TPAC/SIL/50MB-009</t>
  </si>
  <si>
    <t>ASB -50 MB-500</t>
  </si>
  <si>
    <t>1101400500</t>
  </si>
  <si>
    <t>TPAC/SIL/DU/009,010,011,012</t>
  </si>
  <si>
    <t>Movacolour Dosing Unit-501</t>
  </si>
  <si>
    <t>1101403611</t>
  </si>
  <si>
    <t>TPAC/SIL/MB/DR-04, TPAC/SIL/MB/DR-09</t>
  </si>
  <si>
    <t>Being Dehumidifying Dryer APD-25-IN pur from-502</t>
  </si>
  <si>
    <t xml:space="preserve"> Matsui Technologies India Ltd vide inv no MF202</t>
  </si>
  <si>
    <t>1101400542</t>
  </si>
  <si>
    <t>TPAC/SIL/50MB-010</t>
  </si>
  <si>
    <t>ASB -50 MB-504</t>
  </si>
  <si>
    <t>1101400783</t>
  </si>
  <si>
    <t>TPAC/SIL/MTC-009 TO 012 &amp; 017 TO 020</t>
  </si>
  <si>
    <t>Mould Temperature Controller-8 Nos.@ Rs.7000-505</t>
  </si>
  <si>
    <t>0/-</t>
  </si>
  <si>
    <t>1101403487</t>
  </si>
  <si>
    <t>TPAC/SIL/MB/DR-010, TPAC/SIL/MB/DR-011, TPAC/SIL/MB/DR-012</t>
  </si>
  <si>
    <t>Being Dehumidifying Dryer APD-25-IN pur from-506</t>
  </si>
  <si>
    <t>1101403635</t>
  </si>
  <si>
    <t>Being High value Stores &amp; Spares Capitalized-507</t>
  </si>
  <si>
    <t xml:space="preserve"> towards pur inv no DM5212200080 of ASB Internat</t>
  </si>
  <si>
    <t>1101400546</t>
  </si>
  <si>
    <t>TPAC/SIL/50MB-011</t>
  </si>
  <si>
    <t>ASB -50 MB-509</t>
  </si>
  <si>
    <t>1101400565</t>
  </si>
  <si>
    <t>50MB M/C SS CONV.-11 TO  16</t>
  </si>
  <si>
    <t>Powersied Belt Conveyor with Stainless-510</t>
  </si>
  <si>
    <t>1101403439</t>
  </si>
  <si>
    <t>TPAC/SIL/50MB-012</t>
  </si>
  <si>
    <t>Being Dehumidifying Dryer (Without Loader) A-512</t>
  </si>
  <si>
    <t xml:space="preserve">PD-25-IN pur from Matsui Technologies india Ltd </t>
  </si>
  <si>
    <t>1101402101</t>
  </si>
  <si>
    <t>TPAC/SIL/50MB-013 TPAC/SIL/50MB/DR-013</t>
  </si>
  <si>
    <t>Nissei ASB Biaxial Orientation Injection Str-514</t>
  </si>
  <si>
    <t>etch Blow Molding Machine (Model ASB 50 MB V3 Se</t>
  </si>
  <si>
    <t>1101400576</t>
  </si>
  <si>
    <t>TPAC/SIL/DU/013,014,015,16</t>
  </si>
  <si>
    <t>Movacolour Dosing Unit-515</t>
  </si>
  <si>
    <t>1101402098</t>
  </si>
  <si>
    <t>TPAC/SIL/50MB-014 TPAC/SIL/50MB/DR-014, TPAC/SIL/MTC-014, TPAC/SIL/MTC-013</t>
  </si>
  <si>
    <t>Nissei ASB Biaxial Orientation Injection Str-518</t>
  </si>
  <si>
    <t>1101400557</t>
  </si>
  <si>
    <t>TPAC/SIL/50MB-015</t>
  </si>
  <si>
    <t>ASB -50 MB-520</t>
  </si>
  <si>
    <t>1101403336</t>
  </si>
  <si>
    <t>TPAC/SIL/50MB-016</t>
  </si>
  <si>
    <t>NISSEL ASB BIAXIAL ORIENTATION STRETCH BLOW -522</t>
  </si>
  <si>
    <t>MOULDING 50MB M/C Model No: ASB-50MB-V3-SERVO S/</t>
  </si>
  <si>
    <t>1101101982</t>
  </si>
  <si>
    <t>TPAC/SIL/MTC-016, TPAC/SIL/MTC-016,</t>
  </si>
  <si>
    <t>Mold Tempreture Controller Model No ; AML2-8-523</t>
  </si>
  <si>
    <t>8-IN</t>
  </si>
  <si>
    <t>1101404798</t>
  </si>
  <si>
    <t>B/NO. DM5232401027 DT: 27.06.23 OF ASB INTER-524</t>
  </si>
  <si>
    <t>NATIONAL BOOKED FOR PUR PARTS FOR INJ STRETCH BL</t>
  </si>
  <si>
    <t>1101400865</t>
  </si>
  <si>
    <t>TPAC/SIL/50MB-017</t>
  </si>
  <si>
    <t>Nissei Asb Oreintation Injection Stretch Blo-526</t>
  </si>
  <si>
    <t xml:space="preserve">wing Machines Model No Asb 50Mb -V3 -1 Nos Bill </t>
  </si>
  <si>
    <t>1101400651</t>
  </si>
  <si>
    <t>50MB M/C SS CONV.-017</t>
  </si>
  <si>
    <t>Plant &amp; Machinery - Conveyor-527</t>
  </si>
  <si>
    <t>1101400774</t>
  </si>
  <si>
    <t>TPAC/SIL/DU/017 TO 024</t>
  </si>
  <si>
    <t>Mova Color Dosing Unit  8 Pcs Bill No 366 30-528</t>
  </si>
  <si>
    <t>.8.12  Global Polytech Corporation</t>
  </si>
  <si>
    <t>1101400911</t>
  </si>
  <si>
    <t>TPAC/SIL/MB/DR-017</t>
  </si>
  <si>
    <t>Gen Asembly Pl Hlb -E 08 Plc Type -Dehumifie-529</t>
  </si>
  <si>
    <t xml:space="preserve">d L&amp; T Air Dryer-1Nos- Bill No.1213357 /24.1.13 </t>
  </si>
  <si>
    <t>1101403814</t>
  </si>
  <si>
    <t>Being SCREW - Ø44 (INVOLUTE SPLINE) (I30D003-530</t>
  </si>
  <si>
    <t>7100C) pur from ASB  International Pvt. Ltd. vid</t>
  </si>
  <si>
    <t>1101400866</t>
  </si>
  <si>
    <t>TPAC/SIL/50MB-018</t>
  </si>
  <si>
    <t>Nissei Asb Biaxial Orientation Injection Str-532</t>
  </si>
  <si>
    <t>etch Blow Moulding M/C.Model Asb 50 Am-V3 - 1 No</t>
  </si>
  <si>
    <t>1101400895</t>
  </si>
  <si>
    <t>50MB M/C SS CONV.-018-024</t>
  </si>
  <si>
    <t>Belt Conveyor 7 Nos, Bill No. 155/12.1.13 Pa-533</t>
  </si>
  <si>
    <t>c Equipments</t>
  </si>
  <si>
    <t>1101400912</t>
  </si>
  <si>
    <t>TPAC/SIL/MB/DR-018. TPAC/SIL/MB/DR-019</t>
  </si>
  <si>
    <t>Gen Asembly Pl Hlb -E 08 Plc Type -Dehumifie-534</t>
  </si>
  <si>
    <t xml:space="preserve">d L&amp; T Air Dryer-2Nos- Bill No.1213356 /24.1.13 </t>
  </si>
  <si>
    <t>1101400885</t>
  </si>
  <si>
    <t>TPAC/SIL/50MB-019</t>
  </si>
  <si>
    <t>Nissei Asb Biaxial Orientation Injection Str-536</t>
  </si>
  <si>
    <t>1101405097</t>
  </si>
  <si>
    <t>BEING T/F THROUGH J/V AGTS B/NO. DM523240325-537</t>
  </si>
  <si>
    <t>8 DT: 02.02.24 OF ASB INTERNATIONAL BOOKED FOR P</t>
  </si>
  <si>
    <t>1101400884</t>
  </si>
  <si>
    <t>TPAC/SIL/50MB-020</t>
  </si>
  <si>
    <t>Nissei Asb Biaxial Orientation Injection Str-539</t>
  </si>
  <si>
    <t>1101401920</t>
  </si>
  <si>
    <t>Toshiba Vacuum Loader HLBE 08-540</t>
  </si>
  <si>
    <t>1101400870</t>
  </si>
  <si>
    <t>TPAC/SIL/50MB-021</t>
  </si>
  <si>
    <t>Nissei Asb Biaxial Orientation Injection Str-542</t>
  </si>
  <si>
    <t>1101400790</t>
  </si>
  <si>
    <t>TPAC/SIL/MTC-021 ,022</t>
  </si>
  <si>
    <t>Mould Tempreature Conttroller Model-2 Nos-Bi-543</t>
  </si>
  <si>
    <t>ll No.592-17.9.12 Nu Vu Conair P. Ltd.</t>
  </si>
  <si>
    <t>1101400913</t>
  </si>
  <si>
    <t>TPAC/SIL/MB/DR-020. TPAC/SIL/MB/DR-021</t>
  </si>
  <si>
    <t>Gen Asembly Pl Hlb -E 08 Plc Type -Dehumifie-544</t>
  </si>
  <si>
    <t xml:space="preserve">d L&amp; T Air Dryer-2Nos- Bill No.1213358 /28.1.13 </t>
  </si>
  <si>
    <t>1101405087</t>
  </si>
  <si>
    <t>B/NO. DM5232403158 DT: 24.01.24 OF ASB INTER-545</t>
  </si>
  <si>
    <t>NATIONAL BOOKED FOR PUR MOTOR DSD2-100S0640 VIDE</t>
  </si>
  <si>
    <t>1101400868</t>
  </si>
  <si>
    <t>TPAC/SIL/50MB-022</t>
  </si>
  <si>
    <t>Nissei Asb Injection Strech Blowing Moulding-547</t>
  </si>
  <si>
    <t xml:space="preserve"> Machine Asb 50Mb Ver .3 359D91787 No.1- Bill No</t>
  </si>
  <si>
    <t>1101400589</t>
  </si>
  <si>
    <t>TPAC/SIL/MB/DR-022</t>
  </si>
  <si>
    <t>Air Drayer For ASB Machine-548</t>
  </si>
  <si>
    <t>1101400864</t>
  </si>
  <si>
    <t>TPAC/SIL/50MB-023</t>
  </si>
  <si>
    <t>Nissei ASB Biaxial Orientation Injection Str-550</t>
  </si>
  <si>
    <t xml:space="preserve">etch Blow Molding Machine Model ASB 50MB-V3 </t>
  </si>
  <si>
    <t>1101400748</t>
  </si>
  <si>
    <t>TPAC/SIL/MB/DR-023</t>
  </si>
  <si>
    <t>Air Dryer Model Purchases From L&amp;T Plastics -551</t>
  </si>
  <si>
    <t>From Chennai Bring It Scl-2 Vide Inv.3406824 Dt:</t>
  </si>
  <si>
    <t>1101400794</t>
  </si>
  <si>
    <t>TPAC/SIL/MTC-023,024,033,034</t>
  </si>
  <si>
    <t>Mould Tempreature Controller -Tra 6- Nos 4 B-552</t>
  </si>
  <si>
    <t>ill No. 630/ 28.9.12 Nuvu Conair P. Ltd.</t>
  </si>
  <si>
    <t>1101400950</t>
  </si>
  <si>
    <t>TPAC/SIL/50MB-024</t>
  </si>
  <si>
    <t>Nissei Asb Biaxial Orientation Injection Str-554</t>
  </si>
  <si>
    <t>1101400757</t>
  </si>
  <si>
    <t>TPAC/SIL/MB/DR-024</t>
  </si>
  <si>
    <t>Air Dryer Model Purchases From M/S.L&amp;T Plast-555</t>
  </si>
  <si>
    <t>ics Machinery From Cheenai To Scl-2 Vide L&amp;T Pla</t>
  </si>
  <si>
    <t>1101401516</t>
  </si>
  <si>
    <t>TPAC/SIL/50MB-025, TPAC/SIL/50MB/DR-025, TPAC/SIL/MTC-025</t>
  </si>
  <si>
    <t>1. Nissei Asb Biaxial Orientation Injection -557</t>
  </si>
  <si>
    <t>Strech Blow Moulding Machine Model No-ASB-50MB-V</t>
  </si>
  <si>
    <t>1101401508</t>
  </si>
  <si>
    <t>TPAC/SIL/DU/025 TO 032</t>
  </si>
  <si>
    <t>Mova Colour Dosing Unit purchased for New As-558</t>
  </si>
  <si>
    <t>b machine</t>
  </si>
  <si>
    <t>1101401509</t>
  </si>
  <si>
    <t>50MB M/C SS CONV.-25,26,27,28</t>
  </si>
  <si>
    <t>Belt Conveyor with stainless steel fabricate-559</t>
  </si>
  <si>
    <t>d material.The Length of conveyor is 3150 mm lon</t>
  </si>
  <si>
    <t>1101403374</t>
  </si>
  <si>
    <t>Being Spares Purchase from ASB International-560</t>
  </si>
  <si>
    <t xml:space="preserve"> Pvt Ltdvide inv no DM5202100409 dt 13.07.020 ag</t>
  </si>
  <si>
    <t>1101401534</t>
  </si>
  <si>
    <t>TPAC/SIL/50MB-026, TPAC/SIL/50MB/DR-026, TPAC/SIL/MTC-026</t>
  </si>
  <si>
    <t>1.Nissei Asb Biaxial Orientation Injection S-562</t>
  </si>
  <si>
    <t>trech Blow Moulding Machine Model No-ASB-50MB-V3</t>
  </si>
  <si>
    <t>1101405111</t>
  </si>
  <si>
    <t>BEING T/F THROUGH J/V AGST B/NO. 946 DTD: 10-563</t>
  </si>
  <si>
    <t>.02.24 OF SHREE KRISHNA ELECTRICALS BOOKED FOR P</t>
  </si>
  <si>
    <t>1101401565</t>
  </si>
  <si>
    <t>TPAC/SIL/50MB-027, TPAC/SIL/50MB/DR-027, TPAC/SIL/MTC-027</t>
  </si>
  <si>
    <t>Nissei Asb Biaxial Orientation Injection Str-565</t>
  </si>
  <si>
    <t>ech Blow Moulding Machine Model No-ASB-50MB-V3-S</t>
  </si>
  <si>
    <t>1101401647</t>
  </si>
  <si>
    <t>TPAC/SIL/50MB-028, TPAC/SIL/50MB/DR-028, TPAC/SIL/MTC-028</t>
  </si>
  <si>
    <t>Pur.Nissei ASB Inj.Stretch Blow Molding Mach-567</t>
  </si>
  <si>
    <t>ine (Model ASB 50 MB V3 Servo S/N:379D92149) Rs.</t>
  </si>
  <si>
    <t>1101401649</t>
  </si>
  <si>
    <t>TPAC/SIL/50MB-029, TPAC/SIL/50MB/DR-029, TPAC/SIL/MTC-029</t>
  </si>
  <si>
    <t>Pur.Nissei ASB Inj.Stretch Blow Molding Mach-569</t>
  </si>
  <si>
    <t xml:space="preserve">ine (50 MB V3 Servo S/N:379D92148) Rs.3900000/- </t>
  </si>
  <si>
    <t>1101401517</t>
  </si>
  <si>
    <t>50MB M/C SS CONV.-29,30,31,32</t>
  </si>
  <si>
    <t>Belt Conveyor with stainless steel fabricate-570</t>
  </si>
  <si>
    <t>1101401652</t>
  </si>
  <si>
    <t>TPAC/SIL/50MB-030, TPAC/SIL/50MB/DR-030, TPAC/SIL/MTC-030, TPAC/SIL/MTC-038</t>
  </si>
  <si>
    <t>Pur.of Nissei ASB injection Stretch Blow Mol-572</t>
  </si>
  <si>
    <t>ding Machine Model ASB 50MB V3 Servo S/N:379D921</t>
  </si>
  <si>
    <t>1101401663</t>
  </si>
  <si>
    <t>TPAC/SIL/50MB-031, TPAC/SIL/50MB/DR-031, TPAC/SIL/MTC-031, TPAC/SIL/MTC-039</t>
  </si>
  <si>
    <t>Pur.Nissei ASB Injection Stretch Blow Moldin-574</t>
  </si>
  <si>
    <t xml:space="preserve">g Machine Model ASB 50MB V3 Servo S/N:379D92153 </t>
  </si>
  <si>
    <t>1101401662</t>
  </si>
  <si>
    <t>TPAC/SIL/50MB-032, TPAC/SIL/50MB/DR-032, TPAC/SIL/MTC-032, TPAC/SIL/MTC-040</t>
  </si>
  <si>
    <t>Pur.Nissei ASB Injection Stretch Blow Moldin-576</t>
  </si>
  <si>
    <t xml:space="preserve">g Machine Model ASB 50MB V3 Servo S/N:379D92154 </t>
  </si>
  <si>
    <t>1101504129</t>
  </si>
  <si>
    <t>ASB 70 DPH-70 Ton</t>
  </si>
  <si>
    <t>TPAC/SIL/70DPH-001</t>
  </si>
  <si>
    <t>Nissei Asb Biaxial Orientation Injection Str-578</t>
  </si>
  <si>
    <t>ech Blow Moulding Machine Model No-ASB-70DPH-V4-</t>
  </si>
  <si>
    <t>1101400615</t>
  </si>
  <si>
    <t>TPAC/SIL/DU/033</t>
  </si>
  <si>
    <t>Plant &amp; Machinery - Dosing Unit-579</t>
  </si>
  <si>
    <t>1101404477</t>
  </si>
  <si>
    <t>TPAC/SIL/DPH/DR-001</t>
  </si>
  <si>
    <t>T/F THROUGH J/V AGTS B/NO. MF2223/0556 DT: 2-580</t>
  </si>
  <si>
    <t xml:space="preserve">5.07.22 BOOKED FOR PUR DEH POINT SENSOR , DRYER </t>
  </si>
  <si>
    <t>1101404658</t>
  </si>
  <si>
    <t>70DPH CONVEYOR-42,43,44</t>
  </si>
  <si>
    <t>T/F THROUGH J/V AGST B/NO. 169/22-23 DT: 26.-581</t>
  </si>
  <si>
    <t xml:space="preserve">12.22 BOOKED FOR PUR SS CONVEYOR FOR ASB 70 DPH </t>
  </si>
  <si>
    <t>1101103985</t>
  </si>
  <si>
    <t>Being Fabrication work done by Grace Enginee-582</t>
  </si>
  <si>
    <t>ring Works vide inv no 042 dt 27.12.21 ag PO# DM</t>
  </si>
  <si>
    <t>1101504268</t>
  </si>
  <si>
    <t>TPAC/SIL/70DPH-002</t>
  </si>
  <si>
    <t>70 DPH  BLOW MOULDING MACHINE M/C (MODEL NO:-584</t>
  </si>
  <si>
    <t>ASB-70DPH V-4 S/NO:359A61390)</t>
  </si>
  <si>
    <t>1101504269</t>
  </si>
  <si>
    <t>TPAC/SIL/DPH/DR-002</t>
  </si>
  <si>
    <t>Dehumidifying Dryer with LOADER-585</t>
  </si>
  <si>
    <t>1101504287</t>
  </si>
  <si>
    <t>TPAC/SIL/DPH-003</t>
  </si>
  <si>
    <t>Injection Strech Moulding Mach (359A61376)-586</t>
  </si>
  <si>
    <t>1101504286</t>
  </si>
  <si>
    <t>TPAC/SIL/DPH/DR-003</t>
  </si>
  <si>
    <t>B/No: MF2122/1087 DT: 29.12.2021 Being Purch-587</t>
  </si>
  <si>
    <t>ased as New Dehumidifying Dryer without Loader f</t>
  </si>
  <si>
    <t>1101504293</t>
  </si>
  <si>
    <t>TPAC/SIL/70DPH-004</t>
  </si>
  <si>
    <t>NISSEI Asb Biaxial Orientation Injection Str-588</t>
  </si>
  <si>
    <t>ecth Blow Moulding Machine Model ASB-70DPH-V S/N</t>
  </si>
  <si>
    <t>1101504288</t>
  </si>
  <si>
    <t>TPAC/SIL/DPH/DR-004</t>
  </si>
  <si>
    <t>Dehumidifying Dryer with LOADER-589</t>
  </si>
  <si>
    <t>1101504331</t>
  </si>
  <si>
    <t>RECEIVER 70DPH-04</t>
  </si>
  <si>
    <t>CENTERLIZING LOADING FEEDING SYSTEM COMPLETE-590</t>
  </si>
  <si>
    <t xml:space="preserve"> SET</t>
  </si>
  <si>
    <t>1101504334</t>
  </si>
  <si>
    <t>70DPH CONVEYOR-45</t>
  </si>
  <si>
    <t>Belt Conveyor 3600 mm long*500 mm wide*800 m-591</t>
  </si>
  <si>
    <t>m working height.The belt is 400 mm wide *3 mm t</t>
  </si>
  <si>
    <t>1101504299</t>
  </si>
  <si>
    <t>TPAC/SIL/70DPH-005</t>
  </si>
  <si>
    <t xml:space="preserve"> NISSELASB BIAXIAL ORIENTATION INJECTION STR-593</t>
  </si>
  <si>
    <t xml:space="preserve">ETCH- BLOW MOULDING M/C (MODEL NO:ASB-70DPH V-4 </t>
  </si>
  <si>
    <t>1101403457</t>
  </si>
  <si>
    <t>TPAC/SIL/DU/033 TO 035</t>
  </si>
  <si>
    <t>Being A10C dosing tool with double flight pu-594</t>
  </si>
  <si>
    <t xml:space="preserve">r from Global Polytech (India) Pvt Ltd vide inv </t>
  </si>
  <si>
    <t>1101404924</t>
  </si>
  <si>
    <t>70DPH CONVEYOR-46</t>
  </si>
  <si>
    <t>B/NO. 97/23-24 DT: 27.09.23 OF PAC EQUIPMENT-595</t>
  </si>
  <si>
    <t>S BOOKED FOR PUR BELT CONEYOR VIDE TSGO/23-24/39</t>
  </si>
  <si>
    <t>1101504294</t>
  </si>
  <si>
    <t>TPAC/SIL/DPH/DR-005</t>
  </si>
  <si>
    <t>B/No: MF2122/1087 DT: 29.12.2021 Being Purch-596</t>
  </si>
  <si>
    <t>1101504295</t>
  </si>
  <si>
    <t xml:space="preserve">TAKEOUT MACHINE DPH-05 </t>
  </si>
  <si>
    <t>Being Techno Takeout 2D 70H and 3mtr conveyo-597</t>
  </si>
  <si>
    <t>r pur from Technorobotic Machines Pvt Ltd vide i</t>
  </si>
  <si>
    <t>1101405086</t>
  </si>
  <si>
    <t>BEING TRF. THR. B/NO. DM5232403050 DT: 12.01-598</t>
  </si>
  <si>
    <t>.24 OF ASB INTERNATIONAL BOOKED  FOR PUR SCREW ,</t>
  </si>
  <si>
    <t>1101405210</t>
  </si>
  <si>
    <t>B/NO. DM5242500593 DTD: 28.05.24 OF ASB INTE-599</t>
  </si>
  <si>
    <t>RNATIONAL BOOKED FOR PUR OIL MOTOR VIDE TSGO/24-</t>
  </si>
  <si>
    <t>1101504298</t>
  </si>
  <si>
    <t>TPAC/SIL/70DPH-006</t>
  </si>
  <si>
    <t>NISSEI Asb Biaxial Orientation Injection Str-601</t>
  </si>
  <si>
    <t>1101504306</t>
  </si>
  <si>
    <t>TPAC/SIL/DPH/DR-006</t>
  </si>
  <si>
    <t>B/No: MF2122/1087 DT: 29.12.2021 Being Purch-602</t>
  </si>
  <si>
    <t>1101504322</t>
  </si>
  <si>
    <t>70DPH CONVEYOR-47</t>
  </si>
  <si>
    <t>Powerised Belt Conveyor (175Mm X 850Mm X 750-603</t>
  </si>
  <si>
    <t>Mm)</t>
  </si>
  <si>
    <t>1101504300</t>
  </si>
  <si>
    <t>TPAC/SIL/DPH-007</t>
  </si>
  <si>
    <t>Injection Strech Moulding Mach (349A61311)-605</t>
  </si>
  <si>
    <t>1101504176</t>
  </si>
  <si>
    <t>TPAC/SIL/DU/39,40,41</t>
  </si>
  <si>
    <t>Movacolor MC12 dosing unit-606</t>
  </si>
  <si>
    <t>1101504307</t>
  </si>
  <si>
    <t>TPAC/SIL/DPH/DR-007</t>
  </si>
  <si>
    <t>B/No: MF2122/1087 DT: 29.12.2021 Being Purch-607</t>
  </si>
  <si>
    <t>1101504339</t>
  </si>
  <si>
    <t>70DPH CONVEYOR-48</t>
  </si>
  <si>
    <t>BELT CONVEYOR (360MM LONG X 500MM WIDE X 800-608</t>
  </si>
  <si>
    <t>MM HEIGHT) Belt Width 400 MM</t>
  </si>
  <si>
    <t>1101401657</t>
  </si>
  <si>
    <t>TPAC/SIL/70DPH-008</t>
  </si>
  <si>
    <t>Pur.of Nissei ASB Injection Stretch Blow Mol-610</t>
  </si>
  <si>
    <t xml:space="preserve">ding Machine Model ASB70DPH-V4 S/N:379A61629 </t>
  </si>
  <si>
    <t>1101403388</t>
  </si>
  <si>
    <t xml:space="preserve">TAKEOUT MACHINE DPH-08 </t>
  </si>
  <si>
    <t>Being Techno Takeout 2D 70H and 3mtr Conveyo-611</t>
  </si>
  <si>
    <t>1101404125</t>
  </si>
  <si>
    <t>TPAC/SIL/DPH/DR-008</t>
  </si>
  <si>
    <t>T/F THROUGH J/V AGST B/NO. MF2223/0087 DT: 2-612</t>
  </si>
  <si>
    <t xml:space="preserve">1.04.22 BOOKED FOR PUR DEW POINT SENSOR , DRYER </t>
  </si>
  <si>
    <t>1101405341</t>
  </si>
  <si>
    <t>BAGGING MACHINE DPH-08 , BAGGING MACHINE DPH-10</t>
  </si>
  <si>
    <t>B/NO. 238/24-25 DTD: 10.12.24 BOOKED FOR PUR-613</t>
  </si>
  <si>
    <t xml:space="preserve"> BOTTLE BAGGING MACHINE WITH AUTO SEALING ATACHM</t>
  </si>
  <si>
    <t>1101504342</t>
  </si>
  <si>
    <t>70DPH CONVEYOR-49</t>
  </si>
  <si>
    <t>Belt Conveyor (3600MM Long*500MM wide for -614</t>
  </si>
  <si>
    <t>1101404706</t>
  </si>
  <si>
    <t>B/NO. MF2223/1612 DT: 28.02.23 OF  MATSUI TE-615</t>
  </si>
  <si>
    <t>CHNOLOGIES BOOKED FOR PUR HEAT EXCHANGER VIDE TS</t>
  </si>
  <si>
    <t>1101402700</t>
  </si>
  <si>
    <t>TPAC/SIL/70DPH-010, TPAC/SIL/DPH/DR-010</t>
  </si>
  <si>
    <t>STRETCH BLOW MOLDING MACHINE ASB 70 DPH &amp; PE-617</t>
  </si>
  <si>
    <t>T RESIN DRYER  (Sr# 409A62199)</t>
  </si>
  <si>
    <t>1101403574</t>
  </si>
  <si>
    <t xml:space="preserve">TAKEOUT MACHINE DPH-10 </t>
  </si>
  <si>
    <t>Being Techno Takeout 2D 70H and 3mtr Conveyo-618</t>
  </si>
  <si>
    <t>1101402678</t>
  </si>
  <si>
    <t>TPAC/SIL/70DPH-011, TPAC/SIL/DPH/DR-011</t>
  </si>
  <si>
    <t>70 DPH Machine Rs.14460000/- &amp; Resin Dryer R-620</t>
  </si>
  <si>
    <t>s.675000/- (Sr# 409A62146)</t>
  </si>
  <si>
    <t>1101404541</t>
  </si>
  <si>
    <t>TPAC/SIL/70DPW-001</t>
  </si>
  <si>
    <t>T/F THROUGH J/V AGST B/NO. DM5222301073 DT: -622</t>
  </si>
  <si>
    <t>30.06.22 BOOKED FOR PUR ASB 70 DPW-V4- SERVO MAC</t>
  </si>
  <si>
    <t>1101404641</t>
  </si>
  <si>
    <t>TPAC/SIL/DPW/DR-001</t>
  </si>
  <si>
    <t>B/NO. HAR1/22-23/1062 DT: 28.06.22 BOOKEF FO-623</t>
  </si>
  <si>
    <t>R PUR HEAT DISSIPATED KIT , DRYER , ENERGY SAVIN</t>
  </si>
  <si>
    <t>1101404656</t>
  </si>
  <si>
    <t>TPAC/SIL/MTC-055,57,58,59</t>
  </si>
  <si>
    <t>T/F THROUGH J/V AGST B/NO. MF2223/1189 DT: 2-624</t>
  </si>
  <si>
    <t>9.11.22 BOOKED FOR PUR MOLD TEMP CONTROLLER VIDE</t>
  </si>
  <si>
    <t>1101405187</t>
  </si>
  <si>
    <t>B/NO. ST/24-25/101 DTD: 25.04.24 OF SHAVO TE-625</t>
  </si>
  <si>
    <t>CHNOLOGIES BOOKED FOR PUR MEECH BLOWER VIDE TSGO</t>
  </si>
  <si>
    <t>1101405211</t>
  </si>
  <si>
    <t>B/NO. DM5242500663 DTD: 03.06.24 OF ASB INTE-626</t>
  </si>
  <si>
    <t>RNATIONAL BOOKED FOR PUR PUMP VIDE TSGO/24-25/13</t>
  </si>
  <si>
    <t>1101405340</t>
  </si>
  <si>
    <t xml:space="preserve">TAKEOUT &amp; BAGGING  MACHINE DPW-01 </t>
  </si>
  <si>
    <t>B/NO. 237/24-25 DTD: 10.12.24 BOOKED FOR PUR-627</t>
  </si>
  <si>
    <t xml:space="preserve"> ASB 70 DPW EXTERNAL TAKEOUT SYSTEM - STANDARAD </t>
  </si>
  <si>
    <t>1101504178</t>
  </si>
  <si>
    <t>TPAC/SIL/MTC-041</t>
  </si>
  <si>
    <t>MOLD TEMP CONTROLLER FOR 50MB M/C -628</t>
  </si>
  <si>
    <t>1101504285</t>
  </si>
  <si>
    <t>70 DPW-70 Ton</t>
  </si>
  <si>
    <t>TPAC/SIL/70DPW-002</t>
  </si>
  <si>
    <t>Purchased as ASB INjection Stretch Blow Mold-630</t>
  </si>
  <si>
    <t>ing M/C Model ASB-70DPW-V4 Sero S/N: 439A63029</t>
  </si>
  <si>
    <t>1101403255</t>
  </si>
  <si>
    <t>TAKEOUT MACHINE DPW-02 , BAGGING MACHINE DPW-02</t>
  </si>
  <si>
    <t>Being Takeout Robot for Bagging &amp; Sealing Ma-631</t>
  </si>
  <si>
    <t>chine with Auto lubrication system from Eminence</t>
  </si>
  <si>
    <t>1101504167</t>
  </si>
  <si>
    <t>TPAC/SIL/DPW/DR-002</t>
  </si>
  <si>
    <t>B/NO: MF2223/0150 DT: 30.4.2022 BEING PURCHA-632</t>
  </si>
  <si>
    <t>SED AS DEW POINT SENSOR, DEHUMIDIFIER DRYER, ENE</t>
  </si>
  <si>
    <t>1101504177</t>
  </si>
  <si>
    <t>TPAC/SIL/MTC-042 &amp; 55</t>
  </si>
  <si>
    <t>MOLD TEMP. CONTROLLER  FOR NEW DPW M/C-633</t>
  </si>
  <si>
    <t>1101405368</t>
  </si>
  <si>
    <t>BEING T/F THROUGH J/V AGST B/NO. 1701375 DTD-634</t>
  </si>
  <si>
    <t>: 17.12.24 BOOKED FOR PUR NOZZLE VIDE TSGO/24-25</t>
  </si>
  <si>
    <t>1101404542</t>
  </si>
  <si>
    <t>TPAC/SIL/70DPW-003</t>
  </si>
  <si>
    <t>T/F THROUGH J/V AGST B/NO. DM5222302205 DT: -636</t>
  </si>
  <si>
    <t>17.10.22 BOOKED FOR PUR NISSEL ASB INJECTION STR</t>
  </si>
  <si>
    <t>1101403313</t>
  </si>
  <si>
    <t>TPAC/SIL/MTC-43.56</t>
  </si>
  <si>
    <t>Being MOLD TEMPRETURE CONTROLLER  pur from M-637</t>
  </si>
  <si>
    <t>atsui Technologies India Ltd vide inv no MF2021/</t>
  </si>
  <si>
    <t>1101504308</t>
  </si>
  <si>
    <t>TPAC/SIL/DPW/DR-003</t>
  </si>
  <si>
    <t>B/No: MF2122/1087 DT: 29.12.2021 Being Purch-638</t>
  </si>
  <si>
    <t>1101403690</t>
  </si>
  <si>
    <t>TPAC/SIL/70DPW-004, TPAC/SIL/DPW/DR-004, TPAC/SIL/MTC-46,47 TPAC/SIL/DU-44</t>
  </si>
  <si>
    <t>Being ASB 70DPW V4 SERVO - STD pur from ASB -640</t>
  </si>
  <si>
    <t>International Pvt Ltd vide inv no DM5202102905 d</t>
  </si>
  <si>
    <t>1101403393</t>
  </si>
  <si>
    <t>TAKEOUT MACHINE DPW-04 , BAGGING MACHINE DPW-04</t>
  </si>
  <si>
    <t>Being ASB 70 DPW TAKE OUT SYSTEM &amp; PACKAING -641</t>
  </si>
  <si>
    <t>MACHINE pur from Eminence Engineering vide inv n</t>
  </si>
  <si>
    <t>1101404687</t>
  </si>
  <si>
    <t>T/F THROUGH J/V AGST B/NO. TMPL/22-23/2T92 D-642</t>
  </si>
  <si>
    <t>T: 03.03.23 OF TECHNOROBOTIC MACHINES BOOEKD FOR</t>
  </si>
  <si>
    <t>1101405212</t>
  </si>
  <si>
    <t>B/NO. TMPL/24-25/108 DTD: 17.06.24 OF TECHNO-643</t>
  </si>
  <si>
    <t>ROBOTIC BOOKED FOR PUR PARTS OF PACKAGING MACHIN</t>
  </si>
  <si>
    <t>1101403867</t>
  </si>
  <si>
    <t>TPAC/SIL/70DPW-005, TPAC/SIL/DPW/DR-005, TPAC/SIL/MTC-44,45, TAKEOUT &amp; BAGGING MACHINE DPW-003</t>
  </si>
  <si>
    <t>Being ASB 70DPW V4 SERVO - STD Preform Count-645</t>
  </si>
  <si>
    <t>er pur from ASB International Pvt Ltd vide inv n</t>
  </si>
  <si>
    <t>1101404657</t>
  </si>
  <si>
    <t>T/F THROUGH J/V AGST B/NO. NE037040/HO DT: 0-646</t>
  </si>
  <si>
    <t>1.02.23 OF SHREE NM ELECTRICALS BOOKED FOR PUR C</t>
  </si>
  <si>
    <t>1101404926</t>
  </si>
  <si>
    <t>B/NO. TMPL/23-24/200 DT: 30.09.23 OF TECHNOR-647</t>
  </si>
  <si>
    <t xml:space="preserve">OBOTIC MACHINES BOOEKD FOR PUR EMN , EMC , BELT </t>
  </si>
  <si>
    <t>1101403281</t>
  </si>
  <si>
    <t>TPAC/SIL/70DPW-006, TPAC/SIL/DPW/DR-006</t>
  </si>
  <si>
    <t>Being NISSEI ASB 70 DPW Biaxial Orientation -649</t>
  </si>
  <si>
    <t xml:space="preserve">Injection Stretch-Blow Molding Machine purchase </t>
  </si>
  <si>
    <t>1101403282</t>
  </si>
  <si>
    <t xml:space="preserve"> TPAC/SIL/DPW/DR-006</t>
  </si>
  <si>
    <t>Being PET Resin Dehumidifying Dryer pur from-650</t>
  </si>
  <si>
    <t xml:space="preserve"> ASB International Pvt Ltd vide inv no DM5192003</t>
  </si>
  <si>
    <t>1101405020</t>
  </si>
  <si>
    <t>TAKEOUT &amp; BAGGING MACHINE DPW-06</t>
  </si>
  <si>
    <t>BEING T/F THROUGH J/V AGST B/NO. PI100004138-651</t>
  </si>
  <si>
    <t>5 &amp; TMPL/23-24/243 DT: 10.10.23 &amp; 30.11.23 Respe</t>
  </si>
  <si>
    <t>1101405110</t>
  </si>
  <si>
    <t>TAKEOUT MACHINE DPW-005  BAGGING MACHINE DPW-005</t>
  </si>
  <si>
    <t>B/NO. TMPL/23-24/343 DTD: 29.02.24 OF TECHNO-652</t>
  </si>
  <si>
    <t>ROBOTIC MACHINES BOOKED FOR PUR TECHNO TAKEOUT 2</t>
  </si>
  <si>
    <t>1101405161</t>
  </si>
  <si>
    <t>B/NO. DM5242500151 DTD: 15.04.24 OF ASB BOOK-653</t>
  </si>
  <si>
    <t>ED FOR PUR  TAKE OUT INTERFACE DOOR FOR PROGRAMI</t>
  </si>
  <si>
    <t>1101403057</t>
  </si>
  <si>
    <t>TPAC/SIL/70DPW-007, TPAC/SIL/DPW/DR-007</t>
  </si>
  <si>
    <t>Being NISSEI ASB Biaxial Orientation Injecti-655</t>
  </si>
  <si>
    <t>on Stretch- Blow Molding  Machine Model:  ASB-70</t>
  </si>
  <si>
    <t>1101404933</t>
  </si>
  <si>
    <t>B/NO. DM5232401743 DT: 02.09.23 OF ASB INTER-656</t>
  </si>
  <si>
    <t>NATIONAL BOOKED FOR PUR SCREW PARTS DIA64 PP POR</t>
  </si>
  <si>
    <t>1101405002</t>
  </si>
  <si>
    <t>BEING T/F THROUGH J/V AGST B/NO. DM523240253-657</t>
  </si>
  <si>
    <t>9 DT: 17.11.23 OF ASB INTERNATIONAL BOOKED FOR P</t>
  </si>
  <si>
    <t>1101405164</t>
  </si>
  <si>
    <t>BEING T/F THROUGH J/V AGST B/NO. 1522 DTD: 0-658</t>
  </si>
  <si>
    <t>9.02.24 OF SOLANKI ENTERPRISES BOOKED FOR PUR SS</t>
  </si>
  <si>
    <t>1101101477</t>
  </si>
  <si>
    <t>Anti Vibration Pad round 90 MM*10MM Bolt wei-659</t>
  </si>
  <si>
    <t>ght Capacity</t>
  </si>
  <si>
    <t>1101404897</t>
  </si>
  <si>
    <t>TPAC/SIL/70DPW-008,  TPAC/SIL/MTC-48,60,61</t>
  </si>
  <si>
    <t>B/NO. DM5232401341 DT: 26.07.23 OF ASB BOOKE-661</t>
  </si>
  <si>
    <t>D FOR PUR NISSEL ASB INJECTION STRETCH BLOW MOLD</t>
  </si>
  <si>
    <t>1101404899</t>
  </si>
  <si>
    <t>TAKEOUT &amp; BAGGING MACHINE DPW-07,08 &amp; TPAC/SIL/DPW/DR-008,009</t>
  </si>
  <si>
    <t>Being Purchased TECHNO TAKEOUT 2D70 W &amp; CONV-662</t>
  </si>
  <si>
    <t>EYOR VIDE TSGO/23-24/274 DT: 07.08.23 from Techn</t>
  </si>
  <si>
    <t>1101404931</t>
  </si>
  <si>
    <t>B/NO. ST/23-24/0619 DT: 28.08.23 OF SHAVO TE-663</t>
  </si>
  <si>
    <t>CHNOLOGIES BOOKED FOR PUR DC BAR &amp; STATIC LOCATO</t>
  </si>
  <si>
    <t>1101404898</t>
  </si>
  <si>
    <t>TPAC/SIL/70DPW-009, TPAC/SIL/MTC-49,62,67</t>
  </si>
  <si>
    <t>B/NO. DM5232401340 DT: 26.07.23 OF ASB INTER-665</t>
  </si>
  <si>
    <t>NATIONAL BOOKED FOR PUR NISSEL ASB INJECTION STR</t>
  </si>
  <si>
    <t>1101405367</t>
  </si>
  <si>
    <t xml:space="preserve">TAKEOUT MACHINE DPW-09, BAGGING MACHINE DPW-09 </t>
  </si>
  <si>
    <t>BEING T/F THROUGH J/V AGST B/NO. 252/24-25 D-666</t>
  </si>
  <si>
    <t xml:space="preserve">TD: 26.12.24 BOOKED FOR PUR ASB 70 DPW TAKE OUT </t>
  </si>
  <si>
    <t>1101405412</t>
  </si>
  <si>
    <t>TPAC/SIL/70DPW-010, TPAC/SIL/DPW/DR-010, TPAC/SIL/MTC-050,63,68,73 TPA/SI/DU-47, TAKEOUT &amp; BAGGING MACHINE DPW-010</t>
  </si>
  <si>
    <t>BEING T/F THROUGJ J/V AGST B/NO. TS2/24-25/4-668</t>
  </si>
  <si>
    <t>596 DTD: 25.03.25 BOOKED FOR PUR NISSEL ASB BHAX</t>
  </si>
  <si>
    <t>1101405410</t>
  </si>
  <si>
    <t>TPAC/SIL/70DPW-011, TPAC/SIL/DPW/DR-011, TPAC/SIL/MTC-051,64,69,74 TPA/SI/DU-48, TAKEOUT &amp; BAGGING MACHINE-011</t>
  </si>
  <si>
    <t>BEING PASS THROUGH J/V AGST B/NO. TS2/24-25/-670</t>
  </si>
  <si>
    <t xml:space="preserve">4114 DTD: 17.02.25 BOOKED FOR PUR ASB 70 DPW V4 </t>
  </si>
  <si>
    <t>1101405331</t>
  </si>
  <si>
    <t>ASB 12 M-13.7 Ton</t>
  </si>
  <si>
    <t>TPAC/SIL/12M-01</t>
  </si>
  <si>
    <t>Being ASB 12M Machine and accessories capita-672</t>
  </si>
  <si>
    <t>lized</t>
  </si>
  <si>
    <t>1101405339</t>
  </si>
  <si>
    <t>TPAC/SIL/12M-02</t>
  </si>
  <si>
    <t>Being ASB 12M Machine and accessories capita-674</t>
  </si>
  <si>
    <t>1101400731</t>
  </si>
  <si>
    <t>Labeling</t>
  </si>
  <si>
    <t>TPAC/SIL/LABLING M/C-01</t>
  </si>
  <si>
    <t>Labelling Machine -Inter Label Industries Ll-676</t>
  </si>
  <si>
    <t>d. Bill No 1501/28.5.12</t>
  </si>
  <si>
    <t>1101400796</t>
  </si>
  <si>
    <t>TPAC/SIL/LABLING M/C-02</t>
  </si>
  <si>
    <t>Labelling M/C. Il-Fb 150 -1 Nos-Bill No. 248-678</t>
  </si>
  <si>
    <t>97/ 26.9.12 Skanem Interlabels Inds. P. Ltd.</t>
  </si>
  <si>
    <t>1101400887</t>
  </si>
  <si>
    <t>TPAC/SIL/LABLING M/C-03</t>
  </si>
  <si>
    <t>Labelling Machine Ilfb (Ss) S.No. Alm/796/11-680</t>
  </si>
  <si>
    <t>/12-13 Bill No6922/21.12.12 Skanem  Inter Labels</t>
  </si>
  <si>
    <t>1101403696</t>
  </si>
  <si>
    <t>Being Stepper PLC modification with HMI syst-681</t>
  </si>
  <si>
    <t>em pur from Interpack Technologies vide inv no 2</t>
  </si>
  <si>
    <t>1101504309</t>
  </si>
  <si>
    <t>TPAC/SIL/LABLING M/C-04</t>
  </si>
  <si>
    <t>Being Automatic Labelling machine (Model: WR-683</t>
  </si>
  <si>
    <t xml:space="preserve">T- SV) pur from Interpack Technologies vide inv </t>
  </si>
  <si>
    <t>1101405411</t>
  </si>
  <si>
    <t>TPAC/SIL/LABLING M/C-05</t>
  </si>
  <si>
    <t>BEING T/F THROUGH J/V AGST B/NO. WP/24-25/00-685</t>
  </si>
  <si>
    <t>2078 DTD: 28.02.25 BOOKED FOR PUR LABELING M/C N</t>
  </si>
  <si>
    <t>1101403065</t>
  </si>
  <si>
    <t>TPAC/SIL/SLEEVING  M/C-01</t>
  </si>
  <si>
    <t>Being SHRINK TUNNEL WITH TEFLON BELT CONVEYO-687</t>
  </si>
  <si>
    <t>R PUR FROM SUNSHINE TECHNOLOGIES VIDE INV NO G-1</t>
  </si>
  <si>
    <t>1101405209</t>
  </si>
  <si>
    <t>B/NO. 2 DTD: 11.05.24 OF PITHVA PHARMA BOOKE-688</t>
  </si>
  <si>
    <t>D FOR PUR SLEEV PRESSING ASSEMBLY VIDE TSGO/24-2</t>
  </si>
  <si>
    <t>1101405098</t>
  </si>
  <si>
    <t>TPAC/SIL/SLEEVING  M/C-02</t>
  </si>
  <si>
    <t>SHRINK TUNNEL WITH SLAT TYPE FOR CAPITAL FOO-690</t>
  </si>
  <si>
    <t>D</t>
  </si>
  <si>
    <t>1101404858</t>
  </si>
  <si>
    <t xml:space="preserve"> BEING T/F THROUGH J/V AGST B/NO. GST118 DT:-691</t>
  </si>
  <si>
    <t xml:space="preserve"> 11.08.23 OF SHREE BHAGWATI MACHTECH BOOKED FOR </t>
  </si>
  <si>
    <t>1101504376</t>
  </si>
  <si>
    <t>Sleeving</t>
  </si>
  <si>
    <t>TPAC/SIL/SLEEVING MACHINE-03</t>
  </si>
  <si>
    <t>BEING PURCHASED AS SHRINK SLEEVE LABELING MA-693</t>
  </si>
  <si>
    <t>CHINE WITH PUCKS ROTATING SYSTEM WITH TOTAL 2SET</t>
  </si>
  <si>
    <t>1101404935</t>
  </si>
  <si>
    <t>B/NO. SME/23-24/136 DT: 18.09.23 OF SHREEMAD-694</t>
  </si>
  <si>
    <t xml:space="preserve"> ENGINEERS BOOKED FOR PUR TEFLON HOLDER VIDE TSG</t>
  </si>
  <si>
    <t>1101404941</t>
  </si>
  <si>
    <t>TPAC/SIL/SLEEVING MACHINE-04</t>
  </si>
  <si>
    <t>Being Shrink Sleeve Labelling M/c (Applicato-696</t>
  </si>
  <si>
    <t xml:space="preserve">r) pur from Shree Bhagwati Machtech (India) Pvt </t>
  </si>
  <si>
    <t>1101404768</t>
  </si>
  <si>
    <t>BEING T/F THROUGH J/V AGST B/NO. GST33 DT: 1-697</t>
  </si>
  <si>
    <t>1.05.23 OF SHREE BHAGWATI MACHTECH BOOKED FOR PU</t>
  </si>
  <si>
    <t>1101103320</t>
  </si>
  <si>
    <t>Being Aluminium Jali pvc Curtain pur from Ar-698</t>
  </si>
  <si>
    <t xml:space="preserve">ihant Traders vide inv no 12 dt 17.06.20 ag PO# </t>
  </si>
  <si>
    <t>1101405369</t>
  </si>
  <si>
    <t>TPAC/SIL/SLEEVING MACHINE-05</t>
  </si>
  <si>
    <t>BEING T/F THROUGH J/V AGST B/NO. MSPM/397/24-700</t>
  </si>
  <si>
    <t>-25 DTD: 10.01.25 BOOKED FOR PUR AUTO SLEEVING L</t>
  </si>
  <si>
    <t>1101405119</t>
  </si>
  <si>
    <t>TPAC/SIL/WAD-001</t>
  </si>
  <si>
    <t>WAD INSERTING MACHINE 140M &amp; Star Wheel Asse-702</t>
  </si>
  <si>
    <t>mbly for 38mm Cap</t>
  </si>
  <si>
    <t>1101403436</t>
  </si>
  <si>
    <t>TPAC/SIL/WAD-002</t>
  </si>
  <si>
    <t>Being Pick &amp; Place Type Twin Head Wad Insert-704</t>
  </si>
  <si>
    <t>ing Machine pur from Electronics Devices Worldwi</t>
  </si>
  <si>
    <t>1101404090</t>
  </si>
  <si>
    <t>TPAC/SIL/WAD-003</t>
  </si>
  <si>
    <t>B/NO. UM00013/22-23 DT: 21.04.22 FOR PUR WAD-706</t>
  </si>
  <si>
    <t xml:space="preserve"> INSERTING MACHINE VIDE TSGO/22-23/053 DT: 21.04</t>
  </si>
  <si>
    <t>1101504378</t>
  </si>
  <si>
    <t>TPAC/SIL/WAD-004</t>
  </si>
  <si>
    <t>Being Wad Inserting Machine pur from Electro-708</t>
  </si>
  <si>
    <t>nics Devices Worldwide Pvt Ltd vide inv no UM018</t>
  </si>
  <si>
    <t>1101402770</t>
  </si>
  <si>
    <t>TPAC/SIL/WAD-005</t>
  </si>
  <si>
    <t>Wad Inserting M/c. for 73 mm Cap Wading-710</t>
  </si>
  <si>
    <t>1101504381</t>
  </si>
  <si>
    <t>WAD INSERTING MACHINE WITH FEEDER -711</t>
  </si>
  <si>
    <t>1101402820</t>
  </si>
  <si>
    <t>Grinding NAV BHARAT</t>
  </si>
  <si>
    <t>TPAC/SIL/GRINDER-01/02</t>
  </si>
  <si>
    <t>PUR TOSHIBA GRANULATOR VIDE TSGO/18-19/0218 -713</t>
  </si>
  <si>
    <t>AGTS PO SM/PO-CG/17-18/104 DT.16.02.18 FOR P P B</t>
  </si>
  <si>
    <t>1101404642</t>
  </si>
  <si>
    <t>Grinding PRASAD MACH</t>
  </si>
  <si>
    <t>TPAC/SIL/GRINDER-03</t>
  </si>
  <si>
    <t>Being Asset Purchased MATERIAL PURCHASED AS -715</t>
  </si>
  <si>
    <t>SQUARE PIPE, MS FLAT FOR STAGE-2 FRONT SIDE RELL</t>
  </si>
  <si>
    <t>1101403339</t>
  </si>
  <si>
    <t>TPAC/SIL/GRINDER-04</t>
  </si>
  <si>
    <t>Being Rapid Granulator 300-45 KU Super Tange-717</t>
  </si>
  <si>
    <t xml:space="preserve">ntial with Dust Separating System DS50 pur from </t>
  </si>
  <si>
    <t>1101504186</t>
  </si>
  <si>
    <t>TPAC/SIL/GRINDER-05/ Vibro Separetor</t>
  </si>
  <si>
    <t>being Purchased as Rapid Granulator 200-36KU-719</t>
  </si>
  <si>
    <t xml:space="preserve"> Tangential  for grinding of PP material vide IN</t>
  </si>
  <si>
    <t>1101404767</t>
  </si>
  <si>
    <t>Aoki Machine-721</t>
  </si>
  <si>
    <t>1101402765</t>
  </si>
  <si>
    <t>1202010217</t>
  </si>
  <si>
    <t>PUR ENERGY SAVER FOR 18.5 KW ASB M/C ( ENERG-723</t>
  </si>
  <si>
    <t>Y SAVING UNITS - 8 NOS)</t>
  </si>
  <si>
    <t>1101404478</t>
  </si>
  <si>
    <t>T/F THROUGH J/V AGST B/NO. 2292 DT: 22.08.22-724</t>
  </si>
  <si>
    <t xml:space="preserve"> BOOKED FOR  ASB 50 MB M/C 22 KW MOTOR ENERGY SA</t>
  </si>
  <si>
    <t>1101404797</t>
  </si>
  <si>
    <t>B/NO. EPL/2023-24/020 DT: 25.05.23 OF ENERPR-725</t>
  </si>
  <si>
    <t>ONE BOOEKD FOR PUR ASB 50 MB M/C VFD BASED ENERG</t>
  </si>
  <si>
    <t>1101404803</t>
  </si>
  <si>
    <t>B/NO. EPL/2023-24/021 DT: 25.05.23 OF ENERPR-726</t>
  </si>
  <si>
    <t>ONE PVT LTD BOOKED FOR PUR VFD BASED ENERGY SAVI</t>
  </si>
  <si>
    <t>1101402403</t>
  </si>
  <si>
    <t>Energy Saving Unit for ASB 50 MB M/C.(Capaci-727</t>
  </si>
  <si>
    <t>ty : 18.5 KW/25 HP)</t>
  </si>
  <si>
    <t>1101402486</t>
  </si>
  <si>
    <t>Energy Saving Unit for ASB 50 MB ESU M/C.(Ca-728</t>
  </si>
  <si>
    <t>pacity : 18.5 KW/25 HP)</t>
  </si>
  <si>
    <t>1101402585</t>
  </si>
  <si>
    <t>Energy Saving Unit-729</t>
  </si>
  <si>
    <t>1101404816</t>
  </si>
  <si>
    <t>B/NO. MF2324/0393 DT: 29.06.23 OF MATSUI TEC-731</t>
  </si>
  <si>
    <t>HNOLOGIES BOOKED FOR  PUR ENERGY SAVING KIT VIDE</t>
  </si>
  <si>
    <t>1101400467</t>
  </si>
  <si>
    <t>SEALING</t>
  </si>
  <si>
    <t xml:space="preserve">TPAC/SIL/SEALING M/C-01 </t>
  </si>
  <si>
    <t>L Bar Sealar-733</t>
  </si>
  <si>
    <t>1101400548</t>
  </si>
  <si>
    <t>TPAC/SIL/SEALING M/C-02,03</t>
  </si>
  <si>
    <t>L Bar Sealar-735</t>
  </si>
  <si>
    <t>1101400549</t>
  </si>
  <si>
    <t>TPAC/SIL/SEALING M/C-04,05</t>
  </si>
  <si>
    <t>L Bar Sealar-737</t>
  </si>
  <si>
    <t>1101400609</t>
  </si>
  <si>
    <t xml:space="preserve">TPAC/SIL/SEALING M/C-06 </t>
  </si>
  <si>
    <t>Plant &amp; Machinery - Shrink Packaging Machine-739</t>
  </si>
  <si>
    <t xml:space="preserve"> / Sealing Machine</t>
  </si>
  <si>
    <t>1101400610</t>
  </si>
  <si>
    <t>TPAC/SIL/SEALING M/C-07,08,09</t>
  </si>
  <si>
    <t>Plant &amp; Machinery - Shrink Packaging Machine-741</t>
  </si>
  <si>
    <t>1101400659</t>
  </si>
  <si>
    <t>TPAC/SIL/SEALING M/C-10,11,12</t>
  </si>
  <si>
    <t>Plant &amp; Machinery - Shrink Packaging Machine-743</t>
  </si>
  <si>
    <t xml:space="preserve"> </t>
  </si>
  <si>
    <t>1101400886</t>
  </si>
  <si>
    <t>TPAC/SIL/SEALING M/C-13 TO 16</t>
  </si>
  <si>
    <t>Shrink Packing Machine (L Sealer )  4 Nos., -745</t>
  </si>
  <si>
    <t>And Side Sealer ( 1 Nos ) Bill No. 1088/3.1.13 P</t>
  </si>
  <si>
    <t>1101401510</t>
  </si>
  <si>
    <t>Sealing</t>
  </si>
  <si>
    <t>TPAC/SIL/SEALING MACHINE-17,18,19</t>
  </si>
  <si>
    <t>Shrink Packaging machine (L-Sealer with Tube-747</t>
  </si>
  <si>
    <t>light) for Sealing Purpose</t>
  </si>
  <si>
    <t>1101403067</t>
  </si>
  <si>
    <t>TPAC/SIL/SEALING MACHINE-20</t>
  </si>
  <si>
    <t>Being SHRINK PACKING MACHINE (L - SEALER) pu-749</t>
  </si>
  <si>
    <t>r from P.K. Ecopack Pvt Ltd vide inv no M-19-20/</t>
  </si>
  <si>
    <t>1101404698</t>
  </si>
  <si>
    <t>BEING T/F THROUGH J/V AGST B/NO. M - 22-23/0-750</t>
  </si>
  <si>
    <t>937 DT: 14.03.2023 OF P K ECO PACK BOOKED FOR PU</t>
  </si>
  <si>
    <t>1101504346</t>
  </si>
  <si>
    <t>L- BAR SEALER -2-751</t>
  </si>
  <si>
    <t>1101504569</t>
  </si>
  <si>
    <t>I SEALER MACHINE-1536-752</t>
  </si>
  <si>
    <t>1101404492</t>
  </si>
  <si>
    <t>TPAC/SIL/SEALING MACHINE-21 , 22</t>
  </si>
  <si>
    <t>T/F THROUGH J/V AGST B/NO. M-22-23/0525 DT: -754</t>
  </si>
  <si>
    <t xml:space="preserve">11.10.22 BOOEKD FOR PUR I SEALER - IS 2432 VIDE </t>
  </si>
  <si>
    <t>1101504340</t>
  </si>
  <si>
    <t>TPAC/SIL/SEALING MACHINE-23</t>
  </si>
  <si>
    <t>I SEALER MACHINE  Max.-1536-756</t>
  </si>
  <si>
    <t>1101504385</t>
  </si>
  <si>
    <t>TPAC/SIL/SEALING MACHINE-24</t>
  </si>
  <si>
    <t>SEALER MACHINE( ORIGINAL PURCHASE FROM P K E-758</t>
  </si>
  <si>
    <t>NTERPRISES AGST B/N: 643 DTD. 17/1/2017)</t>
  </si>
  <si>
    <t>1101504386</t>
  </si>
  <si>
    <t>TPAC/SIL/SEALING MACHINE-25</t>
  </si>
  <si>
    <t>BEING PURCHASED AS L SEALER MACHINE -LS 1520-760</t>
  </si>
  <si>
    <t xml:space="preserve"> FROM P.K ECOPACK PVT LTD AGST. PUR.INV.NO: 606 </t>
  </si>
  <si>
    <t>1101504387</t>
  </si>
  <si>
    <t>TPAC/SIL/SEALING MACHINE-26</t>
  </si>
  <si>
    <t>L- BAR SEALER -3-762</t>
  </si>
  <si>
    <t>1101504388</t>
  </si>
  <si>
    <t>TPAC/SIL/SEALING MACHINE-27</t>
  </si>
  <si>
    <t>L- BAR SEALER -3-764</t>
  </si>
  <si>
    <t>1101400348</t>
  </si>
  <si>
    <t>SHRINKING</t>
  </si>
  <si>
    <t xml:space="preserve">TPAC/SIL/TUNNEL M/C-01 </t>
  </si>
  <si>
    <t>Shrink Wrap Machine -766</t>
  </si>
  <si>
    <t>1101102637</t>
  </si>
  <si>
    <t>SHRINK TUNNER M/C. (ORIGINAL BILL FROM P K I-767</t>
  </si>
  <si>
    <t>NDUSTREIES AGST B/N: T-535 DTD. 17/1/2017)</t>
  </si>
  <si>
    <t>1101400354</t>
  </si>
  <si>
    <t>TPAC/SIL/TUNNEL M/C-02 ,03,04</t>
  </si>
  <si>
    <t>Shrink Wrap Machine -769</t>
  </si>
  <si>
    <t>1101403296</t>
  </si>
  <si>
    <t>TPAC/SIL/TUNNEL M/C-05</t>
  </si>
  <si>
    <t>Being PVC Conveyor Belt pur as per inv no 13-771</t>
  </si>
  <si>
    <t xml:space="preserve">6 dt 01.10.19 pur from PAC Equipments (2nos) ag </t>
  </si>
  <si>
    <t>1101504290</t>
  </si>
  <si>
    <t>TPAC/SIL/TUNNEL MACHINE-06</t>
  </si>
  <si>
    <t>SHRINK TUNNEL MACHINE- ST 4535 -773</t>
  </si>
  <si>
    <t>1101504383</t>
  </si>
  <si>
    <t>TPAC/SIL/TUNNEL MACHINE-07</t>
  </si>
  <si>
    <t>SHRINK TUNNEL -ST 4535 FOR 70DPH MACHINE-775</t>
  </si>
  <si>
    <t>1101504384</t>
  </si>
  <si>
    <t>TPAC/SIL/TUNNEL MACHINE-08</t>
  </si>
  <si>
    <t>SHRINK TUNNEL - 4535 -777</t>
  </si>
  <si>
    <t>1101504390</t>
  </si>
  <si>
    <t>TPAC/SIL/TUNNEL MACHINE-09</t>
  </si>
  <si>
    <t>Shrink Tunnel -Conveyor-779</t>
  </si>
  <si>
    <t>1101404697</t>
  </si>
  <si>
    <t>TPAC/SIL/TUNNEL MACHINE-10</t>
  </si>
  <si>
    <t>Being  Purchase towords I Sealer  is 2432 Qt-781</t>
  </si>
  <si>
    <t>y.01nos of PK Ecopack Pvt.Ltd.Inv.No.M-22-23/094</t>
  </si>
  <si>
    <t>1101504310</t>
  </si>
  <si>
    <t>TPAC/SIL/LABLING M/C-06</t>
  </si>
  <si>
    <t>Being Online Label Inserter System for Plast-783</t>
  </si>
  <si>
    <t xml:space="preserve">ic Jar pur from Shree Bhagwati Machtech (I) Pvt </t>
  </si>
  <si>
    <t>1101504305</t>
  </si>
  <si>
    <t>PTAC/SIL/LABING/M/C -06</t>
  </si>
  <si>
    <t>Being Automatic Linear capping machine with -784</t>
  </si>
  <si>
    <t>Cap Elevator. pur from Shree Bhagwati Machtech (</t>
  </si>
  <si>
    <t>1101404614</t>
  </si>
  <si>
    <t>AUTOMATIC CARTOON SEALER MACHINE-785</t>
  </si>
  <si>
    <t>1101404615</t>
  </si>
  <si>
    <t>CARTOON SEALING MACHINE-786</t>
  </si>
  <si>
    <t>1101404616</t>
  </si>
  <si>
    <t>CARTOON SEALING MACHINE-787</t>
  </si>
  <si>
    <t>1101404741</t>
  </si>
  <si>
    <t>T/F THROUGH J/V B/NO. 2392 DT: 21.03.2023 OF-789</t>
  </si>
  <si>
    <t xml:space="preserve"> ENERPRONE BOOKED FOR PUR ASB 70 DPH VFD BASED E</t>
  </si>
  <si>
    <t>1101404644</t>
  </si>
  <si>
    <t>T/F THROUGH J/V AGST B/NO. 2357 DT: 19.01.23-790</t>
  </si>
  <si>
    <t xml:space="preserve"> OF M/S. ENERPRONE PVT LTD BOOKED FOR PUR ASB 70</t>
  </si>
  <si>
    <t>1101405188</t>
  </si>
  <si>
    <t>BEING AMT T/F THROUGH J/V AGST B/NO. MF2425/-791</t>
  </si>
  <si>
    <t>0118 DTD: 30.04.24 OF MATSUI BOOKED FOR PUR ENER</t>
  </si>
  <si>
    <t>1101100847</t>
  </si>
  <si>
    <t>Sealing &amp; Shrinking</t>
  </si>
  <si>
    <t>Resin Dryer RDL300R-793</t>
  </si>
  <si>
    <t>1101400603</t>
  </si>
  <si>
    <t>Plant &amp; Machinery - Dosing Unit-794</t>
  </si>
  <si>
    <t>1101400606</t>
  </si>
  <si>
    <t>Plant &amp; Machinery - Air Receiver-795</t>
  </si>
  <si>
    <t>1101100462</t>
  </si>
  <si>
    <t>Resin Drier-796</t>
  </si>
  <si>
    <t>1101100492</t>
  </si>
  <si>
    <t>Strech Blow Moulding Machine-797</t>
  </si>
  <si>
    <t>1101100980</t>
  </si>
  <si>
    <t>Sterch Blow Moulding Machine-798</t>
  </si>
  <si>
    <t>1101100103</t>
  </si>
  <si>
    <t>Sterch Blow Moulding Machine-799</t>
  </si>
  <si>
    <t>1101100861</t>
  </si>
  <si>
    <t>CPM -83 DRYER (MODEL -120J-450 S.NO:29540402-800</t>
  </si>
  <si>
    <t>1101403396</t>
  </si>
  <si>
    <t>9009</t>
  </si>
  <si>
    <t>Solar System </t>
  </si>
  <si>
    <t>100KW SOLAR INVERTER  &amp; SOLAR PANEL</t>
  </si>
  <si>
    <t>Being 100.32 KWP on Grid Connected Rooftop M-802</t>
  </si>
  <si>
    <t>ounted Solar PV System at TPAC -Silvassa done by</t>
  </si>
  <si>
    <t>1101103392</t>
  </si>
  <si>
    <t>50KW &amp; 10KW  SOLAR INVERTER</t>
  </si>
  <si>
    <t>Being 60Kwp on Grid  Connected Rooftop mount-803</t>
  </si>
  <si>
    <t>ed  Solar PV System work done by OHMS Energy Pvt</t>
  </si>
  <si>
    <t>1151400711</t>
  </si>
  <si>
    <t>9010</t>
  </si>
  <si>
    <t>Office Equipment </t>
  </si>
  <si>
    <t>BEING PUR. OF CAMERA &amp; ASSESSORIES FOR PLANT-804</t>
  </si>
  <si>
    <t>1151400712</t>
  </si>
  <si>
    <t>BEING PUR. OF AOC LED 32", POWERSAFE UPS 2 K-805</t>
  </si>
  <si>
    <t>VA &amp; ROCKET TUBLER BATTERY 150 AH FOR CAMERA DVR</t>
  </si>
  <si>
    <t>1151401131</t>
  </si>
  <si>
    <t>Camera Power Supply -Micropower-806</t>
  </si>
  <si>
    <t>1151401196</t>
  </si>
  <si>
    <t>CP PLUS LR CAMERA  FOR CLEAN ROOM &amp; PRODUCTI-807</t>
  </si>
  <si>
    <t>ON AREA</t>
  </si>
  <si>
    <t>1151401267</t>
  </si>
  <si>
    <t>DOM Camera /CCTV Wire-808</t>
  </si>
  <si>
    <t>1151401489</t>
  </si>
  <si>
    <t>Camera 001 To 008 &amp;  LCD TV-01</t>
  </si>
  <si>
    <t>Autocop D480tvl-IR Dom Camera-809</t>
  </si>
  <si>
    <t>1151401491</t>
  </si>
  <si>
    <t>Camera 009 To 011</t>
  </si>
  <si>
    <t>Hikivsion Dvr DS,Seagate Survilliance 500 GB-810</t>
  </si>
  <si>
    <t xml:space="preserve"> Hdd CCTV Camera power supply 12v 10ah</t>
  </si>
  <si>
    <t>1151401590</t>
  </si>
  <si>
    <t>Camera 012 To 027</t>
  </si>
  <si>
    <t>Hikvision Ir Camera For Worker Drinking Wate-811</t>
  </si>
  <si>
    <t>r Area ,First Floor Shifting Area and other Part</t>
  </si>
  <si>
    <t>1151401610</t>
  </si>
  <si>
    <t>Camera for  Worker Change Room Purpose -812</t>
  </si>
  <si>
    <t>1151402094</t>
  </si>
  <si>
    <t>Camera 028 To 031</t>
  </si>
  <si>
    <t>Hikvison Ir Dome Camera Ds-2cd2110-I (S/No.5-813</t>
  </si>
  <si>
    <t>95470858,596389658,596389145,595470193)</t>
  </si>
  <si>
    <t>1151402216</t>
  </si>
  <si>
    <t>Camera 031 To 035</t>
  </si>
  <si>
    <t>Hikvision IP Camera 2cd2t20-I (2.0 mp) Model-814</t>
  </si>
  <si>
    <t xml:space="preserve"> : Ds-2cd2t20-I (S/No.587238175,608722945,587238</t>
  </si>
  <si>
    <t>1151402489</t>
  </si>
  <si>
    <t>Camera 036 To 039</t>
  </si>
  <si>
    <t>Hikvision IP Dom 1.3 Mp Camera Model-NDS-2CD-815</t>
  </si>
  <si>
    <t>2301OF (S/No.680906228,680906221,676288448,68090</t>
  </si>
  <si>
    <t>1151402664</t>
  </si>
  <si>
    <t>PUR CAMERA , SWITCH , RACK , CABLE ETC -816</t>
  </si>
  <si>
    <t>1151402726</t>
  </si>
  <si>
    <t>NVR (DS- 763NI-E2)-1</t>
  </si>
  <si>
    <t>NVR SYSTEM NAS 64 CH &amp; RACK 15U WITH ACCESSO-817</t>
  </si>
  <si>
    <t>RIES  ( NVR SYSTEM FOR CAMERA VIEWING IN CHITRAN</t>
  </si>
  <si>
    <t>1151402835</t>
  </si>
  <si>
    <t>PUR DOM CAMERA &amp; OUT DOOR ENCLOSURE BOX VIDE-818</t>
  </si>
  <si>
    <t xml:space="preserve"> TSGO/ 18-19/225 AGST PO SMPOCG/18-19/031 FOR PK</t>
  </si>
  <si>
    <t>1151402919</t>
  </si>
  <si>
    <t>PUR DOM CAMERA , NETWORK SWITCH , &amp; CABLE VI-819</t>
  </si>
  <si>
    <t>DE TSGO/18-19/327 AGST PO SMPOCG/18-19/041 FOR C</t>
  </si>
  <si>
    <t>1151403061</t>
  </si>
  <si>
    <t>Being Sony DSC W830 20mp,8x Optical Zoom Cam-820</t>
  </si>
  <si>
    <t>era purchase from Grace Computers vide inv no GC</t>
  </si>
  <si>
    <t>1151403290</t>
  </si>
  <si>
    <t>Camera 040 To 048</t>
  </si>
  <si>
    <t>Being New Camera pur from Vertex Computers v-821</t>
  </si>
  <si>
    <t>ide inv no 2017 dt 24.12.19 ag PO# SMPOCG/19-20/</t>
  </si>
  <si>
    <t>1151403446</t>
  </si>
  <si>
    <t xml:space="preserve">Camera 049 </t>
  </si>
  <si>
    <t>Being 2.0 MP Sereis 265+ Certified Camera pu-822</t>
  </si>
  <si>
    <t>r from Vertex Computers vide inv no 1308 dt 31.1</t>
  </si>
  <si>
    <t>1151403711</t>
  </si>
  <si>
    <t>Camera 050</t>
  </si>
  <si>
    <t>Being pur SONY Camera for project work of Ne-823</t>
  </si>
  <si>
    <t>w plant area construction work  agst CPX# 008 dt</t>
  </si>
  <si>
    <t>1151403764</t>
  </si>
  <si>
    <t>Camera 051 To 054</t>
  </si>
  <si>
    <t>Being Dom Camera &amp; Bullet Camera pur from Ve-824</t>
  </si>
  <si>
    <t>rtex Computers vide inv no 692 dt 07.07.21 ag PO</t>
  </si>
  <si>
    <t>1101403959</t>
  </si>
  <si>
    <t>Being STEEL JET HAND SPREY DRYER pur from S -825</t>
  </si>
  <si>
    <t>B Sales Corporation vide inv no 21-100072 dt 21.</t>
  </si>
  <si>
    <t>1101404476</t>
  </si>
  <si>
    <t>T/F THROUGH J/V AGST B/NO. V220089 DT: 26.04-826</t>
  </si>
  <si>
    <t>.22 BOOKED FOR PUR NEWLAND MT65 SCANNER VIDE TSG</t>
  </si>
  <si>
    <t>1151404645</t>
  </si>
  <si>
    <t>Camera 055 To 098</t>
  </si>
  <si>
    <t>T/F THROUGH J/V AGST B/NO. 1891 DT: 17.01.23-827</t>
  </si>
  <si>
    <t xml:space="preserve"> OF ` BOOKED FOR PUR DOM CAMERA VIDE TSGO/22-23/</t>
  </si>
  <si>
    <t>1101404759</t>
  </si>
  <si>
    <t>Camera 99</t>
  </si>
  <si>
    <t>SERIES BULLET CAMERA, NETWORK SWITCH 8 PORT -828</t>
  </si>
  <si>
    <t>POE, OUTDOOR ENCLOSURE BOX, CAT6 CABLE, &amp; INSTAL</t>
  </si>
  <si>
    <t>1101404760</t>
  </si>
  <si>
    <t>Camera 100</t>
  </si>
  <si>
    <t>BEING PURCHASED AS DOM CAMERA, OUTDOOR ENCLO-829</t>
  </si>
  <si>
    <t xml:space="preserve">SURE BOX, CAT6 CABLE AND INSTALLATION OF CAMERA </t>
  </si>
  <si>
    <t>1151404761</t>
  </si>
  <si>
    <t>Camera For Dispatch -830</t>
  </si>
  <si>
    <t>1151404762</t>
  </si>
  <si>
    <t>NVR 64TB -2</t>
  </si>
  <si>
    <t>HIKVISION CAMERA, NVR DS, SURVEILLANCE HARDD-831</t>
  </si>
  <si>
    <t>ISK 4 TB, POE SWITCH, SINTEX BOX, R &amp; M CAT-6 CA</t>
  </si>
  <si>
    <t>1151404763</t>
  </si>
  <si>
    <t>Being Sony Cyber Camera purchase from Grace -832</t>
  </si>
  <si>
    <t>Computers vide inv no GC/19-20/118 dt 17.09.19 a</t>
  </si>
  <si>
    <t>1151404764</t>
  </si>
  <si>
    <t>Camera 101 To 106</t>
  </si>
  <si>
    <t>Being IP 2.0MP Voice  Dom Camera pur from Ve-833</t>
  </si>
  <si>
    <t>rtex Computers vide inv 514 dt 29.07.2020 ag PO#</t>
  </si>
  <si>
    <t>1151404765</t>
  </si>
  <si>
    <t>Camera 107</t>
  </si>
  <si>
    <t>Being 8POE Switch (CCTV Camera with Addition-834</t>
  </si>
  <si>
    <t>al Port Installation) and other repair work done</t>
  </si>
  <si>
    <t>1151404766</t>
  </si>
  <si>
    <t>NVR 64TB -3 &amp; NVR 32TB -4</t>
  </si>
  <si>
    <t>B/No: 2438 Dt: 9.3.2022 Being purchased as I-835</t>
  </si>
  <si>
    <t>P H265+2.8mm Dom Camera Hikvision, Outdoor enclo</t>
  </si>
  <si>
    <t>1151404796</t>
  </si>
  <si>
    <t>Camera 108</t>
  </si>
  <si>
    <t>B/NO. 316 DT: 22.05.23 OF VERTEX COMPUTERS B-836</t>
  </si>
  <si>
    <t>OOKED FOR INSTALLATION OF CAMERA AGST PO SMPOCG/</t>
  </si>
  <si>
    <t>1151404827</t>
  </si>
  <si>
    <t>Camera 109 To 125</t>
  </si>
  <si>
    <t>B/NO. 659 DT: 15.07.23 OF VERTEX COMPUTERS B-837</t>
  </si>
  <si>
    <t>OOKED FOR PUR DOM CAMERA , MOUNT STAND , CABLE ,</t>
  </si>
  <si>
    <t>1151404847</t>
  </si>
  <si>
    <t>BEING T/F THROUGH J/V AGST B/NO. 768 DT: 02.-838</t>
  </si>
  <si>
    <t>08.23 OF VERTEX COMPUTERS BOOKED FOR PUR DOM CAM</t>
  </si>
  <si>
    <t>1151404977</t>
  </si>
  <si>
    <t>B/NO. 1292 DT: 27.10.23 OF VERTEX COMPUTERS -839</t>
  </si>
  <si>
    <t xml:space="preserve">BOOKED FOR PUR BULLET CAMERA , NETWORK SWITCH , </t>
  </si>
  <si>
    <t>1151405029</t>
  </si>
  <si>
    <t>VERTEX COMPUTERS BOOKED FOR INSTALLATION &amp; C-840</t>
  </si>
  <si>
    <t>ONFIGURATIONOR CC TV CAMERA MAINTENCE CONTROL RO</t>
  </si>
  <si>
    <t>1151405107</t>
  </si>
  <si>
    <t>Camera 126 To 152</t>
  </si>
  <si>
    <t>B/NO. 2160 DTD: 01.03.24 OF VERTEX COMPUTERS-841</t>
  </si>
  <si>
    <t xml:space="preserve"> BOOKED FOR PUR DOM CAMERA , SWITCH , RACK , CON</t>
  </si>
  <si>
    <t>1151405143</t>
  </si>
  <si>
    <t>Camera 153 To 156</t>
  </si>
  <si>
    <t>B/NO. 1568 DT: 14.12.23 OF VERTEX COMPUTERS -842</t>
  </si>
  <si>
    <t xml:space="preserve">BOOKED FOR PUR IP DOM CAMERA , NETWORK SWITCH &amp; </t>
  </si>
  <si>
    <t>1151400030</t>
  </si>
  <si>
    <t>Water Purfier-843</t>
  </si>
  <si>
    <t>1151400747</t>
  </si>
  <si>
    <t>Being purchases of ABC 5 kgs capacity fire e-844</t>
  </si>
  <si>
    <t>xtinguisher, 45 pcs @ 1600/-</t>
  </si>
  <si>
    <t>1151400750</t>
  </si>
  <si>
    <t>Being purchases of machine for floor cleanin-845</t>
  </si>
  <si>
    <t>g purpose, Eureka forbes walk behind auto scrubb</t>
  </si>
  <si>
    <t>1151400710</t>
  </si>
  <si>
    <t>BEING RACK 9U PROPER ARRANGEMENT OF DVR &amp; CA-846</t>
  </si>
  <si>
    <t xml:space="preserve">BLE &amp; SAMSUNG LED 23" -3 YEAR WARRENTY AS </t>
  </si>
  <si>
    <t>1151401005</t>
  </si>
  <si>
    <t>Wireless Smokedetector, SD repeater,for fire-847</t>
  </si>
  <si>
    <t xml:space="preserve"> safety purpose</t>
  </si>
  <si>
    <t>1151401130</t>
  </si>
  <si>
    <t>DVRS-16 Chanel for 50MB Clean Room Area -848</t>
  </si>
  <si>
    <t>1151401259</t>
  </si>
  <si>
    <t>Pur Freeze-849</t>
  </si>
  <si>
    <t>1151401311</t>
  </si>
  <si>
    <t>Split AC for Conferecne Room-850</t>
  </si>
  <si>
    <t>1151401444</t>
  </si>
  <si>
    <t>WD Surveillance Harddisk 2 TB-851</t>
  </si>
  <si>
    <t>1151401445</t>
  </si>
  <si>
    <t>New Ro Plant For Canteen Purpose -852</t>
  </si>
  <si>
    <t>1151401576</t>
  </si>
  <si>
    <t>Epson EBX03 Projector -853</t>
  </si>
  <si>
    <t>1151401587</t>
  </si>
  <si>
    <t>60 LPH RO System-854</t>
  </si>
  <si>
    <t>1151401915</t>
  </si>
  <si>
    <t>LLOYD Split A.C.-855</t>
  </si>
  <si>
    <t>1151402115</t>
  </si>
  <si>
    <t>Matrix Simado GFX 11-856</t>
  </si>
  <si>
    <t>1151402360</t>
  </si>
  <si>
    <t>Hlkvision Ir Network Dom 2.8 mm Model-DS-2CD-857</t>
  </si>
  <si>
    <t>2310 S/No.7131E4G12 Dc/1864 Date-06/06/2017</t>
  </si>
  <si>
    <t>1151402490</t>
  </si>
  <si>
    <t>Network Switch 8 Port PoE S/No.AE5083U201706-858</t>
  </si>
  <si>
    <t>000416</t>
  </si>
  <si>
    <t>1151402497</t>
  </si>
  <si>
    <t>Cat6 Cable -859</t>
  </si>
  <si>
    <t>1151402501</t>
  </si>
  <si>
    <t>Cat6 Cable-860</t>
  </si>
  <si>
    <t>1151402834</t>
  </si>
  <si>
    <t>PUR SURVEILANCE HARDDISC 6  TB VIDE TSGR/18--861</t>
  </si>
  <si>
    <t>19/0199 AGST PO SMPOCG/18-19/025 FOR RECORDING B</t>
  </si>
  <si>
    <t>1151402840</t>
  </si>
  <si>
    <t>PUR EPSON AIO MFP PRINTER VIDE TSGO/18-19/23-862</t>
  </si>
  <si>
    <t>7 AGST PO SPO/18-19/168 FOR DISPATCH DEPT.</t>
  </si>
  <si>
    <t>1151402920</t>
  </si>
  <si>
    <t>PUR CABLE VIDE TSGO/18-19/326 AGST PO SMPOCG-863</t>
  </si>
  <si>
    <t xml:space="preserve">/18-19/031 FOR PKG AREA ( PAYMENT TERMS 30 DAYS </t>
  </si>
  <si>
    <t>1151402921</t>
  </si>
  <si>
    <t>PUR LENOVO THINKPAD E480 LAPTOP VIDE TSGO/18-864</t>
  </si>
  <si>
    <t xml:space="preserve">-19/338 AGST PO SPO/18-19/239 FOR MR CHITRANJAN </t>
  </si>
  <si>
    <t>1151402922</t>
  </si>
  <si>
    <t>PUR  600 VA UPS VIDE TSGO/18-19/0369 AGST PO-865</t>
  </si>
  <si>
    <t xml:space="preserve"> SPO/18-19/267 FOR PRODUCTION DEPT. ( TERMS OF P</t>
  </si>
  <si>
    <t>1101403789</t>
  </si>
  <si>
    <t>Being Voltas purifier pur from S S Electroni-866</t>
  </si>
  <si>
    <t>cs vide inv no SSE/21-22/2291 dt 20.07.21 ag PO#</t>
  </si>
  <si>
    <t>1151402985</t>
  </si>
  <si>
    <t>Being LINKSYS VELOP WHW0102-AH ACCESS POINT -867</t>
  </si>
  <si>
    <t xml:space="preserve">1PK PUR AS PER INV NO SPO/19-20/122 DT 24.06.19 </t>
  </si>
  <si>
    <t>1101403054</t>
  </si>
  <si>
    <t>Being ECO VOLT 1050 ( 24 MONTH WARRANTY) 3no-868</t>
  </si>
  <si>
    <t xml:space="preserve">s and BATTERY MODEL ; SC18054, 12 V 150 AH 3nos </t>
  </si>
  <si>
    <t>1101403046</t>
  </si>
  <si>
    <t>Being 1.5 TR Split AC 3Star with Standad Acc-869</t>
  </si>
  <si>
    <t xml:space="preserve">essories (Blue Star Make) pur 1no. from Raj Air </t>
  </si>
  <si>
    <t>1101403047</t>
  </si>
  <si>
    <t>Being 1 TR WINDOW AC 5 STAR WITH STANDARD AC-870</t>
  </si>
  <si>
    <t>CESSORIES MAKE ; BLU STAR pur for ASB 50MB M/c a</t>
  </si>
  <si>
    <t>1151403085</t>
  </si>
  <si>
    <t>Being Samsung A707FZWWINS  359753100444489 p-871</t>
  </si>
  <si>
    <t>urchase for Chitranjan sir, vide inv no 47 dt 11</t>
  </si>
  <si>
    <t>1101403190</t>
  </si>
  <si>
    <t>Electrical Intallation at Silvassa New Plant-872</t>
  </si>
  <si>
    <t>1151403263</t>
  </si>
  <si>
    <t>Being UFACE -302/602 Face + Finger Print Dev-873</t>
  </si>
  <si>
    <t>ice with Installation Charges pur from AVI Infot</t>
  </si>
  <si>
    <t>1101403277</t>
  </si>
  <si>
    <t>Being 2 Core x 1.5 Sq.mm Multistrand Copper,-874</t>
  </si>
  <si>
    <t xml:space="preserve"> pur from Shree N M Electricals Ltd vide inv no </t>
  </si>
  <si>
    <t>1151403308</t>
  </si>
  <si>
    <t>Being HP Z2G4 Server Intel Xeon E-2104G 4C S-875</t>
  </si>
  <si>
    <t>erver pur from Vertex Computers vide inv no 47 d</t>
  </si>
  <si>
    <t>1151403346</t>
  </si>
  <si>
    <t>Being Office Equipments pur from Vinay Enter-876</t>
  </si>
  <si>
    <t xml:space="preserve">prises vide inv no 409/20-21 dt 13.07.20 ag PO# </t>
  </si>
  <si>
    <t>1151403379</t>
  </si>
  <si>
    <t>Being Epson eco tank L15150 all in one Duple-877</t>
  </si>
  <si>
    <t>x, Network A3 printer pur from Grace Computer vi</t>
  </si>
  <si>
    <t>1101403652</t>
  </si>
  <si>
    <t>Being Led light drone highbay 200 w pur from-878</t>
  </si>
  <si>
    <t xml:space="preserve"> ZN Industrial Products vide inv no ZNIP003/2021</t>
  </si>
  <si>
    <t>1151404024</t>
  </si>
  <si>
    <t>B/NO: GC/21-22/206 DT. 15.02.22 OF GRACE COM-879</t>
  </si>
  <si>
    <t>PUTERS  BOOKED FOR PUR  PRINTER FOR SCAN PURPOSE</t>
  </si>
  <si>
    <t>1101404538</t>
  </si>
  <si>
    <t>B/NO: ILN-118 DT: 15.11.2022 BEING PURCHASED-880</t>
  </si>
  <si>
    <t xml:space="preserve"> AS LED HIGHBAY LIGHT FOR NEW FG STORAGE PURPOSE</t>
  </si>
  <si>
    <t>1151404539</t>
  </si>
  <si>
    <t>T/F THROUGH J/V AGST B/NO. 524 DT: 13.12.22 -881</t>
  </si>
  <si>
    <t>BOOKED FOR PUR PG GLANDS , COPPER LUGS , STRIP E</t>
  </si>
  <si>
    <t>1151404491</t>
  </si>
  <si>
    <t>T/F THROUGH J/V AGST B/NO. 140 DT: 28.10.22 -882</t>
  </si>
  <si>
    <t>BOOKED FOR WOODEN TABLE FITTING &amp; SIDE SUNMIKA C</t>
  </si>
  <si>
    <t>1101404543</t>
  </si>
  <si>
    <t>CC TV CAMERA,NETWORKING &amp; IT SOLUTIONS(Addit-883</t>
  </si>
  <si>
    <t>ion to New Plant)</t>
  </si>
  <si>
    <t>1101404545</t>
  </si>
  <si>
    <t>T/F THROUGH J/V AGST B/NO. PW2SI2200182 DT: -884</t>
  </si>
  <si>
    <t>20.09.22 BOOKED FOR PUR PUR PMEA MAKE PMCL LED V</t>
  </si>
  <si>
    <t>1101404547</t>
  </si>
  <si>
    <t>T/F THROUGH J/V AGST B/NO. 81 DT: 10.05.22 B-885</t>
  </si>
  <si>
    <t>OOKED FOR PUR PANEL BOARD , MCC , ETC VIDE TSGO/</t>
  </si>
  <si>
    <t>1151404691</t>
  </si>
  <si>
    <t>T/F THROUGH J/V AGST B/NO. PW2SI2200366 DT: -886</t>
  </si>
  <si>
    <t>13.02.23 OF P M ELECTRO  BOOKED FOR JET BLACK GR</t>
  </si>
  <si>
    <t>1101404649</t>
  </si>
  <si>
    <t>T/F THROUGH J/V AGST B/NO. SSE/22-23/7126 DT-887</t>
  </si>
  <si>
    <t>: OF SS ELECTRONICS BOOKED FOR PUR AC-1 TON VIDE</t>
  </si>
  <si>
    <t>1101404650</t>
  </si>
  <si>
    <t>T/F THROUGH J/V AGTS B/NO. SSE/22-23/7098 DT-888</t>
  </si>
  <si>
    <t>1101404758</t>
  </si>
  <si>
    <t>BEING T/F THROUGH J/V AGST B/NO. SSE/2324/09-889</t>
  </si>
  <si>
    <t>75 DT: 10.05.23 OF SS ELECTRONICS BOOKED FOR PUR</t>
  </si>
  <si>
    <t>1151404733</t>
  </si>
  <si>
    <t>BEING A/F THROUGH J/V AGST B/NO. 2 DT: 04.04-890</t>
  </si>
  <si>
    <t>.23 OF RAJ ENGINEERING BOOEKD FOR PUR S S 304 PA</t>
  </si>
  <si>
    <t>1151404734</t>
  </si>
  <si>
    <t>BEING T/F THROUGH J/V AGST B/NO.3 DT: 04.04.-891</t>
  </si>
  <si>
    <t>23 OF RAJ ENGINEERING BOOEKD FOR PUR SS 304 PACK</t>
  </si>
  <si>
    <t>1101404735</t>
  </si>
  <si>
    <t>ELECTRICAL INSTALLATION -892</t>
  </si>
  <si>
    <t>1101404817</t>
  </si>
  <si>
    <t>B/NO. 219 DT: 02.06.23 OF SHREE KRISHNA ELE -893</t>
  </si>
  <si>
    <t>BOOEKD FOR PUR COPPER CABLE VIDE TSGR/23-24/0115</t>
  </si>
  <si>
    <t>1151404802</t>
  </si>
  <si>
    <t>B/NO. 21 DT: 03.06.23 OF RAJ ENGINEERING BOO-894</t>
  </si>
  <si>
    <t>EKD FOR PUR SS 304 REVOVLING CHAIR WITH HIGHT AD</t>
  </si>
  <si>
    <t>1151404810</t>
  </si>
  <si>
    <t>B/NO. M-032/2023-24 DT: 22.06.23  OF PRAGMAT-895</t>
  </si>
  <si>
    <t>IC HVAC BOOKED FOR FIXING OF BOTTOM OPENABLE LED</t>
  </si>
  <si>
    <t>1151404811</t>
  </si>
  <si>
    <t>B/NO. 236 DT: 23.06.23 OF SAFEGUARD INDUSTRI-896</t>
  </si>
  <si>
    <t xml:space="preserve">ES BOOEKD FOR PUR SMOKE DETECTOR WITH BASE VIDE </t>
  </si>
  <si>
    <t>1151404843</t>
  </si>
  <si>
    <t>B/NO. SSE/2324/2441 DT: 26.07.23 OF SS ELECT-897</t>
  </si>
  <si>
    <t>RONICS BOOKED FOR PUR LLOYD AC VIDE TSGO/23-24/0</t>
  </si>
  <si>
    <t>1151404892</t>
  </si>
  <si>
    <t>Being Purchased CAT-6 CABLE VIDE TSGO/23-24/-898</t>
  </si>
  <si>
    <t xml:space="preserve">306 DT: 22.08.23 from Shree Krishna Electricals </t>
  </si>
  <si>
    <t>1151404893-1</t>
  </si>
  <si>
    <t>LCD TV - 02 &amp; 03</t>
  </si>
  <si>
    <t>Being Purchased PUR LG COMMERCIAL TV VIDE  T-899</t>
  </si>
  <si>
    <t>SGO.23-24/338 DT: 31.08.23 from Vertex Computers</t>
  </si>
  <si>
    <t>1101404889</t>
  </si>
  <si>
    <t>B/NO. 492 DT: 04.09.23 OF SHREE KRISHNA ELE -900</t>
  </si>
  <si>
    <t>BOOKED FOR PUR 1600 AMP FOUR POLE ACB VIDE TSGO/</t>
  </si>
  <si>
    <t>1101404887</t>
  </si>
  <si>
    <t>Being done Lightning work for Admin area fro-901</t>
  </si>
  <si>
    <t>m Shree Krishna Electricals Capitalised</t>
  </si>
  <si>
    <t>1101404888</t>
  </si>
  <si>
    <t>Being done lightning work for Mezzanine area-902</t>
  </si>
  <si>
    <t xml:space="preserve"> from Shree Swastik Electricals</t>
  </si>
  <si>
    <t>1101404964</t>
  </si>
  <si>
    <t>B/NO. NE022288/HO DT: 27.09.23 OF SHREE NM E-903</t>
  </si>
  <si>
    <t>LE BOOKED FOR PUR CU/PVC CABLE VIDE TSGO/23-24/3</t>
  </si>
  <si>
    <t>1101404965</t>
  </si>
  <si>
    <t>BEING T/F THROUGH J/V AGTS B/NO. 055 DT: 16.-904</t>
  </si>
  <si>
    <t>10.23 OF GRACE ENGINEERING WORKS BOOKED FOR ELEC</t>
  </si>
  <si>
    <t>1151405001</t>
  </si>
  <si>
    <t>BEING T/F THROUGH J/V AGST B/NO. 27183008011-905</t>
  </si>
  <si>
    <t xml:space="preserve">636 DT: 18.11.23 OF AVI INFOTECH LLP BOOKED FOR </t>
  </si>
  <si>
    <t>1101405055</t>
  </si>
  <si>
    <t>BEING T/F THROUGH J/V AGTS B/NO. S-161/2023--906</t>
  </si>
  <si>
    <t>24 DT: 11.12.23 OF PRAGMATIC HVAC ENG BOOKED FOR</t>
  </si>
  <si>
    <t>1151405076</t>
  </si>
  <si>
    <t>BEING T/F THROUGH J/V AGST B/NO. 1809 DT: 19-907</t>
  </si>
  <si>
    <t>.01.24 OF VERTEX COMPUTERS BOOKED FOR PUR LOGITE</t>
  </si>
  <si>
    <t>1151405088</t>
  </si>
  <si>
    <t>B/NO. 082 DT: 30.01.24 OF GRACE ENGINEERING -908</t>
  </si>
  <si>
    <t>WORKS BOOKED FOR 3 RACKS MAKING FOR STORE DEPT M</t>
  </si>
  <si>
    <t>1151405089</t>
  </si>
  <si>
    <t>B/NO. 081 DT: 30.01.24 OF GRACE ENGINEERING -909</t>
  </si>
  <si>
    <t>WORKS BOOKED FOR 2 RACK  MAKING FOR MT STORE DEP</t>
  </si>
  <si>
    <t>1101405104</t>
  </si>
  <si>
    <t>B/NO. PW2SI2300358 DT: 13.02.24 OF PMEA SOLA-910</t>
  </si>
  <si>
    <t>R TECH BOOKED FOR PUR MOTION SENSOR VIDE TSGO/23</t>
  </si>
  <si>
    <t>1101405105</t>
  </si>
  <si>
    <t>B/NO. NE038983/HO DT: 15.02.24 OF SHREE NM E-911</t>
  </si>
  <si>
    <t>LE BOOKED FOR PUR CABLE FOR ELECTRIC WIRING IN N</t>
  </si>
  <si>
    <t>1101405108</t>
  </si>
  <si>
    <t>B/NO. NE039846/HO DTD: 21.02.24 OF SHREE NM -912</t>
  </si>
  <si>
    <t>ELECTRICALS BOOKED FOR PUR COPPER CABLE VIDE TSG</t>
  </si>
  <si>
    <t>1101405109</t>
  </si>
  <si>
    <t>B/NO. 23-24/3694 DTD: 26.02.24 OF TARANG ELE-913</t>
  </si>
  <si>
    <t>CTRIC BOOKED FOR PUR CABLE TRAY VIDE TSGO/23-24/</t>
  </si>
  <si>
    <t>1101405133</t>
  </si>
  <si>
    <t>BEING T/F THROUGH J/V AGST B/NO. 1068 DTD: 2-914</t>
  </si>
  <si>
    <t xml:space="preserve">2.03.24 OF SHREE KRISHNA ELECTRICALS BOOKED FOR </t>
  </si>
  <si>
    <t>1101405134</t>
  </si>
  <si>
    <t>B/NO. S-160/2023-24 DT: 11.12.23 OF PRAGMATI-915</t>
  </si>
  <si>
    <t>C HVAC BOOKED FOR PUR LED LIGHT &amp; CLIP VIDE TSGO</t>
  </si>
  <si>
    <t>1151405142</t>
  </si>
  <si>
    <t>B/NO. SSE/2324/5883 DT: 08.12.23 OF SS ELECT-916</t>
  </si>
  <si>
    <t>RONICS BOOKED FOR PUR 2 TON LLOYD AC VIDE TSGO/2</t>
  </si>
  <si>
    <t>1151405144</t>
  </si>
  <si>
    <t>BEING T/F THROUGH J/V AGST B/NO. 1580 DT: 15-917</t>
  </si>
  <si>
    <t>.12.23 OF VERTEX COMPUTESR BOOKED FOR PUR NETWOR</t>
  </si>
  <si>
    <t>1151405145</t>
  </si>
  <si>
    <t>B/NO. 1570 DT: 14.12.23 OF VERTEX COMPUTERS -918</t>
  </si>
  <si>
    <t>BOOKED FOR PUR FINGERPRINT ATTENDANCE SYSTEM , E</t>
  </si>
  <si>
    <t>1151405146</t>
  </si>
  <si>
    <t>B/NO. 1632 DT: 25.12.23 OF VERTEX COMPUTERS -919</t>
  </si>
  <si>
    <t>BOOKED FOR PUR LG COMMERCIAL &amp; FLOOR MOUNT STAND</t>
  </si>
  <si>
    <t>1151405147</t>
  </si>
  <si>
    <t>B/NO. V091 DT: 24.01.24 OF CUSTOMISED TECHNO-920</t>
  </si>
  <si>
    <t>LOGIES BOOKED FOR PUR RAPID  - I  BENCH-TOP AUTO</t>
  </si>
  <si>
    <t>1151405157</t>
  </si>
  <si>
    <t>B/NO. IITPL/2425/04/52 DTD: 15.04.24 OF INTE-921</t>
  </si>
  <si>
    <t>RNATIONAL INFOCOM TECHNOLOGIES BOOKED FOR PUR HP</t>
  </si>
  <si>
    <t>1151405158</t>
  </si>
  <si>
    <t>B/NO. 163 DTD: 30.04.24 OF VERTEX COMPUTERS -922</t>
  </si>
  <si>
    <t xml:space="preserve">BOOKED FOR PUR LED 27 " WALL STAND , KEYBOARD &amp; </t>
  </si>
  <si>
    <t>1151405159</t>
  </si>
  <si>
    <t>B/NO. 11 DTD: 06.04.24 OF 06.04.24 OF VERTEX-923</t>
  </si>
  <si>
    <t xml:space="preserve"> COMPUTERS BOOKED FOR PUR EPSON ECO TANK PRINTER</t>
  </si>
  <si>
    <t>1101405197</t>
  </si>
  <si>
    <t>BEING ELECTRICAL INSTALLATION FOR New Securi-924</t>
  </si>
  <si>
    <t>ty Cabin &amp; Emergency Control room CAPITALISED</t>
  </si>
  <si>
    <t>1151405219</t>
  </si>
  <si>
    <t>BEING T/F THROUGH J/V AGST B/NO. 20241721 DT-925</t>
  </si>
  <si>
    <t>D: 07.06.24 OF BOMBAY TOOLS SUPPLYING AGENCY BOO</t>
  </si>
  <si>
    <t>1151405247</t>
  </si>
  <si>
    <t>B/NO. 82 DTD: 18.06.24 OF TESTRONIX INSTRUME-926</t>
  </si>
  <si>
    <t>NTS BOOKED FOR PUR HOT WIRE BOTTLE CUTTER VIDE T</t>
  </si>
  <si>
    <t>1151405366</t>
  </si>
  <si>
    <t>Being barcode system capitalized-927</t>
  </si>
  <si>
    <t>1151405367</t>
  </si>
  <si>
    <t>BEING T/F THROUGH J/V AGST B/NO. V250501 DTD-928</t>
  </si>
  <si>
    <t>: 14.06.25 OF SCANCODE BOOKED FOR PUR NEWLAND MT</t>
  </si>
  <si>
    <t>1101100057</t>
  </si>
  <si>
    <t>Air Conditioner-929</t>
  </si>
  <si>
    <t>1101100073</t>
  </si>
  <si>
    <t>Air Conditioner-930</t>
  </si>
  <si>
    <t>1101102566</t>
  </si>
  <si>
    <t>50SQMM 4 CORE COPPER FLEXIBLE CABLE RR PURCH-931</t>
  </si>
  <si>
    <t xml:space="preserve">ASED FOR NEW MACHINES  </t>
  </si>
  <si>
    <t>1101102567</t>
  </si>
  <si>
    <t>SSK 100WATT HPB LAMP FOR MACHINE AREA-932</t>
  </si>
  <si>
    <t>1101102666</t>
  </si>
  <si>
    <t>LED LAMP 100 WALT HPB FOR 70DPH MC PURPOSE-933</t>
  </si>
  <si>
    <t>1151103220</t>
  </si>
  <si>
    <t>Being Fire Extinguisher pur from Nationa Fir-934</t>
  </si>
  <si>
    <t>e Service vide inv no 1420/2019-20 dt 09.01.20 a</t>
  </si>
  <si>
    <t>1101401506</t>
  </si>
  <si>
    <t>35mm Large Allu,16mm Ring large,150 mm Alu,a-935</t>
  </si>
  <si>
    <t>nd other Installation parts for busbar fitting p</t>
  </si>
  <si>
    <t>1101103514</t>
  </si>
  <si>
    <t>Being Electrical Installation for Reduction -936</t>
  </si>
  <si>
    <t>of Contract Demand done by Shree Krishna Electri</t>
  </si>
  <si>
    <t>1101401507</t>
  </si>
  <si>
    <t>L*SP MCB 32A Legrand &amp; L* DP MCB 25A Legrand-937</t>
  </si>
  <si>
    <t xml:space="preserve"> for 50 MB Machine Works</t>
  </si>
  <si>
    <t>1101103761</t>
  </si>
  <si>
    <t>Being Supply, Erection, Testing and Commissi-938</t>
  </si>
  <si>
    <t>oning of 50KVAR by Shree Krishna Electricals vid</t>
  </si>
  <si>
    <t>1101401795</t>
  </si>
  <si>
    <t>240 Sq.mm x 3 Core HT XLPE Aluminium Armord -939</t>
  </si>
  <si>
    <t>Cable Make Polycab for Underground Express Feede</t>
  </si>
  <si>
    <t>1101103834</t>
  </si>
  <si>
    <t>Being METER THREE PHASE 10-60  COUNTER DISPL-940</t>
  </si>
  <si>
    <t>AY pur from Rathore Light House vide inv no 1058</t>
  </si>
  <si>
    <t>1101401796</t>
  </si>
  <si>
    <t>Supervision Chgs.by DNH Power Distribution C-941</t>
  </si>
  <si>
    <t>orporation Ltd.for Errection of 11 KV Project Ex</t>
  </si>
  <si>
    <t>1151103915</t>
  </si>
  <si>
    <t>Being Artis Powersafe I Kva Ups pur from Gra-942</t>
  </si>
  <si>
    <t>ce Computers vide inv no GC/21-22/137 dt 22.10.2</t>
  </si>
  <si>
    <t>1101401797</t>
  </si>
  <si>
    <t>Supply of 75 x 150 x 9000 mm MS Pole 2 Nos.,-943</t>
  </si>
  <si>
    <t xml:space="preserve">with 400 Amp.Air Break Switch, 200 Amp Drop out </t>
  </si>
  <si>
    <t>1101104006</t>
  </si>
  <si>
    <t>B/No: 497 DT: 7.2.2022 Being Purchased of An-944</t>
  </si>
  <si>
    <t>nunciator Panel with Alarm suitable for wall mou</t>
  </si>
  <si>
    <t>1101401798</t>
  </si>
  <si>
    <t>6" Half Round RCC Hump pipe-945</t>
  </si>
  <si>
    <t>1101103989</t>
  </si>
  <si>
    <t>B/No: 7484/F/21-22 Dt: 28.1.2022 Being Purch-946</t>
  </si>
  <si>
    <t>ased of Dell Laptops Vostro3400/84713010 for Mr.</t>
  </si>
  <si>
    <t>1101401799</t>
  </si>
  <si>
    <t>Cable Trench Digging 240 Sq.mm x 3 Core HT X-947</t>
  </si>
  <si>
    <t>LPE Cable Laying &amp; Filling after complete the wo</t>
  </si>
  <si>
    <t>1101103997</t>
  </si>
  <si>
    <t>B/No: F/7583 Dt: 3.2.2022 Being Purchased as-948</t>
  </si>
  <si>
    <t xml:space="preserve"> Dell Vostro 3400 Laptop for Mr. Loknath Singh (</t>
  </si>
  <si>
    <t>1101401800</t>
  </si>
  <si>
    <t>Grey Cement for civil work purpose for 11 kv-949</t>
  </si>
  <si>
    <t xml:space="preserve"> Feeder Line</t>
  </si>
  <si>
    <t>1101104048</t>
  </si>
  <si>
    <t>Purchased as Cable, Metal Box, Plate, Switch-950</t>
  </si>
  <si>
    <t>, Socket, Tie, Cable Tray, Tray Accessories, Lug</t>
  </si>
  <si>
    <t>1101401801</t>
  </si>
  <si>
    <t>Grey Cement for civil work purpose for 11 kv-951</t>
  </si>
  <si>
    <t>1151504399</t>
  </si>
  <si>
    <t>Being MS SQ pipe, MS BAR &amp; MS Angle pur from-952</t>
  </si>
  <si>
    <t xml:space="preserve"> Gayatri Steel &amp; Pipes vide inv no 928 dt 05.01.</t>
  </si>
  <si>
    <t>1101401802</t>
  </si>
  <si>
    <t>(CTR:200/400/5 Amp &amp; PTR 11000/110 Volts &amp; M-953</t>
  </si>
  <si>
    <t>IT Relay) for 11 kv Feeder Line</t>
  </si>
  <si>
    <t>1151504447</t>
  </si>
  <si>
    <t>Being Digital Vernier caliper ranges pur fro-954</t>
  </si>
  <si>
    <t>m Bombay Tools Supplying Agency vide inv no 2020</t>
  </si>
  <si>
    <t>1101401621</t>
  </si>
  <si>
    <t>Installation of 11 KVA for Feeder Supply -955</t>
  </si>
  <si>
    <t>1151504449</t>
  </si>
  <si>
    <t>Digital Vernier Caliper Tester-956</t>
  </si>
  <si>
    <t>1101402623</t>
  </si>
  <si>
    <t>UPS-957</t>
  </si>
  <si>
    <t>1151504450</t>
  </si>
  <si>
    <t>DIGITAL VERNIER 0.150MM/6" MITUTOYO JAPAN FO-958</t>
  </si>
  <si>
    <t>R MR. MANOJ GAWAD (EXPORT DEPT)</t>
  </si>
  <si>
    <t>1101402624</t>
  </si>
  <si>
    <t>Battery for UPS-959</t>
  </si>
  <si>
    <t>1151504451</t>
  </si>
  <si>
    <t>MITUTOYO MAKE DIGIMATIC CALIPERS AT H.O OFFI-960</t>
  </si>
  <si>
    <t>CE</t>
  </si>
  <si>
    <t>1101402625</t>
  </si>
  <si>
    <t>Battery for UPS-961</t>
  </si>
  <si>
    <t>1101402626</t>
  </si>
  <si>
    <t>Polycab Cable-962</t>
  </si>
  <si>
    <t>1101403539</t>
  </si>
  <si>
    <t>Being Amaron battery 12 volt 100 ah pur from-963</t>
  </si>
  <si>
    <t xml:space="preserve"> Bhanu Battery Sales &amp; Services vide inv no 0130</t>
  </si>
  <si>
    <t>1101504409</t>
  </si>
  <si>
    <t>Being HAIKAWA SPLIT AIR CONDITIONER pur from-964</t>
  </si>
  <si>
    <t xml:space="preserve"> Haikawa Appliances Pvt Ltd vide inv no HA2021-1</t>
  </si>
  <si>
    <t>1101504408</t>
  </si>
  <si>
    <t>Being Split Air Conditioner - Make : Haikawa-965</t>
  </si>
  <si>
    <t xml:space="preserve"> pur form Haikawa Appliances Pvt Ltd vide inv no</t>
  </si>
  <si>
    <t>1101504447</t>
  </si>
  <si>
    <t>Being Haikawa Split AC pur from Haikawa Appl-966</t>
  </si>
  <si>
    <t>iances Pvt Ltd vide inv no HAPL-0415 dt 30.01.20</t>
  </si>
  <si>
    <t>1101504568</t>
  </si>
  <si>
    <t>Ink Jet Printer for Printing Caps-967</t>
  </si>
  <si>
    <t>1101404981</t>
  </si>
  <si>
    <t>BEING T/F THROUGH J/V AGTS B/NO. 584 DT: 10.-968</t>
  </si>
  <si>
    <t xml:space="preserve">10.23 OF SHREE KRIHNA ELE BOOKED FOR PUR POWDER </t>
  </si>
  <si>
    <t>1101102598</t>
  </si>
  <si>
    <t>10KVA ( Three Phase I/p-Single Phase O/p ) T-969</t>
  </si>
  <si>
    <t>rue Online Pure Sine Wave UPS with PWM Based IGB</t>
  </si>
  <si>
    <t>1101404982</t>
  </si>
  <si>
    <t>BEING T/F THROUGH J/V AGST B/NO. SC/0217/202-970</t>
  </si>
  <si>
    <t xml:space="preserve">3-24 DT: 05.10.23 OF SAGAR CHEMICALS BOOKED FOR </t>
  </si>
  <si>
    <t>1101405198</t>
  </si>
  <si>
    <t>BEING T/F THROUGH J/V AGST B/NO. 0001 DTD: 0-971</t>
  </si>
  <si>
    <t xml:space="preserve">4.04.24 OF BHANU BATTERY SALES &amp; SERVICE BOOKED </t>
  </si>
  <si>
    <t>1141400788</t>
  </si>
  <si>
    <t>9011</t>
  </si>
  <si>
    <t>Fixtures and Fittings </t>
  </si>
  <si>
    <t>executive chairs-972</t>
  </si>
  <si>
    <t>1141402706</t>
  </si>
  <si>
    <t>REVOLVONG CHIAR -973</t>
  </si>
  <si>
    <t>1141403052</t>
  </si>
  <si>
    <t>Being Revolving Chair purchase from Furnitur-974</t>
  </si>
  <si>
    <t xml:space="preserve">e Plaza vide inv no GST/1920/326 dt 14.09.19 ag </t>
  </si>
  <si>
    <t>1141403556</t>
  </si>
  <si>
    <t>Being Revolving Chair pur from Furniture Pla-975</t>
  </si>
  <si>
    <t>za vide inv no GST/2021/391 dt 27.01.21 ag PO# S</t>
  </si>
  <si>
    <t>1141403956</t>
  </si>
  <si>
    <t>Being Low back mesh chair, seat PU mould cus-976</t>
  </si>
  <si>
    <t>hion, pur from Furniture Plaza vide inv no  GST/</t>
  </si>
  <si>
    <t>1141404702</t>
  </si>
  <si>
    <t>T/F THROUGH J/V B/NO. 278 DT: 27.03.2023 OF -977</t>
  </si>
  <si>
    <t>RAJ ENGINEERING BOOEKD FOR PUR SS 304 STOOL SIZE</t>
  </si>
  <si>
    <t>1141404974</t>
  </si>
  <si>
    <t>B/NO. 407 DT: 03.10.23 OF BETTER HOME BOOKED-978</t>
  </si>
  <si>
    <t xml:space="preserve"> FOR PUR OFFICE CHAIR VIDE TSGO/23-24/404 DT: 03</t>
  </si>
  <si>
    <t>1141504458</t>
  </si>
  <si>
    <t>Being Office Chairs (12pcs) purchase from Ch-979</t>
  </si>
  <si>
    <t>intan Enterprises vide inv no 0665 dt 21.09.19 a</t>
  </si>
  <si>
    <t>1141504459</t>
  </si>
  <si>
    <t>ORNATE CHAIR -980</t>
  </si>
  <si>
    <t>1141504460</t>
  </si>
  <si>
    <t>ORNATE CHAIR-981</t>
  </si>
  <si>
    <t>1141504463</t>
  </si>
  <si>
    <t>Chairs -982</t>
  </si>
  <si>
    <t>1141504464</t>
  </si>
  <si>
    <t>Chairs &amp; Table-983</t>
  </si>
  <si>
    <t>1141504472</t>
  </si>
  <si>
    <t>CHAIRS HV-984</t>
  </si>
  <si>
    <t>1141400789</t>
  </si>
  <si>
    <t>complete wooden table-985</t>
  </si>
  <si>
    <t>1141401501</t>
  </si>
  <si>
    <t>SS 304 Inspection table winglass Size 685mm -986</t>
  </si>
  <si>
    <t xml:space="preserve">*685 mm*590mm </t>
  </si>
  <si>
    <t>1141402703</t>
  </si>
  <si>
    <t>SS 304 INSPECTION TABLE WITH TAFFAN GLASS &amp; -987</t>
  </si>
  <si>
    <t xml:space="preserve">STAND </t>
  </si>
  <si>
    <t>1141403362</t>
  </si>
  <si>
    <t>Being Ss 304 inspection table with taffan gl-988</t>
  </si>
  <si>
    <t>ass pur from Shreemad Engineers vide inv no SME/</t>
  </si>
  <si>
    <t>1141403387</t>
  </si>
  <si>
    <t>Being SS 304 Packing Table pur from Raj Engi-989</t>
  </si>
  <si>
    <t>neering Co. vide inv no 377 dt 07.09.20 ag PO# S</t>
  </si>
  <si>
    <t>1141403855</t>
  </si>
  <si>
    <t>Being SS 304 Table &amp; SS Fargine Box pur from-990</t>
  </si>
  <si>
    <t xml:space="preserve"> Raj Engineering Co vide inv no 88 dt 25.09.21 a</t>
  </si>
  <si>
    <t>1141403877</t>
  </si>
  <si>
    <t>Being Table pur from Vandand Furniture Works-991</t>
  </si>
  <si>
    <t xml:space="preserve"> vide inv no 088 dt 18.10.21 ag PO# SMPOCG/21-22</t>
  </si>
  <si>
    <t>1141403928</t>
  </si>
  <si>
    <t>Being S.S. 304  TABLE  FOR  PRODUCATION AREA-992</t>
  </si>
  <si>
    <t xml:space="preserve"> pur from Raj Engineering Co vide inv no 102 dt </t>
  </si>
  <si>
    <t>1141404662</t>
  </si>
  <si>
    <t>T/F THROUGH J/V AGST B/NO. 234 DT: 17.02.23 -993</t>
  </si>
  <si>
    <t>OF RAJ ENGINEERING BOOKED FOR PUR SS 304 PACKING</t>
  </si>
  <si>
    <t>1141404704</t>
  </si>
  <si>
    <t>/NO. 279 DT: 28.03.2023 OF RAJ ENGINEERING B-994</t>
  </si>
  <si>
    <t>OOKED FOR PUR SS 304 PACKING TABLE VIDE  SGO/22-</t>
  </si>
  <si>
    <t>1141404877</t>
  </si>
  <si>
    <t>B/NO. 171 DT: 03.08.23 OF VANDANA FURNITURE -995</t>
  </si>
  <si>
    <t xml:space="preserve">WORKS BOOKED FOR SIDE TABLE , SHOE RACK FITTING </t>
  </si>
  <si>
    <t>1141404879</t>
  </si>
  <si>
    <t>B/NO. 174 DT: 11.08.23 OF VANDANA  FURNITURE-996</t>
  </si>
  <si>
    <t xml:space="preserve"> WORKS BOOKED FOR WOODEN OFFICE TABLE 2 SIDE COM</t>
  </si>
  <si>
    <t>1141404891</t>
  </si>
  <si>
    <t>B/NO. 183 DT: 06.09.23 OF VANDANA FURNITURE -997</t>
  </si>
  <si>
    <t>WORKS BOOKED FOR WOODEN TABLE FITTING &amp; GLASS PO</t>
  </si>
  <si>
    <t>1141404905</t>
  </si>
  <si>
    <t>B/NO. 184 DT: 15.09.23 OF VANDANA FURNITURE -998</t>
  </si>
  <si>
    <t>WORKS BOOKED FORWOODEN CONFRENCE TABLE 2 SIDE SU</t>
  </si>
  <si>
    <t>1141404976</t>
  </si>
  <si>
    <t>BEING T/F THROUGH J/V AGST B/NO. 189 DT: 17.-999</t>
  </si>
  <si>
    <t>10.23 OF VANDANA COMPUTERS BOOKED FOR WOODEN TAB</t>
  </si>
  <si>
    <t>1141405067</t>
  </si>
  <si>
    <t>BEING PASS THROUGH J/V AGST B/NO. 210 DT: 11-1000</t>
  </si>
  <si>
    <t>.01.24 OF VANDANA FURNITURE BOOKED FOR  ALL PART</t>
  </si>
  <si>
    <t>1141405138</t>
  </si>
  <si>
    <t>B/NO. 206 DT: 08.12.23 OF VANDANA FURNITURE -1001</t>
  </si>
  <si>
    <t xml:space="preserve">WORKS BOOKED FOR SEATING TABLE , FILE CABINET , </t>
  </si>
  <si>
    <t>1141405141</t>
  </si>
  <si>
    <t>B/NO. UFIPL2324/121 DTD: 23.02.24 OF ULTRA F-1002</t>
  </si>
  <si>
    <t>AB INDIA BOOKED FOR PUR WORKING TABLE VIDE TRSGO</t>
  </si>
  <si>
    <t>1141504432</t>
  </si>
  <si>
    <t>M.S. TABLE -1003</t>
  </si>
  <si>
    <t>1141504433</t>
  </si>
  <si>
    <t>M.S. TABLE-1004</t>
  </si>
  <si>
    <t>1141504396</t>
  </si>
  <si>
    <t>Being Wooden Checking Table fitting with mat-1005</t>
  </si>
  <si>
    <t>erial prepared by Vandana Furniture Works vide i</t>
  </si>
  <si>
    <t>1141504398</t>
  </si>
  <si>
    <t>Being WOODEN CHEAKING LIGHT TABLE pur from V-1006</t>
  </si>
  <si>
    <t>andana Furniture Works vide inv no 087 dt 11.10.</t>
  </si>
  <si>
    <t>1141504400</t>
  </si>
  <si>
    <t>Being Checking Made by Vandana Furniture Wor-1007</t>
  </si>
  <si>
    <t>ks vide inv no 043 dt 09.09.20 ag PO# DMPOS&amp;S/20</t>
  </si>
  <si>
    <t>1141504401</t>
  </si>
  <si>
    <t>Being MS Table made by Shree Krishna Fabrica-1008</t>
  </si>
  <si>
    <t>tion vide inv no 16 dt 08.09.20 ag PO# DMPOCG/20</t>
  </si>
  <si>
    <t>1141504461</t>
  </si>
  <si>
    <t xml:space="preserve"> WOODEN TABLE -1009</t>
  </si>
  <si>
    <t>1141504402</t>
  </si>
  <si>
    <t>Table &amp; Stool-1010</t>
  </si>
  <si>
    <t>1141504403</t>
  </si>
  <si>
    <t>Table and Stool-1011</t>
  </si>
  <si>
    <t>1141504404</t>
  </si>
  <si>
    <t>Table &amp; stool-1012</t>
  </si>
  <si>
    <t>1141504405</t>
  </si>
  <si>
    <t>Table &amp; Stool-1013</t>
  </si>
  <si>
    <t>1141504407</t>
  </si>
  <si>
    <t>Being Office Table for MS Frame with Wooden -1014</t>
  </si>
  <si>
    <t>Top prepared for QA Dept by Vandana Furniture Wo</t>
  </si>
  <si>
    <t>1141504465</t>
  </si>
  <si>
    <t>Office Table-1015</t>
  </si>
  <si>
    <t>1141504466</t>
  </si>
  <si>
    <t>Computer Table-1016</t>
  </si>
  <si>
    <t>1141504467</t>
  </si>
  <si>
    <t>OFFICE TABLE -1017</t>
  </si>
  <si>
    <t>1141504468</t>
  </si>
  <si>
    <t>WOODEN TABLE-1018</t>
  </si>
  <si>
    <t>1141504469</t>
  </si>
  <si>
    <t>OFFICE TABLE WITH MATERIAL &amp; COMPLETE SET -1019</t>
  </si>
  <si>
    <t>1141504470</t>
  </si>
  <si>
    <t>OFFICE TABLE WITH MATERIAL &amp; COMPLETE SET -1020</t>
  </si>
  <si>
    <t>1141504471</t>
  </si>
  <si>
    <t>OFFICE WOODEN TABLE WITH MATERIAL &amp; COMPLETE-1021</t>
  </si>
  <si>
    <t xml:space="preserve"> SET </t>
  </si>
  <si>
    <t>1141405139</t>
  </si>
  <si>
    <t>B/NO. 213 DTD: 08.02.24 OF VANDANA FURNITURE-1022</t>
  </si>
  <si>
    <t xml:space="preserve"> WORKS BOOKED FOR PUR WOODEN ROUND SIMPLE DISPLA</t>
  </si>
  <si>
    <t>1141405246</t>
  </si>
  <si>
    <t>B/NO. 08 DTD: 23.07.24 OF VANDANA FURNITURE -1023</t>
  </si>
  <si>
    <t xml:space="preserve">WORKS BOOKED FOR WOODEN RACK SAMPLE DISPLY MAKE </t>
  </si>
  <si>
    <t>1141401615</t>
  </si>
  <si>
    <t>Being Purchase New Locker For Worker Change -1024</t>
  </si>
  <si>
    <t>Room &amp; Staff Change Room Purpose As Per Attached</t>
  </si>
  <si>
    <t>1141405215</t>
  </si>
  <si>
    <t>B/NO. 03 DTD: 10.06.24 OF VANDANA FURNITURE -1025</t>
  </si>
  <si>
    <t>WORKS BOOKED FOR PUR GODREJ LOCKER KEY VIDE TSGO</t>
  </si>
  <si>
    <t>1141401651</t>
  </si>
  <si>
    <t>File Rack with Sunmika Fitting for Canteen R-1026</t>
  </si>
  <si>
    <t>oom Rs.75900/-</t>
  </si>
  <si>
    <t>1141402232</t>
  </si>
  <si>
    <t>Wooden Rack Make with Polishing-1027</t>
  </si>
  <si>
    <t>1141404590</t>
  </si>
  <si>
    <t>T/F THROUGH J/V AGST B/NO. 147 DT: 06.01.23 -1028</t>
  </si>
  <si>
    <t>BOOKED FOR WOODEN SHOES RACK , WOODEN DOOR FITTI</t>
  </si>
  <si>
    <t>1141404881</t>
  </si>
  <si>
    <t>B/NO. 137 DT: 22.08.23 OF DIVAKARAN STORAGE -1029</t>
  </si>
  <si>
    <t>AND HANDLING SYSTEMS BOOKED FOR PUR M F FILE RAC</t>
  </si>
  <si>
    <t>1141404904</t>
  </si>
  <si>
    <t>B/NO. 147 DT: 15.09.23 OF DIVAKARAN STORAGE -1030</t>
  </si>
  <si>
    <t>BOOEKD FOR PUR M F RACKING SYSTEMS  VIDE TSGO/23</t>
  </si>
  <si>
    <t>1141504445</t>
  </si>
  <si>
    <t>Being Purchased as Upright Frame , Load Beam-1031</t>
  </si>
  <si>
    <t>, Deck Panel, Nut&amp; Bolts for Eng; Caps &amp; Packing</t>
  </si>
  <si>
    <t>1141404975</t>
  </si>
  <si>
    <t>BEING T/F THROUGH J/V AGST B/NO. 410 DT: 05.-1032</t>
  </si>
  <si>
    <t>10.23 OF BETTER HOME FURNITURE BOOKED FOR PUR SO</t>
  </si>
  <si>
    <t>1141401497</t>
  </si>
  <si>
    <t>SS 304 Sitting tool Size 330mm *330mm *450mm-1033</t>
  </si>
  <si>
    <t>1101403104</t>
  </si>
  <si>
    <t>Being SS 304 Plate pur from Shreemad Enginee-1034</t>
  </si>
  <si>
    <t>rs vide inv no SME/19-20/0114 dt 19.11.19 ag PO#</t>
  </si>
  <si>
    <t>1101403105</t>
  </si>
  <si>
    <t>Being SS 304 Plate purchase from Shreemad En-1035</t>
  </si>
  <si>
    <t>gineers vide inv no SME/19-20/0109 dt 18.11.19 a</t>
  </si>
  <si>
    <t>1101403517</t>
  </si>
  <si>
    <t>Being SS Trey pur from Raj Engineering Co vi-1036</t>
  </si>
  <si>
    <t>de inv no 445 dt 05.01.21 ag PO# SMPOCG/20-21/09</t>
  </si>
  <si>
    <t>1101403815</t>
  </si>
  <si>
    <t>Being SS 304 Trey pur from Raj Engineering C-1037</t>
  </si>
  <si>
    <t>o vide inv no 71 dt 11.08.21 ag PO# SMPOCG/21-22</t>
  </si>
  <si>
    <t>1101403843</t>
  </si>
  <si>
    <t>Being SS 304 TREY  FOR 100ML &amp; 200ML RD BOTT-1038</t>
  </si>
  <si>
    <t>LE pur from Raj Engineering Co vide inv no 81 dt</t>
  </si>
  <si>
    <t>1141404030</t>
  </si>
  <si>
    <t>Being SS 304 stools pur from Raje Engineerin-1039</t>
  </si>
  <si>
    <t>g co. vide in no 127 dt 31.12.21.</t>
  </si>
  <si>
    <t>1101404032</t>
  </si>
  <si>
    <t>B/NO: 171 DT.17.02.22 OF RAJ ENGINEERING CO.-1040</t>
  </si>
  <si>
    <t xml:space="preserve"> BOOKED FOR  SS TRAY FOR 60 ML MEDISTIC BOTTLE  </t>
  </si>
  <si>
    <t>1101404033</t>
  </si>
  <si>
    <t>B/NO. 172 DT: 21.02.22 OF RAJ ENGINEERING BO-1041</t>
  </si>
  <si>
    <t>OKED FOR PUR SS PALLAT VIDE TSGO/21-22/627 DT: 2</t>
  </si>
  <si>
    <t>1101404088</t>
  </si>
  <si>
    <t>B/NO. 2 DT: 05.04.22 OF RAJ ENGINEERING BOOK-1042</t>
  </si>
  <si>
    <t>ED FOR PUR SS TREY FOR 60 ML BLUE CROSS VIDE TSG</t>
  </si>
  <si>
    <t>1101404493</t>
  </si>
  <si>
    <t>T/F THROUGH J/V AGST B/NO. 158 DT: 18.10.22 -1043</t>
  </si>
  <si>
    <t>BOOKED FOR PUR SS TREY VIDE TSGO/22-23/583 DT: 1</t>
  </si>
  <si>
    <t>1101404494</t>
  </si>
  <si>
    <t>T/F THROUGH J/V AGST B/NO. 157 DT: 18.10.22 -1044</t>
  </si>
  <si>
    <t>BOOKED FOR PUR SS BOX &amp; DISPLEY VIDE TSGO/22-23/</t>
  </si>
  <si>
    <t>1101404643</t>
  </si>
  <si>
    <t>BEING PURCHASED AS SS 304 STAND FOR 90ML GM -1045</t>
  </si>
  <si>
    <t>PACKING ON 70DPW M/C PURPOSE FROM RAJ ENGINEERIN</t>
  </si>
  <si>
    <t>1141404653</t>
  </si>
  <si>
    <t>T/F THROUGH J/V AGST B/NO. 226 DT: 01.02.23 -1046</t>
  </si>
  <si>
    <t>OF RAJ ENGINEERING CO BOOEKD FOR PUR SS 304 STOO</t>
  </si>
  <si>
    <t>1141404703</t>
  </si>
  <si>
    <t>T/F THROUGH J/VB/NO. 280 DT: 28.03.2023 OF R-1047</t>
  </si>
  <si>
    <t>AJ ENGINEERING BOOKED FOR PUR SS 304 PACKING ARE</t>
  </si>
  <si>
    <t>1101404844</t>
  </si>
  <si>
    <t>BEING T/F THROUGH J/V B/NO. 52 DT: 24.07.23 -1048</t>
  </si>
  <si>
    <t>OF RAJ ENGINEERING BOOKED FOR PUR SS HIGHTED STO</t>
  </si>
  <si>
    <t>1101404923</t>
  </si>
  <si>
    <t>B/NO. 92 DT: 22.09.23 OF RAJ ENGINEERING BOO-1049</t>
  </si>
  <si>
    <t>KED FOR PUR SS 304 BOTTLE PACKING TABLE DPW MACH</t>
  </si>
  <si>
    <t>1101404927</t>
  </si>
  <si>
    <t>Being purchased SS 304 100 ML RD BOTTLE TREY-1050</t>
  </si>
  <si>
    <t xml:space="preserve"> VIDE TSGO/23-24/382 DT: 22.09.23 FOR TAKE OUT M</t>
  </si>
  <si>
    <t>1101404928</t>
  </si>
  <si>
    <t>B/NO. 68 DT: 22.08.23 OF RAJ ENGINEERING BOO-1051</t>
  </si>
  <si>
    <t>KED FOR PUR SS 304 TABLE VIDE TSGO/23-24/307 DT:</t>
  </si>
  <si>
    <t>1101404929</t>
  </si>
  <si>
    <t>B/NO. KE/T/676 DT: 19.08.23 OF K ENGINEERING-1052</t>
  </si>
  <si>
    <t xml:space="preserve"> BOOKED FOR PUR SS 304 ANGEL VIDE TSGO/23-24/317</t>
  </si>
  <si>
    <t>1101404934</t>
  </si>
  <si>
    <t>B/NO. 76 DT: 06.09.23 OF RAJ ENGINEERING BOO-1053</t>
  </si>
  <si>
    <t>EKD FOR PUR  SS STAND VIDE TSGO/23-24/356 DT: 06</t>
  </si>
  <si>
    <t>1101405024</t>
  </si>
  <si>
    <t>BEING T/F THROUGH J/V AGST B/NO. 154 DT: 08.-1054</t>
  </si>
  <si>
    <t xml:space="preserve">12.23 OF RAJ ENGINEERING BOOKED FOR PUR SS 304  </t>
  </si>
  <si>
    <t>1101405116</t>
  </si>
  <si>
    <t>B/NO. 220 DTD: 07.03.24 OF RAJ ENGINEERING B-1055</t>
  </si>
  <si>
    <t>OOEKD FOR PUR SS 304 LIGHTING TABLE VIDE TSGO/23</t>
  </si>
  <si>
    <t>1101405249</t>
  </si>
  <si>
    <t>B/NO. 35 DTD: 22.06.24 OF RAJ ENGINEERING BO-1056</t>
  </si>
  <si>
    <t>OKED FOR PUR SS TABLE VIDE TSGO/24-25/165 DTD: 2</t>
  </si>
  <si>
    <t>1141504431</t>
  </si>
  <si>
    <t>Being ALUMINIUM TROLLEY LADDER 12X14FEET pur-1057</t>
  </si>
  <si>
    <t xml:space="preserve"> from Krishna Hardware &amp; Tools vide inv no 296 d</t>
  </si>
  <si>
    <t>1141403035</t>
  </si>
  <si>
    <t>Being MS (Cupboard pur for Chitranjan Swain -1058</t>
  </si>
  <si>
    <t xml:space="preserve">Sir Cabin) from Raj Engineering Co. vide inv no </t>
  </si>
  <si>
    <t>1141504338</t>
  </si>
  <si>
    <t>Being M S Cupboard Complete Set pur from Van-1059</t>
  </si>
  <si>
    <t>dana Furniture Works vide inv no 106 dt 12.01.21</t>
  </si>
  <si>
    <t>1141400785</t>
  </si>
  <si>
    <t>wooden box for storage-1060</t>
  </si>
  <si>
    <t>1141400786</t>
  </si>
  <si>
    <t>wooden box-1061</t>
  </si>
  <si>
    <t>1141400963</t>
  </si>
  <si>
    <t>RECORD ROOM K AS -1062</t>
  </si>
  <si>
    <t>1141403927</t>
  </si>
  <si>
    <t>Being 50 MM NYLON CASTORS , 100 MM  GASLIFT -1063</t>
  </si>
  <si>
    <t>pur from Furniture Plaza vide inv no GST/2122/39</t>
  </si>
  <si>
    <t>1141404108</t>
  </si>
  <si>
    <t>B/NO. 124 DT: 13.05.22 BOOKED FOR PUR WOODEN-1064</t>
  </si>
  <si>
    <t xml:space="preserve"> STORAGE BOX FITTING WITH GLASS AGST PO SMPOCG/2</t>
  </si>
  <si>
    <t>1141405115</t>
  </si>
  <si>
    <t>B/NO. 217 DTD: 06.03.24 OF VANDANA FURNITURE-1065</t>
  </si>
  <si>
    <t xml:space="preserve"> WORKS BOOKED FOR OFFICE WINDOW ROLLING PARDA FI</t>
  </si>
  <si>
    <t>1141405189</t>
  </si>
  <si>
    <t>DIVAKARAN STORAGE &amp; HANDLING SYSTEMS PVT LTD-1066</t>
  </si>
  <si>
    <t>1141401127</t>
  </si>
  <si>
    <t>Installation chgs.for modular partitions-1067</t>
  </si>
  <si>
    <t>1141404652</t>
  </si>
  <si>
    <t>T/F THROUGH J/V AGST B/NO. 203 DT: 06.01.202-1068</t>
  </si>
  <si>
    <t>3 BOOKED FOR PUR SS 304 SOP STAND VIDE TSGO/22-2</t>
  </si>
  <si>
    <t>1141404705</t>
  </si>
  <si>
    <t>B/NO. 281 DT: 29.03.23 OF RAJ ENGINEERING BO-1069</t>
  </si>
  <si>
    <t>OEKD FOR PUR SS STAIRCASE FOR CONVERY CROSSING &amp;</t>
  </si>
  <si>
    <t>1141404878</t>
  </si>
  <si>
    <t>B/NO. 170 DT: 03.08.23 OF VANDANA FURNITURE -1070</t>
  </si>
  <si>
    <t>WORKS  BOOKED FOR OFFICE WINDOW ROLLING BLINDS A</t>
  </si>
  <si>
    <t>1141404880</t>
  </si>
  <si>
    <t>B/NO. 178 DT: 19.08.23 OF VANDANA FURNITURE -1071</t>
  </si>
  <si>
    <t>BOOKED FOR WOODEN  CABINET FITTING &amp; SIDE SUNMIC</t>
  </si>
  <si>
    <t>1141405140</t>
  </si>
  <si>
    <t>B/NO. 214 DTD: 16.02.24 OF VANDANA FURNITURE-1072</t>
  </si>
  <si>
    <t>1141405245</t>
  </si>
  <si>
    <t>B/NO. 202425236 DTD: 18.07.24 OF  SHREE KRIS-1073</t>
  </si>
  <si>
    <t>HNA ELE BOOKED FOR PUR SINGLE CORE CABLE &amp; PVC P</t>
  </si>
  <si>
    <t>1101404685</t>
  </si>
  <si>
    <t>T/F THROUGH J/V AGSTB/NO. PW2SI2200387 DT: 0-1074</t>
  </si>
  <si>
    <t xml:space="preserve">4.03.23 OF PM ELECTRO AUTO BOOKED FOR PMEA MAKE </t>
  </si>
  <si>
    <t>1101404655</t>
  </si>
  <si>
    <t>T/F THROUGH J/V AGST B/NO. PW2SI2200193 DT: -1075</t>
  </si>
  <si>
    <t>28.09.22 BOOKED FOR PMEA MAKE PMCL LED 60 W VIDE</t>
  </si>
  <si>
    <t>1101404825</t>
  </si>
  <si>
    <t>B/NO. 49 DT: 17.07.23 OF RAJ ENGINEERING BOO-1076</t>
  </si>
  <si>
    <t>KED FOR PUR S S BOTTLE PACKING TABLE VIDE TSGO/2</t>
  </si>
  <si>
    <t>1101404648</t>
  </si>
  <si>
    <t>Being Expences towords Mould storage rack si-1077</t>
  </si>
  <si>
    <t>ze L-30 X W-2.6 X H7.6 with 2 shelves all comple</t>
  </si>
  <si>
    <t>1101504360</t>
  </si>
  <si>
    <t>Being C Plate, Channel, MS Flats, MS Bars pu-1078</t>
  </si>
  <si>
    <t>r from Gayatri Steel &amp; Pipes vide inv no 1391 dt</t>
  </si>
  <si>
    <t>1101504359</t>
  </si>
  <si>
    <t>BEING PURCHASED AS HR PLATE, MS FLAT , MS AN-1079</t>
  </si>
  <si>
    <t>GLE FOR STORE DEPT. RACK PURPOSE FROM SAINATH ST</t>
  </si>
  <si>
    <t>1111401429</t>
  </si>
  <si>
    <t>9012</t>
  </si>
  <si>
    <t>IT Equipment </t>
  </si>
  <si>
    <t>Intel Pentiom Dual - Core Computer For Mr. D-1080</t>
  </si>
  <si>
    <t>eepak Kumar Das</t>
  </si>
  <si>
    <t>1111401594</t>
  </si>
  <si>
    <t xml:space="preserve"> Computer For Umashanker Rai Intel G-3220 D/-1081</t>
  </si>
  <si>
    <t>C,Kingston 2 Gb Ram,160Sata Seagale</t>
  </si>
  <si>
    <t>1111401660</t>
  </si>
  <si>
    <t>Pur.Intel Dual Core CPU, Mother Board, 2 GB -1082</t>
  </si>
  <si>
    <t>Ram 160 GB Hard Disk Drive, Cabinet with SMPS (1</t>
  </si>
  <si>
    <t>1111401744</t>
  </si>
  <si>
    <t>Pur.Epson L220 PSC Printer Code No.000549-1083</t>
  </si>
  <si>
    <t>1111401794</t>
  </si>
  <si>
    <t>Pur.Canon LBP2900 Laser Jet Printer (Q.C.Dep-1084</t>
  </si>
  <si>
    <t>t.)</t>
  </si>
  <si>
    <t>1111402226</t>
  </si>
  <si>
    <t>INTEL G3240 DUAL CORE 3.1 GHZ CPU , MOTHER B-1085</t>
  </si>
  <si>
    <t>OARD , HARD DISK &amp; CABINET PURCHASE FOR QC LAB M</t>
  </si>
  <si>
    <t>1111402581</t>
  </si>
  <si>
    <t>CPU , 110 MOTHER BOARD 4 GB , DDR4 RAM , 500-1086</t>
  </si>
  <si>
    <t xml:space="preserve"> GB HARD DISK DRIVE ,18.5 LED MONITOR , KEYBOARD</t>
  </si>
  <si>
    <t>1111402962</t>
  </si>
  <si>
    <t>B.NO . MH1920/2177  DT . 07.05.2019 OF MS NE-1087</t>
  </si>
  <si>
    <t>TWORK TECHLAB (INDIA) PVT. LTD. FOR PUUCHASE SON</t>
  </si>
  <si>
    <t>1111402991</t>
  </si>
  <si>
    <t>BEING PURCHASED AS LAPTOP SET FOR MR. ISHWAR-1088</t>
  </si>
  <si>
    <t xml:space="preserve"> PRAJAPATI (7 TH GEN/ 4GB RAM/ 1TB HDD 14: DISPL</t>
  </si>
  <si>
    <t>1111402975</t>
  </si>
  <si>
    <t>Being Del Vostor 3568 Laptop Intel Core I3 --1089</t>
  </si>
  <si>
    <t xml:space="preserve"> 7th  Gen /4gb/1tb/dvd/ 15.6" Windows 10 Home /m</t>
  </si>
  <si>
    <t>1111403011</t>
  </si>
  <si>
    <t>Being Epson L3110 COLOUR INK TANK PRINTER pu-1090</t>
  </si>
  <si>
    <t xml:space="preserve">r for QC Dept from Grace Computer 1nos vide inv </t>
  </si>
  <si>
    <t>1111403367</t>
  </si>
  <si>
    <t>Being EPSON L3110 PSC Ink Tank Colour Printe-1091</t>
  </si>
  <si>
    <t>r pur from Grace Computers vide inv no GC/20-21/</t>
  </si>
  <si>
    <t>2111403360</t>
  </si>
  <si>
    <t>Being Solid Edge Premium - Floating Software-1092</t>
  </si>
  <si>
    <t xml:space="preserve"> pur from Sitch PLM vide inv no SP/20-21/52 dt 2</t>
  </si>
  <si>
    <t>1111403410</t>
  </si>
  <si>
    <t>Being HP laserjet 1020 plus printer (CC418A)-1093</t>
  </si>
  <si>
    <t xml:space="preserve"> Sr No CNCGY46973 pur from Grace Computers vide </t>
  </si>
  <si>
    <t>1111403560</t>
  </si>
  <si>
    <t>Being Hp laserjet Laptop MFP printer pur fro-1094</t>
  </si>
  <si>
    <t>m Grace Computers vide inv no GC/20-21/153 dt 08</t>
  </si>
  <si>
    <t>1111403579</t>
  </si>
  <si>
    <t>Being laptop - Dell Vostro 3401 i3-10th gen/-1095</t>
  </si>
  <si>
    <t>8gb /256 ssd /no dvd/14.0/win 10home + ms office</t>
  </si>
  <si>
    <t>1111403553</t>
  </si>
  <si>
    <t>Being RICOH MFP MP 2014AD Multi-function Pri-1096</t>
  </si>
  <si>
    <t>nter + ARDF Fully Automatic Standard Duplex Prin</t>
  </si>
  <si>
    <t>1111403647</t>
  </si>
  <si>
    <t>Being Laptop Dell Latitude 3410 Core i5 10th-1097</t>
  </si>
  <si>
    <t xml:space="preserve"> Gen/8gb/512gb SSD &amp; Core i3 10th Gen / 8GB RAM/</t>
  </si>
  <si>
    <t>1111403663</t>
  </si>
  <si>
    <t>Being Laptop HP 250G8, Core i3, 10th Gen, 4G-1098</t>
  </si>
  <si>
    <t>B Ram, 1 TB Hard disk, Win 10, 15.6" pur from Gr</t>
  </si>
  <si>
    <t>2111403726</t>
  </si>
  <si>
    <t>Being ZWCAD 2020 Professional [2D Standalone-1099</t>
  </si>
  <si>
    <t>] Software pur from Universal Cad vide inv no UC</t>
  </si>
  <si>
    <t>1111403717</t>
  </si>
  <si>
    <t>Being Laptop : HP 250 G8, Core i3 10th Gen/4-1100</t>
  </si>
  <si>
    <t xml:space="preserve">GB RAM/512GB SSD, Windows 10/15.6" /Bag/ 1 Year </t>
  </si>
  <si>
    <t>1111403725</t>
  </si>
  <si>
    <t>Being Laptop : HP 250 G8, Core i3 10th Gen/4-1101</t>
  </si>
  <si>
    <t>GB RAM/512GB SSD, Windows 10/15.6" /Bag/ 1 Yr pu</t>
  </si>
  <si>
    <t>1111403746</t>
  </si>
  <si>
    <t>Being EPSON ECO TANK L3110 ALL-IN-ONE PRINTE-1102</t>
  </si>
  <si>
    <t>R pur from Grace Computers vide inv no GC/21-22/</t>
  </si>
  <si>
    <t>2111403853</t>
  </si>
  <si>
    <t>Being ZWCAD 2022 Standard (2D) Standalone So-1103</t>
  </si>
  <si>
    <t>ftware pur from Universal Cad vide inv no UC0026</t>
  </si>
  <si>
    <t>1111403979</t>
  </si>
  <si>
    <t>B/NO: CI/JAN-474/21-22 DT. 25.01.22  OF CLOU-1104</t>
  </si>
  <si>
    <t>DTECH INDIA    BOOKED FOR PUR   DELL LAPTOP  VID</t>
  </si>
  <si>
    <t>2111404138</t>
  </si>
  <si>
    <t>B/NO 2022-23-UC011 DT: 30.06.22 BOOKED FOR P-1105</t>
  </si>
  <si>
    <t>UR SOLID EDGE PREMIUM INCLUDING 12 MONTHS FY 202</t>
  </si>
  <si>
    <t>2111404145</t>
  </si>
  <si>
    <t>T/F THROUGH J/V AGST B/NO. BEACONMUSU220337 -1106</t>
  </si>
  <si>
    <t xml:space="preserve">DT: 02.06.22 BOOKED FOR SUBSCRIPTION RENEWAL OF </t>
  </si>
  <si>
    <t>2111404479</t>
  </si>
  <si>
    <t>T/F THROUGH J/V AGST B/NO. 2022-23-UC032 DT:-1107</t>
  </si>
  <si>
    <t xml:space="preserve"> 30.09.22 BOOKED FOR PUR SOFTWARE &amp; LICENCE SOLI</t>
  </si>
  <si>
    <t>1111404588</t>
  </si>
  <si>
    <t>Being Richo  MFP MP 2014 AD Printer pur from-1108</t>
  </si>
  <si>
    <t xml:space="preserve"> Pulse Marketing vide inv no 00942 dt 04.01.21 a</t>
  </si>
  <si>
    <t>1111404661</t>
  </si>
  <si>
    <t>T/F THROUGH J/V AGST B/NO. 22-23/467 DT: 04.-1109</t>
  </si>
  <si>
    <t>03.23 OF FORTUNE COMPUTERS BOOKED FOR PUR LAPTOP</t>
  </si>
  <si>
    <t>1111404713</t>
  </si>
  <si>
    <t>T/F THROUGH J/V AGST B/NO. 8 DT: 06.0423 OF -1110</t>
  </si>
  <si>
    <t>VERTEX COMPUTERS BOOKED FOR PUR EPSON L3210 PRIN</t>
  </si>
  <si>
    <t>1111404714</t>
  </si>
  <si>
    <t>BEING T.F THROUGH J/V AGST B/NO. 9 DT: 06.04-1111</t>
  </si>
  <si>
    <t>.23 OF VERTEX COMPUTERS BOOKED FOR PUR EPSON L32</t>
  </si>
  <si>
    <t>1111404715</t>
  </si>
  <si>
    <t>B/NO: GCS-073 DTD: 26.11.13; BEING EXPENSE I-1112</t>
  </si>
  <si>
    <t xml:space="preserve">NCURRED FOR LG COMPUTER WITH CPU, MOTHER BOARD, </t>
  </si>
  <si>
    <t>1111404746</t>
  </si>
  <si>
    <t>BEING PURCHASE AS COMPLETE SET OF PC FOR MR.-1113</t>
  </si>
  <si>
    <t xml:space="preserve"> KHALIL BHATI FROM GRACE COMPUTERS AGST. INV.NO:</t>
  </si>
  <si>
    <t>1111404740</t>
  </si>
  <si>
    <t xml:space="preserve"> INTEL G3220 3 GHz  DUAL CORE CPU, MOTHER BO-1114</t>
  </si>
  <si>
    <t>ARD BATCH NO: B8447127A3234, 2GB RAM, 250GB HARD</t>
  </si>
  <si>
    <t>2111404770</t>
  </si>
  <si>
    <t>B/NO. INV/6/23-24 DT: 31.05.23 OF OPUSS TECH-1115</t>
  </si>
  <si>
    <t>NOLOGIES BOOKED FOR BAR COADING SOFTWARE PUR TDS</t>
  </si>
  <si>
    <t>2111404960</t>
  </si>
  <si>
    <t>BEING T/F THROUGH J/V AGST B/NO. 2023-24_UC0-1116</t>
  </si>
  <si>
    <t>048 DT: 09.10.23 OF UNIVERSAL CAD BOOKED FOR REN</t>
  </si>
  <si>
    <t>1111405060</t>
  </si>
  <si>
    <t>Being INTEL CORE I3 7TH GEN CPU MOTHER BOARD-1117</t>
  </si>
  <si>
    <t xml:space="preserve"> , 4GB RAM, 240 GB SSD HARD  DISK , CABINET SMPS</t>
  </si>
  <si>
    <t>1111405068</t>
  </si>
  <si>
    <t>BEING T/F THROUGH J/V AGST B/NO. SI2324/4283-1118</t>
  </si>
  <si>
    <t xml:space="preserve"> DT: 08.09.23 OF OM SAI CORPORATION BOOKED FOR P</t>
  </si>
  <si>
    <t>1111405115</t>
  </si>
  <si>
    <t>B/NO. 2099 DTD: 28.02.24 OF VERTEX COMPUTERS-1119</t>
  </si>
  <si>
    <t xml:space="preserve"> BOOKED FOR PUR EPSON ECO TANK PRINTER VIDE TSGO</t>
  </si>
  <si>
    <t>1111405216</t>
  </si>
  <si>
    <t>B/NO. 220274 DTD: 11.06.24 OF ACMA COMPUTERS-1120</t>
  </si>
  <si>
    <t xml:space="preserve"> BOOKED FOR  PUR LAPTOP HP VIDE TSGO/24-25/149 D</t>
  </si>
  <si>
    <t>2111405217</t>
  </si>
  <si>
    <t>B/NO.MH2425/5906 DTD: 04.06.24 OF NETWORK TE-1121</t>
  </si>
  <si>
    <t>CHLAB BOOKED FOR PUR SOPHOSXGS-136 &amp; SOPHOS XSTR</t>
  </si>
  <si>
    <t>1111405241</t>
  </si>
  <si>
    <t>B/NO. 561 DTD: 28.06.24 OF VERTEX COMPUTERS -1122</t>
  </si>
  <si>
    <t>BOOKED FOR PUR EPSON ECO TANK PRINTER L6270 VIDE</t>
  </si>
  <si>
    <t>2111405288</t>
  </si>
  <si>
    <t>B/NO MH2425/10392 DTD: 20.07.24 OF NETWORK T-1123</t>
  </si>
  <si>
    <t>ECHLAB BOOKED FOR 1 TIME ONSITE IMPLEMENTATION &amp;</t>
  </si>
  <si>
    <t>1111405313</t>
  </si>
  <si>
    <t>BEING T/F THROUGH J/V AGST B/NO. 220931 DTD:-1124</t>
  </si>
  <si>
    <t xml:space="preserve"> 24.10.24 BOOKED FOR PUR LAPTOP S/NO . 5CD4293V5</t>
  </si>
  <si>
    <t>1111405327</t>
  </si>
  <si>
    <t>BEING CAPITALISEATION AGST  B/NO. 220958 DTD-1125</t>
  </si>
  <si>
    <t>: 07.11.24 BOOEKD FOR PUR WORK STATION , CPU  VI</t>
  </si>
  <si>
    <t>1111405342</t>
  </si>
  <si>
    <t>B/NO. 221029 DTD: 17.12.24 BOOKED FOR PUR HP-1126</t>
  </si>
  <si>
    <t xml:space="preserve"> 440 G10 VIDE TSGO/24-25/503 DTD: 19.12.24 AGST </t>
  </si>
  <si>
    <t>1111405375</t>
  </si>
  <si>
    <t>BEING CAPITALISELATION ON DTD:  31.01.25  BE-1127</t>
  </si>
  <si>
    <t>ING PASS THROUGH J/V AGST B/NO. 210820  DTD: 02.</t>
  </si>
  <si>
    <t>1111405413</t>
  </si>
  <si>
    <t>BEING CAPITALISEATION ON DTD:  24.03.25 AGST-1128</t>
  </si>
  <si>
    <t xml:space="preserve"> B/NO. 221310 DTD: 22.03.25 BOOKED FOR PUR HP LA</t>
  </si>
  <si>
    <t>1111405414</t>
  </si>
  <si>
    <t>BEING T/F THROUGH J/V AGST B/NO. 490 DTD: 20-1129</t>
  </si>
  <si>
    <t xml:space="preserve">.06.25 OF VERTEX COMPUTERS BOOKED FOR PUR CANON </t>
  </si>
  <si>
    <t>1111405415</t>
  </si>
  <si>
    <t>B/NO 710153 DTD:4/6/25 OF ACMA COMPUTER LTD -1130</t>
  </si>
  <si>
    <t>BOOKED FOR THE PUR OF NEW HP LAPTOP VIDE TSGO/25</t>
  </si>
  <si>
    <t>1111102577</t>
  </si>
  <si>
    <t>Computer-1131</t>
  </si>
  <si>
    <t>1111102627</t>
  </si>
  <si>
    <t>Intel Core 6th Gen CPU . H 110 Mother Board,-1132</t>
  </si>
  <si>
    <t xml:space="preserve"> 4GB, DDR 4 RAM 500GB , HARD DISK DRIVE, 18.5" L</t>
  </si>
  <si>
    <t>1111102643</t>
  </si>
  <si>
    <t>CPU , MOTHER BOARD, HARDDISK DRIVE, CABINET -1133</t>
  </si>
  <si>
    <t>SMPS FOR SYSTEM OF MRS. SACHITA( ACCOUNTS DEPT)</t>
  </si>
  <si>
    <t>1111102721</t>
  </si>
  <si>
    <t xml:space="preserve"> CPU , MOTHER BOARD, HARDDISK DRIVE, CABINET-1134</t>
  </si>
  <si>
    <t xml:space="preserve"> SMPS FOR SYSTEM OF MR. ANKIT BAYETI ( ACCOUNTS </t>
  </si>
  <si>
    <t>1111102732</t>
  </si>
  <si>
    <t>LAPTOP -HP15 BS-658TU 7TH GEN 13/4GB/ATB/DOS-1135</t>
  </si>
  <si>
    <t xml:space="preserve">/15.6 SERIAL NO: CND8166GR6 FOR MR. ADITYA SAHU </t>
  </si>
  <si>
    <t>1111102856</t>
  </si>
  <si>
    <t>BEING PURCHASED AS EPSON  M200 PRINTER FOR P-1136</t>
  </si>
  <si>
    <t>RODUCTION &amp; MAINT DEPT. PURPOSE FROM GRACE COMPU</t>
  </si>
  <si>
    <t>1111102897</t>
  </si>
  <si>
    <t>BEING PURCHASED AS PC COMPLETE SET FOR MR. S-1137</t>
  </si>
  <si>
    <t>ARVESH PANDEY (STORE DEPT) PURPOSE FROM GRACE CO</t>
  </si>
  <si>
    <t>1111102913</t>
  </si>
  <si>
    <t>BEING PURCHASED A SARTIS POWERSAFE 600 VA UP-1138</t>
  </si>
  <si>
    <t>S FOR MR. BIRENDRA MISHRA (DESPATCH DEPT) FROM G</t>
  </si>
  <si>
    <t>1111102965</t>
  </si>
  <si>
    <t>BEING SONICWALL SOHO 250 WITH 3YRS AGSS AND -1139</t>
  </si>
  <si>
    <t>CLOUD MANAGEMENT SONICWALLO SOHO 250, ADVACED GA</t>
  </si>
  <si>
    <t>1111103000</t>
  </si>
  <si>
    <t>Being ARTIS POWERSAFE 6000V A UPS FOR QC. DE-1140</t>
  </si>
  <si>
    <t>PT. pur as per inv no GC/19-20/063 dt 03.07.19 a</t>
  </si>
  <si>
    <t>1111103001</t>
  </si>
  <si>
    <t>Being ARTIS POWERSAFE 6000V A UPS pur for Ac-1141</t>
  </si>
  <si>
    <t>ct Dept from Grace Computer vide inv no GC/19-20</t>
  </si>
  <si>
    <t>1111103202</t>
  </si>
  <si>
    <t>Being H P Laser Jet 1020 Printer pur from Gr-1142</t>
  </si>
  <si>
    <t>ace Computer vide inv no GC/19-20/189 dt 31.12.1</t>
  </si>
  <si>
    <t>1111103352</t>
  </si>
  <si>
    <t>Being Laptop ASUS X441U . GA597T pur from Gr-1143</t>
  </si>
  <si>
    <t>ace Computers vide inv no GC/20-21/028 dt 15.07.</t>
  </si>
  <si>
    <t>1111103666</t>
  </si>
  <si>
    <t>Being laptop HP 250 G8 Core i3 10th Gen, 4 G-1144</t>
  </si>
  <si>
    <t xml:space="preserve">B Ram, 1 TB Hard Disk ,pur from Grace Computers </t>
  </si>
  <si>
    <t>1111103716</t>
  </si>
  <si>
    <t>Being laptop  HP 250 G8, Core i3 10th Gen/4G-1145</t>
  </si>
  <si>
    <t>B RAM/512GB SSD, Win10,15.6" (1y Warranty) pur f</t>
  </si>
  <si>
    <t>1111103943</t>
  </si>
  <si>
    <t>Being DELL LATITUDE 3420 i3-1115G4/8GB/256 S-1146</t>
  </si>
  <si>
    <t>SD/Win 10 Pro/14" HD/NO ODD pur form Grace Compu</t>
  </si>
  <si>
    <t>1111504462</t>
  </si>
  <si>
    <t>B/NO: 039 DT: 4.7.16 BEING PURCHASED AS CANO-1147</t>
  </si>
  <si>
    <t>NMF 3010 PRINT SCAN COPY PRINTER FOR Q.C DEPT PU</t>
  </si>
  <si>
    <t>1111504440</t>
  </si>
  <si>
    <t>Being EPSON L3110 COLOUR INK TANK PRINTER pu-1148</t>
  </si>
  <si>
    <t>r from Grace Computer vide inv no GC/19-20/060 d</t>
  </si>
  <si>
    <t>1111504474</t>
  </si>
  <si>
    <t>NEW HP LASERJET 1020PLUS PRINTER BATCH: CNC2-1149</t>
  </si>
  <si>
    <t xml:space="preserve">124607 </t>
  </si>
  <si>
    <t>1121400568</t>
  </si>
  <si>
    <t>9013</t>
  </si>
  <si>
    <t>Moulds </t>
  </si>
  <si>
    <t>15 ML ROUND ( 5.0 GM/22MM)_A</t>
  </si>
  <si>
    <t>15 ML Mould-1151</t>
  </si>
  <si>
    <t>1121400725</t>
  </si>
  <si>
    <t>15 ML ROUND ( 5.0 GM/22MM)_B</t>
  </si>
  <si>
    <t>5 Cavity Injection Mould with Injection Cavi-1152</t>
  </si>
  <si>
    <t>ty, hr Assembly, Blow Core Assembly Bill No 0101</t>
  </si>
  <si>
    <t>1121400734</t>
  </si>
  <si>
    <t>15 ML ROUND ( 5.0 GM/22MM)_C</t>
  </si>
  <si>
    <t>15ml Cavity mould blow Shell with bottom mou-1153</t>
  </si>
  <si>
    <t>ld - 1Nos</t>
  </si>
  <si>
    <t>1121405112</t>
  </si>
  <si>
    <t>15 ML ROUND ( 5.0 GM/22MM)_D</t>
  </si>
  <si>
    <t>Complete 5 Cavity Mold for 15ML Pet Bottle S-1154</t>
  </si>
  <si>
    <t>/N:-368N94692</t>
  </si>
  <si>
    <t>1121400637</t>
  </si>
  <si>
    <t>15 ML ROUND ( 5.0 GM/22MM)_G</t>
  </si>
  <si>
    <t>15 Ml Pet Bottles/ 5 Cavity  Mould-1155</t>
  </si>
  <si>
    <t>1121400567</t>
  </si>
  <si>
    <t>10 ML ROUND ( 5.0 GM/22MM)_A</t>
  </si>
  <si>
    <t>10 ML Mould-1159</t>
  </si>
  <si>
    <t>1121400844</t>
  </si>
  <si>
    <t>10 ML ROUND ( 5.0 GM/22MM) _C</t>
  </si>
  <si>
    <t>Pur of Blow Shell with Bottom Mould 10ml, 15-1160</t>
  </si>
  <si>
    <t>ml 5 Cavity-Being  Bil.No 03/2.11.12  Leo Precis</t>
  </si>
  <si>
    <t>1121401752</t>
  </si>
  <si>
    <t>20 ML ROUND (5.0 GM/22MM)-5</t>
  </si>
  <si>
    <t>5 Cavity Mold for 20 Ml.Pet Bottle-1 Pc.S/N.-1162</t>
  </si>
  <si>
    <t>378N95181 for ASB 50 MB Machine</t>
  </si>
  <si>
    <t>1121403009</t>
  </si>
  <si>
    <t xml:space="preserve">60 ML GM LIQOR ( 8.0 GM / 25 MM)_6A </t>
  </si>
  <si>
    <t>BEING 60ml_25mm_5 Cavity G.M.Bottle Blow Mou-1165</t>
  </si>
  <si>
    <t>ld Pur as per inv no LP/SA/1920/128 DT 22.06.19*</t>
  </si>
  <si>
    <t>1121400860</t>
  </si>
  <si>
    <t>30 ML ROUND ( 7.5GM/25MM) _7</t>
  </si>
  <si>
    <t>5 Cavity Mold for 30 ml pet bottle, -1167</t>
  </si>
  <si>
    <t>1121403253</t>
  </si>
  <si>
    <t>30 ML ROUND (7.5 GM/25MM)_8</t>
  </si>
  <si>
    <t>30 Ml Pet Bottles/ 5 Cavity  Mould-1169</t>
  </si>
  <si>
    <t>1121401704</t>
  </si>
  <si>
    <t>15 ML RD ( 8.0 GM/25MM) _8A</t>
  </si>
  <si>
    <t>5 Cavity 15 Ml.Rd.Blow Mould (25 mm Neck Blo-1170</t>
  </si>
  <si>
    <t>w Shell with Bottom Mold) for 50 MB Machine</t>
  </si>
  <si>
    <t>1121401769</t>
  </si>
  <si>
    <t>30 ML ROUND ( 8.0 GM/25MM) _9</t>
  </si>
  <si>
    <t>5 Cavity Mold for 30 ml Pet Bottle-1 Pc.Ag.S-1172</t>
  </si>
  <si>
    <t>/N:378N95182</t>
  </si>
  <si>
    <t>1121205291</t>
  </si>
  <si>
    <t>60 ml dome ( 10.0 GM / 22 MM)_10B</t>
  </si>
  <si>
    <t>Being transfer of Moulds and Dies from Silva-1174</t>
  </si>
  <si>
    <t xml:space="preserve">ssa unit - B/NO. MM/24-25/0063 DTD: 25.04.24 OF </t>
  </si>
  <si>
    <t>1121405415</t>
  </si>
  <si>
    <t>60ml JSP (11GM/22MM)_10C</t>
  </si>
  <si>
    <t>BEING T/F THROUGH J/V AGST B/NO. LPPL/2526/0-1175</t>
  </si>
  <si>
    <t>004 DTD: 08.04.25 OF LEO PRECISION BOOKED FOR PU</t>
  </si>
  <si>
    <t>1121400532</t>
  </si>
  <si>
    <t>60 ML ROUND(10.0 GM/25MM)_11</t>
  </si>
  <si>
    <t>60 ML Mould-1177</t>
  </si>
  <si>
    <t>1121403610</t>
  </si>
  <si>
    <t>70 ML SANITIZER ( 10.0 GM / 25 MM)_11A</t>
  </si>
  <si>
    <t>Being CSSM ASB 50 MB 6 CAVITY pur from Leo P-1178</t>
  </si>
  <si>
    <t xml:space="preserve">recision Ptroduct vide inv no LP/SA/2021/459 dt </t>
  </si>
  <si>
    <t>1121400511</t>
  </si>
  <si>
    <t>60 ML ROUND(10.0 GM/25MM)_12</t>
  </si>
  <si>
    <t>60 ML Mould-1180</t>
  </si>
  <si>
    <t>1121403007</t>
  </si>
  <si>
    <t>60 ML DOME ( 10.0 GM / 25 MM)_12A</t>
  </si>
  <si>
    <t>Being 60 Ml 5 Cavity Bottle Blow Mould vide -1181</t>
  </si>
  <si>
    <t>inv  no LP/SA/1920/109 DT 12.06.19 PO NO 17.05.1</t>
  </si>
  <si>
    <t>1121400512</t>
  </si>
  <si>
    <t>60 ML ROUND(10.0 GM/25MM)_13</t>
  </si>
  <si>
    <t>60 ML Mould-1183</t>
  </si>
  <si>
    <t>1121404072</t>
  </si>
  <si>
    <t>90 ML FLAT MOLD -01  ( 10.0 GM/ 25MM)_13C</t>
  </si>
  <si>
    <t>Being 25mm_90ml OC Bottle 5 Cavity Blow Moul-1184</t>
  </si>
  <si>
    <t>d pur from Leo Precision Products vide inv no LP</t>
  </si>
  <si>
    <t>1121401065</t>
  </si>
  <si>
    <t>60 ML ROUND(10.0 GM/25MM)_14</t>
  </si>
  <si>
    <t>5 cavity mould for 60 ml  &amp; Import License --1186</t>
  </si>
  <si>
    <t xml:space="preserve"> SCH Receivable</t>
  </si>
  <si>
    <t>1121403299</t>
  </si>
  <si>
    <t>70 ML RD ( 10.0 GM /25MM) _14A</t>
  </si>
  <si>
    <t>Being 25mm_70ml_5 Cavity Blow Mould pur from-1187</t>
  </si>
  <si>
    <t xml:space="preserve"> Leo Precision Products vide inv no LP/SA/2021/0</t>
  </si>
  <si>
    <t>1121401161</t>
  </si>
  <si>
    <t>60 ML IPCA( 10.0 GM/25MM) _15A</t>
  </si>
  <si>
    <t>60 ml blow mould Agst.Bno.73 dt:16.08.2013-1189</t>
  </si>
  <si>
    <t>1121400693</t>
  </si>
  <si>
    <t>60 ML ROUND(10.0 GM/25MM)_16</t>
  </si>
  <si>
    <t>5 Cavity 10 Gms / 25Mm Mould-1191</t>
  </si>
  <si>
    <t>1121402926</t>
  </si>
  <si>
    <t>60 ML RING ( 10.0 GM/25MM) _16B</t>
  </si>
  <si>
    <t>60 ML COMPLETE  BLOW MOLD 5 CAVITY 100 GM WI-1192</t>
  </si>
  <si>
    <t>TH NECK RING 25 MM CAPITALISED VIDE PUR FROM LEO</t>
  </si>
  <si>
    <t>1121404098</t>
  </si>
  <si>
    <t>90 ML GM _16D</t>
  </si>
  <si>
    <t>B/NO. LPPL/22-23/056 DT: 05.05.22 BOOKED FOR-1193</t>
  </si>
  <si>
    <t xml:space="preserve"> PUR 25 MM 5 CAVIT 90 ML FLAT BOTTLE MOLD VIDE T</t>
  </si>
  <si>
    <t>1121401539</t>
  </si>
  <si>
    <t>60 ML ROUND(10.0 GM/25MM)_17</t>
  </si>
  <si>
    <t>Complete 5 Cavity Mold for 60ML Pet Bottle S-1195</t>
  </si>
  <si>
    <t>/N:-368N94772</t>
  </si>
  <si>
    <t>1121403693</t>
  </si>
  <si>
    <t>60 ML P&amp;G MOLD_17A</t>
  </si>
  <si>
    <t>Being 5 Cavity 25 mm 60 ml Polybion dome, Bl-1196</t>
  </si>
  <si>
    <t>ow mould pur from Leo Precision Pvt Ltd vide inv</t>
  </si>
  <si>
    <t>1121403297</t>
  </si>
  <si>
    <t>50 ML DOME ( 10.0 GM / 25 MM)_17B</t>
  </si>
  <si>
    <t>Being 25mm_50ml_5 Cavity Blow Mould pur from-1197</t>
  </si>
  <si>
    <t>1121403004</t>
  </si>
  <si>
    <t>40 ML DOME ( 10.0 GM / 25 MM)_17C</t>
  </si>
  <si>
    <t>Being 40ml_25mm_5 Cavity Round Bottle Mould -1198</t>
  </si>
  <si>
    <t>DWG No.B19025-MO purchase from Leo Precision Pro</t>
  </si>
  <si>
    <t>1121400529</t>
  </si>
  <si>
    <t>60 ML POLYBION ( 10.0 GM/25MM) _18</t>
  </si>
  <si>
    <t>60 ML Mould-1200</t>
  </si>
  <si>
    <t>1121402379</t>
  </si>
  <si>
    <t>60 ML IPCA( 10.0 GM/25MM) _18A</t>
  </si>
  <si>
    <t>60 Ml.5 Cavity Blow Mould-1201</t>
  </si>
  <si>
    <t>1121403483</t>
  </si>
  <si>
    <t>50 ML  SANITIZER ( 10.0 GM / 25 MM)_18D</t>
  </si>
  <si>
    <t>Being 25mm_50ml_5 Cavity Blow Mould pur from-1202</t>
  </si>
  <si>
    <t xml:space="preserve"> Leo Precision Products vide inv no LP/SA/20-21/</t>
  </si>
  <si>
    <t>1121401288</t>
  </si>
  <si>
    <t>100 ML ROUND ( 12.5 GM/ 25 MM)_19A</t>
  </si>
  <si>
    <t>100 Ml Blow Mould 16 GMS 4 Cavity Agst.Bno.1-1204</t>
  </si>
  <si>
    <t>31 dt:22.12.2013</t>
  </si>
  <si>
    <t>1121400528</t>
  </si>
  <si>
    <t>100 ML ROUND ( 12.5 GM/25MM)_20</t>
  </si>
  <si>
    <t>100 ML Mould-1206</t>
  </si>
  <si>
    <t>1121400699</t>
  </si>
  <si>
    <t>120 ML IPCA ( 12.8 GM/25MM) _20A</t>
  </si>
  <si>
    <t>Capitalise 125 Ml/5 Cavity Blow Mould With B-1207</t>
  </si>
  <si>
    <t>ottom Mould Qty-1 Against Leo Precsion Bill No.7</t>
  </si>
  <si>
    <t>1121401233</t>
  </si>
  <si>
    <t xml:space="preserve">100 ML RD (12.5 GM/25MM)_20B </t>
  </si>
  <si>
    <t>Blow 100 ml 5 cavity Agst.Bno.105 dt:23.10.2-1208</t>
  </si>
  <si>
    <t>013</t>
  </si>
  <si>
    <t>1121402230</t>
  </si>
  <si>
    <t xml:space="preserve">100 ML CURVE ( 12.8 GM/25MM)_20C </t>
  </si>
  <si>
    <t>Blow Mould 100 Ml Curve Cavity -1209</t>
  </si>
  <si>
    <t>1121400562</t>
  </si>
  <si>
    <t>100 ML GHPL ROUND ( 12.5 GM/25MM)_21</t>
  </si>
  <si>
    <t>100 ML Mould-1211</t>
  </si>
  <si>
    <t>1121403659</t>
  </si>
  <si>
    <t>100 ML SOUJYANA (25 MM/13.5 GM)_21A</t>
  </si>
  <si>
    <t>Being 100 ml 5 cavity 25 mm 13.5 gram blow m-1212</t>
  </si>
  <si>
    <t>ould pur from Leo Precision Products vide inv no</t>
  </si>
  <si>
    <t>1121400554</t>
  </si>
  <si>
    <t>100 ML ROUND ( 12.5 GM/25MM)_22</t>
  </si>
  <si>
    <t>100 ML Mould-1214</t>
  </si>
  <si>
    <t>1121400638</t>
  </si>
  <si>
    <t>100 ML RD (12.5 GM/25MM) _22B</t>
  </si>
  <si>
    <t>100 Ml Pet Bottles/ 5 Cavity  Mould-1215</t>
  </si>
  <si>
    <t>1121405124</t>
  </si>
  <si>
    <t>100 ml Round JB Chemical_22C</t>
  </si>
  <si>
    <t>B/NO. KPEW/308/23-24 DTD: 17.02.24 OF KRISHN-1216</t>
  </si>
  <si>
    <t>A PRECISION ENGINEERING BOOKED FOR PUR  100 ML R</t>
  </si>
  <si>
    <t>1121403810</t>
  </si>
  <si>
    <t>85 ML CENTAUR_22D</t>
  </si>
  <si>
    <t>Being 25mm 85ml Centaur 5 cavity blow mould -1217</t>
  </si>
  <si>
    <t>pur from Leo Precision Pvt Ltd vide inv no LPPL/</t>
  </si>
  <si>
    <t>1121402231</t>
  </si>
  <si>
    <t>120 ML RD ( 12.5 GM/25MM) _23C</t>
  </si>
  <si>
    <t>Blow Mould 120 Ml Cavity -1219</t>
  </si>
  <si>
    <t>1121400678</t>
  </si>
  <si>
    <t>100 ML JOCET/DOME ( 12.5 GM/25MM)_23D</t>
  </si>
  <si>
    <t>Capitalise 100 Ml Blow Mould With Bottom Mou-1220</t>
  </si>
  <si>
    <t>ld Qty-1 Against Leo Precsion Bill No.53 Dtd.15.</t>
  </si>
  <si>
    <t>1121401774</t>
  </si>
  <si>
    <t>100 ML ROUND ( 12.5 GM/25MM)_23                    100 ML ROUND ( 12.5 GM/25MM)_24</t>
  </si>
  <si>
    <t>5 Cavity Mold for 100 ml Pet Bottle-2 Pcs. S-1222</t>
  </si>
  <si>
    <t>/N:-378N95154 &amp; 378N95155 (Rs.14 Lacs each Mould</t>
  </si>
  <si>
    <t>1121403885</t>
  </si>
  <si>
    <t>85 ML CENTAUR 2nd Blow mold_24B</t>
  </si>
  <si>
    <t>Being 25mm 85ml Centaur 5 cavity blow mould -1223</t>
  </si>
  <si>
    <t>1121402220</t>
  </si>
  <si>
    <t>60 ML CENTAUR ( 10.0 GM/25MM) _24C</t>
  </si>
  <si>
    <t>Blow Mould 60 Ml 25 mm 5 Cavity-1224</t>
  </si>
  <si>
    <t>1121400509</t>
  </si>
  <si>
    <t>100 ML POLYBION (11.5 GM/25MM)_25</t>
  </si>
  <si>
    <t>100 ML Mould-1226</t>
  </si>
  <si>
    <t>1121403201</t>
  </si>
  <si>
    <t>100 ML GLYCERIN( 12.5 GM/25MM)_25A</t>
  </si>
  <si>
    <t>Being 25mm_100ml Dome Bottle 5 Cavity Blow M-1227</t>
  </si>
  <si>
    <t>1121400579</t>
  </si>
  <si>
    <t>100 ML MICROBRUT (12.5 GM/25MM) _25B</t>
  </si>
  <si>
    <t>100 ML Mould-1228</t>
  </si>
  <si>
    <t>1121403413</t>
  </si>
  <si>
    <t>100 ML BRUT (12.5 GM/25MM) _25C</t>
  </si>
  <si>
    <t>Being 100ml Brut Shape Blow Mould 5 Cavity p-1229</t>
  </si>
  <si>
    <t>ur from Leo Precision Products vide inv no LP/SA</t>
  </si>
  <si>
    <t>1121405300</t>
  </si>
  <si>
    <t>60 ML MINIDOME ( 11.5 GM/25MM) _25D</t>
  </si>
  <si>
    <t>B/NO. LPPL/2425/0237 DTD: 21.08.24 OF LEO PR-1230</t>
  </si>
  <si>
    <t>ECISION BOOKED FOR PUR 25 MM 60 ML BLOW MOLD AGS</t>
  </si>
  <si>
    <t>1121400442</t>
  </si>
  <si>
    <t>100 ML PFIZER ( 12.5 GM/22MM) _27A</t>
  </si>
  <si>
    <t>100 ML Mould-1232</t>
  </si>
  <si>
    <t>1121400668</t>
  </si>
  <si>
    <t>150 ML G.W ( 16.0 GM/25MM) _29</t>
  </si>
  <si>
    <t>5 Cavity 150 Ml Flat Pet Bottles Mould-1234</t>
  </si>
  <si>
    <t>1121401630</t>
  </si>
  <si>
    <t>100 ML FLAT ( 16.0 GM/25MM) _29A</t>
  </si>
  <si>
    <t>5 Cavity 100 Ml Blow Mold-1 Pc.Rs.94000/-&amp; 4-1235</t>
  </si>
  <si>
    <t xml:space="preserve"> Cavity 200 Ml.Blow Mold-1 Pc.Rs.94000/- &amp; 4 Cav</t>
  </si>
  <si>
    <t>1121403298</t>
  </si>
  <si>
    <t>100 ML DOME PRINCE ( 16.0 GM/ 25MM)_29B</t>
  </si>
  <si>
    <t>Being 100ml Blow Mould 4 Cavity pur from Leo-1236</t>
  </si>
  <si>
    <t xml:space="preserve"> Precision Products vide inv no LP/SA/1920/552 d</t>
  </si>
  <si>
    <t>1121402376</t>
  </si>
  <si>
    <t>100 ML MOUTH WASH ( 16.0 GM/25MM) _29C</t>
  </si>
  <si>
    <t>100 Ml.Mouthwash 5 Cavity Blow Mould-1237</t>
  </si>
  <si>
    <t>1121404639</t>
  </si>
  <si>
    <t>135 ML IPCA _29D</t>
  </si>
  <si>
    <t>T/F THROUGH J/V AGST B/NO. LPPL/22-23/455 DT-1238</t>
  </si>
  <si>
    <t>: 12.01.23 BOOKED FOR PUR BLOW MOLD VIDE TSGO/22</t>
  </si>
  <si>
    <t>1121400718</t>
  </si>
  <si>
    <t>100 ML ROUND (16.0 GM/25MM) _30</t>
  </si>
  <si>
    <t>Bill No 01012000096 11.4.12  Purchase From A-1240</t>
  </si>
  <si>
    <t>sb Interenational Pvt.Tld.Agst.Grn No.Sgo/12-13/</t>
  </si>
  <si>
    <t>1121404490</t>
  </si>
  <si>
    <t>135 ML IPCA  ( 16.0 GM/ 25MM)_30A</t>
  </si>
  <si>
    <t>BEING PURCHASED AS 25MM 135ML ROUND BOTTLE B-1241</t>
  </si>
  <si>
    <t>LOW CAVITY &amp; BOTTOM INSET FOR 50MB M/C PURPOSE F</t>
  </si>
  <si>
    <t>1121403199</t>
  </si>
  <si>
    <t>100 ML DOME PRINCE ( 16.0 GM/ 25MM)_30B</t>
  </si>
  <si>
    <t>Being 25mm_100ml Dome Bottle 4 Cavity Blow M-1242</t>
  </si>
  <si>
    <t>1121403200</t>
  </si>
  <si>
    <t>100 ML DOME PRINCE ( 16.0 GM/ 25MM)_31A</t>
  </si>
  <si>
    <t>Being 25mm_100ml Dome Bottle 5 Cavity Blow M-1244</t>
  </si>
  <si>
    <t>1121401780</t>
  </si>
  <si>
    <t>150 ML DOME( 16.0 GM/25MM) _31B</t>
  </si>
  <si>
    <t>5 Cavity 15 Ml.Rd.Blow Mould-1 Pc. -1245</t>
  </si>
  <si>
    <t>1121402460</t>
  </si>
  <si>
    <t xml:space="preserve">150 ML DOME ZUVENTUS(16.0 GM/25MM) _31C </t>
  </si>
  <si>
    <t>200 Ml. Zuventos  4 Cavity Mold-1246</t>
  </si>
  <si>
    <t>1121403687</t>
  </si>
  <si>
    <t>150 ML P&amp;G MOLD_31D</t>
  </si>
  <si>
    <t>Being 4 Cavity 25 mm 150 ml Polybion Dome, B-1247</t>
  </si>
  <si>
    <t>low Mould pur from Leo Precision Pvt Ltd vide in</t>
  </si>
  <si>
    <t>1121400647</t>
  </si>
  <si>
    <t>200 ML ROUND ( 19.0 GM/25MM)_32</t>
  </si>
  <si>
    <t>4 Cavity 200 Ml Mould-1249</t>
  </si>
  <si>
    <t>1121404026</t>
  </si>
  <si>
    <t>200 ML RD LOCAL MOLD_32C</t>
  </si>
  <si>
    <t>Being 200 ml 25mm 19gm 4 cavity RPG  Mould p-1250</t>
  </si>
  <si>
    <t>ur from Leo Precision Pvt Ltd vide inv no LPPL/S</t>
  </si>
  <si>
    <t>1121404918</t>
  </si>
  <si>
    <t>200 ML ROUND_32D</t>
  </si>
  <si>
    <t>B/NO. HMT/23-24/251 DT: 23.08.23 OF HINDUSTA-1251</t>
  </si>
  <si>
    <t>N MOULDS BOOKED FOR PUR 25 MM 200 ML &amp; 280 ML RD</t>
  </si>
  <si>
    <t>1121400649</t>
  </si>
  <si>
    <t>200 ML BRUT ( 19.0 GM/25MM)_32E</t>
  </si>
  <si>
    <t>200 Ml Brute Pet Bottles Mould-1252</t>
  </si>
  <si>
    <t>1121400648</t>
  </si>
  <si>
    <t>200 ML ROUND ( 19.0GM/25MM)_33</t>
  </si>
  <si>
    <t>4 Cavity 200 Ml Mould-1254</t>
  </si>
  <si>
    <t>1121401887</t>
  </si>
  <si>
    <t>200 ML DOME ( 19.0 GM/25MM) _33A</t>
  </si>
  <si>
    <t>Blow Mould 200 Ml Dome 4 Cavity-1255</t>
  </si>
  <si>
    <t>1121404919</t>
  </si>
  <si>
    <t>200 ML HAMPER / SLAN _33D</t>
  </si>
  <si>
    <t>B/NO. HMT/23-24/254 DT: 30.08.23 OF HINDUSTA-1256</t>
  </si>
  <si>
    <t>N MOULDS BOOKED FOR PUR 25 MM 200 ML SLAN &amp; GELU</t>
  </si>
  <si>
    <t>1121401246</t>
  </si>
  <si>
    <t>200 ML ROUND ( 18.5 GM/25MM)_34</t>
  </si>
  <si>
    <t>ASB 50 MB V-4 cavity mould for 200 ml - 1 se-1258</t>
  </si>
  <si>
    <t>t Agst.Bno.101302326 dt.25.10.2013 &amp; Import Lice</t>
  </si>
  <si>
    <t>1121401074</t>
  </si>
  <si>
    <t>200 ML RPG ( 19.0 GM/25MM) _34A</t>
  </si>
  <si>
    <t>200 ml.4 cavity blow mould - 1 no. Agst.bno.-1259</t>
  </si>
  <si>
    <t>24 dt:23.05.2013</t>
  </si>
  <si>
    <t>1121400691</t>
  </si>
  <si>
    <t>200 ML RPG ( 19.0 GM/25MM) _34B</t>
  </si>
  <si>
    <t>4 Cavity 200 Ml  Mould, Qty-1, Leo Precsion -1260</t>
  </si>
  <si>
    <t>Bill No.43 Dtd. 19.10.11, Sgo-11-12/0828</t>
  </si>
  <si>
    <t>1121401789</t>
  </si>
  <si>
    <t>200 ML DOME ( 19.0 GM/25MM) _34C</t>
  </si>
  <si>
    <t>4 Cavity for 200 Ml.Blow Mold (Blow Shell)
B-1261</t>
  </si>
  <si>
    <t>ottm in Alumec 99Housing Plate C 45 Hard Chromed</t>
  </si>
  <si>
    <t>1121401499</t>
  </si>
  <si>
    <t>200 ML ROUND ( 19.0 GM/25MM)_35</t>
  </si>
  <si>
    <t>Complete 4Cavity Mold for 200ML Pet Bottle S-1263</t>
  </si>
  <si>
    <t>/N:-368N94694</t>
  </si>
  <si>
    <t>1121400745</t>
  </si>
  <si>
    <t>200 ML BEAR SAMPOO( 19.0GM/25MM)_35A</t>
  </si>
  <si>
    <t>200 Ml 4 Cavity Blow Mould - 1 Pc.@ 94000/- -1264</t>
  </si>
  <si>
    <t>Purchased From Leo Precision Products Agst.Bno:3</t>
  </si>
  <si>
    <t>1121400456</t>
  </si>
  <si>
    <t>300 ML ROUND ( 23.5 GM/25MM)_36</t>
  </si>
  <si>
    <t>300 ML Mould-1266</t>
  </si>
  <si>
    <t>1121403382</t>
  </si>
  <si>
    <t>150 ML GRIPE WATER ( 23.5 GM / 25 MM )_36A</t>
  </si>
  <si>
    <t>Being 4 Cavity blow mould 150 ml Gripe water-1267</t>
  </si>
  <si>
    <t xml:space="preserve"> 25mm neck pur from Leo Precision Products vide </t>
  </si>
  <si>
    <t>1121403689</t>
  </si>
  <si>
    <t>300 ML P&amp;G MOLD ( 23.5 GM / 25 MM )_36B</t>
  </si>
  <si>
    <t>Being 4 Cavity 25 mm 300 ml Polybion dome , -1268</t>
  </si>
  <si>
    <t>Blow Mold. pur from Leo Precision Pvt Ltd vide i</t>
  </si>
  <si>
    <t>1121404486</t>
  </si>
  <si>
    <t>300 ML POLYBION DOME 2ND MOLD_36C</t>
  </si>
  <si>
    <t>T/F THROUGH J/V AGST B/NO. LPPL/22-23/266 DT-1269</t>
  </si>
  <si>
    <t>: 20.09.22 BOOKED FOR PUR 4 CAVITY 50 MB BLOW MO</t>
  </si>
  <si>
    <t>1121400639</t>
  </si>
  <si>
    <t>300 ML ROUND ( 23.5 GM/25MM)_37</t>
  </si>
  <si>
    <t>4 Cavity 300 Ml Mould-1271</t>
  </si>
  <si>
    <t>1121400695</t>
  </si>
  <si>
    <t>200 ML BEAR SAMPOO( 23.5GM/25MM)_37A</t>
  </si>
  <si>
    <t>4 Cavity 200 Ml  Mould, Qty-1, Leo Precision-1272</t>
  </si>
  <si>
    <t xml:space="preserve">  Bill No.51 Dtd.11.11.2011, Sgo/11-12/0929</t>
  </si>
  <si>
    <t>1121400800</t>
  </si>
  <si>
    <t>200 ML FLAT (23.5 GM/25MM)_37B</t>
  </si>
  <si>
    <t>200ml dome 4 Cavity blow mould with housing -1273</t>
  </si>
  <si>
    <t>plates , - 1Pcs.</t>
  </si>
  <si>
    <t>1121402465</t>
  </si>
  <si>
    <t xml:space="preserve">200 ML MICROBRUT ( 22.5 GM/25MM)_37C </t>
  </si>
  <si>
    <t>25 mm Ropp 200 Ml. Zuventos  4 Cavity Mold-1274</t>
  </si>
  <si>
    <t>1121403742</t>
  </si>
  <si>
    <t>200 ML MICROBRUT  2ND BLOW MOLD_37D</t>
  </si>
  <si>
    <t>Being 25mm 4 cavity  258ml Microbrut bottle -1275</t>
  </si>
  <si>
    <t>1121400683</t>
  </si>
  <si>
    <t>250 ML POLYBION (22.5 GM/28MM) _38</t>
  </si>
  <si>
    <t>250 ML Mould-1277</t>
  </si>
  <si>
    <t>1121400715</t>
  </si>
  <si>
    <t>200 ML DOME ( 22.5 GM/28MM) _38A</t>
  </si>
  <si>
    <t>Capitalised 100 Ml Dome 5 Cavity Blow Shell -1278</t>
  </si>
  <si>
    <t>With Bottom Mould Purchased From Leo Precision P</t>
  </si>
  <si>
    <t>1121405104</t>
  </si>
  <si>
    <t>280 ML ORIGIN ( 25.5 GM /28 MM)_38B</t>
  </si>
  <si>
    <t>B/NO. DM5232403105 DT: 17.01.24 OF ASB INTER-1279</t>
  </si>
  <si>
    <t xml:space="preserve">NATIONAL BOOKED FOR PUR 4 CAVITY MOLD PARTS S/N </t>
  </si>
  <si>
    <t>1121403704</t>
  </si>
  <si>
    <t>200 ML CREMAFFIN (22.5 GM/28MM) _40</t>
  </si>
  <si>
    <t xml:space="preserve"> Complete 4 Cavity Mold For 200ml Pet Bottle-1281</t>
  </si>
  <si>
    <t>1121403252</t>
  </si>
  <si>
    <t>250 ML POLYBION ( 22.5 GM/ 28 MM )_40D</t>
  </si>
  <si>
    <t>Being 250 ML POLYBION BLOW MOULD pur from Le-1282</t>
  </si>
  <si>
    <t xml:space="preserve">o Precision Products vide inv no LP/SA/1920/531 </t>
  </si>
  <si>
    <t>1121401348</t>
  </si>
  <si>
    <t xml:space="preserve">200ML CREMAFFIN( 22.5 GM/28MM)_40E </t>
  </si>
  <si>
    <t>5 Cavity Injection Mould for 150 Ml.pet Bott-1283</t>
  </si>
  <si>
    <t xml:space="preserve">le </t>
  </si>
  <si>
    <t>1121401522</t>
  </si>
  <si>
    <t xml:space="preserve">200 ML CREMAFFIN (21.5 GM/28MM)_41 </t>
  </si>
  <si>
    <t>Complete 4Cavity Mold for 200ML Pet Bottle S-1285</t>
  </si>
  <si>
    <t>/N:-368N94789</t>
  </si>
  <si>
    <t>1121405365</t>
  </si>
  <si>
    <t>120 ML ROUND BOTTLE (21.5 GM/28MM) _A</t>
  </si>
  <si>
    <t>BEING PASS THROUGH J/V AGST B/NO. LPPL/2425/-1286</t>
  </si>
  <si>
    <t>0520 DTD: 15.01.25 BOOKED FOR PUR 50 MB COMPLETE</t>
  </si>
  <si>
    <t>1121400682</t>
  </si>
  <si>
    <t>170 ML ROUND (20.5 GM/25MM) _42</t>
  </si>
  <si>
    <t>170 ML Mould-1288</t>
  </si>
  <si>
    <t>1121404962</t>
  </si>
  <si>
    <t>200 ML GENO _42B</t>
  </si>
  <si>
    <t>BEING T/F THROUGH J/V AGST B/NO. MM/23-24/04-1289</t>
  </si>
  <si>
    <t>37 DT: 13.10.23 OF MAX MOULD BOOEKD FOR PUR BLOW</t>
  </si>
  <si>
    <t>1121402325</t>
  </si>
  <si>
    <t>200 ML PP MILK ( 14.5 GM/38MM) _43</t>
  </si>
  <si>
    <t>3 Cavity Mold for 200 Ml.PP Bottle-1291</t>
  </si>
  <si>
    <t>1121404025</t>
  </si>
  <si>
    <t>180 ML TALL ML PP MOLD_43B</t>
  </si>
  <si>
    <t>Being 38mm 180ml 3 cavity Tall Regular bottl-1292</t>
  </si>
  <si>
    <t>e blow mould pur from LPPL/SA/211/2122 dt 14.12.</t>
  </si>
  <si>
    <t>1121403084</t>
  </si>
  <si>
    <t>200 ML PP Dodla ( 14.5 GM/38MM) _43C</t>
  </si>
  <si>
    <t>Being 38mm PP 200ml 3cavity Complete Blow Mo-1293</t>
  </si>
  <si>
    <t>uld for ASB 50MB machine purchase from Leo Preci</t>
  </si>
  <si>
    <t>1121402594</t>
  </si>
  <si>
    <t>200 ML PP MILK ( 14.5 GM/38MM) _44</t>
  </si>
  <si>
    <t>3 Cavity  Complete Mold for 200 ml  Pet Boot-1295</t>
  </si>
  <si>
    <t>1121403284</t>
  </si>
  <si>
    <t xml:space="preserve">200 ML PP VERKA ( 14.5 GM / 38 MM)_44A </t>
  </si>
  <si>
    <t>Being 3 CVITY 200 ML  PP Verka milk bottle m-1296</t>
  </si>
  <si>
    <t>old pur from Leo Precision Products  vide inv no</t>
  </si>
  <si>
    <t>1121404738</t>
  </si>
  <si>
    <t>150 ml smoothy / Drum _44B</t>
  </si>
  <si>
    <t>T/F THROUGH J/V AGST B/NO. LPPL/23-24/039 / -1297</t>
  </si>
  <si>
    <t>24.04.23  OF LEO PRECISION BOOEKD FOR PUR BLOW M</t>
  </si>
  <si>
    <t>1121403195</t>
  </si>
  <si>
    <t>200 ML PP HALDIRAM ( 14.5 GM/38MM)_44C</t>
  </si>
  <si>
    <t>Being 38mm 200ml 3 Cavity complete Blow moul-1298</t>
  </si>
  <si>
    <t>1121402514</t>
  </si>
  <si>
    <t>90 ML MHB ( 10.5 GM/ 25MM)_45</t>
  </si>
  <si>
    <t>5 Cavity Complete Mold  (For 90 Ml Pet Bottl-1300</t>
  </si>
  <si>
    <t>e)</t>
  </si>
  <si>
    <t>1121403005</t>
  </si>
  <si>
    <t>50 ML GLYCERIN( 10.0 GM/25MM)_45A</t>
  </si>
  <si>
    <t>Being 50ml_25mm_5 Cavity Round Bottle Mould -1301</t>
  </si>
  <si>
    <t>DWG No.B19026-M0 vide inv no LP/SA/1920/087 dt 3</t>
  </si>
  <si>
    <t>1121403116</t>
  </si>
  <si>
    <t>60 ML CNB GREEN (10.0 GM/25 MM)_45B</t>
  </si>
  <si>
    <t>Being 25mm 60ml 5cavity Green Bottle Blow Mo-1302</t>
  </si>
  <si>
    <t xml:space="preserve">uld pur from Leo Precision Products vide inv no </t>
  </si>
  <si>
    <t>1121404071</t>
  </si>
  <si>
    <t>90 ML GM_45C _45C</t>
  </si>
  <si>
    <t>Being 25mm 90ml OC bottle 5cavity Blow Mould-1303</t>
  </si>
  <si>
    <t xml:space="preserve"> pur from Leo Precision Products vide inv no LP/</t>
  </si>
  <si>
    <t>1121402459</t>
  </si>
  <si>
    <t>90 ML MHB ( 10.5 GM/ 25MM)_46</t>
  </si>
  <si>
    <t>5 Cavity Mold for 90 Ml.Pet Bottle-1305</t>
  </si>
  <si>
    <t>1121402193</t>
  </si>
  <si>
    <t>90 ML LIQOR ( 10.5 GM/ 25MM)_46B</t>
  </si>
  <si>
    <t>Blow Mould 90 Ml 5 Cavity-1306</t>
  </si>
  <si>
    <t>1121402264</t>
  </si>
  <si>
    <t>90 ML LIQOR ( 10.5 GM/ 25MM)_46C</t>
  </si>
  <si>
    <t>Blow Mould 90 Ml 5 Cavity -1307</t>
  </si>
  <si>
    <t>1121402847</t>
  </si>
  <si>
    <t>90 MLCNB GREEN ( 10.5 GM / 25 MM)_46D</t>
  </si>
  <si>
    <t>PUR 90 ML NAPOLEAN BOTTLE 5 CAVITY VIDE TSGO-1308</t>
  </si>
  <si>
    <t>/18-19/0212 AGST PO SMPOCG/18-19/022 FOR  NEW DE</t>
  </si>
  <si>
    <t>1121401557</t>
  </si>
  <si>
    <t>1.0 LTR MILK ( 28.0 GM/38MM)_47</t>
  </si>
  <si>
    <t>Complete 2 Cavity Mold for 1L Pet Milk Bottl-1310</t>
  </si>
  <si>
    <t>e S/N:-378N94820</t>
  </si>
  <si>
    <t>1121402582</t>
  </si>
  <si>
    <t>1.0 LTR MILK ( 28.0 GM/38MM)_48</t>
  </si>
  <si>
    <t>2 Cavity Complete Mold for 1 Ltr.Pet Bottle-1312</t>
  </si>
  <si>
    <t>1121404068</t>
  </si>
  <si>
    <t>180 ML LIQOR (10.1 GM/25MM) _49</t>
  </si>
  <si>
    <t>Complete 5 Cavity Mold for 180 Ml Pet Bottle-1314</t>
  </si>
  <si>
    <t xml:space="preserve"> Sr# 408N96281</t>
  </si>
  <si>
    <t>1121402616</t>
  </si>
  <si>
    <t>180 ML RIB-02 ( 10.2 GM/ 25 MM)_49A</t>
  </si>
  <si>
    <t>25 MM 180 ML Ribbed  Bottle 5 Cavity Complet-1315</t>
  </si>
  <si>
    <t xml:space="preserve">e Blow Mould </t>
  </si>
  <si>
    <t>1121405301</t>
  </si>
  <si>
    <t>180 ml GM (BM-24100577)_49B</t>
  </si>
  <si>
    <t>B/NO. LPPL/2425/0269 DTD: 29.08.24 OF LEO PR-1316</t>
  </si>
  <si>
    <t>ECISION BOOKED FOR PUR 180 ML 5 CAVITY BLOW SHEL</t>
  </si>
  <si>
    <t>1121404163</t>
  </si>
  <si>
    <t>180 ML LIQOR (10.1 GM/25MM) _50</t>
  </si>
  <si>
    <t>5 Cavity Complete Mold for 180 Ml.Pet Bottle-1318</t>
  </si>
  <si>
    <t>1121405302</t>
  </si>
  <si>
    <t>180 ml GM ( BM-24080557)_50B</t>
  </si>
  <si>
    <t>B/NO. LPPL/2425/0297 DTD: 17.09.24 OF LEO PR-1319</t>
  </si>
  <si>
    <t>1121404789</t>
  </si>
  <si>
    <t>180 ML LIQOR (10.1 GM/25MM) _51</t>
  </si>
  <si>
    <t>5 Cavity Complete Mold for 180 ML Bottle-1321</t>
  </si>
  <si>
    <t>1121403249</t>
  </si>
  <si>
    <t>180 ML RIB ( 10.1 GM/ 25 MM)_51A</t>
  </si>
  <si>
    <t>Being 25mm 180ml Ribbed Bottle 5cavity Blow -1322</t>
  </si>
  <si>
    <t xml:space="preserve">Mould pur from Leo Precision Productsvide invno </t>
  </si>
  <si>
    <t>1121405364</t>
  </si>
  <si>
    <t>90 ML FLAT TILAK NAGAR ( 25 mm/10.1gm)_51B</t>
  </si>
  <si>
    <t>BEING T/F THROUGH J/V AGTS B/NO. MM/24-25/05-1323</t>
  </si>
  <si>
    <t xml:space="preserve">93 DTD: 23.12.24 BOOKED FOR PUR BLOW MOLD  VIED </t>
  </si>
  <si>
    <t>1121405299</t>
  </si>
  <si>
    <t>90 ML FLAT TILAK NAGAR ( 25 mm/10.1gm)_51C</t>
  </si>
  <si>
    <t>B/NO. MM/24=25/0253 DTD: 17.07.24 OF MAX MOU-1324</t>
  </si>
  <si>
    <t>LD BOOKED FOR PUR BLOW MOLD FOR MB - 50 M/C 5 CA</t>
  </si>
  <si>
    <t>1121404788</t>
  </si>
  <si>
    <t>180 ML LIQOR (10.1 GM/25MM) _52</t>
  </si>
  <si>
    <t>5 Cavity Complete Mold for 180 ML Bottle S/N-1326</t>
  </si>
  <si>
    <t xml:space="preserve"> 408N96284</t>
  </si>
  <si>
    <t>1121405329</t>
  </si>
  <si>
    <t>180 ml GM ( BM-24080543)_52A</t>
  </si>
  <si>
    <t>B/NO. LPPL/2425/0311 DTD: 25.092.4 BOOKED FO-1327</t>
  </si>
  <si>
    <t>R PUR 24 MM ROPP 180 ML BLOW SHELL &amp; BOTTOM MOUL</t>
  </si>
  <si>
    <t>1121402641</t>
  </si>
  <si>
    <t>180 ML LIQOR (10.1 GM/25MM) _53</t>
  </si>
  <si>
    <t>5 CAVITY COMPLETE MOLD FOR 180 ML BOTTLE -1329</t>
  </si>
  <si>
    <t>1121405330</t>
  </si>
  <si>
    <t>B/NO. LPPL/2425/0318 DTD: 30.09.24 BOOKED FO-1330</t>
  </si>
  <si>
    <t>1121404164</t>
  </si>
  <si>
    <t>180 ML LIQOR (10.1 GM/25MM) _54</t>
  </si>
  <si>
    <t>5 Cavity Complete Mold for 180 ML Bottle S/N-1332</t>
  </si>
  <si>
    <t xml:space="preserve"> 408N96286</t>
  </si>
  <si>
    <t>1121405336</t>
  </si>
  <si>
    <t>180 ml GM ( BM-24090556)_53A</t>
  </si>
  <si>
    <t>BEING CAPITALISELATION ON DTD: 19.12.2024  T-1333</t>
  </si>
  <si>
    <t>HROUGH J/V B/NO. LPPL/2425/0395 DTD: 12.11.24 BO</t>
  </si>
  <si>
    <t>1121402845</t>
  </si>
  <si>
    <t>120 ML KESKANTI ( 13.5 GM/20 MM)_55</t>
  </si>
  <si>
    <t>Complete 5 Cavity Mold for 120ml (Kesh Kanti-1335</t>
  </si>
  <si>
    <t>) PET Bottle</t>
  </si>
  <si>
    <t>1121403328</t>
  </si>
  <si>
    <t>100 ML  SANITIZER ( 13.5 GM / 20 MM)_55A</t>
  </si>
  <si>
    <t>Being  20MM_100ML_5 CAVITY OVAL BOTTLE BLOW -1336</t>
  </si>
  <si>
    <t>MOULD pur from Leo Precision Products vide inv n</t>
  </si>
  <si>
    <t>1121504415</t>
  </si>
  <si>
    <t>30 ML JAR ( 6.5 GM / 38 MM)_56</t>
  </si>
  <si>
    <t>COMPLETE 3 CAVITY MOLD FOR 30ML PET JAR S/N:-1338</t>
  </si>
  <si>
    <t xml:space="preserve">398N95887 </t>
  </si>
  <si>
    <t>1121405416</t>
  </si>
  <si>
    <t>Mangalam Jar 10gm( 6.5 GM / 38 MM)_56A</t>
  </si>
  <si>
    <t>BEING T/F THROUGH J/V AGST B/NO LPPL/2526/00-1339</t>
  </si>
  <si>
    <t>52 DTD:2/5/25 OF LEO PRECISION BOOKED FOR THE PU</t>
  </si>
  <si>
    <t>1121504416</t>
  </si>
  <si>
    <t>100 ML GOWARDHAN ( 10.5 GM / 38 MM)_59</t>
  </si>
  <si>
    <t>COMPLETE 3 CAVITY MOLD FOR 100ML PET JAR S/N-1341</t>
  </si>
  <si>
    <t>: 398N95867</t>
  </si>
  <si>
    <t>1121403511</t>
  </si>
  <si>
    <t>80 ML DVD JAR MOLD ( 38 MM /12.5 GM)_59A</t>
  </si>
  <si>
    <t>Being lip cavity 3 cavity mould on asb 50 mb-1342</t>
  </si>
  <si>
    <t xml:space="preserve"> m/c &amp; 38mm 80ml DV jar mould 3cavity pur from L</t>
  </si>
  <si>
    <t>1121403509</t>
  </si>
  <si>
    <t>70 ML OCTA ( 38 mm / 12.5 gm )_59B</t>
  </si>
  <si>
    <t>Being 38 mm 70 ML OCTA mould 3 cavity pur fr-1343</t>
  </si>
  <si>
    <t>om LP/SA/2021/323 dt 10.12.20 ag PO# SMPOCG/20-2</t>
  </si>
  <si>
    <t>1121405328</t>
  </si>
  <si>
    <t>80 ML OCTA ( 38 mm / 12.5 gm )_59C</t>
  </si>
  <si>
    <t>B/NO. KPEW/078/24-25 DTD: 26.06.24 OF KRISHN-1344</t>
  </si>
  <si>
    <t xml:space="preserve">A PRECISION ENGINEERING WORKS BOOKED FOR PUR 38 </t>
  </si>
  <si>
    <t>1121404961</t>
  </si>
  <si>
    <t>100 ML AMUL JAR_59D</t>
  </si>
  <si>
    <t>BEING T/F THROUGH J/V AGST B/NO. HMT/23-24/2-1345</t>
  </si>
  <si>
    <t>75 DT: 07.10.23 OF HINDUSTAN MOULDS BOOKED FOR P</t>
  </si>
  <si>
    <t>1121403485</t>
  </si>
  <si>
    <t>200 ML PP Dodla w/o Ring _60C</t>
  </si>
  <si>
    <t>Being 38 mm_3 Cavity 200 ml flat PP milkbott-1347</t>
  </si>
  <si>
    <t>le blow mould pur from Leo Precision Products vi</t>
  </si>
  <si>
    <t>1121403006</t>
  </si>
  <si>
    <t>120 ML SQUARE JAR _60D</t>
  </si>
  <si>
    <t>Being 120ml_25mm_5 Cavity Round Bottle Blow -1348</t>
  </si>
  <si>
    <t>Mould  DWG No.B19039-M0 vide inv no LP/SA/1920/0</t>
  </si>
  <si>
    <t>1121403583</t>
  </si>
  <si>
    <t>500 ML ROUND BOTTLE  _61</t>
  </si>
  <si>
    <t>Being Mold for ASB-50MB-V3 3 cavity 500 ML P-1350</t>
  </si>
  <si>
    <t>ET bottle complete mold pur from ASB Internation</t>
  </si>
  <si>
    <t>1121403692</t>
  </si>
  <si>
    <t>400 ML P&amp;G MOLD _61A</t>
  </si>
  <si>
    <t>Being 3 Cavity 25 mm 400 Ml Polybion dome Bo-1351</t>
  </si>
  <si>
    <t>ttle, Blow mould. pur from Leo Precision Pvt Ltd</t>
  </si>
  <si>
    <t>1121403695</t>
  </si>
  <si>
    <t>500 ML Charak MOLD_61B</t>
  </si>
  <si>
    <t>Being 3 Cavity 25 mm 500 Ml Round , Blow mou-1352</t>
  </si>
  <si>
    <t>ld. pur from Leo Precision Pvt Ltd vide inv no L</t>
  </si>
  <si>
    <t>1121403617</t>
  </si>
  <si>
    <t>200 ML PP COMPLETE MOLD -ADS_62</t>
  </si>
  <si>
    <t>Being 200ml pp milk bottle complete mold 3ca-1354</t>
  </si>
  <si>
    <t xml:space="preserve">viy 15gms pur from Winley Polymers Pvt Ltd vide </t>
  </si>
  <si>
    <t>1121403694</t>
  </si>
  <si>
    <t>200 ML PP ROUND 2ND MOLD _62A</t>
  </si>
  <si>
    <t>Being 25 mm ropp 200 ml 4 cavity bottle blow-1355</t>
  </si>
  <si>
    <t xml:space="preserve"> mold pur from Krishna Precision Engineering Wor</t>
  </si>
  <si>
    <t>1121403303</t>
  </si>
  <si>
    <t>180 ML PP MOLD ( 14.5 GM / 38 MM)_62B</t>
  </si>
  <si>
    <t>Being 38mm_180ml PP milk bottle blow mould 3-1356</t>
  </si>
  <si>
    <t xml:space="preserve"> cavity pur from Leo Precision Products vide inv</t>
  </si>
  <si>
    <t>1121403445</t>
  </si>
  <si>
    <t>200 ML PP DODLA LOCAL ADS MOLD_62C</t>
  </si>
  <si>
    <t>Being 38 mm_3 Cavity 200 ml round PP bottle -1357</t>
  </si>
  <si>
    <t xml:space="preserve">blow mould pur from Leo Precision Products vide </t>
  </si>
  <si>
    <t>1121402621</t>
  </si>
  <si>
    <t>200 ml rd PP (14.5 gm / 38 mm) _62D</t>
  </si>
  <si>
    <t>38 MM 200 Ml Blow Mould-1358</t>
  </si>
  <si>
    <t>1121402646</t>
  </si>
  <si>
    <t>200 ml rd Ferropack PP (14.5 gm / 38 mm) _62E</t>
  </si>
  <si>
    <t>38 MM 200 ML MOULD PUR -1359</t>
  </si>
  <si>
    <t>1121403700</t>
  </si>
  <si>
    <t>170 ML RD _63</t>
  </si>
  <si>
    <t>Being ASB50MB Complete 4 Cavity Mold for 170-1361</t>
  </si>
  <si>
    <t>ml pur from ASB Inernational Pvt Ltd vide inv no</t>
  </si>
  <si>
    <t>1121402677</t>
  </si>
  <si>
    <t>170 ML RD ( 19.0 GM/25MM) _63B</t>
  </si>
  <si>
    <t>170 ML 19 GMS 4 CAVITY BLOW MOULD -1362</t>
  </si>
  <si>
    <t>1121403825</t>
  </si>
  <si>
    <t xml:space="preserve">500 ML ROUND BOTTLE _64 </t>
  </si>
  <si>
    <t>Being ASB50MB- Complete 3 cavity mold for 50-1364</t>
  </si>
  <si>
    <t xml:space="preserve">0ml pur from ASB International Pvt Ltd vide inv </t>
  </si>
  <si>
    <t>1121404794</t>
  </si>
  <si>
    <t>500 ML ZANDU_64A</t>
  </si>
  <si>
    <t>B/NO. LPPL/23-24/044 DT: 28.04.23 OF LEO BOO-1365</t>
  </si>
  <si>
    <t>KED FOR PUR BLOW MOULD 50 MB 28 MM ROPP 450 ML V</t>
  </si>
  <si>
    <t>1121403926</t>
  </si>
  <si>
    <t>200 ML RD (19.0 GM/25 MM)_65</t>
  </si>
  <si>
    <t>Being ASB-50MB_V-3_5 CAV_COMPLETE MOLD pur f-1367</t>
  </si>
  <si>
    <t>rom ASB international Pvt Ltd vide inv no DM5212</t>
  </si>
  <si>
    <t>1121404029</t>
  </si>
  <si>
    <t>500 ML ROUND BOTTLE  _68</t>
  </si>
  <si>
    <t>B/NO: DM5212203463 DT. 15.02.22 OF ASB INTER-1369</t>
  </si>
  <si>
    <t>NATIONAL PVT.LTD BOOKED FOR PR ASB 50 MB 4 CAVIT</t>
  </si>
  <si>
    <t>1121403504</t>
  </si>
  <si>
    <t>200 ML Microbrut full mold</t>
  </si>
  <si>
    <t>Being Mold for 50MB-V3 Complete 4 cavity mol-1371</t>
  </si>
  <si>
    <t>d without blow mold pur from ASB International P</t>
  </si>
  <si>
    <t>1121400424</t>
  </si>
  <si>
    <t xml:space="preserve">450 ML CHARAK ( 34.0 GM/53 MM) </t>
  </si>
  <si>
    <t>Mould - ASB MOULD 350 ML-1373</t>
  </si>
  <si>
    <t>1121504350</t>
  </si>
  <si>
    <t>475ML  DAC (29 GM/73MM)_5</t>
  </si>
  <si>
    <t>Molds for ASB-70DPH-V4 Complete 5-cavity mol-1375</t>
  </si>
  <si>
    <t xml:space="preserve">d for 500ml PET Jar(29g) Repeat mold of K61895 </t>
  </si>
  <si>
    <t>1121504414</t>
  </si>
  <si>
    <t>350 ML HERSHEY  (34 GM/73MM) WEIGHT CHANGE PART _5A</t>
  </si>
  <si>
    <t>73MM 350ML HERSHEY BLOW SHELL 4 CAVITY FOR 7-1376</t>
  </si>
  <si>
    <t>0DPH MC</t>
  </si>
  <si>
    <t>1121504356</t>
  </si>
  <si>
    <t>750ml rd jar_5B</t>
  </si>
  <si>
    <t>750ML RD PET JAR MOULD COMPLETE SET -1377</t>
  </si>
  <si>
    <t>1121504274</t>
  </si>
  <si>
    <t>50Ml Rd jar_6</t>
  </si>
  <si>
    <t>Being ASB-70DPH 6 cavity injection mold for -1379</t>
  </si>
  <si>
    <t>100ml PET Jar Sr No.418K65309 from ASB Internati</t>
  </si>
  <si>
    <t>1121504275</t>
  </si>
  <si>
    <t>100 ml HUL Kissan jar _7A</t>
  </si>
  <si>
    <t>Being 6 CAVITY 70 DPH COMPLETE BLOW MOULD 53-1381</t>
  </si>
  <si>
    <t>MM 8.5GM HUL JAR COMPLETE BLOW MOULD pur from Le</t>
  </si>
  <si>
    <t>1121504351</t>
  </si>
  <si>
    <t>200Ml Rd Jar_8A</t>
  </si>
  <si>
    <t>200ml Round 5 Cavity Reguler Blow Mould-1383</t>
  </si>
  <si>
    <t>1121504347</t>
  </si>
  <si>
    <t>150ML Rd jar_8B</t>
  </si>
  <si>
    <t>Mold for ASB 70 DPH-V4 Complete 5 Cavity Mol-1384</t>
  </si>
  <si>
    <t>d for 150ml PET Jar s/N: 388K64043 Qty.1 Set Dwg</t>
  </si>
  <si>
    <t>1121504283</t>
  </si>
  <si>
    <t>184 ml Mars jar_9A</t>
  </si>
  <si>
    <t>6CAVITY MOLD FOR 180ML PET JAR -1386</t>
  </si>
  <si>
    <t>1121504284</t>
  </si>
  <si>
    <t>200ml  Britania_9C</t>
  </si>
  <si>
    <t xml:space="preserve"> 200ML AMUL COMPLETE BLOW MOULD &amp; 200ML BRIT-1387</t>
  </si>
  <si>
    <t xml:space="preserve">ANIA COMPLETE BLOW MOULD </t>
  </si>
  <si>
    <t>1121504297</t>
  </si>
  <si>
    <t>300ml JAR_10</t>
  </si>
  <si>
    <t>Complete 6 Cavity Mould for 300 Ml Pet Jar-1389</t>
  </si>
  <si>
    <t>1121504364</t>
  </si>
  <si>
    <t>220ml Jar_10A</t>
  </si>
  <si>
    <t>6 Cavity Blow Mould &amp; Conditioning Part for -1390</t>
  </si>
  <si>
    <t>220ml jar</t>
  </si>
  <si>
    <t>1121504363</t>
  </si>
  <si>
    <t>400ml Hexa _11</t>
  </si>
  <si>
    <t>Complete 5 Cavity Mold without Blow Mould  f-1392</t>
  </si>
  <si>
    <t>or 400 Ml Pet Jar S/N:-368K63204</t>
  </si>
  <si>
    <t>1121405363</t>
  </si>
  <si>
    <t>500 ml Himalaya _11B</t>
  </si>
  <si>
    <t>BEING T/F THROUGH J/V AGST B/NO. LPPL/2425/0-1393</t>
  </si>
  <si>
    <t xml:space="preserve">289 DTD: 13.09.24 R - 16.09.24 OF LEO PRECISION </t>
  </si>
  <si>
    <t>1121504365</t>
  </si>
  <si>
    <t>500Ml Gowardhan_11C</t>
  </si>
  <si>
    <t>500ML CAVITY 70DPH GOWARDHAN MOULD-1394</t>
  </si>
  <si>
    <t>1121504411</t>
  </si>
  <si>
    <t>350ML HUL_11D</t>
  </si>
  <si>
    <t>Blow Mould 73 MM/5 Cavity for blow shell wit-1395</t>
  </si>
  <si>
    <t>h complete housing</t>
  </si>
  <si>
    <t>1121102787</t>
  </si>
  <si>
    <t>500Ml  Rd jar_12</t>
  </si>
  <si>
    <t>500 Ml Jar Mold-1397</t>
  </si>
  <si>
    <t>1121400470</t>
  </si>
  <si>
    <t>350ML CHOCO SPREAD JAR_12B</t>
  </si>
  <si>
    <t>350 ML Mould-1398</t>
  </si>
  <si>
    <t>1121504391</t>
  </si>
  <si>
    <t>300ml peanut_12C</t>
  </si>
  <si>
    <t>Being 5 CAVITY 70DPH COMPLETE BLOW MOULD pur-1399</t>
  </si>
  <si>
    <t xml:space="preserve"> from Leo Precision Products vide inv no LP/SA/2</t>
  </si>
  <si>
    <t>1121504353</t>
  </si>
  <si>
    <t>500 ml Amul_12D</t>
  </si>
  <si>
    <t>500ML RD JAR BLOW CELL-1400</t>
  </si>
  <si>
    <t>1121504355</t>
  </si>
  <si>
    <t>500 ml smoke jar_12E</t>
  </si>
  <si>
    <t>500ML AMUL BLOW CELL -1401</t>
  </si>
  <si>
    <t>1121403575</t>
  </si>
  <si>
    <t>500Ml  Rd jar_13</t>
  </si>
  <si>
    <t>Being Molds for ASB-70DPH-V4  5 cavity Injec-1403</t>
  </si>
  <si>
    <t>tion mold for 500ml PET Jar pur from ASB Interna</t>
  </si>
  <si>
    <t>1121403490</t>
  </si>
  <si>
    <t>500ML CAPITAL FOOD_13D</t>
  </si>
  <si>
    <t>Being 73 mm 500 ml jar 5 cavity blow mould p-1404</t>
  </si>
  <si>
    <t>1121404489</t>
  </si>
  <si>
    <t>380 ml Mars Jar_13E</t>
  </si>
  <si>
    <t>T/F THROUGH J/V AGST B/NO. AI/2022-23/001 DT-1405</t>
  </si>
  <si>
    <t>: 19.10.22 BOOEKD FOR PUR DIE &amp; MOULD VIDE TSGO/</t>
  </si>
  <si>
    <t>1121102788</t>
  </si>
  <si>
    <t>1000ml Jar_15</t>
  </si>
  <si>
    <t>1000 Ml Jar Bottle-1407</t>
  </si>
  <si>
    <t>1121504362</t>
  </si>
  <si>
    <t>1700ml parle</t>
  </si>
  <si>
    <t>DIES &amp; MOULD -100MM/60GMS-2000ML-3 CAVITY BL-1409</t>
  </si>
  <si>
    <t>OW MOULD)</t>
  </si>
  <si>
    <t>1121504348</t>
  </si>
  <si>
    <t>1000 ml amul_16D</t>
  </si>
  <si>
    <t>COMPLETE 4 CAVITY MOULD FOR 1000ML PET JAR  -1411</t>
  </si>
  <si>
    <t>1121504417</t>
  </si>
  <si>
    <t>1600ml Pepsico _17</t>
  </si>
  <si>
    <t>3 cavity Injection mold for 1.5L PET Jar (60-1413</t>
  </si>
  <si>
    <t>.5g) S/No: 408K64855</t>
  </si>
  <si>
    <t>1121504314</t>
  </si>
  <si>
    <t>2000 ml Parle_17B</t>
  </si>
  <si>
    <t>Being 3 Cavity 70DPH Complete Blow Mould pur-1414</t>
  </si>
  <si>
    <t>1121504317</t>
  </si>
  <si>
    <t xml:space="preserve">1500 ml Zing jar_17C </t>
  </si>
  <si>
    <t>Being 1500ml 3 Cavity Zing Jar Blow Mould pu-1415</t>
  </si>
  <si>
    <t>r from Leo Precision Products vide inv no LP/SA/</t>
  </si>
  <si>
    <t>1121504357</t>
  </si>
  <si>
    <t>2000 ml Rd _17E</t>
  </si>
  <si>
    <t>2000ML RD PET JAR MOULD COMPLETE SET -1416</t>
  </si>
  <si>
    <t>1121504311</t>
  </si>
  <si>
    <t>6000ml JAR _18</t>
  </si>
  <si>
    <t>2 Cavity Mold for for 6 Ltr.Pet jar-1418</t>
  </si>
  <si>
    <t>1121504316</t>
  </si>
  <si>
    <t>3000 ml Hing jar_18D</t>
  </si>
  <si>
    <t>Being 3000ml 2 Cavity Everest Blow Shell pur-1419</t>
  </si>
  <si>
    <t xml:space="preserve"> from Leo Precision Products vide inv no LP/SA//</t>
  </si>
  <si>
    <t>1121504807</t>
  </si>
  <si>
    <t>4000 ml square_18E</t>
  </si>
  <si>
    <t>B/No: LPPL/22-23/003 DT: 2.4.2022 Being Purc-1420</t>
  </si>
  <si>
    <t>hased as 4000ml Square Blow Mould 2 Cavity 120mm</t>
  </si>
  <si>
    <t>1121403055</t>
  </si>
  <si>
    <t>200 ML PP MOLD (14.5 GM/38MM) _A, 60 ML RD MOLD ( 10.0 GM / 25 MM)_A</t>
  </si>
  <si>
    <t>Being Mold for ASB-70DPW-V4 Complete 24 cavi-1422</t>
  </si>
  <si>
    <t>ty mold for 60ml PET BOTTLE ; S/N; 418K65194 1no</t>
  </si>
  <si>
    <t>1121404640</t>
  </si>
  <si>
    <t>200 ML PP DODLA (L)_1A</t>
  </si>
  <si>
    <t>T/F THROUGH J/V AGST B/NO. LPPL/22-23/493 DT-1424</t>
  </si>
  <si>
    <t>: 01.02.23 OF LEO PRECISION BOOKED FOR PUR INJEC</t>
  </si>
  <si>
    <t>1121403469</t>
  </si>
  <si>
    <t>90 ML FLAT (L)</t>
  </si>
  <si>
    <t>Being CBM ASB DPW 24 CAVITY  25mm Ropp 90ml -1426</t>
  </si>
  <si>
    <t>Blow Shell for 24 Cavity Mould for 70 DPW M/c pu</t>
  </si>
  <si>
    <t>1121403329</t>
  </si>
  <si>
    <t>100 ML RD MOLD ( 12.5 GM / 25 MM)</t>
  </si>
  <si>
    <t>Being Complete 20 Cavity Mold for 100ML PET -1428</t>
  </si>
  <si>
    <t xml:space="preserve">Bottle Mould pur from ASB International Pvt Ltd </t>
  </si>
  <si>
    <t>1121403862</t>
  </si>
  <si>
    <t>200 ML PP ( 14.5 gm / 38 MM)_B</t>
  </si>
  <si>
    <t>Being 70DPW V4- Complete 16 cavity mold for -1430</t>
  </si>
  <si>
    <t>200ml pur from ASB International Pvt Ltd vide in</t>
  </si>
  <si>
    <t>1121404124</t>
  </si>
  <si>
    <t>180 ML PP ( 14.1 gm / 38 MM)</t>
  </si>
  <si>
    <t>B/NO. DM5222300602 DT: 25.05.22 BOOKED FOR P-1432</t>
  </si>
  <si>
    <t>UR 70 DPW 16 CAVITY COMPLETE MOLD 200 ML  VIDE T</t>
  </si>
  <si>
    <t>1121404485</t>
  </si>
  <si>
    <t>200 ML PP ( 14.5 gm / 38 MM)_C</t>
  </si>
  <si>
    <t>T/F THROUGH J/V AGST B/NO. DM5222301575 DT: -1434</t>
  </si>
  <si>
    <t>17.08.22 BOOKED FOR PUR 70 DPW 16 CAVITY COMPLET</t>
  </si>
  <si>
    <t>1121405414</t>
  </si>
  <si>
    <t>200 ML PP  DODLA ( L)_7B</t>
  </si>
  <si>
    <t>BEING AMT T/F THROUGH J/V AGST B/NO. LPPL/24-1436</t>
  </si>
  <si>
    <t xml:space="preserve">25/0619 DTD: 01.03.25 BOOKED FOR PUR 38 MM 14.5 </t>
  </si>
  <si>
    <t>1121405154</t>
  </si>
  <si>
    <t xml:space="preserve">150 ML DRUM </t>
  </si>
  <si>
    <t>B/NO. LPPL/2324/0619 DTD: 09.03.24 OF LEO PR-1438</t>
  </si>
  <si>
    <t>ECISION PVT LTD BOOKED FOR PUR BLOW MOULD VIDE T</t>
  </si>
  <si>
    <t>1121403903</t>
  </si>
  <si>
    <t>90 ML GM (9.0 gm/25 mm)_A</t>
  </si>
  <si>
    <t>Being ASB70DPW V4 - Complete 24 cavity mold -1440</t>
  </si>
  <si>
    <t>for 90ml Pet bottle pur from ASB International P</t>
  </si>
  <si>
    <t>1121404487</t>
  </si>
  <si>
    <t>90 ML GM (9.0 gm/25 mm)_B</t>
  </si>
  <si>
    <t>T/F THROUGH J/V AGST B/NO.  DM5222302027 DT:-1441</t>
  </si>
  <si>
    <t xml:space="preserve"> 23.09.22 BOOKED FOR PUR 70 DPW 24 CAVITY COMPLE</t>
  </si>
  <si>
    <t>1121404779</t>
  </si>
  <si>
    <t>90 ML GM (9.0 gm/25 mm)_C</t>
  </si>
  <si>
    <t>BEING T/F THROUGH J/V AGTS B/NO. DM523240046-1442</t>
  </si>
  <si>
    <t xml:space="preserve">6 DT: 12.05.2023OF ASB INTERNATIONAL BOOKED FOR </t>
  </si>
  <si>
    <t>1121404795</t>
  </si>
  <si>
    <t>90 ML GM (9.0 gm/25 mm)_D</t>
  </si>
  <si>
    <t>B/NO. DM5232400466 DT: 12.05.2023OF ASB INTE-1443</t>
  </si>
  <si>
    <t>RNATIONAL BOOKED FOR PUR ASB 70 DPW 24 CAVITY CO</t>
  </si>
  <si>
    <t>1121405185</t>
  </si>
  <si>
    <t>200 ML MOULD (19.0 gm/25 mm)_11</t>
  </si>
  <si>
    <t>B/NO. DM523240403836 DTD: 22.03.24 OF ASB IN-1445</t>
  </si>
  <si>
    <t>TERNATIONAL BOOKED FOR PUR 70 DPW 16 CAVITY COMP</t>
  </si>
  <si>
    <t>1121305090-1</t>
  </si>
  <si>
    <t>180 ml Hipster ASB mold _1</t>
  </si>
  <si>
    <t>Bill NO DM5232402927 DT 29/12/23 Purchase 12-1447</t>
  </si>
  <si>
    <t>M-Complete 4 Cavity Mold for 180ml PET bottle wi</t>
  </si>
  <si>
    <t>1121405337</t>
  </si>
  <si>
    <t>180 ML ABD Local mold (BM-0580)_B</t>
  </si>
  <si>
    <t>B/NO. LPPL/2425/0419 DTD: 22.11.24 BOOKED FO-1449</t>
  </si>
  <si>
    <t>R PUR 180 ML 5 CAVITY BLOW SHELL VIDE TSGO/24-25</t>
  </si>
  <si>
    <t>1121400507</t>
  </si>
  <si>
    <t>34 Gms / 28 MM-1451</t>
  </si>
  <si>
    <t>1121400582</t>
  </si>
  <si>
    <t>90 ML Liquor Mould-1452</t>
  </si>
  <si>
    <t>1121400666</t>
  </si>
  <si>
    <t>Lip Cavity Mold Qty-1, Precision Engineering-1453</t>
  </si>
  <si>
    <t xml:space="preserve"> , Bill No. 108 Dtd.26.08.11, Sgo-11-12/0735</t>
  </si>
  <si>
    <t>1121400689</t>
  </si>
  <si>
    <t>5 Cavity 70 Ml Mould, Inv No.63 Of Leo Preci-1454</t>
  </si>
  <si>
    <t>sion Products, Qty-1 , Sgo-11-12/01089</t>
  </si>
  <si>
    <t>1121400694</t>
  </si>
  <si>
    <t>25Mm/11Gm Lip Cavity  Mould. Qty-1,Precision-1455</t>
  </si>
  <si>
    <t xml:space="preserve"> Engineering Product, Bill No.173/11-12 Dtd.30.1</t>
  </si>
  <si>
    <t>1121400714</t>
  </si>
  <si>
    <t>100 Ml.Cavity Blow Shell With Bottom Mould 2-1456</t>
  </si>
  <si>
    <t xml:space="preserve"> Qty.@ 94000/- Purchased From Leo Precision Prod</t>
  </si>
  <si>
    <t>1121400716</t>
  </si>
  <si>
    <t>Purchase Of Weight Change Parts For 100 Ml.P-1457</t>
  </si>
  <si>
    <t>et Bottle From As Interenational Pvt.Ltd.Agst.Bn</t>
  </si>
  <si>
    <t>1121400723</t>
  </si>
  <si>
    <t>Bill No 1010200191 24.4.12  Asb Internationa-1458</t>
  </si>
  <si>
    <t>l Pvt.Ltd.Purchase Of Weight Change Parts For 10</t>
  </si>
  <si>
    <t>1121400727</t>
  </si>
  <si>
    <t>38mm /15gm 100 ml 2 Cavity Spice Jar  Blow M-1459</t>
  </si>
  <si>
    <t>ould</t>
  </si>
  <si>
    <t>1121400735</t>
  </si>
  <si>
    <t>5 Cavity weight Chage Parts  as mould parts -1460</t>
  </si>
  <si>
    <t>Bill No0101200599 9.6.12 Asb Int</t>
  </si>
  <si>
    <t>1121400755</t>
  </si>
  <si>
    <t>Purchase Blow Shell Bottom Mould 5 Cavity 10-1461</t>
  </si>
  <si>
    <t>0 Ml, 1 Pc.@ 94000/- From Leo Precision Products</t>
  </si>
  <si>
    <t>1121400776</t>
  </si>
  <si>
    <t>Parts for injection strech blow M/c. -Bill N-1462</t>
  </si>
  <si>
    <t>o 0101201532 3.9.12 Asb Int</t>
  </si>
  <si>
    <t>1121400777</t>
  </si>
  <si>
    <t>Parts for injection strech blow M/c-Bill No -1463</t>
  </si>
  <si>
    <t>0101201531 3.9.12 Asb Int</t>
  </si>
  <si>
    <t>1121400801</t>
  </si>
  <si>
    <t>Purchase 50 Mb Section Purpose Hot Runner As-1464</t>
  </si>
  <si>
    <t>sembelly For 5 Cavity Mold No.328K61841 Agst.Bno</t>
  </si>
  <si>
    <t>1121400880</t>
  </si>
  <si>
    <t>5 Cavity Weight Change Parts -Bill No 010120-1465</t>
  </si>
  <si>
    <t>2737  28.12.12 Asb Int</t>
  </si>
  <si>
    <t>1121400920</t>
  </si>
  <si>
    <t>70ml 5 Cavity  Blow shell with Biottom Mould-1466</t>
  </si>
  <si>
    <t xml:space="preserve"> -Bill No 40/31.1.13 Leo Precision</t>
  </si>
  <si>
    <t>1121401071</t>
  </si>
  <si>
    <t>4 cavity mould for 200 ml pet bottle &amp; Impor-1467</t>
  </si>
  <si>
    <t>t License - SCH Receivable</t>
  </si>
  <si>
    <t>1121401158</t>
  </si>
  <si>
    <t>blow mould 5 cavity  Agst.bno.69 dt:09.08.20-1468</t>
  </si>
  <si>
    <t>13</t>
  </si>
  <si>
    <t>1121401263</t>
  </si>
  <si>
    <t>5 Cavity injection mould for 100 ml pet bott-1469</t>
  </si>
  <si>
    <t>le  agst.Bno.0101302631 dt.26.11.13 &amp; Import Lic</t>
  </si>
  <si>
    <t>1121401441</t>
  </si>
  <si>
    <t>Weight Change Parts for 100 ML Pet Bottle S/-1470</t>
  </si>
  <si>
    <t xml:space="preserve">N:-338N9326801 </t>
  </si>
  <si>
    <t>1121401468</t>
  </si>
  <si>
    <t>4 Cavity Weight Change parts for 300 ml 22G -1471</t>
  </si>
  <si>
    <t>Pet Bottle S/N:-328N9287701 for 50 MB ASB Machin</t>
  </si>
  <si>
    <t>1121401469</t>
  </si>
  <si>
    <t>4 Cavity Weight Change parts for 200 ml 21G -1472</t>
  </si>
  <si>
    <t>Pet Bottle S/N:-358N9431901 for 50 MB ASB Machin</t>
  </si>
  <si>
    <t>1121401494</t>
  </si>
  <si>
    <t>Weight Change Parts for 100 ML Pet Bottle S/-1473</t>
  </si>
  <si>
    <t>N:-328N9296305 for PFIZER on 12.5gm Weight Chang</t>
  </si>
  <si>
    <t>1121401646</t>
  </si>
  <si>
    <t>5 Cavity 22 MM/5 GM 20 Ml.Blow Mould-1474</t>
  </si>
  <si>
    <t>1121401758</t>
  </si>
  <si>
    <t>4 Cavity Weight Change Parts-1 Pc.S/N:328N92-1475</t>
  </si>
  <si>
    <t>72803</t>
  </si>
  <si>
    <t>1121401931</t>
  </si>
  <si>
    <t>ASB-50MB 4 CAVITY WEIGHT CHANGE PARTS FOR 30-1476</t>
  </si>
  <si>
    <t>0 ML PET BOTTLE S/N.328N9272804</t>
  </si>
  <si>
    <t>1121402592</t>
  </si>
  <si>
    <t>5 Cavity Weight Chage Parts for 60 Ml Pet Bo-1477</t>
  </si>
  <si>
    <t xml:space="preserve">ttle </t>
  </si>
  <si>
    <t>1121402613</t>
  </si>
  <si>
    <t>25 MM 60 Ml Rd. Curve Bottle Single Cavity B-1478</t>
  </si>
  <si>
    <t>low Mould</t>
  </si>
  <si>
    <t>1121402614</t>
  </si>
  <si>
    <t>4 Cavity Lip Cavity Assembly for 170 Ml Pet -1479</t>
  </si>
  <si>
    <t>Bottle</t>
  </si>
  <si>
    <t>1121402750</t>
  </si>
  <si>
    <t>3 Cavity Lip Cavity Assembly for 200 Ml PP B-1480</t>
  </si>
  <si>
    <t>ottle</t>
  </si>
  <si>
    <t>1121402817</t>
  </si>
  <si>
    <t>BEING PUR MOULD PARTS OF 100 ML BOTTLE 12.5 -1481</t>
  </si>
  <si>
    <t xml:space="preserve">GRM VIDE TSGO/18-19/189 &amp; INVN O LP/SA/1819/340 </t>
  </si>
  <si>
    <t>1121403250</t>
  </si>
  <si>
    <t>Being 100mm quaker cavity plate-01 no (4 cav-1482</t>
  </si>
  <si>
    <t xml:space="preserve">ity) pur from Mould tool Systems vide inv no 24 </t>
  </si>
  <si>
    <t>1121403422</t>
  </si>
  <si>
    <t>Being 50 MB mould parts pur from ASB Interna-1483</t>
  </si>
  <si>
    <t>tinal Pvt Ltd vide inv no DM5202101361 dt 13.10.</t>
  </si>
  <si>
    <t>1121403426</t>
  </si>
  <si>
    <t>Being 63mm 6 Cavity Regular Cap Mould pur fr-1484</t>
  </si>
  <si>
    <t>om Advace Impex vide inv no AI/20-21/008 dt 15.1</t>
  </si>
  <si>
    <t>1121403427</t>
  </si>
  <si>
    <t>Being 28mm_Neck Ring pur from Krishna Precis-1485</t>
  </si>
  <si>
    <t>ion Engineering works vide inv no KPEW/139/20-21</t>
  </si>
  <si>
    <t>1121403442</t>
  </si>
  <si>
    <t>Being Mold Parts for 50MB Sr# 398N9586701 pu-1486</t>
  </si>
  <si>
    <t>r from ASB International Pvt Ltd vide inv no DM5</t>
  </si>
  <si>
    <t>1121403510</t>
  </si>
  <si>
    <t>Being LIP CAVITY &amp; INJECTION CORE pur from A-1487</t>
  </si>
  <si>
    <t>SB International Pvt Ltd vide inv no DM520210195</t>
  </si>
  <si>
    <t>1121403541</t>
  </si>
  <si>
    <t>Being 5 Cavity 73 mm 350 ml peanut jar mould-1488</t>
  </si>
  <si>
    <t>1121403567</t>
  </si>
  <si>
    <t>Being injection core fixing plate A &amp; B/cool-1489</t>
  </si>
  <si>
    <t>ing plate pur from Shreemad Engineers vide inv n</t>
  </si>
  <si>
    <t>1121403568</t>
  </si>
  <si>
    <t>Being injection core fixing plate B/cooling -1490</t>
  </si>
  <si>
    <t>plate pur from Shreemad Engineers vide inv no SM</t>
  </si>
  <si>
    <t>1121403621</t>
  </si>
  <si>
    <t>Being cooling pipes for A11 pur from Acme Dr-1491</t>
  </si>
  <si>
    <t>inktec Solutions LLP vide inv no 163 dt 27.03.21</t>
  </si>
  <si>
    <t>1121403684</t>
  </si>
  <si>
    <t>Being lip cavity N90D1203400 &amp; injection cav-1492</t>
  </si>
  <si>
    <t>ity K00E0620101 pur from ASB International Pvt L</t>
  </si>
  <si>
    <t>1121403819</t>
  </si>
  <si>
    <t>Being 4 Cavity weight change parts for weigh-1493</t>
  </si>
  <si>
    <t>t increase pur from ASB International Pvt Ltd vi</t>
  </si>
  <si>
    <t>1121403823</t>
  </si>
  <si>
    <t>Being 3 cavity weight change parts 42 gm pur-1494</t>
  </si>
  <si>
    <t xml:space="preserve"> from ASB International Pvt Ltd vide inv no DM52</t>
  </si>
  <si>
    <t>1121403828</t>
  </si>
  <si>
    <t>Being 38 mm _ 200 mm pp milk bottle bottom I-1495</t>
  </si>
  <si>
    <t>nsert pur from Krishna Precision Engieneering Wo</t>
  </si>
  <si>
    <t>1121403924</t>
  </si>
  <si>
    <t>Being 38mm_200ml PP Milk Bottle Bottom Inser-1496</t>
  </si>
  <si>
    <t>t pur from Krishna Precision Engineering Works v</t>
  </si>
  <si>
    <t>1121403925</t>
  </si>
  <si>
    <t>Being LIP CAVITY   (418K6519400) pur from AS-1497</t>
  </si>
  <si>
    <t>B International Pvt Ltd vide inv no DM5212202323</t>
  </si>
  <si>
    <t>1121404027</t>
  </si>
  <si>
    <t>B/NO: LPPL/SA/258/2122 DT. 18.01.22 OF LEO P-1498</t>
  </si>
  <si>
    <t xml:space="preserve">RECISION PVT.LTD BOOKED FOR PUR DIE &amp; MOULD  73 </t>
  </si>
  <si>
    <t>1121404028</t>
  </si>
  <si>
    <t>B/NO. LPPL/SA/277/2122 DT: 01.02.22 OF LEO P-1499</t>
  </si>
  <si>
    <t>RECISION BOOKED FOR PUR 53 MM 186 ML CHOCO SPREA</t>
  </si>
  <si>
    <t>1101404099</t>
  </si>
  <si>
    <t>B/NO. DM5222300340 DT: 02.05.22 BOOKED FOR P-1500</t>
  </si>
  <si>
    <t>UR MOLD PARTS VIDE TSGO/22-23/092 DT: 03.05.22 A</t>
  </si>
  <si>
    <t>1121404184</t>
  </si>
  <si>
    <t>Being 200ML PP Milk Bottle Mould Purchased a-1501</t>
  </si>
  <si>
    <t>gainst PO: SMPOCG/22-23/083 dated: 17.06.22 Capi</t>
  </si>
  <si>
    <t>1121404439</t>
  </si>
  <si>
    <t>Being Single cavity Blow Mould for 12Ltr, 10-1502</t>
  </si>
  <si>
    <t>Ltr, 8Ltr Round Jar pur from Print Link vide inv</t>
  </si>
  <si>
    <t>1121404488</t>
  </si>
  <si>
    <t>T/F THROUGH J/V AGST B/NO. DM5222302110 DT: -1503</t>
  </si>
  <si>
    <t xml:space="preserve">07.10.22 BOOKED FOR PUR QUICK TUBE FITTING VIDE </t>
  </si>
  <si>
    <t>1121404498</t>
  </si>
  <si>
    <t>BEING PURCHASED AS 90ML GM BOTTLE BLOW CAVIT-1504</t>
  </si>
  <si>
    <t>Y &amp; BOTTOM INSERT-50MB M/C AND 180ML RD GM BOTTL</t>
  </si>
  <si>
    <t>1121404558</t>
  </si>
  <si>
    <t>T/F THROUGH J/V AGST B/NO. 32 DT: 15.12.22 B-1505</t>
  </si>
  <si>
    <t>OOKED FOR PUR NASAL CAP &amp; NOZZLE PROTO MOLD VIDE</t>
  </si>
  <si>
    <t>1121404730</t>
  </si>
  <si>
    <t>T/F THROUGH J/V AGST B/NO. DM5222303342 DT: -1506</t>
  </si>
  <si>
    <t>31.01.23 OF ASB INTERNATIONAL BOOKED FOR PUR ASB</t>
  </si>
  <si>
    <t>1121404731</t>
  </si>
  <si>
    <t>T/F THROUGH J/V B/NO. DM5222303913 DT: 23.03-1507</t>
  </si>
  <si>
    <t>.2023 OF ASB INTERNATIONAL BOOKED FOR PUR ASB 70</t>
  </si>
  <si>
    <t>1121404823</t>
  </si>
  <si>
    <t>B/NO. DM5232401105 DT: 06.07.23 OF ASB INTER-1508</t>
  </si>
  <si>
    <t xml:space="preserve">NATIONAL BOOKED FOR PUR 70 DPH 5 CAV MOLD PARTS </t>
  </si>
  <si>
    <t>1121404824</t>
  </si>
  <si>
    <t>B/NO. DM5232401104 DT: 06.07.23 OF ASB INTER-1509</t>
  </si>
  <si>
    <t xml:space="preserve">NATIONAL BOOKED FOR PUR 70 DPH 6 CAV MOLD PARTS </t>
  </si>
  <si>
    <t>1121404900</t>
  </si>
  <si>
    <t>B/NO. DM5232401676 DT: 28.08.23 OF ASB INTER-1510</t>
  </si>
  <si>
    <t>NATIONAL BOOKED FOR PUR ASB 70 DPH MOLD PARTS VI</t>
  </si>
  <si>
    <t>1121404883</t>
  </si>
  <si>
    <t>B/NO. DM5232401674 DT: 28.08.23 OF ASB INTER-1511</t>
  </si>
  <si>
    <t>NATIONAL BOOKED FOR PUR ASB 50 MB V3 4 CAVITY AS</t>
  </si>
  <si>
    <t>1121404884</t>
  </si>
  <si>
    <t>DM5232401673 DT: 28.08.23 OF ASB INTERNATION-1512</t>
  </si>
  <si>
    <t>A;L BOOKED FOR PUR ASB 50 MB V3 5 CAV MOLD PARTS</t>
  </si>
  <si>
    <t>1121404886</t>
  </si>
  <si>
    <t>B/NO. DM5232401511 DT: 12.08.23  OF ASB BOOK-1513</t>
  </si>
  <si>
    <t>ED FOR PUR 70 DPW V4 INJECTION CAVITY VIDE TSGO/</t>
  </si>
  <si>
    <t>1121404917</t>
  </si>
  <si>
    <t>Being purchased INJECTION CORE , COOLING PIP-1514</t>
  </si>
  <si>
    <t>E , ROD , BUFFLE &amp; TIP VIDE TSGO/23-24/258 DT: 0</t>
  </si>
  <si>
    <t>1121404963</t>
  </si>
  <si>
    <t>BEING T/F THROUGH J/V AGST B/NO. DM523240230-1515</t>
  </si>
  <si>
    <t>1 DT: 23.10.23 OF ASB INTERNATIONAL BOOKED FOR P</t>
  </si>
  <si>
    <t>1121404987</t>
  </si>
  <si>
    <t>B/NO. KPEW/203/23-24 DT: 25.10.23 OF KRISHNA-1516</t>
  </si>
  <si>
    <t xml:space="preserve"> PRECISION ENG BOOKED FOR PUR 69 MM 8 CAVITY REG</t>
  </si>
  <si>
    <t>1121405072</t>
  </si>
  <si>
    <t>BEING T/F THROUGH J/V AGST B/NO. DM523240302-1517</t>
  </si>
  <si>
    <t>1 DT: 10.01.24 OF ASB INTERNATIONAL BOOKED FOR P</t>
  </si>
  <si>
    <t>1121405070</t>
  </si>
  <si>
    <t>BEING T/F THROUGH J/V AGST B/NO. DM523240302-1518</t>
  </si>
  <si>
    <t>0 DT: 10.01.24 OF ASB INTERNATIONAL BOOKED FOR P</t>
  </si>
  <si>
    <t>1121405102</t>
  </si>
  <si>
    <t>B/NO. TS2/23-24/0801 DT: 28.06.23 OF  TPAC S-1519</t>
  </si>
  <si>
    <t>KYPET INDIA BOOED FOR PUR BLOW MOULD FULL SET VI</t>
  </si>
  <si>
    <t>1121405103</t>
  </si>
  <si>
    <t>B/NO. HMT/23-24/306 DT: 20.12.23 OF HINDUSTA-1520</t>
  </si>
  <si>
    <t>N MOULDS TECHNOLOGY BOOKED FOR PUR INJECTION COR</t>
  </si>
  <si>
    <t>1121405118</t>
  </si>
  <si>
    <t>B/NO. MM/23-24/0768 DTD: 11.03.24 OF MAXMOUL-1521</t>
  </si>
  <si>
    <t>D BOOKED FOR PUR BLOW MOLD VID E TSGO/23-24/0685</t>
  </si>
  <si>
    <t>1121405132</t>
  </si>
  <si>
    <t>B/NO. HMT/23-24/307 DT: 20.12.23 OF HINDUSTA-1522</t>
  </si>
  <si>
    <t>N MOULDS BOOEKD FOR PUR HETING POT &amp; INJECTION C</t>
  </si>
  <si>
    <t>1121405153</t>
  </si>
  <si>
    <t>B/NO. DM5232403556 DTD: 26.02.24 OF ASB INTE-1523</t>
  </si>
  <si>
    <t xml:space="preserve">RNATIONAL BOOEKD FOR PUR 70 DPH BLOW PARTS VIDE </t>
  </si>
  <si>
    <t>1121405155</t>
  </si>
  <si>
    <t>B/NO. DM5242500191 DTD: 19.04.24 OF ASB FOR -1524</t>
  </si>
  <si>
    <t>INJECTION CAVITY ASSEMBLY S/N 328N9287504 VIDE T</t>
  </si>
  <si>
    <t>1121405186</t>
  </si>
  <si>
    <t>BEING T/F THROUGH J/V AGST B/NO. SME/24-25/0-1525</t>
  </si>
  <si>
    <t>31 DTD: 02.05.24 OF SHREEMAD ENGINEERS BOOKED FO</t>
  </si>
  <si>
    <t>1121405242</t>
  </si>
  <si>
    <t>B/NO. DM5242500923 DTD: 25.06.24 OF ASB INTE-1526</t>
  </si>
  <si>
    <t>RNATIONAL BOOKED FOR PUR ASB 50 MB VE 4 CAV MOLD</t>
  </si>
  <si>
    <t>1121405243</t>
  </si>
  <si>
    <t>B/NO. DM5242500974 DTD: 29.06.24 OF ASB INTE-1527</t>
  </si>
  <si>
    <t>RNATIONAL BOOKED FOR PUR ASB 70 DPH MOLD PARTS S</t>
  </si>
  <si>
    <t>1121405244</t>
  </si>
  <si>
    <t>B/NO. DM5242501072 DTD: 09.07.24 OF ASB INTE-1528</t>
  </si>
  <si>
    <t>RNATIONAL BOOKED FOR PUR ASB_50MB VE_5 CAV INJ C</t>
  </si>
  <si>
    <t>1121400545</t>
  </si>
  <si>
    <t>50 ML Mould-1529</t>
  </si>
  <si>
    <t>1121400561</t>
  </si>
  <si>
    <t>30 ML Mould-1530</t>
  </si>
  <si>
    <t>1121405338</t>
  </si>
  <si>
    <t>B/NO. MM/24-25/0539 DTD: 02.12.24 BOOKED FOR-1531</t>
  </si>
  <si>
    <t xml:space="preserve"> PUR BLOW MOLD FOR ASB 70 DPH M/C 5 CAVITY RD JA</t>
  </si>
  <si>
    <t>1121204082</t>
  </si>
  <si>
    <t>Being 90ml 5 Cavity GM Bottle Complete Blow -1532</t>
  </si>
  <si>
    <t>Mould pur from AG Moulds vide inv no 50 dt 21.12</t>
  </si>
  <si>
    <t>1121204094</t>
  </si>
  <si>
    <t>BILL NO-  MM/22-23/0087  DT-06.05.22    PURC-1533</t>
  </si>
  <si>
    <t xml:space="preserve">HASE  BLOW MOULD FOR 50MB M/C  90ML FIVE CAVITY </t>
  </si>
  <si>
    <t>1121405412</t>
  </si>
  <si>
    <t>BEING T/F THROUGH J/V AGST B/NO. MM/24-25/04-1534</t>
  </si>
  <si>
    <t>48 DTD: 19.10.24 BOOKED FOR PUR 4 CAVITY INJECTI</t>
  </si>
  <si>
    <t>1121405413</t>
  </si>
  <si>
    <t>BEING AMT T/F AGST B/NO. LPPL/2425/0618 DTD:-1535</t>
  </si>
  <si>
    <t xml:space="preserve"> 01.03.25  BOOKED FOR PUR 38 MM 200 ML MILK BOTT</t>
  </si>
  <si>
    <t>1121405417</t>
  </si>
  <si>
    <t>BEING T/F THROUGH J/V AGST B/NO LPPL/2526/01-1536</t>
  </si>
  <si>
    <t>26 DTD:11/6/25 OF LEO PRECISION BOOKED FOR THE P</t>
  </si>
  <si>
    <t>1121405418</t>
  </si>
  <si>
    <t>BEING T/F THROUGH J/V AGST B/NO. MM/25-26/01-1537</t>
  </si>
  <si>
    <t>97 DTD: 23.06.25 OF MAX MOULD BOOKED FOR PUR 8 C</t>
  </si>
  <si>
    <t>1121102542</t>
  </si>
  <si>
    <t>89mm Al Mragil Cap New Cavity Plate - 4 Cavi-1538</t>
  </si>
  <si>
    <t>ty</t>
  </si>
  <si>
    <t>1121102669</t>
  </si>
  <si>
    <t>38MM 4 CAVITY GOWARDHAN CAP MOULD -1539</t>
  </si>
  <si>
    <t>1121102737</t>
  </si>
  <si>
    <t>73MM JAR / 70DPH 5CAVITY MOULD PLATE-A MOULD-1540</t>
  </si>
  <si>
    <t xml:space="preserve"> NO.328K6189500</t>
  </si>
  <si>
    <t>1121102738</t>
  </si>
  <si>
    <t>73MM JAR / 70DPH HOLDING/COOLING PLATE -B  M-1541</t>
  </si>
  <si>
    <t>OULD NO.328K6189500</t>
  </si>
  <si>
    <t>1121102780</t>
  </si>
  <si>
    <t>2.6 LTRS CAVITY LOTO JAR MOULD ALUMINIUM HE3-1542</t>
  </si>
  <si>
    <t>0 ,Agaisnt Inv.No.055/07.08.2017</t>
  </si>
  <si>
    <t>1121102781</t>
  </si>
  <si>
    <t>2 Ltr. Oil Bottle Mould with Handle Grip-1543</t>
  </si>
  <si>
    <t>1121102782</t>
  </si>
  <si>
    <t>2200 ML Single Cavity Jar Mould 83 mm-1544</t>
  </si>
  <si>
    <t>1121102783</t>
  </si>
  <si>
    <t>2 Ltr. Oil Bottle with Hand Grip Mould-1545</t>
  </si>
  <si>
    <t>1121102784</t>
  </si>
  <si>
    <t>2.2 Ltr. Square Jar Mould (83 mm Short Neck)-1546</t>
  </si>
  <si>
    <t>1121102785</t>
  </si>
  <si>
    <t>28MM /750 ML SINGLE CAVITY Mold CTC BOTTLE M-1547</t>
  </si>
  <si>
    <t>OLD - 1 Nos</t>
  </si>
  <si>
    <t>1121102786</t>
  </si>
  <si>
    <t>2 Cavity 500 Ml Mold with Back Plate (qty-1)-1548</t>
  </si>
  <si>
    <t>1121102789</t>
  </si>
  <si>
    <t xml:space="preserve"> 63 mm Lip Cavity 100 Ml Classic Jar 9qty-1-1549</t>
  </si>
  <si>
    <t>1121102801</t>
  </si>
  <si>
    <t>BEING PURCHASED AS 46MM 330ML JAR 2 CAVITY B-1550</t>
  </si>
  <si>
    <t>LOW MOULD FROM KRISHNA PRECISION ENG WORKS AGST.</t>
  </si>
  <si>
    <t>1121102807</t>
  </si>
  <si>
    <t>BEING PURCHASED AS 465ML &amp; 175ML MOULD  FROM-1551</t>
  </si>
  <si>
    <t xml:space="preserve"> DYNAMIC PET MOULD AGST. INV.NO: 503 DT: 3.1.19 </t>
  </si>
  <si>
    <t>1121102851</t>
  </si>
  <si>
    <t>BEING MATERIAL PURCHASED AS 45MM NECK PREFOR-1552</t>
  </si>
  <si>
    <t xml:space="preserve">M HOLDER ( 34 PCS ) FROM KRISHNA PRECISION ENG. </t>
  </si>
  <si>
    <t>1121102872</t>
  </si>
  <si>
    <t>BEING PURCHASED AS 83MM MOULD FOR 1000ML SQ.-1553</t>
  </si>
  <si>
    <t xml:space="preserve"> JAR FROM KRISHNA PRECISION ENGINEERING WORKS AG</t>
  </si>
  <si>
    <t>1121102884</t>
  </si>
  <si>
    <t>BEING MATERIAL PURCHASED AS 500ML ALUMINIUM -1554</t>
  </si>
  <si>
    <t xml:space="preserve">MOULD  SINGLE CAVITY NECK DIA 53MM FROM DYNAMIC </t>
  </si>
  <si>
    <t>1121102936</t>
  </si>
  <si>
    <t>BEING DIES AND MOULD 45MM-1000ML FREEZE BOTT-1555</t>
  </si>
  <si>
    <t>LE BLOW MOULD SINGLE CAVITY FROM KRISHNA PRECISI</t>
  </si>
  <si>
    <t>1121102994</t>
  </si>
  <si>
    <t>BEING 120mm_SP400_2600ml Jar Blow Mould Sing-1556</t>
  </si>
  <si>
    <t>le Cavity ( Auto Blow Machine Blow Mould ) Mater</t>
  </si>
  <si>
    <t>1121102995</t>
  </si>
  <si>
    <t>BEING 83mm_SP400_750ml Square Jar 1SET, SING-1557</t>
  </si>
  <si>
    <t>LE CAVITY MOULD DULLY CNC &amp; VMC MACNINING POLISH</t>
  </si>
  <si>
    <t>1121103100</t>
  </si>
  <si>
    <t>Being 73mm Cap Cavity Plate with Logo Engrav-1558</t>
  </si>
  <si>
    <t>ing -06 Cavit pur from Somnath Plastics vide inv</t>
  </si>
  <si>
    <t>1121103204</t>
  </si>
  <si>
    <t>Being 45mm 980ml Freeze Bottle Blow Mould pu-1559</t>
  </si>
  <si>
    <t xml:space="preserve">r from Krishna Precision Engineering works vide </t>
  </si>
  <si>
    <t>1121103208</t>
  </si>
  <si>
    <t>Being 350ml Jar Single Cavity Blow Mould pur-1560</t>
  </si>
  <si>
    <t xml:space="preserve"> from Max Mould vide inv no MM/19-20/0668 dt 24.</t>
  </si>
  <si>
    <t>1121103217</t>
  </si>
  <si>
    <t>Being 83mm_SP400_800ml Jar Single Cavity Blo-1561</t>
  </si>
  <si>
    <t>w Mould pur from Krishna Precision Engineering W</t>
  </si>
  <si>
    <t>1121103219</t>
  </si>
  <si>
    <t>Being 100mm_SP400_1750ml Cylinder Jar Blow M-1562</t>
  </si>
  <si>
    <t>ould pur from Krishna Precision Engineering work</t>
  </si>
  <si>
    <t>1121103224</t>
  </si>
  <si>
    <t>Being 63mm_SP400_300ml Jar Single Cavity Blo-1563</t>
  </si>
  <si>
    <t>w Mould pur from Krishna Precision Engg Works vi</t>
  </si>
  <si>
    <t>1121103415</t>
  </si>
  <si>
    <t>Being 53mm_SP400_L140_G29_550ml Square Jar S-1564</t>
  </si>
  <si>
    <t>ingle Cavity Blow Mould pur from Krishna Precisi</t>
  </si>
  <si>
    <t>1121103417</t>
  </si>
  <si>
    <t>Being 120mm_SP400_2670ml Saree Jar Blow Moul-1565</t>
  </si>
  <si>
    <t>d pur from Krishna Precision Engineering Works v</t>
  </si>
  <si>
    <t>1121103460</t>
  </si>
  <si>
    <t>Being 100ml_SP400_1000ml HUL Jar Blow Mold p-1566</t>
  </si>
  <si>
    <t>ur from Krishna Precision Engineering Works vide</t>
  </si>
  <si>
    <t>1121103559</t>
  </si>
  <si>
    <t>Being 38MM 3 START 200ML APSARA BOTTLE BLOW -1567</t>
  </si>
  <si>
    <t>MOULD pur from Krishna Precision Engineering Wor</t>
  </si>
  <si>
    <t>1101103573</t>
  </si>
  <si>
    <t>Being Cylinder costing for BOOST HTL Cap 200-1568</t>
  </si>
  <si>
    <t>ml &amp; 750ml Bottle Design pur from D Front Gravur</t>
  </si>
  <si>
    <t>1121103753</t>
  </si>
  <si>
    <t>Being 83mm_500ml, 100mm_1000ml, 120mm_1500ml-1569</t>
  </si>
  <si>
    <t xml:space="preserve"> Jar Bottom Insert pur from Krishna Precision En</t>
  </si>
  <si>
    <t>1121103754</t>
  </si>
  <si>
    <t>Being 53 MM Cavity Plate ,Kissan Logo pur fr-1570</t>
  </si>
  <si>
    <t>om Advance Impex vide inv no AI/21-22/001 dt 28.</t>
  </si>
  <si>
    <t>1101104039</t>
  </si>
  <si>
    <t>Being purchased as Injection Cavity Assembly-1571</t>
  </si>
  <si>
    <t xml:space="preserve"> Mold No: 348K624210 for 800ml Dumble Complete I</t>
  </si>
  <si>
    <t>1101104123</t>
  </si>
  <si>
    <t>B/No: DM5222300453 DT: 12.5.2022 Being Purch-1572</t>
  </si>
  <si>
    <t>ased as ASB70DPH V4 6 Cavity Injection Core Assl</t>
  </si>
  <si>
    <t>1121504315</t>
  </si>
  <si>
    <t>Being Purchased as Injection Mould Parts for-1573</t>
  </si>
  <si>
    <t xml:space="preserve"> 200ml Blow Mould 53MM 70DPH Agst.INV.NO: LPPL/S</t>
  </si>
  <si>
    <t>1121504392</t>
  </si>
  <si>
    <t>Being Core Half for 100mm Parle Cap Mould 4 -1574</t>
  </si>
  <si>
    <t xml:space="preserve">Cavity pur from Moultool Systems vide inv no 31 </t>
  </si>
  <si>
    <t>1121504319</t>
  </si>
  <si>
    <t>Being Movacolor MC12 dosing unit pur from Gl-1575</t>
  </si>
  <si>
    <t>obal Polytech (India) Pvt Ltd vide inv no GPIPL/</t>
  </si>
  <si>
    <t>1121504419</t>
  </si>
  <si>
    <t>BEING PURCHASED AS 120MM REGULAR CAP MOULD- -1576</t>
  </si>
  <si>
    <t xml:space="preserve">2 CAVITY-SP400 ( MOULD BASE- P20) FROM MOULTOOL </t>
  </si>
  <si>
    <t>1121504326</t>
  </si>
  <si>
    <t>Mova Colour Dosing Unit-1577</t>
  </si>
  <si>
    <t>1121504420</t>
  </si>
  <si>
    <t>Being 73 MM Gits Cap MOULD ( Cavity Inserts -1578</t>
  </si>
  <si>
    <t>6 Pieces) pur from Advance Impex vide inv no AI/</t>
  </si>
  <si>
    <t>1121504328</t>
  </si>
  <si>
    <t>Being 800ml Parle Dumble Heating Core pur fo-1579</t>
  </si>
  <si>
    <t>m Shreemad Engineers vide inv no SME/21-22/086 d</t>
  </si>
  <si>
    <t>1121504265</t>
  </si>
  <si>
    <t>Injection Cavity Assembly - 6 Cavity 50ml Mo-1580</t>
  </si>
  <si>
    <t xml:space="preserve">uld No.328K619530 </t>
  </si>
  <si>
    <t>1121504349</t>
  </si>
  <si>
    <t>250 ML Suprem Jar-1581</t>
  </si>
  <si>
    <t>1121504358</t>
  </si>
  <si>
    <t>MOLD - SINGLE CAVITY 400ML JAR MOULD CAV MAT-1582</t>
  </si>
  <si>
    <t>L SS410</t>
  </si>
  <si>
    <t>1121504409</t>
  </si>
  <si>
    <t>89MM CAP- 4 CAVITY MOULD AND 100MM CAP 4 CAV-1583</t>
  </si>
  <si>
    <t>ITY MOULD</t>
  </si>
  <si>
    <t>1121504421</t>
  </si>
  <si>
    <t>73 mm Nech Remium Cap Mould ( 2 Cavity)-1584</t>
  </si>
  <si>
    <t>1121504413</t>
  </si>
  <si>
    <t>200 ML 5 Cavity Blow Mould with Black Plate -1585</t>
  </si>
  <si>
    <t>1121504418</t>
  </si>
  <si>
    <t>73MM 8 CAVITY REGULAR CAP MOULD -1586</t>
  </si>
  <si>
    <t>1161400698</t>
  </si>
  <si>
    <t>9014</t>
  </si>
  <si>
    <t>Vehicles </t>
  </si>
  <si>
    <t xml:space="preserve"> Toyota innova car-1587</t>
  </si>
  <si>
    <t>1161401425</t>
  </si>
  <si>
    <t>Swift ZDI (Diesel )-1588</t>
  </si>
  <si>
    <t>1161402320</t>
  </si>
  <si>
    <t>Maruti - CELERIO VXI CNG  (Car In Umbergaon -1589</t>
  </si>
  <si>
    <t>Unit)</t>
  </si>
  <si>
    <t>1161100674</t>
  </si>
  <si>
    <t>Moter Car ETOS-1590</t>
  </si>
  <si>
    <t>IN01</t>
  </si>
  <si>
    <t>2018</t>
  </si>
  <si>
    <t>2019</t>
  </si>
  <si>
    <t>2020</t>
  </si>
  <si>
    <t>2021</t>
  </si>
  <si>
    <t>2023</t>
  </si>
  <si>
    <t>2024</t>
  </si>
  <si>
    <t>2022</t>
  </si>
  <si>
    <t>2025</t>
  </si>
  <si>
    <t>in 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</si>
</sst>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 #,##0.00_ ;_ * \-#,##0.00_ ;_ * &quot;-&quot;??_ ;_ @_ "/>
    <numFmt numFmtId="164" formatCode="_(* #,##0.00_);_(* \(#,##0.00\);_(* &quot;-&quot;??_);_(@_)"/>
    <numFmt numFmtId="165" formatCode="_(* #,##0_);_(* \(#,##0\);_(* &quot;-&quot;??_);_(@_)"/>
    <numFmt numFmtId="166" formatCode="_-* #,##0.00_-;\-* #,##0.00_-;_-* &quot;-&quot;??_-;_-@_-"/>
    <numFmt numFmtId="167" formatCode="_ * #,##0_ ;_ * \-#,##0_ ;_ * &quot;-&quot;??_ ;_ @_ "/>
  </numFmts>
  <fonts count="33" x14ac:knownFonts="1">
    <font>
      <sz val="11"/>
      <color theme="1"/>
      <name val="Aptos Narrow"/>
      <family val="2"/>
      <scheme val="minor"/>
    </font>
    <font>
      <sz val="11"/>
      <color theme="1"/>
      <name val="Aptos Narrow"/>
      <family val="2"/>
      <scheme val="minor"/>
    </font>
    <font>
      <b/>
      <sz val="11"/>
      <color theme="1"/>
      <name val="Aptos Narrow"/>
      <family val="2"/>
      <scheme val="minor"/>
    </font>
    <font>
      <sz val="11"/>
      <color indexed="8"/>
      <name val="Calibri"/>
      <family val="2"/>
    </font>
    <font>
      <sz val="11"/>
      <color theme="0"/>
      <name val="Calibri"/>
      <family val="2"/>
    </font>
    <font>
      <sz val="11"/>
      <color theme="1"/>
      <name val="Calibri"/>
      <family val="2"/>
    </font>
    <font>
      <b/>
      <sz val="9"/>
      <color indexed="81"/>
      <name val="Tahoma"/>
      <family val="2"/>
    </font>
    <font>
      <sz val="9"/>
      <color indexed="81"/>
      <name val="Tahoma"/>
      <family val="2"/>
    </font>
    <font>
      <sz val="11"/>
      <name val="Times New Roman"/>
      <family val="1"/>
    </font>
    <font>
      <b/>
      <sz val="11"/>
      <name val="Times New Roman"/>
      <family val="1"/>
    </font>
    <font>
      <b/>
      <sz val="11"/>
      <color rgb="FF000000"/>
      <name val="Aptos Narrow"/>
      <family val="2"/>
    </font>
    <font>
      <sz val="11"/>
      <color rgb="FF000000"/>
      <name val="Calibri"/>
      <family val="2"/>
    </font>
    <font>
      <sz val="11"/>
      <color rgb="FF000000"/>
      <name val="Aptos Narrow"/>
      <family val="2"/>
    </font>
    <font>
      <sz val="9"/>
      <color theme="1"/>
      <name val="Aptos Narrow"/>
      <family val="2"/>
      <scheme val="minor"/>
    </font>
    <font>
      <sz val="10"/>
      <name val="Arial"/>
      <family val="2"/>
    </font>
    <font>
      <sz val="8"/>
      <name val="Aptos Narrow"/>
      <family val="2"/>
      <scheme val="minor"/>
    </font>
    <font>
      <sz val="9"/>
      <color theme="1"/>
      <name val="Arial"/>
      <family val="2"/>
    </font>
    <font>
      <sz val="9"/>
      <name val="Times New Roman"/>
      <family val="1"/>
    </font>
    <font>
      <sz val="9"/>
      <name val="Arial"/>
      <family val="2"/>
    </font>
    <font>
      <sz val="10"/>
      <color theme="1"/>
      <name val="Aptos Narrow"/>
      <family val="2"/>
      <scheme val="minor"/>
    </font>
    <font>
      <b/>
      <sz val="10"/>
      <name val="Arial"/>
      <family val="2"/>
    </font>
    <font>
      <sz val="9"/>
      <color indexed="8"/>
      <name val="Arial"/>
      <family val="2"/>
    </font>
    <font>
      <sz val="10"/>
      <color theme="1"/>
      <name val="Arial"/>
      <family val="2"/>
    </font>
    <font>
      <sz val="9"/>
      <color theme="1"/>
      <name val="Calibri"/>
      <family val="2"/>
    </font>
    <font>
      <sz val="9"/>
      <color rgb="FF000000"/>
      <name val="Calibri"/>
      <family val="2"/>
    </font>
    <font>
      <sz val="9"/>
      <color rgb="FF000000"/>
      <name val="Aptos Narrow"/>
      <family val="2"/>
    </font>
    <font>
      <b/>
      <sz val="10"/>
      <color theme="1"/>
      <name val="Arial"/>
      <family val="2"/>
    </font>
    <font>
      <sz val="10"/>
      <color indexed="8"/>
      <name val="Arial"/>
      <family val="2"/>
    </font>
    <font>
      <b/>
      <sz val="11"/>
      <color rgb="FFFF0000"/>
      <name val="Aptos Narrow"/>
      <family val="2"/>
      <scheme val="minor"/>
    </font>
    <font>
      <sz val="11"/>
      <name val="Aptos Narrow"/>
      <family val="2"/>
      <scheme val="minor"/>
    </font>
    <font>
      <sz val="11"/>
      <color theme="1"/>
      <name val="Times New Roman"/>
      <family val="1"/>
    </font>
    <font>
      <sz val="10"/>
      <color rgb="FF000000"/>
      <name val="Aptos Narrow"/>
      <family val="2"/>
    </font>
    <font>
      <sz val="11"/>
      <color rgb="FF000000"/>
      <name val="Aptos Narrow"/>
      <family val="2"/>
      <scheme val="minor"/>
    </font>
  </fonts>
  <fills count="21">
    <fill>
      <patternFill patternType="none"/>
    </fill>
    <fill>
      <patternFill patternType="gray125"/>
    </fill>
    <fill>
      <patternFill patternType="solid">
        <fgColor rgb="FFFFFF00"/>
        <bgColor indexed="64"/>
      </patternFill>
    </fill>
    <fill>
      <patternFill patternType="solid">
        <fgColor theme="5" tint="0.79998168889431442"/>
        <bgColor indexed="64"/>
      </patternFill>
    </fill>
    <fill>
      <patternFill patternType="solid">
        <fgColor rgb="FFEFF4F9"/>
        <bgColor indexed="64"/>
      </patternFill>
    </fill>
    <fill>
      <patternFill patternType="solid">
        <fgColor rgb="FFFF0000"/>
        <bgColor indexed="64"/>
      </patternFill>
    </fill>
    <fill>
      <patternFill patternType="solid">
        <fgColor theme="8" tint="-0.249977111117893"/>
        <bgColor indexed="64"/>
      </patternFill>
    </fill>
    <fill>
      <patternFill patternType="solid">
        <fgColor theme="8" tint="0.59999389629810485"/>
        <bgColor indexed="64"/>
      </patternFill>
    </fill>
    <fill>
      <patternFill patternType="solid">
        <fgColor rgb="FFA6C9EC"/>
        <bgColor indexed="64"/>
      </patternFill>
    </fill>
    <fill>
      <patternFill patternType="solid">
        <fgColor theme="5" tint="0.59999389629810485"/>
        <bgColor indexed="64"/>
      </patternFill>
    </fill>
    <fill>
      <patternFill patternType="solid">
        <fgColor rgb="FF00B0F0"/>
        <bgColor indexed="64"/>
      </patternFill>
    </fill>
    <fill>
      <patternFill patternType="solid">
        <fgColor theme="0"/>
        <bgColor indexed="64"/>
      </patternFill>
    </fill>
    <fill>
      <patternFill patternType="solid">
        <fgColor theme="3" tint="0.79998168889431442"/>
        <bgColor indexed="64"/>
      </patternFill>
    </fill>
    <fill>
      <patternFill patternType="solid">
        <fgColor theme="5" tint="0.39997558519241921"/>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3" tint="0.59999389629810485"/>
        <bgColor indexed="64"/>
      </patternFill>
    </fill>
    <fill>
      <patternFill patternType="solid">
        <fgColor theme="4" tint="0.59999389629810485"/>
        <bgColor indexed="64"/>
      </patternFill>
    </fill>
    <fill>
      <patternFill patternType="solid">
        <fgColor rgb="FFFFFFFF"/>
        <bgColor rgb="FF000000"/>
      </patternFill>
    </fill>
    <fill>
      <patternFill patternType="solid">
        <fgColor rgb="FF00B050"/>
        <bgColor indexed="64"/>
      </patternFill>
    </fill>
    <fill>
      <patternFill patternType="solid">
        <fgColor theme="6" tint="0.59999389629810485"/>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style="thin">
        <color indexed="64"/>
      </right>
      <top/>
      <bottom style="thin">
        <color indexed="64"/>
      </bottom>
      <diagonal/>
    </border>
  </borders>
  <cellStyleXfs count="47">
    <xf numFmtId="0" fontId="0" fillId="0" borderId="0"/>
    <xf numFmtId="43" fontId="1" fillId="0" borderId="0" applyFont="0" applyFill="0" applyBorder="0" applyAlignment="0" applyProtection="0"/>
    <xf numFmtId="164" fontId="14" fillId="0" borderId="0" applyFont="0" applyFill="0" applyBorder="0" applyAlignment="0" applyProtection="0"/>
    <xf numFmtId="0" fontId="14" fillId="0" borderId="0"/>
    <xf numFmtId="164" fontId="14" fillId="0" borderId="0" applyFont="0" applyFill="0" applyBorder="0" applyAlignment="0" applyProtection="0"/>
    <xf numFmtId="0" fontId="1" fillId="0" borderId="0"/>
    <xf numFmtId="0" fontId="1" fillId="0" borderId="0"/>
    <xf numFmtId="166" fontId="14" fillId="0" borderId="0" applyFont="0" applyFill="0" applyBorder="0" applyAlignment="0" applyProtection="0"/>
    <xf numFmtId="0" fontId="1" fillId="0" borderId="0"/>
    <xf numFmtId="0" fontId="14" fillId="0" borderId="0"/>
    <xf numFmtId="0" fontId="14" fillId="0" borderId="0"/>
    <xf numFmtId="43" fontId="14" fillId="0" borderId="0" applyFont="0" applyFill="0" applyBorder="0" applyAlignment="0" applyProtection="0"/>
    <xf numFmtId="43" fontId="1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6" fontId="14" fillId="0" borderId="0" applyFont="0" applyFill="0" applyBorder="0" applyAlignment="0" applyProtection="0"/>
    <xf numFmtId="43" fontId="1"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cellStyleXfs>
  <cellXfs count="153">
    <xf numFmtId="0" fontId="0" fillId="0" borderId="0" xfId="0"/>
    <xf numFmtId="0" fontId="2" fillId="0" borderId="1" xfId="0" applyFont="1" applyBorder="1" applyAlignment="1">
      <alignment horizontal="center" vertical="center"/>
    </xf>
    <xf numFmtId="0" fontId="3" fillId="3" borderId="1" xfId="0" applyFont="1" applyFill="1" applyBorder="1" applyAlignment="1">
      <alignment horizontal="center" vertical="top" wrapText="1"/>
    </xf>
    <xf numFmtId="0" fontId="3" fillId="5" borderId="1" xfId="0" applyFont="1" applyFill="1" applyBorder="1" applyAlignment="1">
      <alignment horizontal="center" vertical="top" wrapText="1"/>
    </xf>
    <xf numFmtId="0" fontId="4" fillId="5" borderId="1" xfId="0" applyFont="1" applyFill="1" applyBorder="1" applyAlignment="1">
      <alignment horizontal="center" vertical="top" wrapText="1"/>
    </xf>
    <xf numFmtId="0" fontId="4" fillId="6" borderId="1" xfId="0" applyFont="1" applyFill="1" applyBorder="1" applyAlignment="1">
      <alignment horizontal="center" vertical="top" wrapText="1"/>
    </xf>
    <xf numFmtId="0" fontId="3" fillId="7" borderId="1" xfId="0" applyFont="1" applyFill="1" applyBorder="1" applyAlignment="1">
      <alignment horizontal="center" vertical="top" wrapText="1"/>
    </xf>
    <xf numFmtId="0" fontId="3" fillId="4" borderId="1" xfId="0" applyFont="1" applyFill="1" applyBorder="1" applyAlignment="1">
      <alignment horizontal="center" vertical="top" wrapText="1"/>
    </xf>
    <xf numFmtId="0" fontId="8" fillId="0" borderId="0" xfId="0" applyFont="1"/>
    <xf numFmtId="0" fontId="10" fillId="8" borderId="1" xfId="0" applyFont="1" applyFill="1" applyBorder="1" applyAlignment="1">
      <alignment vertical="center" wrapText="1" readingOrder="1"/>
    </xf>
    <xf numFmtId="0" fontId="11" fillId="0" borderId="1" xfId="0" applyFont="1" applyBorder="1" applyAlignment="1">
      <alignment horizontal="left" vertical="center" readingOrder="1"/>
    </xf>
    <xf numFmtId="0" fontId="11" fillId="9" borderId="1" xfId="0" applyFont="1" applyFill="1" applyBorder="1" applyAlignment="1">
      <alignment horizontal="left" vertical="center" readingOrder="1"/>
    </xf>
    <xf numFmtId="0" fontId="8" fillId="0" borderId="1" xfId="0" applyFont="1" applyBorder="1" applyAlignment="1">
      <alignment horizontal="left"/>
    </xf>
    <xf numFmtId="0" fontId="8" fillId="10" borderId="1" xfId="0" applyFont="1" applyFill="1" applyBorder="1" applyAlignment="1">
      <alignment horizontal="left"/>
    </xf>
    <xf numFmtId="0" fontId="13" fillId="11" borderId="1" xfId="0" applyFont="1" applyFill="1" applyBorder="1" applyAlignment="1">
      <alignment horizontal="center" vertical="center"/>
    </xf>
    <xf numFmtId="0" fontId="8" fillId="0" borderId="1" xfId="0" applyFont="1" applyBorder="1"/>
    <xf numFmtId="0" fontId="16" fillId="11" borderId="1" xfId="0" applyFont="1" applyFill="1" applyBorder="1" applyAlignment="1">
      <alignment horizontal="center" vertical="center"/>
    </xf>
    <xf numFmtId="0" fontId="18" fillId="11" borderId="1" xfId="0" applyFont="1" applyFill="1" applyBorder="1" applyAlignment="1">
      <alignment horizontal="center" vertical="center"/>
    </xf>
    <xf numFmtId="0" fontId="19" fillId="9" borderId="1" xfId="0" applyFont="1" applyFill="1" applyBorder="1" applyAlignment="1">
      <alignment horizontal="center" vertical="center"/>
    </xf>
    <xf numFmtId="0" fontId="19" fillId="11" borderId="1" xfId="0" applyFont="1" applyFill="1" applyBorder="1" applyAlignment="1">
      <alignment horizontal="center" vertical="center"/>
    </xf>
    <xf numFmtId="0" fontId="20" fillId="11" borderId="1" xfId="0" applyFont="1" applyFill="1" applyBorder="1" applyAlignment="1">
      <alignment horizontal="center" vertical="center"/>
    </xf>
    <xf numFmtId="49" fontId="21" fillId="11" borderId="1" xfId="0" applyNumberFormat="1" applyFont="1" applyFill="1" applyBorder="1" applyAlignment="1" applyProtection="1">
      <alignment horizontal="center" vertical="center"/>
      <protection locked="0"/>
    </xf>
    <xf numFmtId="0" fontId="20" fillId="0" borderId="1" xfId="0" applyFont="1" applyBorder="1" applyAlignment="1">
      <alignment horizontal="center" vertical="center"/>
    </xf>
    <xf numFmtId="0" fontId="18" fillId="0" borderId="1" xfId="0" applyFont="1" applyBorder="1" applyAlignment="1">
      <alignment horizontal="center" vertical="center"/>
    </xf>
    <xf numFmtId="0" fontId="13" fillId="9" borderId="1" xfId="0" applyFont="1" applyFill="1" applyBorder="1" applyAlignment="1">
      <alignment horizontal="center" vertical="center"/>
    </xf>
    <xf numFmtId="49" fontId="21" fillId="0" borderId="1" xfId="0" applyNumberFormat="1" applyFont="1" applyBorder="1" applyAlignment="1" applyProtection="1">
      <alignment horizontal="center"/>
      <protection locked="0"/>
    </xf>
    <xf numFmtId="0" fontId="8" fillId="0" borderId="1" xfId="0" applyFont="1" applyBorder="1" applyAlignment="1">
      <alignment horizontal="center" vertical="center"/>
    </xf>
    <xf numFmtId="0" fontId="14" fillId="0" borderId="1" xfId="0" applyFont="1" applyBorder="1" applyAlignment="1">
      <alignment horizontal="left" vertical="top"/>
    </xf>
    <xf numFmtId="0" fontId="25" fillId="0" borderId="1" xfId="0" applyFont="1" applyBorder="1" applyAlignment="1">
      <alignment horizontal="center" vertical="center" readingOrder="1"/>
    </xf>
    <xf numFmtId="0" fontId="26" fillId="12" borderId="1" xfId="0" applyFont="1" applyFill="1" applyBorder="1" applyAlignment="1">
      <alignment horizontal="center" vertical="center"/>
    </xf>
    <xf numFmtId="0" fontId="26" fillId="11" borderId="1" xfId="0" applyFont="1" applyFill="1" applyBorder="1" applyAlignment="1">
      <alignment horizontal="center" vertical="center"/>
    </xf>
    <xf numFmtId="0" fontId="8" fillId="12" borderId="1" xfId="0" applyFont="1" applyFill="1" applyBorder="1" applyAlignment="1">
      <alignment horizontal="center" vertical="center"/>
    </xf>
    <xf numFmtId="49" fontId="21" fillId="0" borderId="1" xfId="0" applyNumberFormat="1" applyFont="1" applyBorder="1" applyAlignment="1" applyProtection="1">
      <alignment horizontal="center" vertical="center"/>
      <protection locked="0"/>
    </xf>
    <xf numFmtId="49" fontId="27" fillId="0" borderId="1" xfId="0" applyNumberFormat="1" applyFont="1" applyBorder="1" applyAlignment="1" applyProtection="1">
      <alignment horizontal="center" vertical="center"/>
      <protection locked="0"/>
    </xf>
    <xf numFmtId="0" fontId="2" fillId="11" borderId="1" xfId="0" applyFont="1" applyFill="1" applyBorder="1" applyAlignment="1">
      <alignment vertical="center"/>
    </xf>
    <xf numFmtId="0" fontId="2" fillId="11" borderId="1" xfId="0" applyFont="1" applyFill="1" applyBorder="1" applyAlignment="1">
      <alignment horizontal="center" vertical="center"/>
    </xf>
    <xf numFmtId="0" fontId="28" fillId="11" borderId="1" xfId="0" applyFont="1" applyFill="1" applyBorder="1" applyAlignment="1">
      <alignment horizontal="center" vertical="center"/>
    </xf>
    <xf numFmtId="0" fontId="2" fillId="2" borderId="1" xfId="0" applyFont="1" applyFill="1" applyBorder="1" applyAlignment="1">
      <alignment horizontal="center" vertical="center"/>
    </xf>
    <xf numFmtId="0" fontId="0" fillId="0" borderId="1" xfId="0" applyBorder="1" applyAlignment="1">
      <alignment horizontal="center" vertical="center"/>
    </xf>
    <xf numFmtId="0" fontId="0" fillId="2" borderId="1" xfId="0" applyFill="1" applyBorder="1" applyAlignment="1">
      <alignment horizontal="center" vertical="center"/>
    </xf>
    <xf numFmtId="0" fontId="2" fillId="0" borderId="1" xfId="0" applyFont="1" applyBorder="1" applyAlignment="1">
      <alignment horizontal="left" vertical="center"/>
    </xf>
    <xf numFmtId="0" fontId="8" fillId="0" borderId="1" xfId="0" applyFont="1" applyBorder="1" applyAlignment="1">
      <alignment horizontal="center"/>
    </xf>
    <xf numFmtId="0" fontId="29" fillId="0" borderId="0" xfId="0" applyFont="1"/>
    <xf numFmtId="165" fontId="8" fillId="0" borderId="1" xfId="1" applyNumberFormat="1" applyFont="1" applyBorder="1" applyAlignment="1">
      <alignment vertical="center"/>
    </xf>
    <xf numFmtId="14" fontId="8" fillId="0" borderId="0" xfId="0" applyNumberFormat="1" applyFont="1"/>
    <xf numFmtId="15" fontId="8" fillId="0" borderId="0" xfId="0" applyNumberFormat="1" applyFont="1"/>
    <xf numFmtId="15" fontId="8" fillId="0" borderId="1" xfId="0" applyNumberFormat="1" applyFont="1" applyBorder="1" applyAlignment="1">
      <alignment horizontal="right" vertical="center"/>
    </xf>
    <xf numFmtId="14" fontId="0" fillId="0" borderId="0" xfId="0" applyNumberFormat="1"/>
    <xf numFmtId="14" fontId="0" fillId="0" borderId="1" xfId="0" applyNumberFormat="1" applyBorder="1"/>
    <xf numFmtId="165" fontId="8" fillId="0" borderId="0" xfId="1" applyNumberFormat="1" applyFont="1" applyAlignment="1">
      <alignment horizontal="left" vertical="center"/>
    </xf>
    <xf numFmtId="165" fontId="8" fillId="17" borderId="1" xfId="1" applyNumberFormat="1" applyFont="1" applyFill="1" applyBorder="1" applyAlignment="1">
      <alignment vertical="center"/>
    </xf>
    <xf numFmtId="165" fontId="8" fillId="9" borderId="1" xfId="1" applyNumberFormat="1" applyFont="1" applyFill="1" applyBorder="1" applyAlignment="1">
      <alignment vertical="center"/>
    </xf>
    <xf numFmtId="165" fontId="8" fillId="0" borderId="1" xfId="1" applyNumberFormat="1" applyFont="1" applyFill="1" applyBorder="1" applyAlignment="1">
      <alignment vertical="center"/>
    </xf>
    <xf numFmtId="165" fontId="8" fillId="0" borderId="0" xfId="1" applyNumberFormat="1" applyFont="1"/>
    <xf numFmtId="165" fontId="8" fillId="2" borderId="1" xfId="1" applyNumberFormat="1" applyFont="1" applyFill="1" applyBorder="1" applyAlignment="1">
      <alignment vertical="center"/>
    </xf>
    <xf numFmtId="165" fontId="8" fillId="11" borderId="1" xfId="1" applyNumberFormat="1" applyFont="1" applyFill="1" applyBorder="1" applyAlignment="1">
      <alignment vertical="center"/>
    </xf>
    <xf numFmtId="165" fontId="8" fillId="12" borderId="1" xfId="1" applyNumberFormat="1" applyFont="1" applyFill="1" applyBorder="1" applyAlignment="1">
      <alignment vertical="center"/>
    </xf>
    <xf numFmtId="1" fontId="8" fillId="0" borderId="0" xfId="0" applyNumberFormat="1" applyFont="1"/>
    <xf numFmtId="165" fontId="8" fillId="0" borderId="1" xfId="1" applyNumberFormat="1" applyFont="1" applyBorder="1" applyAlignment="1">
      <alignment horizontal="center" vertical="center"/>
    </xf>
    <xf numFmtId="165" fontId="8" fillId="0" borderId="1" xfId="1" applyNumberFormat="1" applyFont="1" applyBorder="1" applyAlignment="1">
      <alignment horizontal="right" vertical="center"/>
    </xf>
    <xf numFmtId="165" fontId="8" fillId="0" borderId="1" xfId="1" applyNumberFormat="1" applyFont="1" applyBorder="1" applyAlignment="1">
      <alignment horizontal="left" vertical="center"/>
    </xf>
    <xf numFmtId="165" fontId="8" fillId="0" borderId="1" xfId="1" applyNumberFormat="1" applyFont="1" applyFill="1" applyBorder="1" applyAlignment="1">
      <alignment horizontal="center" vertical="center"/>
    </xf>
    <xf numFmtId="165" fontId="8" fillId="2" borderId="1" xfId="1" applyNumberFormat="1" applyFont="1" applyFill="1" applyBorder="1" applyAlignment="1">
      <alignment horizontal="left" vertical="center"/>
    </xf>
    <xf numFmtId="165" fontId="8" fillId="11" borderId="1" xfId="1" applyNumberFormat="1" applyFont="1" applyFill="1" applyBorder="1" applyAlignment="1">
      <alignment horizontal="left" vertical="center"/>
    </xf>
    <xf numFmtId="165" fontId="8" fillId="0" borderId="0" xfId="1" applyNumberFormat="1" applyFont="1" applyAlignment="1">
      <alignment horizontal="center" vertical="center"/>
    </xf>
    <xf numFmtId="165" fontId="8" fillId="9" borderId="1" xfId="1" applyNumberFormat="1" applyFont="1" applyFill="1" applyBorder="1" applyAlignment="1">
      <alignment horizontal="left" vertical="center"/>
    </xf>
    <xf numFmtId="165" fontId="8" fillId="12" borderId="1" xfId="1" applyNumberFormat="1" applyFont="1" applyFill="1" applyBorder="1" applyAlignment="1">
      <alignment horizontal="left" vertical="center"/>
    </xf>
    <xf numFmtId="165" fontId="8" fillId="0" borderId="1" xfId="1" applyNumberFormat="1" applyFont="1" applyFill="1" applyBorder="1" applyAlignment="1">
      <alignment horizontal="right" vertical="center"/>
    </xf>
    <xf numFmtId="0" fontId="2" fillId="0" borderId="2" xfId="0" applyFont="1" applyBorder="1" applyAlignment="1">
      <alignment horizontal="center" vertical="center"/>
    </xf>
    <xf numFmtId="0" fontId="0" fillId="0" borderId="1" xfId="0" applyBorder="1"/>
    <xf numFmtId="14" fontId="9" fillId="0" borderId="1" xfId="2" applyNumberFormat="1" applyFont="1" applyBorder="1" applyAlignment="1">
      <alignment horizontal="center" vertical="top" wrapText="1"/>
    </xf>
    <xf numFmtId="0" fontId="0" fillId="0" borderId="1" xfId="0" applyBorder="1" applyAlignment="1">
      <alignment vertical="top"/>
    </xf>
    <xf numFmtId="0" fontId="30" fillId="0" borderId="0" xfId="0" applyFont="1" applyAlignment="1">
      <alignment horizontal="center"/>
    </xf>
    <xf numFmtId="0" fontId="30" fillId="0" borderId="1" xfId="0" applyFont="1" applyBorder="1" applyAlignment="1">
      <alignment horizontal="center"/>
    </xf>
    <xf numFmtId="0" fontId="8" fillId="0" borderId="0" xfId="0" applyFont="1" applyAlignment="1">
      <alignment horizontal="center"/>
    </xf>
    <xf numFmtId="15" fontId="9" fillId="0" borderId="0" xfId="0" applyNumberFormat="1" applyFont="1" applyAlignment="1">
      <alignment horizontal="center"/>
    </xf>
    <xf numFmtId="0" fontId="12" fillId="0" borderId="1" xfId="0" applyFont="1" applyBorder="1" applyAlignment="1">
      <alignment horizontal="center" vertical="center" readingOrder="1"/>
    </xf>
    <xf numFmtId="0" fontId="12" fillId="19" borderId="1" xfId="0" applyFont="1" applyFill="1" applyBorder="1" applyAlignment="1">
      <alignment horizontal="center" vertical="center" readingOrder="1"/>
    </xf>
    <xf numFmtId="0" fontId="12" fillId="11" borderId="1" xfId="0" applyFont="1" applyFill="1" applyBorder="1" applyAlignment="1">
      <alignment horizontal="center" vertical="center" readingOrder="1"/>
    </xf>
    <xf numFmtId="0" fontId="12" fillId="0" borderId="3" xfId="0" applyFont="1" applyBorder="1" applyAlignment="1">
      <alignment horizontal="center" vertical="center" readingOrder="1"/>
    </xf>
    <xf numFmtId="0" fontId="8" fillId="3" borderId="1" xfId="0" applyFont="1" applyFill="1" applyBorder="1" applyAlignment="1">
      <alignment horizontal="center"/>
    </xf>
    <xf numFmtId="0" fontId="30" fillId="0" borderId="0" xfId="0" applyFont="1"/>
    <xf numFmtId="165" fontId="9" fillId="0" borderId="1" xfId="2" applyNumberFormat="1" applyFont="1" applyFill="1" applyBorder="1" applyAlignment="1">
      <alignment horizontal="center" vertical="center" wrapText="1"/>
    </xf>
    <xf numFmtId="165" fontId="30" fillId="0" borderId="1" xfId="1" applyNumberFormat="1" applyFont="1" applyBorder="1"/>
    <xf numFmtId="165" fontId="8" fillId="3" borderId="1" xfId="1" applyNumberFormat="1" applyFont="1" applyFill="1" applyBorder="1" applyAlignment="1">
      <alignment vertical="center"/>
    </xf>
    <xf numFmtId="1" fontId="8" fillId="0" borderId="1" xfId="0" applyNumberFormat="1" applyFont="1" applyBorder="1" applyAlignment="1">
      <alignment vertical="center"/>
    </xf>
    <xf numFmtId="165" fontId="30" fillId="0" borderId="0" xfId="1" applyNumberFormat="1" applyFont="1"/>
    <xf numFmtId="0" fontId="0" fillId="2" borderId="1" xfId="0" applyFill="1" applyBorder="1"/>
    <xf numFmtId="0" fontId="8" fillId="2" borderId="1" xfId="0" applyFont="1" applyFill="1" applyBorder="1" applyAlignment="1">
      <alignment horizontal="center"/>
    </xf>
    <xf numFmtId="0" fontId="18" fillId="2" borderId="1" xfId="0" applyFont="1" applyFill="1" applyBorder="1" applyAlignment="1">
      <alignment horizontal="center" vertical="center"/>
    </xf>
    <xf numFmtId="0" fontId="0" fillId="2" borderId="0" xfId="0" applyFill="1"/>
    <xf numFmtId="0" fontId="3" fillId="3" borderId="1" xfId="0" applyFont="1" applyFill="1" applyBorder="1" applyAlignment="1">
      <alignment horizontal="center" vertical="top"/>
    </xf>
    <xf numFmtId="0" fontId="12" fillId="0" borderId="1" xfId="0" applyFont="1" applyBorder="1" applyAlignment="1">
      <alignment horizontal="left" vertical="center" readingOrder="1"/>
    </xf>
    <xf numFmtId="0" fontId="12" fillId="0" borderId="1" xfId="0" applyFont="1" applyBorder="1" applyAlignment="1">
      <alignment horizontal="right" vertical="center" readingOrder="1"/>
    </xf>
    <xf numFmtId="1" fontId="8" fillId="0" borderId="1" xfId="1" applyNumberFormat="1" applyFont="1" applyBorder="1" applyAlignment="1">
      <alignment horizontal="left" vertical="center"/>
    </xf>
    <xf numFmtId="165" fontId="8" fillId="0" borderId="1" xfId="2" applyNumberFormat="1" applyFont="1" applyBorder="1" applyAlignment="1">
      <alignment vertical="center"/>
    </xf>
    <xf numFmtId="0" fontId="9" fillId="0" borderId="0" xfId="0" applyFont="1"/>
    <xf numFmtId="0" fontId="32" fillId="0" borderId="0" xfId="0" applyFont="1" applyAlignment="1">
      <alignment vertical="top"/>
    </xf>
    <xf numFmtId="0" fontId="2" fillId="0" borderId="0" xfId="0" applyFont="1" applyAlignment="1">
      <alignment horizontal="left"/>
    </xf>
    <xf numFmtId="0" fontId="30" fillId="0" borderId="0" xfId="0" applyFont="1" applyAlignment="1">
      <alignment horizontal="right"/>
    </xf>
    <xf numFmtId="0" fontId="3" fillId="3" borderId="1" xfId="0" applyFont="1" applyFill="1" applyBorder="1" applyAlignment="1">
      <alignment horizontal="right" vertical="top" wrapText="1"/>
    </xf>
    <xf numFmtId="0" fontId="8" fillId="0" borderId="1" xfId="0" applyFont="1" applyBorder="1" applyAlignment="1">
      <alignment horizontal="right"/>
    </xf>
    <xf numFmtId="0" fontId="17" fillId="0" borderId="1" xfId="0" applyFont="1" applyBorder="1"/>
    <xf numFmtId="0" fontId="31" fillId="18" borderId="1" xfId="0" applyFont="1" applyFill="1" applyBorder="1"/>
    <xf numFmtId="0" fontId="8" fillId="9" borderId="1" xfId="0" applyFont="1" applyFill="1" applyBorder="1"/>
    <xf numFmtId="0" fontId="18" fillId="13" borderId="1" xfId="0" applyFont="1" applyFill="1" applyBorder="1" applyAlignment="1">
      <alignment horizontal="center" vertical="center"/>
    </xf>
    <xf numFmtId="0" fontId="18" fillId="14" borderId="1" xfId="0" applyFont="1" applyFill="1" applyBorder="1" applyAlignment="1">
      <alignment horizontal="center" vertical="center"/>
    </xf>
    <xf numFmtId="0" fontId="18" fillId="15" borderId="1" xfId="0" applyFont="1" applyFill="1" applyBorder="1" applyAlignment="1">
      <alignment horizontal="center" vertical="center"/>
    </xf>
    <xf numFmtId="0" fontId="18" fillId="16" borderId="1" xfId="0" applyFont="1" applyFill="1" applyBorder="1" applyAlignment="1">
      <alignment horizontal="center" vertical="center"/>
    </xf>
    <xf numFmtId="0" fontId="20" fillId="16" borderId="1" xfId="0" applyFont="1" applyFill="1" applyBorder="1" applyAlignment="1">
      <alignment horizontal="center" vertical="center"/>
    </xf>
    <xf numFmtId="0" fontId="11" fillId="2" borderId="1" xfId="0" applyFont="1" applyFill="1" applyBorder="1" applyAlignment="1">
      <alignment horizontal="left" vertical="center" readingOrder="1"/>
    </xf>
    <xf numFmtId="0" fontId="22" fillId="11" borderId="1" xfId="0" applyFont="1" applyFill="1" applyBorder="1" applyAlignment="1">
      <alignment horizontal="center" vertical="center"/>
    </xf>
    <xf numFmtId="0" fontId="23" fillId="0" borderId="1" xfId="0" applyFont="1" applyBorder="1" applyAlignment="1">
      <alignment horizontal="center" vertical="center"/>
    </xf>
    <xf numFmtId="0" fontId="24" fillId="0" borderId="1" xfId="0" applyFont="1" applyBorder="1" applyAlignment="1">
      <alignment horizontal="center" vertical="center"/>
    </xf>
    <xf numFmtId="49" fontId="21" fillId="0" borderId="1" xfId="0" applyNumberFormat="1" applyFont="1" applyBorder="1" applyProtection="1">
      <protection locked="0"/>
    </xf>
    <xf numFmtId="0" fontId="8" fillId="2" borderId="1" xfId="0" applyFont="1" applyFill="1" applyBorder="1"/>
    <xf numFmtId="0" fontId="8" fillId="0" borderId="3" xfId="0" applyFont="1" applyBorder="1"/>
    <xf numFmtId="0" fontId="3" fillId="3" borderId="1" xfId="0" applyFont="1" applyFill="1" applyBorder="1" applyAlignment="1">
      <alignment horizontal="left" vertical="top"/>
    </xf>
    <xf numFmtId="1" fontId="3" fillId="3" borderId="1" xfId="0" applyNumberFormat="1" applyFont="1" applyFill="1" applyBorder="1" applyAlignment="1">
      <alignment horizontal="left" vertical="top"/>
    </xf>
    <xf numFmtId="14" fontId="9" fillId="0" borderId="1" xfId="2" applyNumberFormat="1" applyFont="1" applyBorder="1" applyAlignment="1">
      <alignment horizontal="left" vertical="center"/>
    </xf>
    <xf numFmtId="0" fontId="4" fillId="5" borderId="1" xfId="0" applyFont="1" applyFill="1" applyBorder="1" applyAlignment="1">
      <alignment horizontal="left" vertical="top"/>
    </xf>
    <xf numFmtId="0" fontId="4" fillId="6" borderId="1" xfId="0" applyFont="1" applyFill="1" applyBorder="1" applyAlignment="1">
      <alignment horizontal="left" vertical="top"/>
    </xf>
    <xf numFmtId="165" fontId="9" fillId="0" borderId="1" xfId="1" applyNumberFormat="1" applyFont="1" applyBorder="1" applyAlignment="1">
      <alignment horizontal="left" vertical="center"/>
    </xf>
    <xf numFmtId="0" fontId="0" fillId="0" borderId="1" xfId="0" applyBorder="1" applyAlignment="1">
      <alignment horizontal="left"/>
    </xf>
    <xf numFmtId="0" fontId="5" fillId="3" borderId="1" xfId="0" applyFont="1" applyFill="1" applyBorder="1" applyAlignment="1">
      <alignment horizontal="left" vertical="top"/>
    </xf>
    <xf numFmtId="0" fontId="3" fillId="7" borderId="1" xfId="0" applyFont="1" applyFill="1" applyBorder="1" applyAlignment="1">
      <alignment horizontal="left" vertical="top"/>
    </xf>
    <xf numFmtId="0" fontId="0" fillId="0" borderId="0" xfId="0" applyAlignment="1">
      <alignment horizontal="left"/>
    </xf>
    <xf numFmtId="0" fontId="3" fillId="2" borderId="1" xfId="0" applyFont="1" applyFill="1" applyBorder="1" applyAlignment="1">
      <alignment horizontal="center" vertical="top" wrapText="1"/>
    </xf>
    <xf numFmtId="15" fontId="9" fillId="0" borderId="0" xfId="0" applyNumberFormat="1" applyFont="1"/>
    <xf numFmtId="1" fontId="0" fillId="0" borderId="0" xfId="0" applyNumberFormat="1"/>
    <xf numFmtId="15" fontId="9" fillId="0" borderId="0" xfId="2" applyNumberFormat="1" applyFont="1" applyAlignment="1">
      <alignment horizontal="center" vertical="center"/>
    </xf>
    <xf numFmtId="0" fontId="3" fillId="2" borderId="1" xfId="0" applyFont="1" applyFill="1" applyBorder="1" applyAlignment="1">
      <alignment horizontal="left" vertical="top"/>
    </xf>
    <xf numFmtId="0" fontId="11" fillId="0" borderId="1" xfId="0" applyFont="1" applyBorder="1" applyAlignment="1">
      <alignment horizontal="left" readingOrder="1"/>
    </xf>
    <xf numFmtId="0" fontId="12" fillId="2" borderId="1" xfId="0" applyFont="1" applyFill="1" applyBorder="1" applyAlignment="1">
      <alignment horizontal="left" vertical="center" readingOrder="1"/>
    </xf>
    <xf numFmtId="0" fontId="8" fillId="11" borderId="1" xfId="0" applyFont="1" applyFill="1" applyBorder="1"/>
    <xf numFmtId="0" fontId="12" fillId="0" borderId="1" xfId="0" applyFont="1" applyBorder="1"/>
    <xf numFmtId="0" fontId="8" fillId="12" borderId="1" xfId="0" applyFont="1" applyFill="1" applyBorder="1"/>
    <xf numFmtId="0" fontId="12" fillId="0" borderId="1" xfId="0" applyFont="1" applyBorder="1" applyAlignment="1">
      <alignment horizontal="left" readingOrder="1"/>
    </xf>
    <xf numFmtId="0" fontId="12" fillId="0" borderId="1" xfId="0" applyFont="1" applyBorder="1" applyAlignment="1">
      <alignment readingOrder="1"/>
    </xf>
    <xf numFmtId="0" fontId="2" fillId="0" borderId="1" xfId="0" applyFont="1" applyBorder="1"/>
    <xf numFmtId="0" fontId="0" fillId="11" borderId="1" xfId="0" applyFill="1" applyBorder="1"/>
    <xf numFmtId="167" fontId="0" fillId="0" borderId="1" xfId="1" applyNumberFormat="1" applyFont="1" applyBorder="1"/>
    <xf numFmtId="167" fontId="0" fillId="0" borderId="1" xfId="0" applyNumberFormat="1" applyBorder="1"/>
    <xf numFmtId="167" fontId="0" fillId="0" borderId="0" xfId="0" applyNumberFormat="1"/>
    <xf numFmtId="0" fontId="2" fillId="0" borderId="0" xfId="0" applyFont="1" applyAlignment="1">
      <alignment horizontal="center" vertical="center"/>
    </xf>
    <xf numFmtId="0" fontId="4" fillId="5" borderId="1" xfId="0" applyFont="1" applyFill="1" applyBorder="1" applyAlignment="1">
      <alignment horizontal="left" vertical="top" wrapText="1"/>
    </xf>
    <xf numFmtId="0" fontId="8" fillId="20" borderId="1" xfId="0" applyFont="1" applyFill="1" applyBorder="1"/>
    <xf numFmtId="49" fontId="3" fillId="5" borderId="1" xfId="0" applyNumberFormat="1" applyFont="1" applyFill="1" applyBorder="1" applyAlignment="1">
      <alignment horizontal="left" vertical="top"/>
    </xf>
    <xf numFmtId="49" fontId="8" fillId="0" borderId="1" xfId="1" applyNumberFormat="1" applyFont="1" applyBorder="1" applyAlignment="1">
      <alignment horizontal="right" vertical="center"/>
    </xf>
    <xf numFmtId="49" fontId="8" fillId="0" borderId="0" xfId="1" applyNumberFormat="1" applyFont="1"/>
    <xf numFmtId="0" fontId="3" fillId="5" borderId="1" xfId="0" applyFont="1" applyFill="1" applyBorder="1" applyAlignment="1">
      <alignment horizontal="left" vertical="top" wrapText="1"/>
    </xf>
    <xf numFmtId="0" fontId="3" fillId="7" borderId="1" xfId="0" applyFont="1" applyFill="1" applyBorder="1" applyAlignment="1">
      <alignment horizontal="left" vertical="top" wrapText="1"/>
    </xf>
    <xf numFmtId="0" fontId="8" fillId="20" borderId="1" xfId="0" applyFont="1" applyFill="1" applyBorder="1" applyAlignment="1">
      <alignment horizontal="center"/>
    </xf>
  </cellXfs>
  <cellStyles count="47">
    <cellStyle name="% 2 2" xfId="10" xr:uid="{38B0DACB-CE5D-4644-A7F4-1967384AEB4A}"/>
    <cellStyle name="Comma" xfId="1" builtinId="3"/>
    <cellStyle name="Comma 10" xfId="34" xr:uid="{22C5D3C3-3C3C-4E8A-82CA-0F8BC5FDF777}"/>
    <cellStyle name="Comma 10 2" xfId="45" xr:uid="{8B85D0F2-0178-40E1-A38C-FBA79E816653}"/>
    <cellStyle name="Comma 11" xfId="35" xr:uid="{663A8951-CFBB-4A0E-B440-FF1C0734F430}"/>
    <cellStyle name="Comma 11 2" xfId="46" xr:uid="{479EECDF-F689-4567-9ED2-4C29DA0B2CD8}"/>
    <cellStyle name="Comma 2" xfId="37" xr:uid="{74FAF701-7920-49BA-96DC-C1AD7FA9D015}"/>
    <cellStyle name="Comma 2 2" xfId="2" xr:uid="{087F92DC-C32A-492C-B5B4-3D12FFA84AD3}"/>
    <cellStyle name="Comma 2 2 2" xfId="39" xr:uid="{6689FB57-A469-4BB0-9D86-709865237823}"/>
    <cellStyle name="Comma 2 2 3" xfId="12" xr:uid="{257E5842-8337-4BFB-A4C9-2B0F5471C07A}"/>
    <cellStyle name="Comma 3" xfId="7" xr:uid="{401DB3BA-4C6C-465F-9197-CF1EF5BCBC55}"/>
    <cellStyle name="Comma 3 2" xfId="36" xr:uid="{2392AFAF-197E-4CFE-AC5E-AF91907F1CEA}"/>
    <cellStyle name="Comma 4" xfId="4" xr:uid="{EDA32E6D-6B17-4790-871B-5525ECF412B6}"/>
    <cellStyle name="Comma 4 2" xfId="38" xr:uid="{50E91273-2428-4ECB-9499-0AD87ED19D78}"/>
    <cellStyle name="Comma 4 3" xfId="11" xr:uid="{7DCED3B3-3D48-4BE8-9AD3-6735E7500625}"/>
    <cellStyle name="Comma 5" xfId="29" xr:uid="{889EB70C-0869-421B-BA7A-41C6E7F58233}"/>
    <cellStyle name="Comma 5 2" xfId="40" xr:uid="{170BA524-1946-4DFD-8BA8-85BF2C6A9676}"/>
    <cellStyle name="Comma 6" xfId="30" xr:uid="{B8D52743-1968-48BF-A784-D86FA3B85A99}"/>
    <cellStyle name="Comma 6 2" xfId="41" xr:uid="{CAAE519F-4375-4487-B8F0-291EF8552552}"/>
    <cellStyle name="Comma 7" xfId="31" xr:uid="{2A64BF89-33A0-4CFF-9AB8-5A7C3E9C825C}"/>
    <cellStyle name="Comma 7 2" xfId="42" xr:uid="{2B1DCDE2-34B7-4DE0-98ED-829A3829C158}"/>
    <cellStyle name="Comma 8" xfId="32" xr:uid="{D4ECCFEE-6EF4-414C-8315-0DD020DB9820}"/>
    <cellStyle name="Comma 8 2" xfId="43" xr:uid="{C3701929-10BE-4B4C-95EC-B0240734093F}"/>
    <cellStyle name="Comma 9" xfId="33" xr:uid="{971C062C-089E-4CA6-9AE7-688D101AF50C}"/>
    <cellStyle name="Comma 9 2" xfId="44" xr:uid="{18F77756-9E9E-4612-80A6-A697E869AD1F}"/>
    <cellStyle name="Normal" xfId="0" builtinId="0"/>
    <cellStyle name="Normal 10" xfId="15" xr:uid="{4940FA77-B932-478C-B472-2F743388A95B}"/>
    <cellStyle name="Normal 11" xfId="17" xr:uid="{F747D811-7F53-4311-9533-3497F7558D7C}"/>
    <cellStyle name="Normal 12" xfId="18" xr:uid="{5BB88023-648D-4502-AFEF-1E791A6741E8}"/>
    <cellStyle name="Normal 13" xfId="16" xr:uid="{836B8FBC-2AC6-41DA-8DFE-6BEE349AB1C0}"/>
    <cellStyle name="Normal 14" xfId="13" xr:uid="{F95F59C2-07D2-4CD1-8EF4-BB8663D80041}"/>
    <cellStyle name="Normal 15" xfId="14" xr:uid="{C2F53B4C-4450-4855-88AA-BF5A41FB7992}"/>
    <cellStyle name="Normal 16" xfId="22" xr:uid="{C8F598D2-7BAB-457B-95E2-DFEDD6DF9ACA}"/>
    <cellStyle name="Normal 17" xfId="21" xr:uid="{3DC70CF3-64EC-4845-9961-623D197C8F35}"/>
    <cellStyle name="Normal 18" xfId="25" xr:uid="{FF4C06C8-A412-4E7F-ACA6-45C6C47C502C}"/>
    <cellStyle name="Normal 19" xfId="23" xr:uid="{123BD581-CC52-4DE8-B9A4-44E724F24A95}"/>
    <cellStyle name="Normal 2" xfId="3" xr:uid="{A6B446EA-2346-4D5D-9F95-9AE38DE0DC58}"/>
    <cellStyle name="Normal 20" xfId="26" xr:uid="{0CB1B63A-AD7B-4303-A577-2EF9D2B2E280}"/>
    <cellStyle name="Normal 21" xfId="24" xr:uid="{60F53D01-D839-4029-97AB-DDEA92E7F227}"/>
    <cellStyle name="Normal 22" xfId="9" xr:uid="{755C278E-1344-4D0C-81A7-B4656E42B0E3}"/>
    <cellStyle name="Normal 3" xfId="19" xr:uid="{34440DA2-0236-4ABE-8A7C-924250248EED}"/>
    <cellStyle name="Normal 4" xfId="6" xr:uid="{D21334A0-AA87-48E2-9DDF-52AA57642557}"/>
    <cellStyle name="Normal 5" xfId="8" xr:uid="{57D4FA52-7820-47F2-8507-B8038A3BF306}"/>
    <cellStyle name="Normal 6" xfId="27" xr:uid="{C1DC7744-9B8E-4B41-844E-F4DFC4EC0784}"/>
    <cellStyle name="Normal 7" xfId="20" xr:uid="{8DC0CD41-C7BE-4EE9-B246-8E0C06A3F498}"/>
    <cellStyle name="Normal 8" xfId="5" xr:uid="{95F8345B-DA79-45A3-908E-A8C98428086C}"/>
    <cellStyle name="Normal 9" xfId="28" xr:uid="{AD2C5562-C5E1-4D1E-8B13-E69A2FC9B533}"/>
  </cellStyles>
  <dxfs count="5">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6630D3-49FA-4687-A476-1850C15743F3}">
  <dimension ref="A1:AQ1308"/>
  <sheetViews>
    <sheetView topLeftCell="A5" workbookViewId="0">
      <pane ySplit="1" topLeftCell="A1293" activePane="bottomLeft" state="frozen"/>
      <selection activeCell="A5" sqref="A5"/>
      <selection pane="bottomLeft" activeCell="G1300" sqref="G1300"/>
    </sheetView>
  </sheetViews>
  <sheetFormatPr defaultColWidth="7.81640625" defaultRowHeight="14.5" x14ac:dyDescent="0.35"/>
  <cols>
    <col min="2" max="3" width="7.81640625" style="8"/>
    <col min="5" max="5" width="7.81640625" style="74"/>
    <col min="7" max="12" width="7.81640625" style="8"/>
    <col min="15" max="15" width="7.81640625" style="57"/>
    <col min="19" max="19" width="7.81640625" style="8"/>
    <col min="26" max="26" width="12.08984375" style="53" customWidth="1"/>
    <col min="29" max="29" width="7.81640625" style="8"/>
    <col min="38" max="38" width="11.453125" style="53" customWidth="1"/>
    <col min="39" max="39" width="10.1796875" style="53" customWidth="1"/>
    <col min="40" max="40" width="11.26953125" style="53" customWidth="1"/>
    <col min="41" max="41" width="7.81640625" style="149"/>
    <col min="42" max="42" width="11.81640625" style="53" customWidth="1"/>
    <col min="43" max="43" width="16.08984375" customWidth="1"/>
  </cols>
  <sheetData>
    <row r="1" spans="1:43" hidden="1" x14ac:dyDescent="0.35">
      <c r="H1" s="96"/>
      <c r="I1" s="98"/>
      <c r="J1"/>
      <c r="L1" s="42"/>
      <c r="Z1" s="49"/>
      <c r="AN1" s="49" t="s">
        <v>0</v>
      </c>
      <c r="AO1" s="49"/>
      <c r="AP1" s="53" t="s">
        <v>1</v>
      </c>
    </row>
    <row r="2" spans="1:43" hidden="1" x14ac:dyDescent="0.35">
      <c r="I2"/>
      <c r="J2"/>
      <c r="S2" s="44"/>
      <c r="Z2" s="49"/>
      <c r="AC2" s="57"/>
      <c r="AL2" s="64"/>
      <c r="AM2" s="64"/>
      <c r="AO2" s="53"/>
    </row>
    <row r="3" spans="1:43" hidden="1" x14ac:dyDescent="0.35">
      <c r="S3" s="45"/>
      <c r="Z3"/>
      <c r="AL3"/>
      <c r="AM3"/>
      <c r="AO3" s="53"/>
    </row>
    <row r="4" spans="1:43" ht="25" hidden="1" customHeight="1" x14ac:dyDescent="0.35">
      <c r="B4"/>
      <c r="C4"/>
      <c r="E4" s="75"/>
      <c r="G4"/>
      <c r="H4" s="128"/>
      <c r="I4" s="128"/>
      <c r="J4" s="128"/>
      <c r="K4" s="128"/>
      <c r="L4"/>
      <c r="O4" s="129"/>
      <c r="S4"/>
      <c r="Z4"/>
      <c r="AC4" s="130"/>
      <c r="AD4" s="68" t="s">
        <v>2</v>
      </c>
      <c r="AE4" s="68" t="s">
        <v>4133</v>
      </c>
      <c r="AF4" s="144"/>
      <c r="AH4" s="68" t="s">
        <v>2</v>
      </c>
      <c r="AI4" s="68" t="s">
        <v>3</v>
      </c>
      <c r="AL4"/>
      <c r="AM4"/>
      <c r="AN4"/>
      <c r="AO4"/>
      <c r="AP4"/>
    </row>
    <row r="5" spans="1:43" s="126" customFormat="1" ht="29.25" customHeight="1" x14ac:dyDescent="0.35">
      <c r="A5" s="117" t="s">
        <v>4</v>
      </c>
      <c r="B5" s="117" t="s">
        <v>5</v>
      </c>
      <c r="C5" s="91" t="s">
        <v>6</v>
      </c>
      <c r="D5" s="131" t="s">
        <v>7</v>
      </c>
      <c r="E5" s="117" t="s">
        <v>8</v>
      </c>
      <c r="F5" s="117" t="s">
        <v>9</v>
      </c>
      <c r="G5" s="117" t="s">
        <v>10</v>
      </c>
      <c r="H5" s="117"/>
      <c r="I5" s="117" t="s">
        <v>11</v>
      </c>
      <c r="J5" s="117" t="s">
        <v>12</v>
      </c>
      <c r="K5" s="117" t="s">
        <v>13</v>
      </c>
      <c r="L5" s="117" t="s">
        <v>14</v>
      </c>
      <c r="M5" s="117" t="s">
        <v>15</v>
      </c>
      <c r="N5" s="117" t="s">
        <v>16</v>
      </c>
      <c r="O5" s="118" t="s">
        <v>17</v>
      </c>
      <c r="P5" s="117" t="s">
        <v>18</v>
      </c>
      <c r="Q5" s="117" t="s">
        <v>19</v>
      </c>
      <c r="R5" s="117" t="s">
        <v>20</v>
      </c>
      <c r="S5" s="119" t="s">
        <v>21</v>
      </c>
      <c r="T5" s="117" t="s">
        <v>22</v>
      </c>
      <c r="U5" s="117" t="s">
        <v>23</v>
      </c>
      <c r="V5" s="117" t="s">
        <v>24</v>
      </c>
      <c r="W5" s="117" t="s">
        <v>25</v>
      </c>
      <c r="X5" s="117" t="s">
        <v>26</v>
      </c>
      <c r="Y5" s="117" t="s">
        <v>27</v>
      </c>
      <c r="Z5" s="117" t="s">
        <v>28</v>
      </c>
      <c r="AA5" s="120" t="s">
        <v>29</v>
      </c>
      <c r="AB5" s="121" t="s">
        <v>30</v>
      </c>
      <c r="AC5" s="122" t="s">
        <v>31</v>
      </c>
      <c r="AD5" s="121" t="s">
        <v>32</v>
      </c>
      <c r="AE5" s="145" t="s">
        <v>33</v>
      </c>
      <c r="AF5" s="120"/>
      <c r="AG5" s="123" t="s">
        <v>34</v>
      </c>
      <c r="AH5" s="120" t="s">
        <v>35</v>
      </c>
      <c r="AI5" s="120" t="s">
        <v>36</v>
      </c>
      <c r="AJ5" s="121" t="s">
        <v>37</v>
      </c>
      <c r="AK5" s="124" t="s">
        <v>38</v>
      </c>
      <c r="AL5" s="151" t="s">
        <v>39</v>
      </c>
      <c r="AM5" s="125"/>
      <c r="AN5" s="150" t="s">
        <v>40</v>
      </c>
      <c r="AO5" s="147"/>
      <c r="AP5" s="120" t="s">
        <v>42</v>
      </c>
    </row>
    <row r="6" spans="1:43" x14ac:dyDescent="0.35">
      <c r="A6" s="69" t="s">
        <v>43</v>
      </c>
      <c r="B6" s="15" t="s">
        <v>44</v>
      </c>
      <c r="C6" s="15"/>
      <c r="D6" s="69"/>
      <c r="E6" s="76">
        <v>0</v>
      </c>
      <c r="F6" s="69" t="s">
        <v>45</v>
      </c>
      <c r="G6" s="10" t="s">
        <v>46</v>
      </c>
      <c r="H6" s="76">
        <v>9001000001</v>
      </c>
      <c r="I6" s="92" t="s">
        <v>47</v>
      </c>
      <c r="J6" s="92">
        <v>1202010202</v>
      </c>
      <c r="K6" s="15"/>
      <c r="L6" s="95" t="s">
        <v>48</v>
      </c>
      <c r="M6" s="69" t="s">
        <v>49</v>
      </c>
      <c r="N6" s="69"/>
      <c r="O6" s="94">
        <v>1</v>
      </c>
      <c r="P6" s="69" t="s">
        <v>50</v>
      </c>
      <c r="Q6" s="69" t="s">
        <v>51</v>
      </c>
      <c r="R6" s="69"/>
      <c r="S6" s="46">
        <v>38078</v>
      </c>
      <c r="T6" s="48">
        <v>43191</v>
      </c>
      <c r="U6" s="69"/>
      <c r="V6" s="69"/>
      <c r="W6" s="69"/>
      <c r="X6" s="69"/>
      <c r="Y6" s="69" t="s">
        <v>4125</v>
      </c>
      <c r="Z6" s="43">
        <v>6450000</v>
      </c>
      <c r="AA6" s="43" t="s">
        <v>52</v>
      </c>
      <c r="AB6" s="43" t="s">
        <v>53</v>
      </c>
      <c r="AC6" s="43">
        <v>5840</v>
      </c>
      <c r="AD6" s="141">
        <v>16</v>
      </c>
      <c r="AE6" s="142">
        <v>0</v>
      </c>
      <c r="AF6" s="142"/>
      <c r="AG6" s="69" t="str">
        <f>_xlfn.CONCAT(AH6," years ",AI6," days")</f>
        <v>6 years 277 days</v>
      </c>
      <c r="AH6" s="69">
        <v>6</v>
      </c>
      <c r="AI6" s="69">
        <v>277</v>
      </c>
      <c r="AJ6" s="69">
        <v>0</v>
      </c>
      <c r="AK6" s="69">
        <v>0</v>
      </c>
      <c r="AL6" s="60">
        <v>6450000</v>
      </c>
      <c r="AM6" s="60">
        <f>ROUND(AL6,2)</f>
        <v>6450000</v>
      </c>
      <c r="AN6" s="59">
        <v>2724683</v>
      </c>
      <c r="AO6" s="148">
        <f>ROUND(AN6,2)*-1</f>
        <v>-2724683</v>
      </c>
      <c r="AP6" s="58">
        <v>199906.0410958901</v>
      </c>
      <c r="AQ6" s="143">
        <f>ROUND(AP6,2)*-1</f>
        <v>-199906.04</v>
      </c>
    </row>
    <row r="7" spans="1:43" x14ac:dyDescent="0.35">
      <c r="A7" s="69" t="s">
        <v>43</v>
      </c>
      <c r="B7" s="15" t="s">
        <v>54</v>
      </c>
      <c r="C7" s="15"/>
      <c r="D7" s="69"/>
      <c r="E7" s="76">
        <v>0</v>
      </c>
      <c r="F7" s="69" t="s">
        <v>45</v>
      </c>
      <c r="G7" s="10" t="s">
        <v>46</v>
      </c>
      <c r="H7" s="76">
        <v>9001000001</v>
      </c>
      <c r="I7" s="92" t="s">
        <v>47</v>
      </c>
      <c r="J7" s="92">
        <v>1202010202</v>
      </c>
      <c r="K7" s="15"/>
      <c r="L7" s="95" t="s">
        <v>55</v>
      </c>
      <c r="M7" s="69" t="s">
        <v>49</v>
      </c>
      <c r="N7" s="69"/>
      <c r="O7" s="94">
        <v>1</v>
      </c>
      <c r="P7" s="69" t="s">
        <v>50</v>
      </c>
      <c r="Q7" s="69" t="s">
        <v>51</v>
      </c>
      <c r="R7" s="69"/>
      <c r="S7" s="46">
        <v>39142</v>
      </c>
      <c r="T7" s="48">
        <v>43191</v>
      </c>
      <c r="U7" s="69"/>
      <c r="V7" s="69"/>
      <c r="W7" s="69"/>
      <c r="X7" s="69"/>
      <c r="Y7" s="69" t="s">
        <v>4125</v>
      </c>
      <c r="Z7" s="43">
        <v>5025000</v>
      </c>
      <c r="AA7" s="43" t="s">
        <v>52</v>
      </c>
      <c r="AB7" s="43" t="s">
        <v>53</v>
      </c>
      <c r="AC7" s="43">
        <v>6899</v>
      </c>
      <c r="AD7" s="141">
        <v>18</v>
      </c>
      <c r="AE7" s="142">
        <v>11</v>
      </c>
      <c r="AF7" s="142"/>
      <c r="AG7" s="69" t="str">
        <f t="shared" ref="AG7:AG70" si="0">_xlfn.CONCAT(AH7," years ",AI7," days")</f>
        <v>6 years 277 days</v>
      </c>
      <c r="AH7" s="69">
        <v>6</v>
      </c>
      <c r="AI7" s="69">
        <v>277</v>
      </c>
      <c r="AJ7" s="69">
        <v>0</v>
      </c>
      <c r="AK7" s="69">
        <v>0</v>
      </c>
      <c r="AL7" s="60">
        <v>5025000</v>
      </c>
      <c r="AM7" s="60">
        <f t="shared" ref="AM7:AM70" si="1">ROUND(AL7,2)</f>
        <v>5025000</v>
      </c>
      <c r="AN7" s="59">
        <v>1796880</v>
      </c>
      <c r="AO7" s="148">
        <f t="shared" ref="AO7:AO70" si="2">ROUND(AN7,2)*-1</f>
        <v>-1796880</v>
      </c>
      <c r="AP7" s="58">
        <v>131834.30642122054</v>
      </c>
      <c r="AQ7" s="143">
        <f t="shared" ref="AQ7:AQ70" si="3">ROUND(AP7,2)*-1</f>
        <v>-131834.31</v>
      </c>
    </row>
    <row r="8" spans="1:43" x14ac:dyDescent="0.35">
      <c r="A8" s="69" t="s">
        <v>43</v>
      </c>
      <c r="B8" s="15" t="s">
        <v>56</v>
      </c>
      <c r="C8" s="15"/>
      <c r="D8" s="69"/>
      <c r="E8" s="76">
        <v>0</v>
      </c>
      <c r="F8" s="69" t="s">
        <v>45</v>
      </c>
      <c r="G8" s="10" t="s">
        <v>46</v>
      </c>
      <c r="H8" s="76">
        <v>9001000001</v>
      </c>
      <c r="I8" s="92" t="s">
        <v>47</v>
      </c>
      <c r="J8" s="92">
        <v>1202010202</v>
      </c>
      <c r="K8" s="15"/>
      <c r="L8" s="95" t="s">
        <v>57</v>
      </c>
      <c r="M8" s="69" t="s">
        <v>49</v>
      </c>
      <c r="N8" s="69"/>
      <c r="O8" s="94">
        <v>1</v>
      </c>
      <c r="P8" s="69" t="s">
        <v>50</v>
      </c>
      <c r="Q8" s="69" t="s">
        <v>51</v>
      </c>
      <c r="R8" s="69"/>
      <c r="S8" s="46">
        <v>40574</v>
      </c>
      <c r="T8" s="48">
        <v>43191</v>
      </c>
      <c r="U8" s="69"/>
      <c r="V8" s="69"/>
      <c r="W8" s="69"/>
      <c r="X8" s="69"/>
      <c r="Y8" s="69" t="s">
        <v>4125</v>
      </c>
      <c r="Z8" s="43">
        <v>1400000</v>
      </c>
      <c r="AA8" s="43" t="s">
        <v>52</v>
      </c>
      <c r="AB8" s="43" t="s">
        <v>53</v>
      </c>
      <c r="AC8" s="43">
        <v>8322</v>
      </c>
      <c r="AD8" s="141">
        <v>22</v>
      </c>
      <c r="AE8" s="142">
        <v>10</v>
      </c>
      <c r="AF8" s="142"/>
      <c r="AG8" s="69" t="str">
        <f t="shared" si="0"/>
        <v>6 years 277 days</v>
      </c>
      <c r="AH8" s="69">
        <v>6</v>
      </c>
      <c r="AI8" s="69">
        <v>277</v>
      </c>
      <c r="AJ8" s="69">
        <v>0</v>
      </c>
      <c r="AK8" s="69">
        <v>0</v>
      </c>
      <c r="AL8" s="60">
        <v>1400000</v>
      </c>
      <c r="AM8" s="60">
        <f t="shared" si="1"/>
        <v>1400000</v>
      </c>
      <c r="AN8" s="59">
        <v>415020</v>
      </c>
      <c r="AO8" s="148">
        <f t="shared" si="2"/>
        <v>-415020</v>
      </c>
      <c r="AP8" s="58">
        <v>30449.838981014153</v>
      </c>
      <c r="AQ8" s="143">
        <f t="shared" si="3"/>
        <v>-30449.84</v>
      </c>
    </row>
    <row r="9" spans="1:43" x14ac:dyDescent="0.35">
      <c r="A9" s="69" t="s">
        <v>43</v>
      </c>
      <c r="B9" s="15" t="s">
        <v>58</v>
      </c>
      <c r="C9" s="15"/>
      <c r="D9" s="69"/>
      <c r="E9" s="76">
        <v>0</v>
      </c>
      <c r="F9" s="69" t="s">
        <v>45</v>
      </c>
      <c r="G9" s="10" t="s">
        <v>46</v>
      </c>
      <c r="H9" s="76">
        <v>9001000001</v>
      </c>
      <c r="I9" s="92" t="s">
        <v>47</v>
      </c>
      <c r="J9" s="92">
        <v>1202010202</v>
      </c>
      <c r="K9" s="15"/>
      <c r="L9" s="95" t="s">
        <v>59</v>
      </c>
      <c r="M9" s="69" t="s">
        <v>49</v>
      </c>
      <c r="N9" s="69"/>
      <c r="O9" s="94">
        <v>1</v>
      </c>
      <c r="P9" s="69" t="s">
        <v>50</v>
      </c>
      <c r="Q9" s="69" t="s">
        <v>51</v>
      </c>
      <c r="R9" s="69"/>
      <c r="S9" s="46">
        <v>40847</v>
      </c>
      <c r="T9" s="48">
        <v>43191</v>
      </c>
      <c r="U9" s="69"/>
      <c r="V9" s="69"/>
      <c r="W9" s="69"/>
      <c r="X9" s="69"/>
      <c r="Y9" s="69" t="s">
        <v>4125</v>
      </c>
      <c r="Z9" s="43">
        <v>2575000</v>
      </c>
      <c r="AA9" s="43" t="s">
        <v>52</v>
      </c>
      <c r="AB9" s="43" t="s">
        <v>53</v>
      </c>
      <c r="AC9" s="43">
        <v>8614</v>
      </c>
      <c r="AD9" s="141">
        <v>23</v>
      </c>
      <c r="AE9" s="142">
        <v>7</v>
      </c>
      <c r="AF9" s="142"/>
      <c r="AG9" s="69" t="str">
        <f t="shared" si="0"/>
        <v>6 years 277 days</v>
      </c>
      <c r="AH9" s="69">
        <v>6</v>
      </c>
      <c r="AI9" s="69">
        <v>277</v>
      </c>
      <c r="AJ9" s="69">
        <v>0</v>
      </c>
      <c r="AK9" s="69">
        <v>0</v>
      </c>
      <c r="AL9" s="60">
        <v>2575000</v>
      </c>
      <c r="AM9" s="60">
        <f t="shared" si="1"/>
        <v>2575000</v>
      </c>
      <c r="AN9" s="59">
        <v>737465</v>
      </c>
      <c r="AO9" s="148">
        <f t="shared" si="2"/>
        <v>-737465</v>
      </c>
      <c r="AP9" s="58">
        <v>54106.859763176064</v>
      </c>
      <c r="AQ9" s="143">
        <f t="shared" si="3"/>
        <v>-54106.86</v>
      </c>
    </row>
    <row r="10" spans="1:43" x14ac:dyDescent="0.35">
      <c r="A10" s="69" t="s">
        <v>43</v>
      </c>
      <c r="B10" s="15" t="s">
        <v>60</v>
      </c>
      <c r="C10" s="15"/>
      <c r="D10" s="69"/>
      <c r="E10" s="76">
        <v>0</v>
      </c>
      <c r="F10" s="69" t="s">
        <v>45</v>
      </c>
      <c r="G10" s="10" t="s">
        <v>46</v>
      </c>
      <c r="H10" s="76">
        <v>9001000001</v>
      </c>
      <c r="I10" s="92" t="s">
        <v>47</v>
      </c>
      <c r="J10" s="92">
        <v>1202010202</v>
      </c>
      <c r="K10" s="15"/>
      <c r="L10" s="95" t="s">
        <v>61</v>
      </c>
      <c r="M10" s="69" t="s">
        <v>49</v>
      </c>
      <c r="N10" s="69"/>
      <c r="O10" s="94">
        <v>1</v>
      </c>
      <c r="P10" s="69" t="s">
        <v>50</v>
      </c>
      <c r="Q10" s="69" t="s">
        <v>51</v>
      </c>
      <c r="R10" s="69"/>
      <c r="S10" s="46">
        <v>40999</v>
      </c>
      <c r="T10" s="48">
        <v>43191</v>
      </c>
      <c r="U10" s="69"/>
      <c r="V10" s="69"/>
      <c r="W10" s="69"/>
      <c r="X10" s="69"/>
      <c r="Y10" s="69" t="s">
        <v>4125</v>
      </c>
      <c r="Z10" s="43">
        <v>3250000</v>
      </c>
      <c r="AA10" s="43" t="s">
        <v>52</v>
      </c>
      <c r="AB10" s="43" t="s">
        <v>53</v>
      </c>
      <c r="AC10" s="43">
        <v>8760</v>
      </c>
      <c r="AD10" s="141">
        <v>24</v>
      </c>
      <c r="AE10" s="142">
        <v>0</v>
      </c>
      <c r="AF10" s="142"/>
      <c r="AG10" s="69" t="str">
        <f t="shared" si="0"/>
        <v>6 years 277 days</v>
      </c>
      <c r="AH10" s="69">
        <v>6</v>
      </c>
      <c r="AI10" s="69">
        <v>277</v>
      </c>
      <c r="AJ10" s="69">
        <v>0</v>
      </c>
      <c r="AK10" s="69">
        <v>0</v>
      </c>
      <c r="AL10" s="60">
        <v>3250000</v>
      </c>
      <c r="AM10" s="60">
        <f t="shared" si="1"/>
        <v>3250000</v>
      </c>
      <c r="AN10" s="59">
        <v>915268</v>
      </c>
      <c r="AO10" s="148">
        <f t="shared" si="2"/>
        <v>-915268</v>
      </c>
      <c r="AP10" s="58">
        <v>67152.091324200737</v>
      </c>
      <c r="AQ10" s="143">
        <f t="shared" si="3"/>
        <v>-67152.09</v>
      </c>
    </row>
    <row r="11" spans="1:43" x14ac:dyDescent="0.35">
      <c r="A11" s="69" t="s">
        <v>43</v>
      </c>
      <c r="B11" s="15" t="s">
        <v>62</v>
      </c>
      <c r="C11" s="15"/>
      <c r="D11" s="69"/>
      <c r="E11" s="76">
        <v>0</v>
      </c>
      <c r="F11" s="69" t="s">
        <v>45</v>
      </c>
      <c r="G11" s="10" t="s">
        <v>46</v>
      </c>
      <c r="H11" s="76">
        <v>9001000001</v>
      </c>
      <c r="I11" s="92" t="s">
        <v>47</v>
      </c>
      <c r="J11" s="92">
        <v>1202010202</v>
      </c>
      <c r="K11" s="15"/>
      <c r="L11" s="95" t="s">
        <v>63</v>
      </c>
      <c r="M11" s="69" t="s">
        <v>49</v>
      </c>
      <c r="N11" s="69"/>
      <c r="O11" s="94">
        <v>1</v>
      </c>
      <c r="P11" s="69" t="s">
        <v>50</v>
      </c>
      <c r="Q11" s="69" t="s">
        <v>51</v>
      </c>
      <c r="R11" s="69"/>
      <c r="S11" s="46">
        <v>41364</v>
      </c>
      <c r="T11" s="48">
        <v>43191</v>
      </c>
      <c r="U11" s="69"/>
      <c r="V11" s="69"/>
      <c r="W11" s="69"/>
      <c r="X11" s="69"/>
      <c r="Y11" s="69" t="s">
        <v>4125</v>
      </c>
      <c r="Z11" s="43">
        <v>16925000</v>
      </c>
      <c r="AA11" s="43" t="s">
        <v>52</v>
      </c>
      <c r="AB11" s="43" t="s">
        <v>53</v>
      </c>
      <c r="AC11" s="43">
        <v>9125</v>
      </c>
      <c r="AD11" s="141">
        <v>25</v>
      </c>
      <c r="AE11" s="142">
        <v>0</v>
      </c>
      <c r="AF11" s="142"/>
      <c r="AG11" s="69" t="str">
        <f t="shared" si="0"/>
        <v>6 years 277 days</v>
      </c>
      <c r="AH11" s="69">
        <v>6</v>
      </c>
      <c r="AI11" s="69">
        <v>277</v>
      </c>
      <c r="AJ11" s="69">
        <v>0</v>
      </c>
      <c r="AK11" s="69">
        <v>0</v>
      </c>
      <c r="AL11" s="60">
        <v>16925000</v>
      </c>
      <c r="AM11" s="60">
        <f t="shared" si="1"/>
        <v>16925000</v>
      </c>
      <c r="AN11" s="59">
        <v>4575778</v>
      </c>
      <c r="AO11" s="148">
        <f t="shared" si="2"/>
        <v>-4575778</v>
      </c>
      <c r="AP11" s="58">
        <v>335717.89041095879</v>
      </c>
      <c r="AQ11" s="143">
        <f t="shared" si="3"/>
        <v>-335717.89</v>
      </c>
    </row>
    <row r="12" spans="1:43" x14ac:dyDescent="0.35">
      <c r="A12" s="69" t="s">
        <v>43</v>
      </c>
      <c r="B12" s="15" t="s">
        <v>64</v>
      </c>
      <c r="C12" s="15"/>
      <c r="D12" s="69"/>
      <c r="E12" s="76">
        <v>0</v>
      </c>
      <c r="F12" s="69" t="s">
        <v>45</v>
      </c>
      <c r="G12" s="10" t="s">
        <v>46</v>
      </c>
      <c r="H12" s="76">
        <v>9001000001</v>
      </c>
      <c r="I12" s="92" t="s">
        <v>47</v>
      </c>
      <c r="J12" s="92">
        <v>1202010202</v>
      </c>
      <c r="K12" s="15"/>
      <c r="L12" s="95" t="s">
        <v>65</v>
      </c>
      <c r="M12" s="69" t="s">
        <v>66</v>
      </c>
      <c r="N12" s="69"/>
      <c r="O12" s="94">
        <v>4</v>
      </c>
      <c r="P12" s="69" t="s">
        <v>50</v>
      </c>
      <c r="Q12" s="69" t="s">
        <v>51</v>
      </c>
      <c r="R12" s="69"/>
      <c r="S12" s="46">
        <v>42217</v>
      </c>
      <c r="T12" s="48">
        <v>43191</v>
      </c>
      <c r="U12" s="69"/>
      <c r="V12" s="69"/>
      <c r="W12" s="69"/>
      <c r="X12" s="69"/>
      <c r="Y12" s="69" t="s">
        <v>4125</v>
      </c>
      <c r="Z12" s="43">
        <v>55000</v>
      </c>
      <c r="AA12" s="43" t="s">
        <v>52</v>
      </c>
      <c r="AB12" s="43" t="s">
        <v>53</v>
      </c>
      <c r="AC12" s="43">
        <v>9965</v>
      </c>
      <c r="AD12" s="141">
        <v>27</v>
      </c>
      <c r="AE12" s="142">
        <v>4</v>
      </c>
      <c r="AF12" s="142"/>
      <c r="AG12" s="69" t="str">
        <f t="shared" si="0"/>
        <v>6 years 277 days</v>
      </c>
      <c r="AH12" s="69">
        <v>6</v>
      </c>
      <c r="AI12" s="69">
        <v>277</v>
      </c>
      <c r="AJ12" s="69">
        <v>0</v>
      </c>
      <c r="AK12" s="69">
        <v>0</v>
      </c>
      <c r="AL12" s="60">
        <v>55000</v>
      </c>
      <c r="AM12" s="60">
        <f t="shared" si="1"/>
        <v>55000</v>
      </c>
      <c r="AN12" s="59">
        <v>13616</v>
      </c>
      <c r="AO12" s="148">
        <f t="shared" si="2"/>
        <v>-13616</v>
      </c>
      <c r="AP12" s="58">
        <v>999.15303562468762</v>
      </c>
      <c r="AQ12" s="143">
        <f t="shared" si="3"/>
        <v>-999.15</v>
      </c>
    </row>
    <row r="13" spans="1:43" x14ac:dyDescent="0.35">
      <c r="A13" s="69" t="s">
        <v>43</v>
      </c>
      <c r="B13" s="15" t="s">
        <v>67</v>
      </c>
      <c r="C13" s="15"/>
      <c r="D13" s="69"/>
      <c r="E13" s="76">
        <v>0</v>
      </c>
      <c r="F13" s="69" t="s">
        <v>45</v>
      </c>
      <c r="G13" s="10" t="s">
        <v>46</v>
      </c>
      <c r="H13" s="76">
        <v>9001000001</v>
      </c>
      <c r="I13" s="92" t="s">
        <v>47</v>
      </c>
      <c r="J13" s="92">
        <v>1202010202</v>
      </c>
      <c r="K13" s="15"/>
      <c r="L13" s="95" t="s">
        <v>68</v>
      </c>
      <c r="M13" s="69" t="s">
        <v>49</v>
      </c>
      <c r="N13" s="69"/>
      <c r="O13" s="94">
        <v>1</v>
      </c>
      <c r="P13" s="69" t="s">
        <v>50</v>
      </c>
      <c r="Q13" s="69" t="s">
        <v>51</v>
      </c>
      <c r="R13" s="69"/>
      <c r="S13" s="46">
        <v>38078</v>
      </c>
      <c r="T13" s="48">
        <v>43191</v>
      </c>
      <c r="U13" s="69"/>
      <c r="V13" s="69"/>
      <c r="W13" s="69"/>
      <c r="X13" s="69"/>
      <c r="Y13" s="69" t="s">
        <v>4125</v>
      </c>
      <c r="Z13" s="43">
        <v>22975000</v>
      </c>
      <c r="AA13" s="43" t="s">
        <v>52</v>
      </c>
      <c r="AB13" s="43" t="s">
        <v>53</v>
      </c>
      <c r="AC13" s="43">
        <v>5840</v>
      </c>
      <c r="AD13" s="141">
        <v>16</v>
      </c>
      <c r="AE13" s="142">
        <v>0</v>
      </c>
      <c r="AF13" s="142"/>
      <c r="AG13" s="69" t="str">
        <f t="shared" si="0"/>
        <v>6 years 277 days</v>
      </c>
      <c r="AH13" s="69">
        <v>6</v>
      </c>
      <c r="AI13" s="69">
        <v>277</v>
      </c>
      <c r="AJ13" s="69">
        <v>0</v>
      </c>
      <c r="AK13" s="69">
        <v>0</v>
      </c>
      <c r="AL13" s="60">
        <v>22975000</v>
      </c>
      <c r="AM13" s="60">
        <f t="shared" si="1"/>
        <v>22975000</v>
      </c>
      <c r="AN13" s="59">
        <v>9705364</v>
      </c>
      <c r="AO13" s="148">
        <f t="shared" si="2"/>
        <v>-9705364</v>
      </c>
      <c r="AP13" s="58">
        <v>712067.50684931315</v>
      </c>
      <c r="AQ13" s="143">
        <f t="shared" si="3"/>
        <v>-712067.51</v>
      </c>
    </row>
    <row r="14" spans="1:43" x14ac:dyDescent="0.35">
      <c r="A14" s="69" t="s">
        <v>43</v>
      </c>
      <c r="B14" s="15" t="s">
        <v>69</v>
      </c>
      <c r="C14" s="15"/>
      <c r="D14" s="69"/>
      <c r="E14" s="76">
        <v>0</v>
      </c>
      <c r="F14" s="69" t="s">
        <v>45</v>
      </c>
      <c r="G14" s="10" t="s">
        <v>46</v>
      </c>
      <c r="H14" s="76">
        <v>9001000001</v>
      </c>
      <c r="I14" s="92" t="s">
        <v>47</v>
      </c>
      <c r="J14" s="92">
        <v>1202010202</v>
      </c>
      <c r="K14" s="15"/>
      <c r="L14" s="95" t="s">
        <v>70</v>
      </c>
      <c r="M14" s="69" t="s">
        <v>49</v>
      </c>
      <c r="N14" s="69"/>
      <c r="O14" s="94">
        <v>1</v>
      </c>
      <c r="P14" s="69" t="s">
        <v>50</v>
      </c>
      <c r="Q14" s="69" t="s">
        <v>51</v>
      </c>
      <c r="R14" s="69"/>
      <c r="S14" s="46">
        <v>38107</v>
      </c>
      <c r="T14" s="48">
        <v>43191</v>
      </c>
      <c r="U14" s="69"/>
      <c r="V14" s="69"/>
      <c r="W14" s="69"/>
      <c r="X14" s="69"/>
      <c r="Y14" s="69" t="s">
        <v>4125</v>
      </c>
      <c r="Z14" s="43">
        <v>130000</v>
      </c>
      <c r="AA14" s="43" t="s">
        <v>52</v>
      </c>
      <c r="AB14" s="43" t="s">
        <v>53</v>
      </c>
      <c r="AC14" s="43">
        <v>5877</v>
      </c>
      <c r="AD14" s="141">
        <v>16</v>
      </c>
      <c r="AE14" s="142">
        <v>1</v>
      </c>
      <c r="AF14" s="142"/>
      <c r="AG14" s="69" t="str">
        <f t="shared" si="0"/>
        <v>6 years 277 days</v>
      </c>
      <c r="AH14" s="69">
        <v>6</v>
      </c>
      <c r="AI14" s="69">
        <v>277</v>
      </c>
      <c r="AJ14" s="69">
        <v>0</v>
      </c>
      <c r="AK14" s="69">
        <v>0</v>
      </c>
      <c r="AL14" s="60">
        <v>130000</v>
      </c>
      <c r="AM14" s="60">
        <f t="shared" si="1"/>
        <v>130000</v>
      </c>
      <c r="AN14" s="59">
        <v>54570</v>
      </c>
      <c r="AO14" s="148">
        <f t="shared" si="2"/>
        <v>-54570</v>
      </c>
      <c r="AP14" s="58">
        <v>4004.102433214226</v>
      </c>
      <c r="AQ14" s="143">
        <f t="shared" si="3"/>
        <v>-4004.1</v>
      </c>
    </row>
    <row r="15" spans="1:43" x14ac:dyDescent="0.35">
      <c r="A15" s="69" t="s">
        <v>43</v>
      </c>
      <c r="B15" s="15" t="s">
        <v>71</v>
      </c>
      <c r="C15" s="15"/>
      <c r="D15" s="69"/>
      <c r="E15" s="76">
        <v>0</v>
      </c>
      <c r="F15" s="69" t="s">
        <v>45</v>
      </c>
      <c r="G15" s="10" t="s">
        <v>46</v>
      </c>
      <c r="H15" s="76">
        <v>9001000001</v>
      </c>
      <c r="I15" s="92" t="s">
        <v>47</v>
      </c>
      <c r="J15" s="92">
        <v>1202010202</v>
      </c>
      <c r="K15" s="15"/>
      <c r="L15" s="95" t="s">
        <v>72</v>
      </c>
      <c r="M15" s="69" t="s">
        <v>49</v>
      </c>
      <c r="N15" s="69"/>
      <c r="O15" s="94">
        <v>1</v>
      </c>
      <c r="P15" s="69" t="s">
        <v>50</v>
      </c>
      <c r="Q15" s="69" t="s">
        <v>51</v>
      </c>
      <c r="R15" s="69"/>
      <c r="S15" s="46">
        <v>38138</v>
      </c>
      <c r="T15" s="48">
        <v>43191</v>
      </c>
      <c r="U15" s="69"/>
      <c r="V15" s="69"/>
      <c r="W15" s="69"/>
      <c r="X15" s="69"/>
      <c r="Y15" s="69" t="s">
        <v>4125</v>
      </c>
      <c r="Z15" s="43">
        <v>390000</v>
      </c>
      <c r="AA15" s="43" t="s">
        <v>52</v>
      </c>
      <c r="AB15" s="43" t="s">
        <v>53</v>
      </c>
      <c r="AC15" s="43">
        <v>5913</v>
      </c>
      <c r="AD15" s="141">
        <v>16</v>
      </c>
      <c r="AE15" s="142">
        <v>2</v>
      </c>
      <c r="AF15" s="142"/>
      <c r="AG15" s="69" t="str">
        <f t="shared" si="0"/>
        <v>6 years 277 days</v>
      </c>
      <c r="AH15" s="69">
        <v>6</v>
      </c>
      <c r="AI15" s="69">
        <v>277</v>
      </c>
      <c r="AJ15" s="69">
        <v>0</v>
      </c>
      <c r="AK15" s="69">
        <v>0</v>
      </c>
      <c r="AL15" s="60">
        <v>390000</v>
      </c>
      <c r="AM15" s="60">
        <f t="shared" si="1"/>
        <v>390000</v>
      </c>
      <c r="AN15" s="59">
        <v>162714</v>
      </c>
      <c r="AO15" s="148">
        <f t="shared" si="2"/>
        <v>-162714</v>
      </c>
      <c r="AP15" s="58">
        <v>11938.460679857933</v>
      </c>
      <c r="AQ15" s="143">
        <f t="shared" si="3"/>
        <v>-11938.46</v>
      </c>
    </row>
    <row r="16" spans="1:43" x14ac:dyDescent="0.35">
      <c r="A16" s="69" t="s">
        <v>43</v>
      </c>
      <c r="B16" s="15" t="s">
        <v>73</v>
      </c>
      <c r="C16" s="15"/>
      <c r="D16" s="69"/>
      <c r="E16" s="76">
        <v>0</v>
      </c>
      <c r="F16" s="69" t="s">
        <v>45</v>
      </c>
      <c r="G16" s="10" t="s">
        <v>46</v>
      </c>
      <c r="H16" s="76">
        <v>9001000001</v>
      </c>
      <c r="I16" s="92" t="s">
        <v>47</v>
      </c>
      <c r="J16" s="92">
        <v>1202010202</v>
      </c>
      <c r="K16" s="15"/>
      <c r="L16" s="95" t="s">
        <v>74</v>
      </c>
      <c r="M16" s="69" t="s">
        <v>49</v>
      </c>
      <c r="N16" s="69"/>
      <c r="O16" s="94">
        <v>1</v>
      </c>
      <c r="P16" s="69" t="s">
        <v>50</v>
      </c>
      <c r="Q16" s="69" t="s">
        <v>51</v>
      </c>
      <c r="R16" s="69"/>
      <c r="S16" s="46">
        <v>38168</v>
      </c>
      <c r="T16" s="48">
        <v>43191</v>
      </c>
      <c r="U16" s="69"/>
      <c r="V16" s="69"/>
      <c r="W16" s="69"/>
      <c r="X16" s="69"/>
      <c r="Y16" s="69" t="s">
        <v>4125</v>
      </c>
      <c r="Z16" s="43">
        <v>105000</v>
      </c>
      <c r="AA16" s="43" t="s">
        <v>52</v>
      </c>
      <c r="AB16" s="43" t="s">
        <v>53</v>
      </c>
      <c r="AC16" s="43">
        <v>5913</v>
      </c>
      <c r="AD16" s="141">
        <v>16</v>
      </c>
      <c r="AE16" s="142">
        <v>2</v>
      </c>
      <c r="AF16" s="142"/>
      <c r="AG16" s="69" t="str">
        <f t="shared" si="0"/>
        <v>6 years 277 days</v>
      </c>
      <c r="AH16" s="69">
        <v>6</v>
      </c>
      <c r="AI16" s="69">
        <v>277</v>
      </c>
      <c r="AJ16" s="69">
        <v>0</v>
      </c>
      <c r="AK16" s="69">
        <v>0</v>
      </c>
      <c r="AL16" s="60">
        <v>105000</v>
      </c>
      <c r="AM16" s="60">
        <f t="shared" si="1"/>
        <v>105000</v>
      </c>
      <c r="AN16" s="59">
        <v>43808</v>
      </c>
      <c r="AO16" s="148">
        <f t="shared" si="2"/>
        <v>-43808</v>
      </c>
      <c r="AP16" s="58">
        <v>3213.8163368848327</v>
      </c>
      <c r="AQ16" s="143">
        <f t="shared" si="3"/>
        <v>-3213.82</v>
      </c>
    </row>
    <row r="17" spans="1:43" x14ac:dyDescent="0.35">
      <c r="A17" s="69" t="s">
        <v>43</v>
      </c>
      <c r="B17" s="15" t="s">
        <v>75</v>
      </c>
      <c r="C17" s="15"/>
      <c r="D17" s="69"/>
      <c r="E17" s="76">
        <v>0</v>
      </c>
      <c r="F17" s="69" t="s">
        <v>45</v>
      </c>
      <c r="G17" s="10" t="s">
        <v>46</v>
      </c>
      <c r="H17" s="76">
        <v>9001000001</v>
      </c>
      <c r="I17" s="92" t="s">
        <v>47</v>
      </c>
      <c r="J17" s="92">
        <v>1202010202</v>
      </c>
      <c r="K17" s="15"/>
      <c r="L17" s="95" t="s">
        <v>76</v>
      </c>
      <c r="M17" s="69" t="s">
        <v>49</v>
      </c>
      <c r="N17" s="69"/>
      <c r="O17" s="94">
        <v>1</v>
      </c>
      <c r="P17" s="69" t="s">
        <v>50</v>
      </c>
      <c r="Q17" s="69" t="s">
        <v>51</v>
      </c>
      <c r="R17" s="69"/>
      <c r="S17" s="46">
        <v>38220</v>
      </c>
      <c r="T17" s="48">
        <v>43191</v>
      </c>
      <c r="U17" s="69"/>
      <c r="V17" s="69"/>
      <c r="W17" s="69"/>
      <c r="X17" s="69"/>
      <c r="Y17" s="69" t="s">
        <v>4125</v>
      </c>
      <c r="Z17" s="43">
        <v>530000</v>
      </c>
      <c r="AA17" s="43" t="s">
        <v>52</v>
      </c>
      <c r="AB17" s="43" t="s">
        <v>53</v>
      </c>
      <c r="AC17" s="43">
        <v>5986</v>
      </c>
      <c r="AD17" s="141">
        <v>16</v>
      </c>
      <c r="AE17" s="142">
        <v>5</v>
      </c>
      <c r="AF17" s="142"/>
      <c r="AG17" s="69" t="str">
        <f t="shared" si="0"/>
        <v>6 years 277 days</v>
      </c>
      <c r="AH17" s="69">
        <v>6</v>
      </c>
      <c r="AI17" s="69">
        <v>277</v>
      </c>
      <c r="AJ17" s="69">
        <v>0</v>
      </c>
      <c r="AK17" s="69">
        <v>0</v>
      </c>
      <c r="AL17" s="60">
        <v>530000</v>
      </c>
      <c r="AM17" s="60">
        <f t="shared" si="1"/>
        <v>530000</v>
      </c>
      <c r="AN17" s="59">
        <v>218428</v>
      </c>
      <c r="AO17" s="148">
        <f t="shared" si="2"/>
        <v>-218428</v>
      </c>
      <c r="AP17" s="58">
        <v>16025.725359171425</v>
      </c>
      <c r="AQ17" s="143">
        <f t="shared" si="3"/>
        <v>-16025.73</v>
      </c>
    </row>
    <row r="18" spans="1:43" x14ac:dyDescent="0.35">
      <c r="A18" s="69" t="s">
        <v>43</v>
      </c>
      <c r="B18" s="15" t="s">
        <v>77</v>
      </c>
      <c r="C18" s="15"/>
      <c r="D18" s="69"/>
      <c r="E18" s="76">
        <v>0</v>
      </c>
      <c r="F18" s="69" t="s">
        <v>45</v>
      </c>
      <c r="G18" s="10" t="s">
        <v>46</v>
      </c>
      <c r="H18" s="76">
        <v>9001000001</v>
      </c>
      <c r="I18" s="92" t="s">
        <v>47</v>
      </c>
      <c r="J18" s="92">
        <v>1202010202</v>
      </c>
      <c r="K18" s="15"/>
      <c r="L18" s="95" t="s">
        <v>78</v>
      </c>
      <c r="M18" s="69" t="s">
        <v>49</v>
      </c>
      <c r="N18" s="69"/>
      <c r="O18" s="94">
        <v>1</v>
      </c>
      <c r="P18" s="69" t="s">
        <v>50</v>
      </c>
      <c r="Q18" s="69" t="s">
        <v>51</v>
      </c>
      <c r="R18" s="69"/>
      <c r="S18" s="46">
        <v>38260</v>
      </c>
      <c r="T18" s="48">
        <v>43191</v>
      </c>
      <c r="U18" s="69"/>
      <c r="V18" s="69"/>
      <c r="W18" s="69"/>
      <c r="X18" s="69"/>
      <c r="Y18" s="69" t="s">
        <v>4125</v>
      </c>
      <c r="Z18" s="43">
        <v>520000</v>
      </c>
      <c r="AA18" s="43" t="s">
        <v>52</v>
      </c>
      <c r="AB18" s="43" t="s">
        <v>53</v>
      </c>
      <c r="AC18" s="43">
        <v>6023</v>
      </c>
      <c r="AD18" s="141">
        <v>16</v>
      </c>
      <c r="AE18" s="142">
        <v>6</v>
      </c>
      <c r="AF18" s="142"/>
      <c r="AG18" s="69" t="str">
        <f t="shared" si="0"/>
        <v>6 years 277 days</v>
      </c>
      <c r="AH18" s="69">
        <v>6</v>
      </c>
      <c r="AI18" s="69">
        <v>277</v>
      </c>
      <c r="AJ18" s="69">
        <v>0</v>
      </c>
      <c r="AK18" s="69">
        <v>0</v>
      </c>
      <c r="AL18" s="60">
        <v>520000</v>
      </c>
      <c r="AM18" s="60">
        <f t="shared" si="1"/>
        <v>520000</v>
      </c>
      <c r="AN18" s="59">
        <v>212990</v>
      </c>
      <c r="AO18" s="148">
        <f t="shared" si="2"/>
        <v>-212990</v>
      </c>
      <c r="AP18" s="58">
        <v>15626.968288228469</v>
      </c>
      <c r="AQ18" s="143">
        <f t="shared" si="3"/>
        <v>-15626.97</v>
      </c>
    </row>
    <row r="19" spans="1:43" x14ac:dyDescent="0.35">
      <c r="A19" s="69" t="s">
        <v>43</v>
      </c>
      <c r="B19" s="15" t="s">
        <v>79</v>
      </c>
      <c r="C19" s="15"/>
      <c r="D19" s="69"/>
      <c r="E19" s="76">
        <v>0</v>
      </c>
      <c r="F19" s="69" t="s">
        <v>45</v>
      </c>
      <c r="G19" s="10" t="s">
        <v>46</v>
      </c>
      <c r="H19" s="76">
        <v>9001000001</v>
      </c>
      <c r="I19" s="92" t="s">
        <v>47</v>
      </c>
      <c r="J19" s="92">
        <v>1202010202</v>
      </c>
      <c r="K19" s="15"/>
      <c r="L19" s="95" t="s">
        <v>80</v>
      </c>
      <c r="M19" s="69" t="s">
        <v>49</v>
      </c>
      <c r="N19" s="69"/>
      <c r="O19" s="94">
        <v>1</v>
      </c>
      <c r="P19" s="69" t="s">
        <v>50</v>
      </c>
      <c r="Q19" s="69" t="s">
        <v>51</v>
      </c>
      <c r="R19" s="69"/>
      <c r="S19" s="46">
        <v>38352</v>
      </c>
      <c r="T19" s="48">
        <v>43191</v>
      </c>
      <c r="U19" s="69"/>
      <c r="V19" s="69"/>
      <c r="W19" s="69"/>
      <c r="X19" s="69"/>
      <c r="Y19" s="69" t="s">
        <v>4125</v>
      </c>
      <c r="Z19" s="43">
        <v>160000</v>
      </c>
      <c r="AA19" s="43" t="s">
        <v>52</v>
      </c>
      <c r="AB19" s="43" t="s">
        <v>53</v>
      </c>
      <c r="AC19" s="43">
        <v>6096</v>
      </c>
      <c r="AD19" s="141">
        <v>16</v>
      </c>
      <c r="AE19" s="142">
        <v>9</v>
      </c>
      <c r="AF19" s="142"/>
      <c r="AG19" s="69" t="str">
        <f t="shared" si="0"/>
        <v>6 years 277 days</v>
      </c>
      <c r="AH19" s="69">
        <v>6</v>
      </c>
      <c r="AI19" s="69">
        <v>277</v>
      </c>
      <c r="AJ19" s="69">
        <v>0</v>
      </c>
      <c r="AK19" s="69">
        <v>0</v>
      </c>
      <c r="AL19" s="60">
        <v>160000</v>
      </c>
      <c r="AM19" s="60">
        <f t="shared" si="1"/>
        <v>160000</v>
      </c>
      <c r="AN19" s="59">
        <v>64751</v>
      </c>
      <c r="AO19" s="148">
        <f t="shared" si="2"/>
        <v>-64751</v>
      </c>
      <c r="AP19" s="58">
        <v>4750.3123359580059</v>
      </c>
      <c r="AQ19" s="143">
        <f t="shared" si="3"/>
        <v>-4750.3100000000004</v>
      </c>
    </row>
    <row r="20" spans="1:43" x14ac:dyDescent="0.35">
      <c r="A20" s="69" t="s">
        <v>43</v>
      </c>
      <c r="B20" s="15" t="s">
        <v>81</v>
      </c>
      <c r="C20" s="15"/>
      <c r="D20" s="69"/>
      <c r="E20" s="76">
        <v>0</v>
      </c>
      <c r="F20" s="69" t="s">
        <v>45</v>
      </c>
      <c r="G20" s="10" t="s">
        <v>46</v>
      </c>
      <c r="H20" s="76">
        <v>9001000001</v>
      </c>
      <c r="I20" s="92" t="s">
        <v>47</v>
      </c>
      <c r="J20" s="92">
        <v>1202010202</v>
      </c>
      <c r="K20" s="15"/>
      <c r="L20" s="95" t="s">
        <v>82</v>
      </c>
      <c r="M20" s="69" t="s">
        <v>49</v>
      </c>
      <c r="N20" s="69"/>
      <c r="O20" s="94">
        <v>1</v>
      </c>
      <c r="P20" s="69" t="s">
        <v>50</v>
      </c>
      <c r="Q20" s="69" t="s">
        <v>51</v>
      </c>
      <c r="R20" s="69"/>
      <c r="S20" s="46">
        <v>38383</v>
      </c>
      <c r="T20" s="48">
        <v>43191</v>
      </c>
      <c r="U20" s="69"/>
      <c r="V20" s="69"/>
      <c r="W20" s="69"/>
      <c r="X20" s="69"/>
      <c r="Y20" s="69" t="s">
        <v>4125</v>
      </c>
      <c r="Z20" s="43">
        <v>115000</v>
      </c>
      <c r="AA20" s="43" t="s">
        <v>52</v>
      </c>
      <c r="AB20" s="43" t="s">
        <v>53</v>
      </c>
      <c r="AC20" s="43">
        <v>6132</v>
      </c>
      <c r="AD20" s="141">
        <v>16</v>
      </c>
      <c r="AE20" s="142">
        <v>10</v>
      </c>
      <c r="AF20" s="142"/>
      <c r="AG20" s="69" t="str">
        <f t="shared" si="0"/>
        <v>6 years 277 days</v>
      </c>
      <c r="AH20" s="69">
        <v>6</v>
      </c>
      <c r="AI20" s="69">
        <v>277</v>
      </c>
      <c r="AJ20" s="69">
        <v>0</v>
      </c>
      <c r="AK20" s="69">
        <v>0</v>
      </c>
      <c r="AL20" s="60">
        <v>115000</v>
      </c>
      <c r="AM20" s="60">
        <f t="shared" si="1"/>
        <v>115000</v>
      </c>
      <c r="AN20" s="59">
        <v>46266</v>
      </c>
      <c r="AO20" s="148">
        <f t="shared" si="2"/>
        <v>-46266</v>
      </c>
      <c r="AP20" s="58">
        <v>3394.7958251793825</v>
      </c>
      <c r="AQ20" s="143">
        <f t="shared" si="3"/>
        <v>-3394.8</v>
      </c>
    </row>
    <row r="21" spans="1:43" x14ac:dyDescent="0.35">
      <c r="A21" s="69" t="s">
        <v>43</v>
      </c>
      <c r="B21" s="15" t="s">
        <v>83</v>
      </c>
      <c r="C21" s="15"/>
      <c r="D21" s="69"/>
      <c r="E21" s="76">
        <v>0</v>
      </c>
      <c r="F21" s="69" t="s">
        <v>45</v>
      </c>
      <c r="G21" s="10" t="s">
        <v>46</v>
      </c>
      <c r="H21" s="76">
        <v>9001000001</v>
      </c>
      <c r="I21" s="92" t="s">
        <v>47</v>
      </c>
      <c r="J21" s="92">
        <v>1202010202</v>
      </c>
      <c r="K21" s="15"/>
      <c r="L21" s="95" t="s">
        <v>84</v>
      </c>
      <c r="M21" s="69" t="s">
        <v>49</v>
      </c>
      <c r="N21" s="69"/>
      <c r="O21" s="94">
        <v>1</v>
      </c>
      <c r="P21" s="69" t="s">
        <v>50</v>
      </c>
      <c r="Q21" s="69" t="s">
        <v>51</v>
      </c>
      <c r="R21" s="69"/>
      <c r="S21" s="46">
        <v>38411</v>
      </c>
      <c r="T21" s="48">
        <v>43191</v>
      </c>
      <c r="U21" s="69"/>
      <c r="V21" s="69"/>
      <c r="W21" s="69"/>
      <c r="X21" s="69"/>
      <c r="Y21" s="69" t="s">
        <v>4125</v>
      </c>
      <c r="Z21" s="43">
        <v>630000</v>
      </c>
      <c r="AA21" s="43" t="s">
        <v>52</v>
      </c>
      <c r="AB21" s="43" t="s">
        <v>53</v>
      </c>
      <c r="AC21" s="43">
        <v>6169</v>
      </c>
      <c r="AD21" s="141">
        <v>16</v>
      </c>
      <c r="AE21" s="142">
        <v>11</v>
      </c>
      <c r="AF21" s="142"/>
      <c r="AG21" s="69" t="str">
        <f t="shared" si="0"/>
        <v>6 years 277 days</v>
      </c>
      <c r="AH21" s="69">
        <v>6</v>
      </c>
      <c r="AI21" s="69">
        <v>277</v>
      </c>
      <c r="AJ21" s="69">
        <v>0</v>
      </c>
      <c r="AK21" s="69">
        <v>0</v>
      </c>
      <c r="AL21" s="60">
        <v>630000</v>
      </c>
      <c r="AM21" s="60">
        <f t="shared" si="1"/>
        <v>630000</v>
      </c>
      <c r="AN21" s="59">
        <v>251939</v>
      </c>
      <c r="AO21" s="148">
        <f t="shared" si="2"/>
        <v>-251939</v>
      </c>
      <c r="AP21" s="58">
        <v>18484.083157724119</v>
      </c>
      <c r="AQ21" s="143">
        <f t="shared" si="3"/>
        <v>-18484.080000000002</v>
      </c>
    </row>
    <row r="22" spans="1:43" x14ac:dyDescent="0.35">
      <c r="A22" s="69" t="s">
        <v>43</v>
      </c>
      <c r="B22" s="15" t="s">
        <v>85</v>
      </c>
      <c r="C22" s="15"/>
      <c r="D22" s="69"/>
      <c r="E22" s="76">
        <v>0</v>
      </c>
      <c r="F22" s="69" t="s">
        <v>45</v>
      </c>
      <c r="G22" s="10" t="s">
        <v>46</v>
      </c>
      <c r="H22" s="76">
        <v>9001000001</v>
      </c>
      <c r="I22" s="92" t="s">
        <v>47</v>
      </c>
      <c r="J22" s="92">
        <v>1202010202</v>
      </c>
      <c r="K22" s="15"/>
      <c r="L22" s="95" t="s">
        <v>86</v>
      </c>
      <c r="M22" s="69" t="s">
        <v>49</v>
      </c>
      <c r="N22" s="69"/>
      <c r="O22" s="94">
        <v>1</v>
      </c>
      <c r="P22" s="69" t="s">
        <v>50</v>
      </c>
      <c r="Q22" s="69" t="s">
        <v>51</v>
      </c>
      <c r="R22" s="69"/>
      <c r="S22" s="46">
        <v>38442</v>
      </c>
      <c r="T22" s="48">
        <v>43191</v>
      </c>
      <c r="U22" s="69"/>
      <c r="V22" s="69"/>
      <c r="W22" s="69"/>
      <c r="X22" s="69"/>
      <c r="Y22" s="69" t="s">
        <v>4125</v>
      </c>
      <c r="Z22" s="43">
        <v>540000</v>
      </c>
      <c r="AA22" s="43" t="s">
        <v>52</v>
      </c>
      <c r="AB22" s="43" t="s">
        <v>53</v>
      </c>
      <c r="AC22" s="43">
        <v>6205</v>
      </c>
      <c r="AD22" s="141">
        <v>17</v>
      </c>
      <c r="AE22" s="142">
        <v>0</v>
      </c>
      <c r="AF22" s="142"/>
      <c r="AG22" s="69" t="str">
        <f t="shared" si="0"/>
        <v>6 years 277 days</v>
      </c>
      <c r="AH22" s="69">
        <v>6</v>
      </c>
      <c r="AI22" s="69">
        <v>277</v>
      </c>
      <c r="AJ22" s="69">
        <v>0</v>
      </c>
      <c r="AK22" s="69">
        <v>0</v>
      </c>
      <c r="AL22" s="60">
        <v>540000</v>
      </c>
      <c r="AM22" s="60">
        <f t="shared" si="1"/>
        <v>540000</v>
      </c>
      <c r="AN22" s="59">
        <v>214695</v>
      </c>
      <c r="AO22" s="148">
        <f t="shared" si="2"/>
        <v>-214695</v>
      </c>
      <c r="AP22" s="58">
        <v>15751.414182111213</v>
      </c>
      <c r="AQ22" s="143">
        <f t="shared" si="3"/>
        <v>-15751.41</v>
      </c>
    </row>
    <row r="23" spans="1:43" x14ac:dyDescent="0.35">
      <c r="A23" s="69" t="s">
        <v>43</v>
      </c>
      <c r="B23" s="15" t="s">
        <v>87</v>
      </c>
      <c r="C23" s="15"/>
      <c r="D23" s="69"/>
      <c r="E23" s="76">
        <v>0</v>
      </c>
      <c r="F23" s="69" t="s">
        <v>45</v>
      </c>
      <c r="G23" s="10" t="s">
        <v>46</v>
      </c>
      <c r="H23" s="76">
        <v>9001000001</v>
      </c>
      <c r="I23" s="92" t="s">
        <v>47</v>
      </c>
      <c r="J23" s="92">
        <v>1202010202</v>
      </c>
      <c r="K23" s="15"/>
      <c r="L23" s="95" t="s">
        <v>88</v>
      </c>
      <c r="M23" s="69" t="s">
        <v>49</v>
      </c>
      <c r="N23" s="69"/>
      <c r="O23" s="94">
        <v>1</v>
      </c>
      <c r="P23" s="69" t="s">
        <v>50</v>
      </c>
      <c r="Q23" s="69" t="s">
        <v>51</v>
      </c>
      <c r="R23" s="69"/>
      <c r="S23" s="46">
        <v>40147</v>
      </c>
      <c r="T23" s="48">
        <v>43191</v>
      </c>
      <c r="U23" s="69"/>
      <c r="V23" s="69"/>
      <c r="W23" s="69"/>
      <c r="X23" s="69"/>
      <c r="Y23" s="69" t="s">
        <v>4125</v>
      </c>
      <c r="Z23" s="43">
        <v>2750000</v>
      </c>
      <c r="AA23" s="43" t="s">
        <v>52</v>
      </c>
      <c r="AB23" s="43" t="s">
        <v>53</v>
      </c>
      <c r="AC23" s="43">
        <v>7921</v>
      </c>
      <c r="AD23" s="141">
        <v>21</v>
      </c>
      <c r="AE23" s="142">
        <v>9</v>
      </c>
      <c r="AF23" s="142"/>
      <c r="AG23" s="69" t="str">
        <f t="shared" si="0"/>
        <v>6 years 277 days</v>
      </c>
      <c r="AH23" s="69">
        <v>6</v>
      </c>
      <c r="AI23" s="69">
        <v>277</v>
      </c>
      <c r="AJ23" s="69">
        <v>0</v>
      </c>
      <c r="AK23" s="69">
        <v>0</v>
      </c>
      <c r="AL23" s="60">
        <v>2750000</v>
      </c>
      <c r="AM23" s="60">
        <f t="shared" si="1"/>
        <v>2750000</v>
      </c>
      <c r="AN23" s="59">
        <v>856489</v>
      </c>
      <c r="AO23" s="148">
        <f t="shared" si="2"/>
        <v>-856489</v>
      </c>
      <c r="AP23" s="58">
        <v>62839.367630349705</v>
      </c>
      <c r="AQ23" s="143">
        <f t="shared" si="3"/>
        <v>-62839.37</v>
      </c>
    </row>
    <row r="24" spans="1:43" x14ac:dyDescent="0.35">
      <c r="A24" s="69" t="s">
        <v>43</v>
      </c>
      <c r="B24" s="15" t="s">
        <v>89</v>
      </c>
      <c r="C24" s="15"/>
      <c r="D24" s="69"/>
      <c r="E24" s="76">
        <v>0</v>
      </c>
      <c r="F24" s="69" t="s">
        <v>45</v>
      </c>
      <c r="G24" s="10" t="s">
        <v>46</v>
      </c>
      <c r="H24" s="76">
        <v>9001000001</v>
      </c>
      <c r="I24" s="92" t="s">
        <v>47</v>
      </c>
      <c r="J24" s="92">
        <v>1202010202</v>
      </c>
      <c r="K24" s="15"/>
      <c r="L24" s="95" t="s">
        <v>90</v>
      </c>
      <c r="M24" s="69" t="s">
        <v>49</v>
      </c>
      <c r="N24" s="69"/>
      <c r="O24" s="94">
        <v>1</v>
      </c>
      <c r="P24" s="69" t="s">
        <v>50</v>
      </c>
      <c r="Q24" s="69" t="s">
        <v>51</v>
      </c>
      <c r="R24" s="69"/>
      <c r="S24" s="46">
        <v>40446</v>
      </c>
      <c r="T24" s="48">
        <v>43191</v>
      </c>
      <c r="U24" s="69"/>
      <c r="V24" s="69"/>
      <c r="W24" s="69"/>
      <c r="X24" s="69"/>
      <c r="Y24" s="69" t="s">
        <v>4125</v>
      </c>
      <c r="Z24" s="43">
        <v>1875000</v>
      </c>
      <c r="AA24" s="43" t="s">
        <v>52</v>
      </c>
      <c r="AB24" s="43" t="s">
        <v>53</v>
      </c>
      <c r="AC24" s="43">
        <v>8213</v>
      </c>
      <c r="AD24" s="141">
        <v>22</v>
      </c>
      <c r="AE24" s="142">
        <v>6</v>
      </c>
      <c r="AF24" s="142"/>
      <c r="AG24" s="69" t="str">
        <f t="shared" si="0"/>
        <v>6 years 277 days</v>
      </c>
      <c r="AH24" s="69">
        <v>6</v>
      </c>
      <c r="AI24" s="69">
        <v>277</v>
      </c>
      <c r="AJ24" s="69">
        <v>0</v>
      </c>
      <c r="AK24" s="69">
        <v>0</v>
      </c>
      <c r="AL24" s="60">
        <v>1875000</v>
      </c>
      <c r="AM24" s="60">
        <f t="shared" si="1"/>
        <v>1875000</v>
      </c>
      <c r="AN24" s="59">
        <v>563208</v>
      </c>
      <c r="AO24" s="148">
        <f t="shared" si="2"/>
        <v>-563208</v>
      </c>
      <c r="AP24" s="58">
        <v>41321.404602459515</v>
      </c>
      <c r="AQ24" s="143">
        <f t="shared" si="3"/>
        <v>-41321.4</v>
      </c>
    </row>
    <row r="25" spans="1:43" x14ac:dyDescent="0.35">
      <c r="A25" s="69" t="s">
        <v>43</v>
      </c>
      <c r="B25" s="15" t="s">
        <v>91</v>
      </c>
      <c r="C25" s="15"/>
      <c r="D25" s="69"/>
      <c r="E25" s="76">
        <v>0</v>
      </c>
      <c r="F25" s="69" t="s">
        <v>45</v>
      </c>
      <c r="G25" s="10" t="s">
        <v>46</v>
      </c>
      <c r="H25" s="76">
        <v>9001000001</v>
      </c>
      <c r="I25" s="92" t="s">
        <v>47</v>
      </c>
      <c r="J25" s="92">
        <v>1202010202</v>
      </c>
      <c r="K25" s="15"/>
      <c r="L25" s="95" t="s">
        <v>92</v>
      </c>
      <c r="M25" s="69" t="s">
        <v>49</v>
      </c>
      <c r="N25" s="69"/>
      <c r="O25" s="94">
        <v>1</v>
      </c>
      <c r="P25" s="69" t="s">
        <v>50</v>
      </c>
      <c r="Q25" s="69" t="s">
        <v>51</v>
      </c>
      <c r="R25" s="69"/>
      <c r="S25" s="46">
        <v>41359</v>
      </c>
      <c r="T25" s="48">
        <v>43191</v>
      </c>
      <c r="U25" s="69"/>
      <c r="V25" s="69"/>
      <c r="W25" s="69"/>
      <c r="X25" s="69"/>
      <c r="Y25" s="69" t="s">
        <v>4125</v>
      </c>
      <c r="Z25" s="43">
        <v>17912776.570300728</v>
      </c>
      <c r="AA25" s="43" t="s">
        <v>52</v>
      </c>
      <c r="AB25" s="43" t="s">
        <v>53</v>
      </c>
      <c r="AC25" s="43">
        <v>9125</v>
      </c>
      <c r="AD25" s="141">
        <v>25</v>
      </c>
      <c r="AE25" s="142">
        <v>0</v>
      </c>
      <c r="AF25" s="142"/>
      <c r="AG25" s="69" t="str">
        <f t="shared" si="0"/>
        <v>6 years 277 days</v>
      </c>
      <c r="AH25" s="69">
        <v>6</v>
      </c>
      <c r="AI25" s="69">
        <v>277</v>
      </c>
      <c r="AJ25" s="69">
        <v>0</v>
      </c>
      <c r="AK25" s="69">
        <v>0</v>
      </c>
      <c r="AL25" s="60">
        <v>17912776.570300728</v>
      </c>
      <c r="AM25" s="60">
        <f t="shared" si="1"/>
        <v>17912776.57</v>
      </c>
      <c r="AN25" s="59">
        <v>4478905</v>
      </c>
      <c r="AO25" s="148">
        <f t="shared" si="2"/>
        <v>-4478905</v>
      </c>
      <c r="AP25" s="58">
        <v>355311.46290230658</v>
      </c>
      <c r="AQ25" s="143">
        <f t="shared" si="3"/>
        <v>-355311.46</v>
      </c>
    </row>
    <row r="26" spans="1:43" x14ac:dyDescent="0.35">
      <c r="A26" s="69" t="s">
        <v>43</v>
      </c>
      <c r="B26" s="15" t="s">
        <v>93</v>
      </c>
      <c r="C26" s="15"/>
      <c r="D26" s="69"/>
      <c r="E26" s="76">
        <v>0</v>
      </c>
      <c r="F26" s="69" t="s">
        <v>45</v>
      </c>
      <c r="G26" s="10" t="s">
        <v>46</v>
      </c>
      <c r="H26" s="76">
        <v>9001000001</v>
      </c>
      <c r="I26" s="92" t="s">
        <v>47</v>
      </c>
      <c r="J26" s="92">
        <v>1202010202</v>
      </c>
      <c r="K26" s="15"/>
      <c r="L26" s="95" t="s">
        <v>94</v>
      </c>
      <c r="M26" s="69" t="s">
        <v>49</v>
      </c>
      <c r="N26" s="69"/>
      <c r="O26" s="94">
        <v>1</v>
      </c>
      <c r="P26" s="69" t="s">
        <v>50</v>
      </c>
      <c r="Q26" s="69" t="s">
        <v>51</v>
      </c>
      <c r="R26" s="69"/>
      <c r="S26" s="46">
        <v>41716</v>
      </c>
      <c r="T26" s="48">
        <v>43191</v>
      </c>
      <c r="U26" s="69"/>
      <c r="V26" s="69"/>
      <c r="W26" s="69"/>
      <c r="X26" s="69"/>
      <c r="Y26" s="69" t="s">
        <v>4125</v>
      </c>
      <c r="Z26" s="43">
        <v>510000</v>
      </c>
      <c r="AA26" s="43" t="s">
        <v>52</v>
      </c>
      <c r="AB26" s="43" t="s">
        <v>53</v>
      </c>
      <c r="AC26" s="43">
        <v>9490</v>
      </c>
      <c r="AD26" s="141">
        <v>26</v>
      </c>
      <c r="AE26" s="142">
        <v>0</v>
      </c>
      <c r="AF26" s="142"/>
      <c r="AG26" s="69" t="str">
        <f t="shared" si="0"/>
        <v>6 years 277 days</v>
      </c>
      <c r="AH26" s="69">
        <v>6</v>
      </c>
      <c r="AI26" s="69">
        <v>277</v>
      </c>
      <c r="AJ26" s="69">
        <v>0</v>
      </c>
      <c r="AK26" s="69">
        <v>0</v>
      </c>
      <c r="AL26" s="60">
        <v>510000</v>
      </c>
      <c r="AM26" s="60">
        <f t="shared" si="1"/>
        <v>510000</v>
      </c>
      <c r="AN26" s="59">
        <v>132579</v>
      </c>
      <c r="AO26" s="148">
        <f t="shared" si="2"/>
        <v>-132579</v>
      </c>
      <c r="AP26" s="58">
        <v>9726.5848261327774</v>
      </c>
      <c r="AQ26" s="143">
        <f t="shared" si="3"/>
        <v>-9726.58</v>
      </c>
    </row>
    <row r="27" spans="1:43" x14ac:dyDescent="0.35">
      <c r="A27" s="69" t="s">
        <v>43</v>
      </c>
      <c r="B27" s="15" t="s">
        <v>95</v>
      </c>
      <c r="C27" s="15"/>
      <c r="D27" s="69"/>
      <c r="E27" s="76">
        <v>0</v>
      </c>
      <c r="F27" s="69" t="s">
        <v>45</v>
      </c>
      <c r="G27" s="10" t="s">
        <v>46</v>
      </c>
      <c r="H27" s="76">
        <v>9001000002</v>
      </c>
      <c r="I27" s="92" t="s">
        <v>47</v>
      </c>
      <c r="J27" s="92">
        <v>1202010202</v>
      </c>
      <c r="K27" s="15"/>
      <c r="L27" s="95" t="s">
        <v>96</v>
      </c>
      <c r="M27" s="69" t="s">
        <v>97</v>
      </c>
      <c r="N27" s="69"/>
      <c r="O27" s="94">
        <v>1</v>
      </c>
      <c r="P27" s="69" t="s">
        <v>50</v>
      </c>
      <c r="Q27" s="69" t="s">
        <v>51</v>
      </c>
      <c r="R27" s="69"/>
      <c r="S27" s="46">
        <v>43577</v>
      </c>
      <c r="T27" s="48">
        <v>43577</v>
      </c>
      <c r="U27" s="69"/>
      <c r="V27" s="69"/>
      <c r="W27" s="69"/>
      <c r="X27" s="69"/>
      <c r="Y27" s="69" t="s">
        <v>4126</v>
      </c>
      <c r="Z27" s="43">
        <v>103395</v>
      </c>
      <c r="AA27" s="43" t="s">
        <v>52</v>
      </c>
      <c r="AB27" s="43" t="s">
        <v>53</v>
      </c>
      <c r="AC27" s="43">
        <v>10950</v>
      </c>
      <c r="AD27" s="141">
        <v>30</v>
      </c>
      <c r="AE27" s="142">
        <v>0</v>
      </c>
      <c r="AF27" s="142"/>
      <c r="AG27" s="69" t="str">
        <f t="shared" si="0"/>
        <v>5 years 256 days</v>
      </c>
      <c r="AH27" s="69">
        <v>5</v>
      </c>
      <c r="AI27" s="69">
        <v>256</v>
      </c>
      <c r="AJ27" s="69">
        <v>0</v>
      </c>
      <c r="AK27" s="69">
        <v>0</v>
      </c>
      <c r="AL27" s="60">
        <v>103395</v>
      </c>
      <c r="AM27" s="60">
        <f t="shared" si="1"/>
        <v>103395</v>
      </c>
      <c r="AN27" s="59">
        <v>19650</v>
      </c>
      <c r="AO27" s="148">
        <f t="shared" si="2"/>
        <v>-19650</v>
      </c>
      <c r="AP27" s="58">
        <v>1708.8575342465738</v>
      </c>
      <c r="AQ27" s="143">
        <f t="shared" si="3"/>
        <v>-1708.86</v>
      </c>
    </row>
    <row r="28" spans="1:43" x14ac:dyDescent="0.35">
      <c r="A28" s="69" t="s">
        <v>43</v>
      </c>
      <c r="B28" s="15" t="s">
        <v>98</v>
      </c>
      <c r="C28" s="15"/>
      <c r="D28" s="69"/>
      <c r="E28" s="76">
        <v>0</v>
      </c>
      <c r="F28" s="69" t="s">
        <v>45</v>
      </c>
      <c r="G28" s="10" t="s">
        <v>46</v>
      </c>
      <c r="H28" s="76">
        <v>9001000002</v>
      </c>
      <c r="I28" s="92" t="s">
        <v>47</v>
      </c>
      <c r="J28" s="92">
        <v>1202010202</v>
      </c>
      <c r="K28" s="15"/>
      <c r="L28" s="95" t="s">
        <v>99</v>
      </c>
      <c r="M28" s="69" t="s">
        <v>100</v>
      </c>
      <c r="N28" s="69"/>
      <c r="O28" s="94">
        <v>1</v>
      </c>
      <c r="P28" s="69" t="s">
        <v>50</v>
      </c>
      <c r="Q28" s="69" t="s">
        <v>51</v>
      </c>
      <c r="R28" s="69"/>
      <c r="S28" s="46">
        <v>43817</v>
      </c>
      <c r="T28" s="48">
        <v>43817</v>
      </c>
      <c r="U28" s="69"/>
      <c r="V28" s="69"/>
      <c r="W28" s="69"/>
      <c r="X28" s="69"/>
      <c r="Y28" s="69" t="s">
        <v>4126</v>
      </c>
      <c r="Z28" s="43">
        <v>576753</v>
      </c>
      <c r="AA28" s="43" t="s">
        <v>52</v>
      </c>
      <c r="AB28" s="43" t="s">
        <v>53</v>
      </c>
      <c r="AC28" s="43">
        <v>10950</v>
      </c>
      <c r="AD28" s="141">
        <v>30</v>
      </c>
      <c r="AE28" s="142">
        <v>0</v>
      </c>
      <c r="AF28" s="142"/>
      <c r="AG28" s="69" t="str">
        <f t="shared" si="0"/>
        <v>5 years 16 days</v>
      </c>
      <c r="AH28" s="69">
        <v>5</v>
      </c>
      <c r="AI28" s="69">
        <v>16</v>
      </c>
      <c r="AJ28" s="69">
        <v>0</v>
      </c>
      <c r="AK28" s="69">
        <v>0</v>
      </c>
      <c r="AL28" s="60">
        <v>576753</v>
      </c>
      <c r="AM28" s="60">
        <f t="shared" si="1"/>
        <v>576753</v>
      </c>
      <c r="AN28" s="59">
        <v>96968</v>
      </c>
      <c r="AO28" s="148">
        <f t="shared" si="2"/>
        <v>-96968</v>
      </c>
      <c r="AP28" s="58">
        <v>9533.78684931506</v>
      </c>
      <c r="AQ28" s="143">
        <f t="shared" si="3"/>
        <v>-9533.7900000000009</v>
      </c>
    </row>
    <row r="29" spans="1:43" x14ac:dyDescent="0.35">
      <c r="A29" s="69" t="s">
        <v>43</v>
      </c>
      <c r="B29" s="15" t="s">
        <v>101</v>
      </c>
      <c r="C29" s="15"/>
      <c r="D29" s="69"/>
      <c r="E29" s="76">
        <v>0</v>
      </c>
      <c r="F29" s="69" t="s">
        <v>45</v>
      </c>
      <c r="G29" s="10" t="s">
        <v>46</v>
      </c>
      <c r="H29" s="76">
        <v>9001000002</v>
      </c>
      <c r="I29" s="92" t="s">
        <v>47</v>
      </c>
      <c r="J29" s="92">
        <v>1202010202</v>
      </c>
      <c r="K29" s="15"/>
      <c r="L29" s="95" t="s">
        <v>102</v>
      </c>
      <c r="M29" s="69" t="s">
        <v>103</v>
      </c>
      <c r="N29" s="69"/>
      <c r="O29" s="94">
        <v>1</v>
      </c>
      <c r="P29" s="69" t="s">
        <v>50</v>
      </c>
      <c r="Q29" s="69" t="s">
        <v>51</v>
      </c>
      <c r="R29" s="69"/>
      <c r="S29" s="46">
        <v>43801</v>
      </c>
      <c r="T29" s="48">
        <v>43801</v>
      </c>
      <c r="U29" s="69"/>
      <c r="V29" s="69"/>
      <c r="W29" s="69"/>
      <c r="X29" s="69"/>
      <c r="Y29" s="69" t="s">
        <v>4126</v>
      </c>
      <c r="Z29" s="43">
        <v>200669</v>
      </c>
      <c r="AA29" s="43" t="s">
        <v>52</v>
      </c>
      <c r="AB29" s="43" t="s">
        <v>53</v>
      </c>
      <c r="AC29" s="43">
        <v>10950</v>
      </c>
      <c r="AD29" s="141">
        <v>30</v>
      </c>
      <c r="AE29" s="142">
        <v>0</v>
      </c>
      <c r="AF29" s="142"/>
      <c r="AG29" s="69" t="str">
        <f t="shared" si="0"/>
        <v>5 years 32 days</v>
      </c>
      <c r="AH29" s="69">
        <v>5</v>
      </c>
      <c r="AI29" s="69">
        <v>32</v>
      </c>
      <c r="AJ29" s="69">
        <v>0</v>
      </c>
      <c r="AK29" s="69">
        <v>0</v>
      </c>
      <c r="AL29" s="60">
        <v>200669</v>
      </c>
      <c r="AM29" s="60">
        <f t="shared" si="1"/>
        <v>200669</v>
      </c>
      <c r="AN29" s="59">
        <v>33143</v>
      </c>
      <c r="AO29" s="148">
        <f t="shared" si="2"/>
        <v>-33143</v>
      </c>
      <c r="AP29" s="58">
        <v>3317.2282191780832</v>
      </c>
      <c r="AQ29" s="143">
        <f t="shared" si="3"/>
        <v>-3317.23</v>
      </c>
    </row>
    <row r="30" spans="1:43" x14ac:dyDescent="0.35">
      <c r="A30" s="69" t="s">
        <v>43</v>
      </c>
      <c r="B30" s="15" t="s">
        <v>104</v>
      </c>
      <c r="C30" s="15"/>
      <c r="D30" s="69"/>
      <c r="E30" s="76">
        <v>0</v>
      </c>
      <c r="F30" s="69" t="s">
        <v>45</v>
      </c>
      <c r="G30" s="10" t="s">
        <v>46</v>
      </c>
      <c r="H30" s="76">
        <v>9001000003</v>
      </c>
      <c r="I30" s="92" t="s">
        <v>47</v>
      </c>
      <c r="J30" s="92">
        <v>1202010202</v>
      </c>
      <c r="K30" s="15"/>
      <c r="L30" s="95" t="s">
        <v>105</v>
      </c>
      <c r="M30" s="69" t="s">
        <v>106</v>
      </c>
      <c r="N30" s="69"/>
      <c r="O30" s="94">
        <v>1</v>
      </c>
      <c r="P30" s="69" t="s">
        <v>50</v>
      </c>
      <c r="Q30" s="69" t="s">
        <v>51</v>
      </c>
      <c r="R30" s="69"/>
      <c r="S30" s="46">
        <v>43781</v>
      </c>
      <c r="T30" s="48">
        <v>43781</v>
      </c>
      <c r="U30" s="69"/>
      <c r="V30" s="69"/>
      <c r="W30" s="69"/>
      <c r="X30" s="69"/>
      <c r="Y30" s="69" t="s">
        <v>4126</v>
      </c>
      <c r="Z30" s="43">
        <v>733982</v>
      </c>
      <c r="AA30" s="43" t="s">
        <v>52</v>
      </c>
      <c r="AB30" s="43" t="s">
        <v>53</v>
      </c>
      <c r="AC30" s="43">
        <v>10950</v>
      </c>
      <c r="AD30" s="141">
        <v>30</v>
      </c>
      <c r="AE30" s="142">
        <v>0</v>
      </c>
      <c r="AF30" s="142"/>
      <c r="AG30" s="69" t="str">
        <f t="shared" si="0"/>
        <v>5 years 52 days</v>
      </c>
      <c r="AH30" s="69">
        <v>5</v>
      </c>
      <c r="AI30" s="69">
        <v>52</v>
      </c>
      <c r="AJ30" s="69">
        <v>0</v>
      </c>
      <c r="AK30" s="69">
        <v>0</v>
      </c>
      <c r="AL30" s="60">
        <v>733982</v>
      </c>
      <c r="AM30" s="60">
        <f t="shared" si="1"/>
        <v>733982</v>
      </c>
      <c r="AN30" s="59">
        <v>125816</v>
      </c>
      <c r="AO30" s="148">
        <f t="shared" si="2"/>
        <v>-125816</v>
      </c>
      <c r="AP30" s="58">
        <v>12132.397808219161</v>
      </c>
      <c r="AQ30" s="143">
        <f t="shared" si="3"/>
        <v>-12132.4</v>
      </c>
    </row>
    <row r="31" spans="1:43" x14ac:dyDescent="0.35">
      <c r="A31" s="69" t="s">
        <v>43</v>
      </c>
      <c r="B31" s="15" t="s">
        <v>107</v>
      </c>
      <c r="C31" s="15"/>
      <c r="D31" s="69"/>
      <c r="E31" s="76">
        <v>0</v>
      </c>
      <c r="F31" s="69" t="s">
        <v>45</v>
      </c>
      <c r="G31" s="10" t="s">
        <v>46</v>
      </c>
      <c r="H31" s="76">
        <v>9001000004</v>
      </c>
      <c r="I31" s="92" t="s">
        <v>47</v>
      </c>
      <c r="J31" s="92">
        <v>1202010202</v>
      </c>
      <c r="K31" s="15"/>
      <c r="L31" s="95" t="s">
        <v>108</v>
      </c>
      <c r="M31" s="69" t="s">
        <v>109</v>
      </c>
      <c r="N31" s="69"/>
      <c r="O31" s="94">
        <v>1</v>
      </c>
      <c r="P31" s="69" t="s">
        <v>50</v>
      </c>
      <c r="Q31" s="69" t="s">
        <v>51</v>
      </c>
      <c r="R31" s="69"/>
      <c r="S31" s="46">
        <v>43771</v>
      </c>
      <c r="T31" s="48">
        <v>43771</v>
      </c>
      <c r="U31" s="69"/>
      <c r="V31" s="69"/>
      <c r="W31" s="69"/>
      <c r="X31" s="69"/>
      <c r="Y31" s="69" t="s">
        <v>4126</v>
      </c>
      <c r="Z31" s="43">
        <v>457331</v>
      </c>
      <c r="AA31" s="43" t="s">
        <v>52</v>
      </c>
      <c r="AB31" s="43" t="s">
        <v>53</v>
      </c>
      <c r="AC31" s="43">
        <v>10950</v>
      </c>
      <c r="AD31" s="141">
        <v>30</v>
      </c>
      <c r="AE31" s="142">
        <v>0</v>
      </c>
      <c r="AF31" s="142"/>
      <c r="AG31" s="69" t="str">
        <f t="shared" si="0"/>
        <v>5 years 62 days</v>
      </c>
      <c r="AH31" s="69">
        <v>5</v>
      </c>
      <c r="AI31" s="69">
        <v>62</v>
      </c>
      <c r="AJ31" s="69">
        <v>0</v>
      </c>
      <c r="AK31" s="69">
        <v>0</v>
      </c>
      <c r="AL31" s="60">
        <v>457331</v>
      </c>
      <c r="AM31" s="60">
        <f t="shared" si="1"/>
        <v>457331</v>
      </c>
      <c r="AN31" s="59">
        <v>78811</v>
      </c>
      <c r="AO31" s="148">
        <f t="shared" si="2"/>
        <v>-78811</v>
      </c>
      <c r="AP31" s="58">
        <v>7559.8226484018232</v>
      </c>
      <c r="AQ31" s="143">
        <f t="shared" si="3"/>
        <v>-7559.82</v>
      </c>
    </row>
    <row r="32" spans="1:43" x14ac:dyDescent="0.35">
      <c r="A32" s="69" t="s">
        <v>43</v>
      </c>
      <c r="B32" s="15" t="s">
        <v>110</v>
      </c>
      <c r="C32" s="15"/>
      <c r="D32" s="69"/>
      <c r="E32" s="76">
        <v>0</v>
      </c>
      <c r="F32" s="69" t="s">
        <v>45</v>
      </c>
      <c r="G32" s="10" t="s">
        <v>46</v>
      </c>
      <c r="H32" s="76">
        <v>9001000004</v>
      </c>
      <c r="I32" s="92" t="s">
        <v>47</v>
      </c>
      <c r="J32" s="92">
        <v>1202010202</v>
      </c>
      <c r="K32" s="15"/>
      <c r="L32" s="95" t="s">
        <v>111</v>
      </c>
      <c r="M32" s="69" t="s">
        <v>112</v>
      </c>
      <c r="N32" s="69"/>
      <c r="O32" s="94">
        <v>1</v>
      </c>
      <c r="P32" s="69" t="s">
        <v>50</v>
      </c>
      <c r="Q32" s="69" t="s">
        <v>51</v>
      </c>
      <c r="R32" s="69"/>
      <c r="S32" s="46">
        <v>43821</v>
      </c>
      <c r="T32" s="48">
        <v>43821</v>
      </c>
      <c r="U32" s="69"/>
      <c r="V32" s="69"/>
      <c r="W32" s="69"/>
      <c r="X32" s="69"/>
      <c r="Y32" s="69" t="s">
        <v>4126</v>
      </c>
      <c r="Z32" s="43">
        <v>111953</v>
      </c>
      <c r="AA32" s="43" t="s">
        <v>52</v>
      </c>
      <c r="AB32" s="43" t="s">
        <v>53</v>
      </c>
      <c r="AC32" s="43">
        <v>10950</v>
      </c>
      <c r="AD32" s="141">
        <v>30</v>
      </c>
      <c r="AE32" s="142">
        <v>0</v>
      </c>
      <c r="AF32" s="142"/>
      <c r="AG32" s="69" t="str">
        <f t="shared" si="0"/>
        <v>5 years 12 days</v>
      </c>
      <c r="AH32" s="69">
        <v>5</v>
      </c>
      <c r="AI32" s="69">
        <v>12</v>
      </c>
      <c r="AJ32" s="69">
        <v>0</v>
      </c>
      <c r="AK32" s="69">
        <v>0</v>
      </c>
      <c r="AL32" s="60">
        <v>111953</v>
      </c>
      <c r="AM32" s="60">
        <f t="shared" si="1"/>
        <v>111953</v>
      </c>
      <c r="AN32" s="59">
        <v>18782</v>
      </c>
      <c r="AO32" s="148">
        <f t="shared" si="2"/>
        <v>-18782</v>
      </c>
      <c r="AP32" s="58">
        <v>1850.0688584474883</v>
      </c>
      <c r="AQ32" s="143">
        <f t="shared" si="3"/>
        <v>-1850.07</v>
      </c>
    </row>
    <row r="33" spans="1:43" x14ac:dyDescent="0.35">
      <c r="A33" s="69" t="s">
        <v>43</v>
      </c>
      <c r="B33" s="15" t="s">
        <v>113</v>
      </c>
      <c r="C33" s="15"/>
      <c r="D33" s="69"/>
      <c r="E33" s="76">
        <v>0</v>
      </c>
      <c r="F33" s="69" t="s">
        <v>45</v>
      </c>
      <c r="G33" s="10" t="s">
        <v>46</v>
      </c>
      <c r="H33" s="76">
        <v>9001000005</v>
      </c>
      <c r="I33" s="92" t="s">
        <v>47</v>
      </c>
      <c r="J33" s="92">
        <v>1202010202</v>
      </c>
      <c r="K33" s="15"/>
      <c r="L33" s="95" t="s">
        <v>114</v>
      </c>
      <c r="M33" s="69" t="s">
        <v>115</v>
      </c>
      <c r="N33" s="69"/>
      <c r="O33" s="94">
        <v>1</v>
      </c>
      <c r="P33" s="69" t="s">
        <v>50</v>
      </c>
      <c r="Q33" s="69" t="s">
        <v>51</v>
      </c>
      <c r="R33" s="69"/>
      <c r="S33" s="46">
        <v>43931</v>
      </c>
      <c r="T33" s="48">
        <v>43931</v>
      </c>
      <c r="U33" s="69"/>
      <c r="V33" s="69"/>
      <c r="W33" s="69"/>
      <c r="X33" s="69"/>
      <c r="Y33" s="69" t="s">
        <v>4127</v>
      </c>
      <c r="Z33" s="43">
        <v>790821</v>
      </c>
      <c r="AA33" s="43" t="s">
        <v>52</v>
      </c>
      <c r="AB33" s="43" t="s">
        <v>53</v>
      </c>
      <c r="AC33" s="43">
        <v>10950</v>
      </c>
      <c r="AD33" s="141">
        <v>30</v>
      </c>
      <c r="AE33" s="142">
        <v>0</v>
      </c>
      <c r="AF33" s="142"/>
      <c r="AG33" s="69" t="str">
        <f t="shared" si="0"/>
        <v>4 years 267 days</v>
      </c>
      <c r="AH33" s="69">
        <v>4</v>
      </c>
      <c r="AI33" s="69">
        <v>267</v>
      </c>
      <c r="AJ33" s="69">
        <v>0</v>
      </c>
      <c r="AK33" s="69">
        <v>0</v>
      </c>
      <c r="AL33" s="60">
        <v>790821</v>
      </c>
      <c r="AM33" s="60">
        <f t="shared" si="1"/>
        <v>790821</v>
      </c>
      <c r="AN33" s="59">
        <v>124726</v>
      </c>
      <c r="AO33" s="148">
        <f t="shared" si="2"/>
        <v>-124726</v>
      </c>
      <c r="AP33" s="58">
        <v>13071.850958904106</v>
      </c>
      <c r="AQ33" s="143">
        <f t="shared" si="3"/>
        <v>-13071.85</v>
      </c>
    </row>
    <row r="34" spans="1:43" x14ac:dyDescent="0.35">
      <c r="A34" s="69" t="s">
        <v>43</v>
      </c>
      <c r="B34" s="15" t="s">
        <v>116</v>
      </c>
      <c r="C34" s="15"/>
      <c r="D34" s="69"/>
      <c r="E34" s="76">
        <v>0</v>
      </c>
      <c r="F34" s="69" t="s">
        <v>45</v>
      </c>
      <c r="G34" s="10" t="s">
        <v>46</v>
      </c>
      <c r="H34" s="76">
        <v>9001000006</v>
      </c>
      <c r="I34" s="92" t="s">
        <v>47</v>
      </c>
      <c r="J34" s="92">
        <v>1202010202</v>
      </c>
      <c r="K34" s="15"/>
      <c r="L34" s="95" t="s">
        <v>117</v>
      </c>
      <c r="M34" s="69" t="s">
        <v>118</v>
      </c>
      <c r="N34" s="69"/>
      <c r="O34" s="94">
        <v>1</v>
      </c>
      <c r="P34" s="69" t="s">
        <v>50</v>
      </c>
      <c r="Q34" s="69" t="s">
        <v>51</v>
      </c>
      <c r="R34" s="69"/>
      <c r="S34" s="46">
        <v>43931</v>
      </c>
      <c r="T34" s="48">
        <v>43931</v>
      </c>
      <c r="U34" s="69"/>
      <c r="V34" s="69"/>
      <c r="W34" s="69"/>
      <c r="X34" s="69"/>
      <c r="Y34" s="69" t="s">
        <v>4127</v>
      </c>
      <c r="Z34" s="43">
        <v>32667</v>
      </c>
      <c r="AA34" s="43" t="s">
        <v>52</v>
      </c>
      <c r="AB34" s="43" t="s">
        <v>53</v>
      </c>
      <c r="AC34" s="43">
        <v>10950</v>
      </c>
      <c r="AD34" s="141">
        <v>30</v>
      </c>
      <c r="AE34" s="142">
        <v>0</v>
      </c>
      <c r="AF34" s="142"/>
      <c r="AG34" s="69" t="str">
        <f t="shared" si="0"/>
        <v>4 years 267 days</v>
      </c>
      <c r="AH34" s="69">
        <v>4</v>
      </c>
      <c r="AI34" s="69">
        <v>267</v>
      </c>
      <c r="AJ34" s="69">
        <v>0</v>
      </c>
      <c r="AK34" s="69">
        <v>0</v>
      </c>
      <c r="AL34" s="60">
        <v>32667</v>
      </c>
      <c r="AM34" s="60">
        <f t="shared" si="1"/>
        <v>32667</v>
      </c>
      <c r="AN34" s="59">
        <v>5152</v>
      </c>
      <c r="AO34" s="148">
        <f t="shared" si="2"/>
        <v>-5152</v>
      </c>
      <c r="AP34" s="58">
        <v>540.11287671232913</v>
      </c>
      <c r="AQ34" s="143">
        <f t="shared" si="3"/>
        <v>-540.11</v>
      </c>
    </row>
    <row r="35" spans="1:43" x14ac:dyDescent="0.35">
      <c r="A35" s="69" t="s">
        <v>43</v>
      </c>
      <c r="B35" s="15" t="s">
        <v>119</v>
      </c>
      <c r="C35" s="15"/>
      <c r="D35" s="69"/>
      <c r="E35" s="76">
        <v>0</v>
      </c>
      <c r="F35" s="69" t="s">
        <v>45</v>
      </c>
      <c r="G35" s="10" t="s">
        <v>46</v>
      </c>
      <c r="H35" s="76">
        <v>9001000006</v>
      </c>
      <c r="I35" s="92" t="s">
        <v>47</v>
      </c>
      <c r="J35" s="92">
        <v>1202010202</v>
      </c>
      <c r="K35" s="15"/>
      <c r="L35" s="95" t="s">
        <v>120</v>
      </c>
      <c r="M35" s="69" t="s">
        <v>121</v>
      </c>
      <c r="N35" s="69"/>
      <c r="O35" s="94">
        <v>1</v>
      </c>
      <c r="P35" s="69" t="s">
        <v>50</v>
      </c>
      <c r="Q35" s="69" t="s">
        <v>51</v>
      </c>
      <c r="R35" s="69"/>
      <c r="S35" s="46">
        <v>43931</v>
      </c>
      <c r="T35" s="48">
        <v>43931</v>
      </c>
      <c r="U35" s="69"/>
      <c r="V35" s="69"/>
      <c r="W35" s="69"/>
      <c r="X35" s="69"/>
      <c r="Y35" s="69" t="s">
        <v>4127</v>
      </c>
      <c r="Z35" s="43">
        <v>216737</v>
      </c>
      <c r="AA35" s="43" t="s">
        <v>52</v>
      </c>
      <c r="AB35" s="43" t="s">
        <v>53</v>
      </c>
      <c r="AC35" s="43">
        <v>10950</v>
      </c>
      <c r="AD35" s="141">
        <v>30</v>
      </c>
      <c r="AE35" s="142">
        <v>0</v>
      </c>
      <c r="AF35" s="142"/>
      <c r="AG35" s="69" t="str">
        <f t="shared" si="0"/>
        <v>4 years 267 days</v>
      </c>
      <c r="AH35" s="69">
        <v>4</v>
      </c>
      <c r="AI35" s="69">
        <v>267</v>
      </c>
      <c r="AJ35" s="69">
        <v>0</v>
      </c>
      <c r="AK35" s="69">
        <v>0</v>
      </c>
      <c r="AL35" s="60">
        <v>216737</v>
      </c>
      <c r="AM35" s="60">
        <f t="shared" si="1"/>
        <v>216737</v>
      </c>
      <c r="AN35" s="59">
        <v>34183</v>
      </c>
      <c r="AO35" s="148">
        <f t="shared" si="2"/>
        <v>-34183</v>
      </c>
      <c r="AP35" s="58">
        <v>3582.6800000000003</v>
      </c>
      <c r="AQ35" s="143">
        <f t="shared" si="3"/>
        <v>-3582.68</v>
      </c>
    </row>
    <row r="36" spans="1:43" x14ac:dyDescent="0.35">
      <c r="A36" s="69" t="s">
        <v>43</v>
      </c>
      <c r="B36" s="15" t="s">
        <v>122</v>
      </c>
      <c r="C36" s="15"/>
      <c r="D36" s="69"/>
      <c r="E36" s="76">
        <v>0</v>
      </c>
      <c r="F36" s="69" t="s">
        <v>45</v>
      </c>
      <c r="G36" s="10" t="s">
        <v>46</v>
      </c>
      <c r="H36" s="76">
        <v>9001000007</v>
      </c>
      <c r="I36" s="92" t="s">
        <v>47</v>
      </c>
      <c r="J36" s="92">
        <v>1202010202</v>
      </c>
      <c r="K36" s="15"/>
      <c r="L36" s="95" t="s">
        <v>123</v>
      </c>
      <c r="M36" s="69" t="s">
        <v>124</v>
      </c>
      <c r="N36" s="69"/>
      <c r="O36" s="94">
        <v>1</v>
      </c>
      <c r="P36" s="69" t="s">
        <v>50</v>
      </c>
      <c r="Q36" s="69" t="s">
        <v>51</v>
      </c>
      <c r="R36" s="69"/>
      <c r="S36" s="46">
        <v>44183</v>
      </c>
      <c r="T36" s="48">
        <v>44183</v>
      </c>
      <c r="U36" s="69"/>
      <c r="V36" s="69"/>
      <c r="W36" s="69"/>
      <c r="X36" s="69"/>
      <c r="Y36" s="69" t="s">
        <v>4127</v>
      </c>
      <c r="Z36" s="43">
        <v>67468</v>
      </c>
      <c r="AA36" s="43" t="s">
        <v>52</v>
      </c>
      <c r="AB36" s="43" t="s">
        <v>53</v>
      </c>
      <c r="AC36" s="43">
        <v>10950</v>
      </c>
      <c r="AD36" s="141">
        <v>30</v>
      </c>
      <c r="AE36" s="142">
        <v>0</v>
      </c>
      <c r="AF36" s="142"/>
      <c r="AG36" s="69" t="str">
        <f t="shared" si="0"/>
        <v>4 years 15 days</v>
      </c>
      <c r="AH36" s="69">
        <v>4</v>
      </c>
      <c r="AI36" s="69">
        <v>15</v>
      </c>
      <c r="AJ36" s="69">
        <v>0</v>
      </c>
      <c r="AK36" s="69">
        <v>0</v>
      </c>
      <c r="AL36" s="60">
        <v>67468</v>
      </c>
      <c r="AM36" s="60">
        <f t="shared" si="1"/>
        <v>67468</v>
      </c>
      <c r="AN36" s="59">
        <v>9088</v>
      </c>
      <c r="AO36" s="148">
        <f t="shared" si="2"/>
        <v>-9088</v>
      </c>
      <c r="AP36" s="58">
        <v>1115.3797260273986</v>
      </c>
      <c r="AQ36" s="143">
        <f t="shared" si="3"/>
        <v>-1115.3800000000001</v>
      </c>
    </row>
    <row r="37" spans="1:43" x14ac:dyDescent="0.35">
      <c r="A37" s="69" t="s">
        <v>43</v>
      </c>
      <c r="B37" s="15" t="s">
        <v>125</v>
      </c>
      <c r="C37" s="15"/>
      <c r="D37" s="69"/>
      <c r="E37" s="76">
        <v>0</v>
      </c>
      <c r="F37" s="69" t="s">
        <v>45</v>
      </c>
      <c r="G37" s="10" t="s">
        <v>46</v>
      </c>
      <c r="H37" s="76">
        <v>9001000007</v>
      </c>
      <c r="I37" s="92" t="s">
        <v>47</v>
      </c>
      <c r="J37" s="92">
        <v>1202010202</v>
      </c>
      <c r="K37" s="15"/>
      <c r="L37" s="95" t="s">
        <v>126</v>
      </c>
      <c r="M37" s="69" t="s">
        <v>127</v>
      </c>
      <c r="N37" s="69"/>
      <c r="O37" s="94">
        <v>1</v>
      </c>
      <c r="P37" s="69" t="s">
        <v>50</v>
      </c>
      <c r="Q37" s="69" t="s">
        <v>51</v>
      </c>
      <c r="R37" s="69"/>
      <c r="S37" s="46">
        <v>44185</v>
      </c>
      <c r="T37" s="48">
        <v>44185</v>
      </c>
      <c r="U37" s="69"/>
      <c r="V37" s="69"/>
      <c r="W37" s="69"/>
      <c r="X37" s="69"/>
      <c r="Y37" s="69" t="s">
        <v>4127</v>
      </c>
      <c r="Z37" s="43">
        <v>19636</v>
      </c>
      <c r="AA37" s="43" t="s">
        <v>52</v>
      </c>
      <c r="AB37" s="43" t="s">
        <v>53</v>
      </c>
      <c r="AC37" s="43">
        <v>10950</v>
      </c>
      <c r="AD37" s="141">
        <v>30</v>
      </c>
      <c r="AE37" s="142">
        <v>0</v>
      </c>
      <c r="AF37" s="142"/>
      <c r="AG37" s="69" t="str">
        <f t="shared" si="0"/>
        <v>4 years 13 days</v>
      </c>
      <c r="AH37" s="69">
        <v>4</v>
      </c>
      <c r="AI37" s="69">
        <v>13</v>
      </c>
      <c r="AJ37" s="69">
        <v>0</v>
      </c>
      <c r="AK37" s="69">
        <v>0</v>
      </c>
      <c r="AL37" s="60">
        <v>19636</v>
      </c>
      <c r="AM37" s="60">
        <f t="shared" si="1"/>
        <v>19636</v>
      </c>
      <c r="AN37" s="59">
        <v>2641</v>
      </c>
      <c r="AO37" s="148">
        <f t="shared" si="2"/>
        <v>-2641</v>
      </c>
      <c r="AP37" s="58">
        <v>325.02228310502232</v>
      </c>
      <c r="AQ37" s="143">
        <f t="shared" si="3"/>
        <v>-325.02</v>
      </c>
    </row>
    <row r="38" spans="1:43" x14ac:dyDescent="0.35">
      <c r="A38" s="69" t="s">
        <v>43</v>
      </c>
      <c r="B38" s="15" t="s">
        <v>128</v>
      </c>
      <c r="C38" s="15"/>
      <c r="D38" s="69"/>
      <c r="E38" s="76">
        <v>0</v>
      </c>
      <c r="F38" s="69" t="s">
        <v>45</v>
      </c>
      <c r="G38" s="10" t="s">
        <v>46</v>
      </c>
      <c r="H38" s="76">
        <v>9001000007</v>
      </c>
      <c r="I38" s="92" t="s">
        <v>47</v>
      </c>
      <c r="J38" s="92">
        <v>1202010202</v>
      </c>
      <c r="K38" s="15"/>
      <c r="L38" s="95" t="s">
        <v>129</v>
      </c>
      <c r="M38" s="69" t="s">
        <v>130</v>
      </c>
      <c r="N38" s="69"/>
      <c r="O38" s="94">
        <v>1</v>
      </c>
      <c r="P38" s="69" t="s">
        <v>50</v>
      </c>
      <c r="Q38" s="69" t="s">
        <v>51</v>
      </c>
      <c r="R38" s="69"/>
      <c r="S38" s="46">
        <v>44177</v>
      </c>
      <c r="T38" s="48">
        <v>44177</v>
      </c>
      <c r="U38" s="69"/>
      <c r="V38" s="69"/>
      <c r="W38" s="69"/>
      <c r="X38" s="69"/>
      <c r="Y38" s="69" t="s">
        <v>4127</v>
      </c>
      <c r="Z38" s="43">
        <v>31242</v>
      </c>
      <c r="AA38" s="43" t="s">
        <v>52</v>
      </c>
      <c r="AB38" s="43" t="s">
        <v>53</v>
      </c>
      <c r="AC38" s="43">
        <v>10950</v>
      </c>
      <c r="AD38" s="141">
        <v>30</v>
      </c>
      <c r="AE38" s="142">
        <v>0</v>
      </c>
      <c r="AF38" s="142"/>
      <c r="AG38" s="69" t="str">
        <f t="shared" si="0"/>
        <v>4 years 21 days</v>
      </c>
      <c r="AH38" s="69">
        <v>4</v>
      </c>
      <c r="AI38" s="69">
        <v>21</v>
      </c>
      <c r="AJ38" s="69">
        <v>0</v>
      </c>
      <c r="AK38" s="69">
        <v>0</v>
      </c>
      <c r="AL38" s="60">
        <v>31242</v>
      </c>
      <c r="AM38" s="60">
        <f t="shared" si="1"/>
        <v>31242</v>
      </c>
      <c r="AN38" s="59">
        <v>4226</v>
      </c>
      <c r="AO38" s="148">
        <f t="shared" si="2"/>
        <v>-4226</v>
      </c>
      <c r="AP38" s="58">
        <v>515.93643835616422</v>
      </c>
      <c r="AQ38" s="143">
        <f t="shared" si="3"/>
        <v>-515.94000000000005</v>
      </c>
    </row>
    <row r="39" spans="1:43" x14ac:dyDescent="0.35">
      <c r="A39" s="69" t="s">
        <v>43</v>
      </c>
      <c r="B39" s="15" t="s">
        <v>131</v>
      </c>
      <c r="C39" s="15"/>
      <c r="D39" s="69"/>
      <c r="E39" s="76">
        <v>0</v>
      </c>
      <c r="F39" s="69" t="s">
        <v>45</v>
      </c>
      <c r="G39" s="10" t="s">
        <v>46</v>
      </c>
      <c r="H39" s="76">
        <v>9001000008</v>
      </c>
      <c r="I39" s="92" t="s">
        <v>47</v>
      </c>
      <c r="J39" s="92">
        <v>1202010202</v>
      </c>
      <c r="K39" s="15"/>
      <c r="L39" s="95" t="s">
        <v>132</v>
      </c>
      <c r="M39" s="69" t="s">
        <v>133</v>
      </c>
      <c r="N39" s="69"/>
      <c r="O39" s="94">
        <v>1</v>
      </c>
      <c r="P39" s="69" t="s">
        <v>50</v>
      </c>
      <c r="Q39" s="69" t="s">
        <v>51</v>
      </c>
      <c r="R39" s="69"/>
      <c r="S39" s="46">
        <v>44291</v>
      </c>
      <c r="T39" s="48">
        <v>44291</v>
      </c>
      <c r="U39" s="69"/>
      <c r="V39" s="69"/>
      <c r="W39" s="69"/>
      <c r="X39" s="69"/>
      <c r="Y39" s="69" t="s">
        <v>4128</v>
      </c>
      <c r="Z39" s="43">
        <v>1227340</v>
      </c>
      <c r="AA39" s="43" t="s">
        <v>52</v>
      </c>
      <c r="AB39" s="43" t="s">
        <v>53</v>
      </c>
      <c r="AC39" s="43">
        <v>10950</v>
      </c>
      <c r="AD39" s="141">
        <v>30</v>
      </c>
      <c r="AE39" s="142">
        <v>0</v>
      </c>
      <c r="AF39" s="142"/>
      <c r="AG39" s="69" t="str">
        <f t="shared" si="0"/>
        <v>3 years 272 days</v>
      </c>
      <c r="AH39" s="69">
        <v>3</v>
      </c>
      <c r="AI39" s="69">
        <v>272</v>
      </c>
      <c r="AJ39" s="69">
        <v>0</v>
      </c>
      <c r="AK39" s="69">
        <v>0</v>
      </c>
      <c r="AL39" s="60">
        <v>1227340</v>
      </c>
      <c r="AM39" s="60">
        <f t="shared" si="1"/>
        <v>1227340</v>
      </c>
      <c r="AN39" s="59">
        <v>153221</v>
      </c>
      <c r="AO39" s="148">
        <f t="shared" si="2"/>
        <v>-153221</v>
      </c>
      <c r="AP39" s="58">
        <v>20287.887671232893</v>
      </c>
      <c r="AQ39" s="143">
        <f t="shared" si="3"/>
        <v>-20287.89</v>
      </c>
    </row>
    <row r="40" spans="1:43" x14ac:dyDescent="0.35">
      <c r="A40" s="69" t="s">
        <v>43</v>
      </c>
      <c r="B40" s="15" t="s">
        <v>134</v>
      </c>
      <c r="C40" s="15"/>
      <c r="D40" s="69"/>
      <c r="E40" s="76">
        <v>0</v>
      </c>
      <c r="F40" s="69" t="s">
        <v>45</v>
      </c>
      <c r="G40" s="10" t="s">
        <v>46</v>
      </c>
      <c r="H40" s="76">
        <v>9001000008</v>
      </c>
      <c r="I40" s="92" t="s">
        <v>47</v>
      </c>
      <c r="J40" s="92">
        <v>1202010202</v>
      </c>
      <c r="K40" s="15"/>
      <c r="L40" s="95" t="s">
        <v>135</v>
      </c>
      <c r="M40" s="69" t="s">
        <v>136</v>
      </c>
      <c r="N40" s="69"/>
      <c r="O40" s="94">
        <v>1</v>
      </c>
      <c r="P40" s="69" t="s">
        <v>50</v>
      </c>
      <c r="Q40" s="69" t="s">
        <v>51</v>
      </c>
      <c r="R40" s="69"/>
      <c r="S40" s="46">
        <v>44320</v>
      </c>
      <c r="T40" s="48">
        <v>44320</v>
      </c>
      <c r="U40" s="69"/>
      <c r="V40" s="69"/>
      <c r="W40" s="69"/>
      <c r="X40" s="69"/>
      <c r="Y40" s="69" t="s">
        <v>4128</v>
      </c>
      <c r="Z40" s="43">
        <v>161347</v>
      </c>
      <c r="AA40" s="43" t="s">
        <v>52</v>
      </c>
      <c r="AB40" s="43" t="s">
        <v>53</v>
      </c>
      <c r="AC40" s="43">
        <v>10950</v>
      </c>
      <c r="AD40" s="141">
        <v>30</v>
      </c>
      <c r="AE40" s="142">
        <v>0</v>
      </c>
      <c r="AF40" s="142"/>
      <c r="AG40" s="69" t="str">
        <f t="shared" si="0"/>
        <v>3 years 243 days</v>
      </c>
      <c r="AH40" s="69">
        <v>3</v>
      </c>
      <c r="AI40" s="69">
        <v>243</v>
      </c>
      <c r="AJ40" s="69">
        <v>0</v>
      </c>
      <c r="AK40" s="69">
        <v>0</v>
      </c>
      <c r="AL40" s="60">
        <v>161347</v>
      </c>
      <c r="AM40" s="60">
        <f t="shared" si="1"/>
        <v>161347</v>
      </c>
      <c r="AN40" s="59">
        <v>19715</v>
      </c>
      <c r="AO40" s="148">
        <f t="shared" si="2"/>
        <v>-19715</v>
      </c>
      <c r="AP40" s="58">
        <v>2667.2915981735168</v>
      </c>
      <c r="AQ40" s="143">
        <f t="shared" si="3"/>
        <v>-2667.29</v>
      </c>
    </row>
    <row r="41" spans="1:43" x14ac:dyDescent="0.35">
      <c r="A41" s="69" t="s">
        <v>43</v>
      </c>
      <c r="B41" s="15" t="s">
        <v>137</v>
      </c>
      <c r="C41" s="15"/>
      <c r="D41" s="69"/>
      <c r="E41" s="76">
        <v>0</v>
      </c>
      <c r="F41" s="69" t="s">
        <v>45</v>
      </c>
      <c r="G41" s="10" t="s">
        <v>46</v>
      </c>
      <c r="H41" s="76">
        <v>9001000008</v>
      </c>
      <c r="I41" s="92" t="s">
        <v>47</v>
      </c>
      <c r="J41" s="92">
        <v>1202010202</v>
      </c>
      <c r="K41" s="15"/>
      <c r="L41" s="95" t="s">
        <v>138</v>
      </c>
      <c r="M41" s="69" t="s">
        <v>139</v>
      </c>
      <c r="N41" s="69"/>
      <c r="O41" s="94">
        <v>1</v>
      </c>
      <c r="P41" s="69" t="s">
        <v>50</v>
      </c>
      <c r="Q41" s="69" t="s">
        <v>51</v>
      </c>
      <c r="R41" s="69"/>
      <c r="S41" s="46">
        <v>44291</v>
      </c>
      <c r="T41" s="48">
        <v>44291</v>
      </c>
      <c r="U41" s="69"/>
      <c r="V41" s="69"/>
      <c r="W41" s="69"/>
      <c r="X41" s="69"/>
      <c r="Y41" s="69" t="s">
        <v>4128</v>
      </c>
      <c r="Z41" s="43">
        <v>230780</v>
      </c>
      <c r="AA41" s="43" t="s">
        <v>52</v>
      </c>
      <c r="AB41" s="43" t="s">
        <v>53</v>
      </c>
      <c r="AC41" s="43">
        <v>10950</v>
      </c>
      <c r="AD41" s="141">
        <v>30</v>
      </c>
      <c r="AE41" s="142">
        <v>0</v>
      </c>
      <c r="AF41" s="142"/>
      <c r="AG41" s="69" t="str">
        <f t="shared" si="0"/>
        <v>3 years 272 days</v>
      </c>
      <c r="AH41" s="69">
        <v>3</v>
      </c>
      <c r="AI41" s="69">
        <v>272</v>
      </c>
      <c r="AJ41" s="69">
        <v>0</v>
      </c>
      <c r="AK41" s="69">
        <v>0</v>
      </c>
      <c r="AL41" s="60">
        <v>230780</v>
      </c>
      <c r="AM41" s="60">
        <f t="shared" si="1"/>
        <v>230780</v>
      </c>
      <c r="AN41" s="59">
        <v>28811</v>
      </c>
      <c r="AO41" s="148">
        <f t="shared" si="2"/>
        <v>-28811</v>
      </c>
      <c r="AP41" s="58">
        <v>3814.3369863013722</v>
      </c>
      <c r="AQ41" s="143">
        <f t="shared" si="3"/>
        <v>-3814.34</v>
      </c>
    </row>
    <row r="42" spans="1:43" x14ac:dyDescent="0.35">
      <c r="A42" s="69" t="s">
        <v>43</v>
      </c>
      <c r="B42" s="15" t="s">
        <v>140</v>
      </c>
      <c r="C42" s="15"/>
      <c r="D42" s="69"/>
      <c r="E42" s="76">
        <v>0</v>
      </c>
      <c r="F42" s="69" t="s">
        <v>45</v>
      </c>
      <c r="G42" s="10" t="s">
        <v>46</v>
      </c>
      <c r="H42" s="76">
        <v>9001000009</v>
      </c>
      <c r="I42" s="92" t="s">
        <v>47</v>
      </c>
      <c r="J42" s="92">
        <v>1202010202</v>
      </c>
      <c r="K42" s="15"/>
      <c r="L42" s="95" t="s">
        <v>141</v>
      </c>
      <c r="M42" s="69" t="s">
        <v>142</v>
      </c>
      <c r="N42" s="69"/>
      <c r="O42" s="94">
        <v>1</v>
      </c>
      <c r="P42" s="69" t="s">
        <v>50</v>
      </c>
      <c r="Q42" s="69" t="s">
        <v>51</v>
      </c>
      <c r="R42" s="69"/>
      <c r="S42" s="46">
        <v>44357</v>
      </c>
      <c r="T42" s="48">
        <v>44357</v>
      </c>
      <c r="U42" s="69"/>
      <c r="V42" s="69"/>
      <c r="W42" s="69"/>
      <c r="X42" s="69"/>
      <c r="Y42" s="69" t="s">
        <v>4128</v>
      </c>
      <c r="Z42" s="43">
        <v>294555</v>
      </c>
      <c r="AA42" s="43" t="s">
        <v>52</v>
      </c>
      <c r="AB42" s="43" t="s">
        <v>53</v>
      </c>
      <c r="AC42" s="43">
        <v>10950</v>
      </c>
      <c r="AD42" s="141">
        <v>30</v>
      </c>
      <c r="AE42" s="142">
        <v>0</v>
      </c>
      <c r="AF42" s="142"/>
      <c r="AG42" s="69" t="str">
        <f t="shared" si="0"/>
        <v>3 years 206 days</v>
      </c>
      <c r="AH42" s="69">
        <v>3</v>
      </c>
      <c r="AI42" s="69">
        <v>206</v>
      </c>
      <c r="AJ42" s="69">
        <v>0</v>
      </c>
      <c r="AK42" s="69">
        <v>0</v>
      </c>
      <c r="AL42" s="60">
        <v>294555</v>
      </c>
      <c r="AM42" s="60">
        <f t="shared" si="1"/>
        <v>294555</v>
      </c>
      <c r="AN42" s="59">
        <v>34997</v>
      </c>
      <c r="AO42" s="148">
        <f t="shared" si="2"/>
        <v>-34997</v>
      </c>
      <c r="AP42" s="58">
        <v>4868.8000000000029</v>
      </c>
      <c r="AQ42" s="143">
        <f t="shared" si="3"/>
        <v>-4868.8</v>
      </c>
    </row>
    <row r="43" spans="1:43" x14ac:dyDescent="0.35">
      <c r="A43" s="69" t="s">
        <v>43</v>
      </c>
      <c r="B43" s="15" t="s">
        <v>143</v>
      </c>
      <c r="C43" s="15"/>
      <c r="D43" s="69"/>
      <c r="E43" s="76">
        <v>0</v>
      </c>
      <c r="F43" s="69" t="s">
        <v>45</v>
      </c>
      <c r="G43" s="10" t="s">
        <v>46</v>
      </c>
      <c r="H43" s="76">
        <v>9001000009</v>
      </c>
      <c r="I43" s="92" t="s">
        <v>47</v>
      </c>
      <c r="J43" s="92">
        <v>1202010202</v>
      </c>
      <c r="K43" s="15"/>
      <c r="L43" s="95" t="s">
        <v>144</v>
      </c>
      <c r="M43" s="69" t="s">
        <v>145</v>
      </c>
      <c r="N43" s="69"/>
      <c r="O43" s="94">
        <v>1</v>
      </c>
      <c r="P43" s="69" t="s">
        <v>50</v>
      </c>
      <c r="Q43" s="69" t="s">
        <v>51</v>
      </c>
      <c r="R43" s="69"/>
      <c r="S43" s="46">
        <v>44434</v>
      </c>
      <c r="T43" s="48">
        <v>44434</v>
      </c>
      <c r="U43" s="69"/>
      <c r="V43" s="69"/>
      <c r="W43" s="69"/>
      <c r="X43" s="69"/>
      <c r="Y43" s="69" t="s">
        <v>4128</v>
      </c>
      <c r="Z43" s="43">
        <v>551206</v>
      </c>
      <c r="AA43" s="43" t="s">
        <v>52</v>
      </c>
      <c r="AB43" s="43" t="s">
        <v>53</v>
      </c>
      <c r="AC43" s="43">
        <v>10950</v>
      </c>
      <c r="AD43" s="141">
        <v>30</v>
      </c>
      <c r="AE43" s="142">
        <v>0</v>
      </c>
      <c r="AF43" s="142"/>
      <c r="AG43" s="69" t="str">
        <f t="shared" si="0"/>
        <v>3 years 129 days</v>
      </c>
      <c r="AH43" s="69">
        <v>3</v>
      </c>
      <c r="AI43" s="69">
        <v>129</v>
      </c>
      <c r="AJ43" s="69">
        <v>0</v>
      </c>
      <c r="AK43" s="69">
        <v>0</v>
      </c>
      <c r="AL43" s="60">
        <v>551206</v>
      </c>
      <c r="AM43" s="60">
        <f t="shared" si="1"/>
        <v>551206</v>
      </c>
      <c r="AN43" s="59">
        <v>61614</v>
      </c>
      <c r="AO43" s="148">
        <f t="shared" si="2"/>
        <v>-61614</v>
      </c>
      <c r="AP43" s="58">
        <v>9111.5187214611942</v>
      </c>
      <c r="AQ43" s="143">
        <f t="shared" si="3"/>
        <v>-9111.52</v>
      </c>
    </row>
    <row r="44" spans="1:43" x14ac:dyDescent="0.35">
      <c r="A44" s="69" t="s">
        <v>43</v>
      </c>
      <c r="B44" s="15" t="s">
        <v>146</v>
      </c>
      <c r="C44" s="15"/>
      <c r="D44" s="69"/>
      <c r="E44" s="76">
        <v>0</v>
      </c>
      <c r="F44" s="69" t="s">
        <v>45</v>
      </c>
      <c r="G44" s="10" t="s">
        <v>46</v>
      </c>
      <c r="H44" s="76">
        <v>9001000010</v>
      </c>
      <c r="I44" s="92" t="s">
        <v>47</v>
      </c>
      <c r="J44" s="92">
        <v>1202010202</v>
      </c>
      <c r="K44" s="15"/>
      <c r="L44" s="95" t="s">
        <v>147</v>
      </c>
      <c r="M44" s="69" t="s">
        <v>148</v>
      </c>
      <c r="N44" s="69"/>
      <c r="O44" s="94">
        <v>1</v>
      </c>
      <c r="P44" s="69" t="s">
        <v>50</v>
      </c>
      <c r="Q44" s="69" t="s">
        <v>51</v>
      </c>
      <c r="R44" s="69"/>
      <c r="S44" s="46">
        <v>44470</v>
      </c>
      <c r="T44" s="48">
        <v>44470</v>
      </c>
      <c r="U44" s="69"/>
      <c r="V44" s="69"/>
      <c r="W44" s="69"/>
      <c r="X44" s="69"/>
      <c r="Y44" s="69" t="s">
        <v>4128</v>
      </c>
      <c r="Z44" s="43">
        <v>179360</v>
      </c>
      <c r="AA44" s="43" t="s">
        <v>52</v>
      </c>
      <c r="AB44" s="43" t="s">
        <v>53</v>
      </c>
      <c r="AC44" s="43">
        <v>10950</v>
      </c>
      <c r="AD44" s="141">
        <v>30</v>
      </c>
      <c r="AE44" s="142">
        <v>0</v>
      </c>
      <c r="AF44" s="142"/>
      <c r="AG44" s="69" t="str">
        <f t="shared" si="0"/>
        <v>3 years 93 days</v>
      </c>
      <c r="AH44" s="69">
        <v>3</v>
      </c>
      <c r="AI44" s="69">
        <v>93</v>
      </c>
      <c r="AJ44" s="69">
        <v>0</v>
      </c>
      <c r="AK44" s="69">
        <v>0</v>
      </c>
      <c r="AL44" s="60">
        <v>179360</v>
      </c>
      <c r="AM44" s="60">
        <f t="shared" si="1"/>
        <v>179360</v>
      </c>
      <c r="AN44" s="59">
        <v>19459</v>
      </c>
      <c r="AO44" s="148">
        <f t="shared" si="2"/>
        <v>-19459</v>
      </c>
      <c r="AP44" s="58">
        <v>2965.094977168952</v>
      </c>
      <c r="AQ44" s="143">
        <f t="shared" si="3"/>
        <v>-2965.09</v>
      </c>
    </row>
    <row r="45" spans="1:43" x14ac:dyDescent="0.35">
      <c r="A45" s="69" t="s">
        <v>43</v>
      </c>
      <c r="B45" s="15" t="s">
        <v>149</v>
      </c>
      <c r="C45" s="15"/>
      <c r="D45" s="69"/>
      <c r="E45" s="76">
        <v>0</v>
      </c>
      <c r="F45" s="69" t="s">
        <v>45</v>
      </c>
      <c r="G45" s="10" t="s">
        <v>46</v>
      </c>
      <c r="H45" s="76">
        <v>9001000010</v>
      </c>
      <c r="I45" s="92" t="s">
        <v>47</v>
      </c>
      <c r="J45" s="92">
        <v>1202010202</v>
      </c>
      <c r="K45" s="15"/>
      <c r="L45" s="95" t="s">
        <v>150</v>
      </c>
      <c r="M45" s="69" t="s">
        <v>151</v>
      </c>
      <c r="N45" s="69"/>
      <c r="O45" s="94">
        <v>1</v>
      </c>
      <c r="P45" s="69" t="s">
        <v>50</v>
      </c>
      <c r="Q45" s="69" t="s">
        <v>51</v>
      </c>
      <c r="R45" s="69"/>
      <c r="S45" s="46">
        <v>44481</v>
      </c>
      <c r="T45" s="48">
        <v>44481</v>
      </c>
      <c r="U45" s="69"/>
      <c r="V45" s="69"/>
      <c r="W45" s="69"/>
      <c r="X45" s="69"/>
      <c r="Y45" s="69" t="s">
        <v>4128</v>
      </c>
      <c r="Z45" s="43">
        <v>307831</v>
      </c>
      <c r="AA45" s="43" t="s">
        <v>52</v>
      </c>
      <c r="AB45" s="43" t="s">
        <v>53</v>
      </c>
      <c r="AC45" s="43">
        <v>10950</v>
      </c>
      <c r="AD45" s="141">
        <v>30</v>
      </c>
      <c r="AE45" s="142">
        <v>0</v>
      </c>
      <c r="AF45" s="142"/>
      <c r="AG45" s="69" t="str">
        <f t="shared" si="0"/>
        <v>3 years 82 days</v>
      </c>
      <c r="AH45" s="69">
        <v>3</v>
      </c>
      <c r="AI45" s="69">
        <v>82</v>
      </c>
      <c r="AJ45" s="69">
        <v>0</v>
      </c>
      <c r="AK45" s="69">
        <v>0</v>
      </c>
      <c r="AL45" s="60">
        <v>307831</v>
      </c>
      <c r="AM45" s="60">
        <f t="shared" si="1"/>
        <v>307831</v>
      </c>
      <c r="AN45" s="59">
        <v>33088</v>
      </c>
      <c r="AO45" s="148">
        <f t="shared" si="2"/>
        <v>-33088</v>
      </c>
      <c r="AP45" s="58">
        <v>5088.6664840182639</v>
      </c>
      <c r="AQ45" s="143">
        <f t="shared" si="3"/>
        <v>-5088.67</v>
      </c>
    </row>
    <row r="46" spans="1:43" x14ac:dyDescent="0.35">
      <c r="A46" s="69" t="s">
        <v>43</v>
      </c>
      <c r="B46" s="15" t="s">
        <v>152</v>
      </c>
      <c r="C46" s="15"/>
      <c r="D46" s="69"/>
      <c r="E46" s="76">
        <v>0</v>
      </c>
      <c r="F46" s="69" t="s">
        <v>45</v>
      </c>
      <c r="G46" s="10" t="s">
        <v>46</v>
      </c>
      <c r="H46" s="76">
        <v>9001000011</v>
      </c>
      <c r="I46" s="92" t="s">
        <v>47</v>
      </c>
      <c r="J46" s="92">
        <v>1202010202</v>
      </c>
      <c r="K46" s="15"/>
      <c r="L46" s="95" t="s">
        <v>153</v>
      </c>
      <c r="M46" s="69" t="s">
        <v>154</v>
      </c>
      <c r="N46" s="69"/>
      <c r="O46" s="94">
        <v>1</v>
      </c>
      <c r="P46" s="69" t="s">
        <v>50</v>
      </c>
      <c r="Q46" s="69" t="s">
        <v>51</v>
      </c>
      <c r="R46" s="69"/>
      <c r="S46" s="46">
        <v>45245</v>
      </c>
      <c r="T46" s="48">
        <v>45245</v>
      </c>
      <c r="U46" s="69"/>
      <c r="V46" s="69"/>
      <c r="W46" s="69"/>
      <c r="X46" s="69"/>
      <c r="Y46" s="69" t="s">
        <v>4129</v>
      </c>
      <c r="Z46" s="43">
        <v>697558.3</v>
      </c>
      <c r="AA46" s="43" t="s">
        <v>52</v>
      </c>
      <c r="AB46" s="43" t="s">
        <v>53</v>
      </c>
      <c r="AC46" s="43">
        <v>10950</v>
      </c>
      <c r="AD46" s="141">
        <v>30</v>
      </c>
      <c r="AE46" s="142">
        <v>0</v>
      </c>
      <c r="AF46" s="142"/>
      <c r="AG46" s="69" t="str">
        <f t="shared" si="0"/>
        <v>1 years 48 days</v>
      </c>
      <c r="AH46" s="69">
        <v>1</v>
      </c>
      <c r="AI46" s="69">
        <v>48</v>
      </c>
      <c r="AJ46" s="69">
        <v>0</v>
      </c>
      <c r="AK46" s="69">
        <v>0</v>
      </c>
      <c r="AL46" s="60">
        <v>697558.3</v>
      </c>
      <c r="AM46" s="60">
        <f t="shared" si="1"/>
        <v>697558.3</v>
      </c>
      <c r="AN46" s="59">
        <v>26310</v>
      </c>
      <c r="AO46" s="148">
        <f t="shared" si="2"/>
        <v>-26310</v>
      </c>
      <c r="AP46" s="58">
        <v>11530.148876712337</v>
      </c>
      <c r="AQ46" s="143">
        <f t="shared" si="3"/>
        <v>-11530.15</v>
      </c>
    </row>
    <row r="47" spans="1:43" x14ac:dyDescent="0.35">
      <c r="A47" s="69" t="s">
        <v>43</v>
      </c>
      <c r="B47" s="15" t="s">
        <v>155</v>
      </c>
      <c r="C47" s="15"/>
      <c r="D47" s="69"/>
      <c r="E47" s="76">
        <v>0</v>
      </c>
      <c r="F47" s="69" t="s">
        <v>45</v>
      </c>
      <c r="G47" s="10" t="s">
        <v>46</v>
      </c>
      <c r="H47" s="76">
        <v>9001000012</v>
      </c>
      <c r="I47" s="92" t="s">
        <v>47</v>
      </c>
      <c r="J47" s="92">
        <v>1202010202</v>
      </c>
      <c r="K47" s="15"/>
      <c r="L47" s="95" t="s">
        <v>156</v>
      </c>
      <c r="M47" s="69" t="s">
        <v>157</v>
      </c>
      <c r="N47" s="69"/>
      <c r="O47" s="94">
        <v>1</v>
      </c>
      <c r="P47" s="69" t="s">
        <v>50</v>
      </c>
      <c r="Q47" s="69" t="s">
        <v>51</v>
      </c>
      <c r="R47" s="69"/>
      <c r="S47" s="46">
        <v>45382</v>
      </c>
      <c r="T47" s="48">
        <v>45382</v>
      </c>
      <c r="U47" s="69"/>
      <c r="V47" s="69"/>
      <c r="W47" s="69"/>
      <c r="X47" s="69"/>
      <c r="Y47" s="69" t="s">
        <v>4130</v>
      </c>
      <c r="Z47" s="43">
        <v>53730</v>
      </c>
      <c r="AA47" s="43" t="s">
        <v>52</v>
      </c>
      <c r="AB47" s="43" t="s">
        <v>53</v>
      </c>
      <c r="AC47" s="43">
        <v>10950</v>
      </c>
      <c r="AD47" s="141">
        <v>30</v>
      </c>
      <c r="AE47" s="142">
        <v>0</v>
      </c>
      <c r="AF47" s="142"/>
      <c r="AG47" s="69" t="str">
        <f t="shared" si="0"/>
        <v>0 years 276 days</v>
      </c>
      <c r="AH47" s="69">
        <v>0</v>
      </c>
      <c r="AI47" s="69">
        <v>276</v>
      </c>
      <c r="AJ47" s="69">
        <v>0</v>
      </c>
      <c r="AK47" s="69">
        <v>0</v>
      </c>
      <c r="AL47" s="60">
        <v>53730</v>
      </c>
      <c r="AM47" s="60">
        <f t="shared" si="1"/>
        <v>53730</v>
      </c>
      <c r="AN47" s="59">
        <v>1359</v>
      </c>
      <c r="AO47" s="148">
        <f t="shared" si="2"/>
        <v>-1359</v>
      </c>
      <c r="AP47" s="58">
        <v>888.33698630136996</v>
      </c>
      <c r="AQ47" s="143">
        <f t="shared" si="3"/>
        <v>-888.34</v>
      </c>
    </row>
    <row r="48" spans="1:43" x14ac:dyDescent="0.35">
      <c r="A48" s="69" t="s">
        <v>43</v>
      </c>
      <c r="B48" s="15" t="s">
        <v>158</v>
      </c>
      <c r="C48" s="15"/>
      <c r="D48" s="69"/>
      <c r="E48" s="76">
        <v>0</v>
      </c>
      <c r="F48" s="69" t="s">
        <v>45</v>
      </c>
      <c r="G48" s="10" t="s">
        <v>46</v>
      </c>
      <c r="H48" s="76">
        <v>9001000012</v>
      </c>
      <c r="I48" s="92" t="s">
        <v>47</v>
      </c>
      <c r="J48" s="92">
        <v>1202010202</v>
      </c>
      <c r="K48" s="15"/>
      <c r="L48" s="95" t="s">
        <v>159</v>
      </c>
      <c r="M48" s="69" t="s">
        <v>160</v>
      </c>
      <c r="N48" s="69"/>
      <c r="O48" s="94">
        <v>1</v>
      </c>
      <c r="P48" s="69" t="s">
        <v>50</v>
      </c>
      <c r="Q48" s="69" t="s">
        <v>51</v>
      </c>
      <c r="R48" s="69"/>
      <c r="S48" s="46">
        <v>45382</v>
      </c>
      <c r="T48" s="48">
        <v>45382</v>
      </c>
      <c r="U48" s="69"/>
      <c r="V48" s="69"/>
      <c r="W48" s="69"/>
      <c r="X48" s="69"/>
      <c r="Y48" s="69" t="s">
        <v>4130</v>
      </c>
      <c r="Z48" s="43">
        <v>26621</v>
      </c>
      <c r="AA48" s="43" t="s">
        <v>52</v>
      </c>
      <c r="AB48" s="43" t="s">
        <v>53</v>
      </c>
      <c r="AC48" s="43">
        <v>10950</v>
      </c>
      <c r="AD48" s="141">
        <v>30</v>
      </c>
      <c r="AE48" s="142">
        <v>0</v>
      </c>
      <c r="AF48" s="142"/>
      <c r="AG48" s="69" t="str">
        <f t="shared" si="0"/>
        <v>0 years 276 days</v>
      </c>
      <c r="AH48" s="69">
        <v>0</v>
      </c>
      <c r="AI48" s="69">
        <v>276</v>
      </c>
      <c r="AJ48" s="69">
        <v>0</v>
      </c>
      <c r="AK48" s="69">
        <v>0</v>
      </c>
      <c r="AL48" s="60">
        <v>26621</v>
      </c>
      <c r="AM48" s="60">
        <f t="shared" si="1"/>
        <v>26621</v>
      </c>
      <c r="AN48" s="59">
        <v>673</v>
      </c>
      <c r="AO48" s="148">
        <f t="shared" si="2"/>
        <v>-673</v>
      </c>
      <c r="AP48" s="58">
        <v>440.46283105022849</v>
      </c>
      <c r="AQ48" s="143">
        <f t="shared" si="3"/>
        <v>-440.46</v>
      </c>
    </row>
    <row r="49" spans="1:43" x14ac:dyDescent="0.35">
      <c r="A49" s="69" t="s">
        <v>43</v>
      </c>
      <c r="B49" s="15" t="s">
        <v>161</v>
      </c>
      <c r="C49" s="15"/>
      <c r="D49" s="69"/>
      <c r="E49" s="76">
        <v>0</v>
      </c>
      <c r="F49" s="69" t="s">
        <v>45</v>
      </c>
      <c r="G49" s="10" t="s">
        <v>46</v>
      </c>
      <c r="H49" s="76">
        <v>9001000012</v>
      </c>
      <c r="I49" s="92" t="s">
        <v>47</v>
      </c>
      <c r="J49" s="92">
        <v>1202010202</v>
      </c>
      <c r="K49" s="15"/>
      <c r="L49" s="95" t="s">
        <v>162</v>
      </c>
      <c r="M49" s="69" t="s">
        <v>163</v>
      </c>
      <c r="N49" s="69"/>
      <c r="O49" s="94">
        <v>1</v>
      </c>
      <c r="P49" s="69" t="s">
        <v>50</v>
      </c>
      <c r="Q49" s="69" t="s">
        <v>51</v>
      </c>
      <c r="R49" s="69"/>
      <c r="S49" s="46">
        <v>45382</v>
      </c>
      <c r="T49" s="48">
        <v>45382</v>
      </c>
      <c r="U49" s="69"/>
      <c r="V49" s="69"/>
      <c r="W49" s="69"/>
      <c r="X49" s="69"/>
      <c r="Y49" s="69" t="s">
        <v>4130</v>
      </c>
      <c r="Z49" s="43">
        <v>429486</v>
      </c>
      <c r="AA49" s="43" t="s">
        <v>52</v>
      </c>
      <c r="AB49" s="43" t="s">
        <v>53</v>
      </c>
      <c r="AC49" s="43">
        <v>10950</v>
      </c>
      <c r="AD49" s="141">
        <v>30</v>
      </c>
      <c r="AE49" s="142">
        <v>0</v>
      </c>
      <c r="AF49" s="142"/>
      <c r="AG49" s="69" t="str">
        <f t="shared" si="0"/>
        <v>0 years 276 days</v>
      </c>
      <c r="AH49" s="69">
        <v>0</v>
      </c>
      <c r="AI49" s="69">
        <v>276</v>
      </c>
      <c r="AJ49" s="69">
        <v>0</v>
      </c>
      <c r="AK49" s="69">
        <v>0</v>
      </c>
      <c r="AL49" s="60">
        <v>429486</v>
      </c>
      <c r="AM49" s="60">
        <f t="shared" si="1"/>
        <v>429486</v>
      </c>
      <c r="AN49" s="59">
        <v>10865</v>
      </c>
      <c r="AO49" s="148">
        <f t="shared" si="2"/>
        <v>-10865</v>
      </c>
      <c r="AP49" s="58">
        <v>7098.8893150684926</v>
      </c>
      <c r="AQ49" s="143">
        <f t="shared" si="3"/>
        <v>-7098.89</v>
      </c>
    </row>
    <row r="50" spans="1:43" x14ac:dyDescent="0.35">
      <c r="A50" s="69" t="s">
        <v>43</v>
      </c>
      <c r="B50" s="15" t="s">
        <v>164</v>
      </c>
      <c r="C50" s="15"/>
      <c r="D50" s="69"/>
      <c r="E50" s="76">
        <v>0</v>
      </c>
      <c r="F50" s="69" t="s">
        <v>45</v>
      </c>
      <c r="G50" s="10" t="s">
        <v>46</v>
      </c>
      <c r="H50" s="76">
        <v>9001000013</v>
      </c>
      <c r="I50" s="92" t="s">
        <v>47</v>
      </c>
      <c r="J50" s="92">
        <v>1202010202</v>
      </c>
      <c r="K50" s="15"/>
      <c r="L50" s="95" t="s">
        <v>165</v>
      </c>
      <c r="M50" s="69" t="s">
        <v>166</v>
      </c>
      <c r="N50" s="69"/>
      <c r="O50" s="94">
        <v>1</v>
      </c>
      <c r="P50" s="69" t="s">
        <v>50</v>
      </c>
      <c r="Q50" s="69" t="s">
        <v>51</v>
      </c>
      <c r="R50" s="69"/>
      <c r="S50" s="46">
        <v>45392</v>
      </c>
      <c r="T50" s="48">
        <v>45392</v>
      </c>
      <c r="U50" s="69"/>
      <c r="V50" s="69"/>
      <c r="W50" s="69"/>
      <c r="X50" s="69"/>
      <c r="Y50" s="69" t="s">
        <v>4130</v>
      </c>
      <c r="Z50" s="43">
        <v>228623.44</v>
      </c>
      <c r="AA50" s="43" t="s">
        <v>52</v>
      </c>
      <c r="AB50" s="43" t="s">
        <v>53</v>
      </c>
      <c r="AC50" s="43">
        <v>10950</v>
      </c>
      <c r="AD50" s="141">
        <v>30</v>
      </c>
      <c r="AE50" s="142">
        <v>0</v>
      </c>
      <c r="AF50" s="142"/>
      <c r="AG50" s="69" t="str">
        <f t="shared" si="0"/>
        <v>0 years 266 days</v>
      </c>
      <c r="AH50" s="69">
        <v>0</v>
      </c>
      <c r="AI50" s="69">
        <v>266</v>
      </c>
      <c r="AJ50" s="69">
        <v>0</v>
      </c>
      <c r="AK50" s="69">
        <v>0</v>
      </c>
      <c r="AL50" s="60">
        <v>228623.44</v>
      </c>
      <c r="AM50" s="60">
        <f t="shared" si="1"/>
        <v>228623.44</v>
      </c>
      <c r="AN50" s="59">
        <v>5554</v>
      </c>
      <c r="AO50" s="148">
        <f t="shared" si="2"/>
        <v>-5554</v>
      </c>
      <c r="AP50" s="58">
        <v>3778.8472767123294</v>
      </c>
      <c r="AQ50" s="143">
        <f t="shared" si="3"/>
        <v>-3778.85</v>
      </c>
    </row>
    <row r="51" spans="1:43" x14ac:dyDescent="0.35">
      <c r="A51" s="69" t="s">
        <v>43</v>
      </c>
      <c r="B51" s="15" t="s">
        <v>167</v>
      </c>
      <c r="C51" s="15"/>
      <c r="D51" s="69"/>
      <c r="E51" s="76">
        <v>0</v>
      </c>
      <c r="F51" s="69" t="s">
        <v>45</v>
      </c>
      <c r="G51" s="10" t="s">
        <v>46</v>
      </c>
      <c r="H51" s="76">
        <v>9001000014</v>
      </c>
      <c r="I51" s="92" t="s">
        <v>47</v>
      </c>
      <c r="J51" s="92">
        <v>1202010202</v>
      </c>
      <c r="K51" s="15"/>
      <c r="L51" s="95" t="s">
        <v>168</v>
      </c>
      <c r="M51" s="69" t="s">
        <v>169</v>
      </c>
      <c r="N51" s="69"/>
      <c r="O51" s="94">
        <v>1</v>
      </c>
      <c r="P51" s="69" t="s">
        <v>50</v>
      </c>
      <c r="Q51" s="69" t="s">
        <v>51</v>
      </c>
      <c r="R51" s="69"/>
      <c r="S51" s="46">
        <v>44484</v>
      </c>
      <c r="T51" s="48">
        <v>44484</v>
      </c>
      <c r="U51" s="69"/>
      <c r="V51" s="69"/>
      <c r="W51" s="69"/>
      <c r="X51" s="69"/>
      <c r="Y51" s="69" t="s">
        <v>4128</v>
      </c>
      <c r="Z51" s="43">
        <v>100103</v>
      </c>
      <c r="AA51" s="43" t="s">
        <v>52</v>
      </c>
      <c r="AB51" s="43" t="s">
        <v>53</v>
      </c>
      <c r="AC51" s="43">
        <v>10950</v>
      </c>
      <c r="AD51" s="141">
        <v>30</v>
      </c>
      <c r="AE51" s="142">
        <v>0</v>
      </c>
      <c r="AF51" s="142"/>
      <c r="AG51" s="69" t="str">
        <f t="shared" si="0"/>
        <v>3 years 79 days</v>
      </c>
      <c r="AH51" s="69">
        <v>3</v>
      </c>
      <c r="AI51" s="69">
        <v>79</v>
      </c>
      <c r="AJ51" s="69">
        <v>0</v>
      </c>
      <c r="AK51" s="69">
        <v>0</v>
      </c>
      <c r="AL51" s="60">
        <v>100103</v>
      </c>
      <c r="AM51" s="60">
        <f t="shared" si="1"/>
        <v>100103</v>
      </c>
      <c r="AN51" s="59">
        <v>10733</v>
      </c>
      <c r="AO51" s="148">
        <f t="shared" si="2"/>
        <v>-10733</v>
      </c>
      <c r="AP51" s="58">
        <v>1654.1748858447481</v>
      </c>
      <c r="AQ51" s="143">
        <f t="shared" si="3"/>
        <v>-1654.17</v>
      </c>
    </row>
    <row r="52" spans="1:43" x14ac:dyDescent="0.35">
      <c r="A52" s="69" t="s">
        <v>43</v>
      </c>
      <c r="B52" s="15" t="s">
        <v>170</v>
      </c>
      <c r="C52" s="15"/>
      <c r="D52" s="69"/>
      <c r="E52" s="76">
        <v>0</v>
      </c>
      <c r="F52" s="69" t="s">
        <v>45</v>
      </c>
      <c r="G52" s="10" t="s">
        <v>46</v>
      </c>
      <c r="H52" s="76">
        <v>9001000015</v>
      </c>
      <c r="I52" s="92" t="s">
        <v>47</v>
      </c>
      <c r="J52" s="92">
        <v>1202010202</v>
      </c>
      <c r="K52" s="15"/>
      <c r="L52" s="95" t="s">
        <v>171</v>
      </c>
      <c r="M52" s="69" t="s">
        <v>172</v>
      </c>
      <c r="N52" s="69"/>
      <c r="O52" s="94">
        <v>1</v>
      </c>
      <c r="P52" s="69" t="s">
        <v>50</v>
      </c>
      <c r="Q52" s="69" t="s">
        <v>51</v>
      </c>
      <c r="R52" s="69"/>
      <c r="S52" s="46">
        <v>44882</v>
      </c>
      <c r="T52" s="48">
        <v>44882</v>
      </c>
      <c r="U52" s="69"/>
      <c r="V52" s="69"/>
      <c r="W52" s="69"/>
      <c r="X52" s="69"/>
      <c r="Y52" s="69" t="s">
        <v>4131</v>
      </c>
      <c r="Z52" s="43">
        <v>6597</v>
      </c>
      <c r="AA52" s="43" t="s">
        <v>52</v>
      </c>
      <c r="AB52" s="43" t="s">
        <v>53</v>
      </c>
      <c r="AC52" s="43">
        <v>10950</v>
      </c>
      <c r="AD52" s="141">
        <v>30</v>
      </c>
      <c r="AE52" s="142">
        <v>0</v>
      </c>
      <c r="AF52" s="142"/>
      <c r="AG52" s="69" t="str">
        <f t="shared" si="0"/>
        <v>2 years 46 days</v>
      </c>
      <c r="AH52" s="69">
        <v>2</v>
      </c>
      <c r="AI52" s="69">
        <v>46</v>
      </c>
      <c r="AJ52" s="69">
        <v>0</v>
      </c>
      <c r="AK52" s="69">
        <v>0</v>
      </c>
      <c r="AL52" s="60">
        <v>6597</v>
      </c>
      <c r="AM52" s="60">
        <f t="shared" si="1"/>
        <v>6597</v>
      </c>
      <c r="AN52" s="59">
        <v>6633</v>
      </c>
      <c r="AO52" s="148">
        <f t="shared" si="2"/>
        <v>-6633</v>
      </c>
      <c r="AP52" s="58">
        <v>-0.2090410958899156</v>
      </c>
      <c r="AQ52" s="143">
        <f t="shared" si="3"/>
        <v>0.21</v>
      </c>
    </row>
    <row r="53" spans="1:43" x14ac:dyDescent="0.35">
      <c r="A53" s="69" t="s">
        <v>43</v>
      </c>
      <c r="B53" s="15" t="s">
        <v>173</v>
      </c>
      <c r="C53" s="15"/>
      <c r="D53" s="69"/>
      <c r="E53" s="76">
        <v>0</v>
      </c>
      <c r="F53" s="69" t="s">
        <v>45</v>
      </c>
      <c r="G53" s="10" t="s">
        <v>46</v>
      </c>
      <c r="H53" s="76">
        <v>9001000016</v>
      </c>
      <c r="I53" s="92" t="s">
        <v>47</v>
      </c>
      <c r="J53" s="92">
        <v>1202010202</v>
      </c>
      <c r="K53" s="15"/>
      <c r="L53" s="95" t="s">
        <v>174</v>
      </c>
      <c r="M53" s="69" t="s">
        <v>175</v>
      </c>
      <c r="N53" s="69"/>
      <c r="O53" s="94">
        <v>1</v>
      </c>
      <c r="P53" s="69" t="s">
        <v>50</v>
      </c>
      <c r="Q53" s="69" t="s">
        <v>51</v>
      </c>
      <c r="R53" s="69"/>
      <c r="S53" s="46">
        <v>44986</v>
      </c>
      <c r="T53" s="48">
        <v>44986</v>
      </c>
      <c r="U53" s="69"/>
      <c r="V53" s="69"/>
      <c r="W53" s="69"/>
      <c r="X53" s="69"/>
      <c r="Y53" s="69" t="s">
        <v>4129</v>
      </c>
      <c r="Z53" s="50">
        <v>151466365.19999999</v>
      </c>
      <c r="AA53" s="43" t="s">
        <v>52</v>
      </c>
      <c r="AB53" s="43" t="s">
        <v>53</v>
      </c>
      <c r="AC53" s="43">
        <v>10950</v>
      </c>
      <c r="AD53" s="141">
        <v>30</v>
      </c>
      <c r="AE53" s="142">
        <v>0</v>
      </c>
      <c r="AF53" s="142"/>
      <c r="AG53" s="69" t="str">
        <f t="shared" si="0"/>
        <v>1 years 307 days</v>
      </c>
      <c r="AH53" s="69">
        <v>1</v>
      </c>
      <c r="AI53" s="69">
        <v>307</v>
      </c>
      <c r="AJ53" s="69">
        <v>0</v>
      </c>
      <c r="AK53" s="69">
        <v>0</v>
      </c>
      <c r="AL53" s="60">
        <v>151466365.19999999</v>
      </c>
      <c r="AM53" s="60">
        <f t="shared" si="1"/>
        <v>151466365.19999999</v>
      </c>
      <c r="AN53" s="59">
        <v>9295470</v>
      </c>
      <c r="AO53" s="148">
        <f t="shared" si="2"/>
        <v>-9295470</v>
      </c>
      <c r="AP53" s="58">
        <v>2503690.6857899539</v>
      </c>
      <c r="AQ53" s="143">
        <f t="shared" si="3"/>
        <v>-2503690.69</v>
      </c>
    </row>
    <row r="54" spans="1:43" x14ac:dyDescent="0.35">
      <c r="A54" s="69" t="s">
        <v>43</v>
      </c>
      <c r="B54" s="15" t="s">
        <v>176</v>
      </c>
      <c r="C54" s="15"/>
      <c r="D54" s="69"/>
      <c r="E54" s="76">
        <v>0</v>
      </c>
      <c r="F54" s="69" t="s">
        <v>45</v>
      </c>
      <c r="G54" s="10" t="s">
        <v>46</v>
      </c>
      <c r="H54" s="76">
        <v>9001000017</v>
      </c>
      <c r="I54" s="92" t="s">
        <v>47</v>
      </c>
      <c r="J54" s="92">
        <v>1202010202</v>
      </c>
      <c r="K54" s="15"/>
      <c r="L54" s="95" t="s">
        <v>177</v>
      </c>
      <c r="M54" s="69" t="s">
        <v>49</v>
      </c>
      <c r="N54" s="69"/>
      <c r="O54" s="94">
        <v>1</v>
      </c>
      <c r="P54" s="69" t="s">
        <v>50</v>
      </c>
      <c r="Q54" s="69" t="s">
        <v>51</v>
      </c>
      <c r="R54" s="69"/>
      <c r="S54" s="46">
        <v>45047</v>
      </c>
      <c r="T54" s="48">
        <v>45047</v>
      </c>
      <c r="U54" s="69"/>
      <c r="V54" s="69"/>
      <c r="W54" s="69"/>
      <c r="X54" s="69"/>
      <c r="Y54" s="69" t="s">
        <v>4129</v>
      </c>
      <c r="Z54" s="43">
        <v>3552291.3000000003</v>
      </c>
      <c r="AA54" s="43" t="s">
        <v>52</v>
      </c>
      <c r="AB54" s="43" t="s">
        <v>53</v>
      </c>
      <c r="AC54" s="43">
        <v>10950</v>
      </c>
      <c r="AD54" s="141">
        <v>30</v>
      </c>
      <c r="AE54" s="142">
        <v>0</v>
      </c>
      <c r="AF54" s="142"/>
      <c r="AG54" s="69" t="str">
        <f t="shared" si="0"/>
        <v>1 years 246 days</v>
      </c>
      <c r="AH54" s="69">
        <v>1</v>
      </c>
      <c r="AI54" s="69">
        <v>246</v>
      </c>
      <c r="AJ54" s="69">
        <v>0</v>
      </c>
      <c r="AK54" s="69">
        <v>0</v>
      </c>
      <c r="AL54" s="60">
        <v>3552291.3000000003</v>
      </c>
      <c r="AM54" s="60">
        <f t="shared" si="1"/>
        <v>3552291.3</v>
      </c>
      <c r="AN54" s="59">
        <v>198215</v>
      </c>
      <c r="AO54" s="148">
        <f t="shared" si="2"/>
        <v>-198215</v>
      </c>
      <c r="AP54" s="58">
        <v>58717.850191780861</v>
      </c>
      <c r="AQ54" s="143">
        <f t="shared" si="3"/>
        <v>-58717.85</v>
      </c>
    </row>
    <row r="55" spans="1:43" x14ac:dyDescent="0.35">
      <c r="A55" s="69" t="s">
        <v>43</v>
      </c>
      <c r="B55" s="15" t="s">
        <v>178</v>
      </c>
      <c r="C55" s="15"/>
      <c r="D55" s="69"/>
      <c r="E55" s="76">
        <v>0</v>
      </c>
      <c r="F55" s="69" t="s">
        <v>45</v>
      </c>
      <c r="G55" s="10" t="s">
        <v>46</v>
      </c>
      <c r="H55" s="76">
        <v>9001000017</v>
      </c>
      <c r="I55" s="92" t="s">
        <v>47</v>
      </c>
      <c r="J55" s="92">
        <v>1202010202</v>
      </c>
      <c r="K55" s="15"/>
      <c r="L55" s="95" t="s">
        <v>179</v>
      </c>
      <c r="M55" s="69" t="s">
        <v>180</v>
      </c>
      <c r="N55" s="69"/>
      <c r="O55" s="94">
        <v>1</v>
      </c>
      <c r="P55" s="69" t="s">
        <v>50</v>
      </c>
      <c r="Q55" s="69" t="s">
        <v>51</v>
      </c>
      <c r="R55" s="69"/>
      <c r="S55" s="46">
        <v>45108</v>
      </c>
      <c r="T55" s="48">
        <v>45108</v>
      </c>
      <c r="U55" s="69"/>
      <c r="V55" s="69"/>
      <c r="W55" s="69"/>
      <c r="X55" s="69"/>
      <c r="Y55" s="69" t="s">
        <v>4129</v>
      </c>
      <c r="Z55" s="43">
        <v>47780</v>
      </c>
      <c r="AA55" s="43" t="s">
        <v>52</v>
      </c>
      <c r="AB55" s="43" t="s">
        <v>53</v>
      </c>
      <c r="AC55" s="43">
        <v>10950</v>
      </c>
      <c r="AD55" s="141">
        <v>30</v>
      </c>
      <c r="AE55" s="142">
        <v>0</v>
      </c>
      <c r="AF55" s="142"/>
      <c r="AG55" s="69" t="str">
        <f t="shared" si="0"/>
        <v>1 years 185 days</v>
      </c>
      <c r="AH55" s="69">
        <v>1</v>
      </c>
      <c r="AI55" s="69">
        <v>185</v>
      </c>
      <c r="AJ55" s="69">
        <v>0</v>
      </c>
      <c r="AK55" s="69">
        <v>0</v>
      </c>
      <c r="AL55" s="60">
        <v>47780</v>
      </c>
      <c r="AM55" s="60">
        <f t="shared" si="1"/>
        <v>47780</v>
      </c>
      <c r="AN55" s="59">
        <v>2400</v>
      </c>
      <c r="AO55" s="148">
        <f t="shared" si="2"/>
        <v>-2400</v>
      </c>
      <c r="AP55" s="58">
        <v>789.6968036529679</v>
      </c>
      <c r="AQ55" s="143">
        <f t="shared" si="3"/>
        <v>-789.7</v>
      </c>
    </row>
    <row r="56" spans="1:43" x14ac:dyDescent="0.35">
      <c r="A56" s="69" t="s">
        <v>43</v>
      </c>
      <c r="B56" s="15" t="s">
        <v>181</v>
      </c>
      <c r="C56" s="15"/>
      <c r="D56" s="69"/>
      <c r="E56" s="76">
        <v>0</v>
      </c>
      <c r="F56" s="69" t="s">
        <v>45</v>
      </c>
      <c r="G56" s="10" t="s">
        <v>46</v>
      </c>
      <c r="H56" s="76">
        <v>9001000017</v>
      </c>
      <c r="I56" s="92" t="s">
        <v>47</v>
      </c>
      <c r="J56" s="92">
        <v>1202010202</v>
      </c>
      <c r="K56" s="15"/>
      <c r="L56" s="95" t="s">
        <v>182</v>
      </c>
      <c r="M56" s="69" t="s">
        <v>183</v>
      </c>
      <c r="N56" s="69"/>
      <c r="O56" s="94">
        <v>1</v>
      </c>
      <c r="P56" s="69" t="s">
        <v>50</v>
      </c>
      <c r="Q56" s="69" t="s">
        <v>51</v>
      </c>
      <c r="R56" s="69"/>
      <c r="S56" s="46">
        <v>45111</v>
      </c>
      <c r="T56" s="48">
        <v>45111</v>
      </c>
      <c r="U56" s="69"/>
      <c r="V56" s="69"/>
      <c r="W56" s="69"/>
      <c r="X56" s="69"/>
      <c r="Y56" s="69" t="s">
        <v>4129</v>
      </c>
      <c r="Z56" s="43">
        <v>34522</v>
      </c>
      <c r="AA56" s="43" t="s">
        <v>52</v>
      </c>
      <c r="AB56" s="43" t="s">
        <v>53</v>
      </c>
      <c r="AC56" s="43">
        <v>10950</v>
      </c>
      <c r="AD56" s="141">
        <v>30</v>
      </c>
      <c r="AE56" s="142">
        <v>0</v>
      </c>
      <c r="AF56" s="142"/>
      <c r="AG56" s="69" t="str">
        <f t="shared" si="0"/>
        <v>1 years 182 days</v>
      </c>
      <c r="AH56" s="69">
        <v>1</v>
      </c>
      <c r="AI56" s="69">
        <v>182</v>
      </c>
      <c r="AJ56" s="69">
        <v>0</v>
      </c>
      <c r="AK56" s="69">
        <v>0</v>
      </c>
      <c r="AL56" s="60">
        <v>34522</v>
      </c>
      <c r="AM56" s="60">
        <f t="shared" si="1"/>
        <v>34522</v>
      </c>
      <c r="AN56" s="59">
        <v>1725</v>
      </c>
      <c r="AO56" s="148">
        <f t="shared" si="2"/>
        <v>-1725</v>
      </c>
      <c r="AP56" s="58">
        <v>570.16127853881289</v>
      </c>
      <c r="AQ56" s="143">
        <f t="shared" si="3"/>
        <v>-570.16</v>
      </c>
    </row>
    <row r="57" spans="1:43" x14ac:dyDescent="0.35">
      <c r="A57" s="69" t="s">
        <v>43</v>
      </c>
      <c r="B57" s="15" t="s">
        <v>184</v>
      </c>
      <c r="C57" s="15"/>
      <c r="D57" s="69"/>
      <c r="E57" s="76">
        <v>0</v>
      </c>
      <c r="F57" s="69" t="s">
        <v>45</v>
      </c>
      <c r="G57" s="10" t="s">
        <v>46</v>
      </c>
      <c r="H57" s="76">
        <v>9001000018</v>
      </c>
      <c r="I57" s="92" t="s">
        <v>47</v>
      </c>
      <c r="J57" s="92">
        <v>1202010202</v>
      </c>
      <c r="K57" s="15"/>
      <c r="L57" s="95" t="s">
        <v>185</v>
      </c>
      <c r="M57" s="69" t="s">
        <v>49</v>
      </c>
      <c r="N57" s="69"/>
      <c r="O57" s="94">
        <v>1</v>
      </c>
      <c r="P57" s="69" t="s">
        <v>50</v>
      </c>
      <c r="Q57" s="69" t="s">
        <v>51</v>
      </c>
      <c r="R57" s="69"/>
      <c r="S57" s="46">
        <v>45199</v>
      </c>
      <c r="T57" s="48">
        <v>45199</v>
      </c>
      <c r="U57" s="69"/>
      <c r="V57" s="69"/>
      <c r="W57" s="69"/>
      <c r="X57" s="69"/>
      <c r="Y57" s="69" t="s">
        <v>4129</v>
      </c>
      <c r="Z57" s="43">
        <v>9299379.75</v>
      </c>
      <c r="AA57" s="43" t="s">
        <v>52</v>
      </c>
      <c r="AB57" s="43" t="s">
        <v>53</v>
      </c>
      <c r="AC57" s="43">
        <v>10950</v>
      </c>
      <c r="AD57" s="141">
        <v>30</v>
      </c>
      <c r="AE57" s="142">
        <v>0</v>
      </c>
      <c r="AF57" s="142"/>
      <c r="AG57" s="69" t="str">
        <f t="shared" si="0"/>
        <v>1 years 94 days</v>
      </c>
      <c r="AH57" s="69">
        <v>1</v>
      </c>
      <c r="AI57" s="69">
        <v>94</v>
      </c>
      <c r="AJ57" s="69">
        <v>0</v>
      </c>
      <c r="AK57" s="69">
        <v>0</v>
      </c>
      <c r="AL57" s="60">
        <v>9299379.75</v>
      </c>
      <c r="AM57" s="60">
        <f t="shared" si="1"/>
        <v>9299379.75</v>
      </c>
      <c r="AN57" s="59">
        <v>389810</v>
      </c>
      <c r="AO57" s="148">
        <f t="shared" si="2"/>
        <v>-389810</v>
      </c>
      <c r="AP57" s="58">
        <v>153715.39178082196</v>
      </c>
      <c r="AQ57" s="143">
        <f t="shared" si="3"/>
        <v>-153715.39000000001</v>
      </c>
    </row>
    <row r="58" spans="1:43" x14ac:dyDescent="0.35">
      <c r="A58" s="69" t="s">
        <v>43</v>
      </c>
      <c r="B58" s="15" t="s">
        <v>186</v>
      </c>
      <c r="C58" s="15"/>
      <c r="D58" s="69"/>
      <c r="E58" s="76">
        <v>0</v>
      </c>
      <c r="F58" s="69" t="s">
        <v>45</v>
      </c>
      <c r="G58" s="10" t="s">
        <v>46</v>
      </c>
      <c r="H58" s="76">
        <v>9001000019</v>
      </c>
      <c r="I58" s="92" t="s">
        <v>47</v>
      </c>
      <c r="J58" s="92">
        <v>1202010202</v>
      </c>
      <c r="K58" s="15"/>
      <c r="L58" s="95" t="s">
        <v>187</v>
      </c>
      <c r="M58" s="69" t="s">
        <v>188</v>
      </c>
      <c r="N58" s="69"/>
      <c r="O58" s="94">
        <v>10</v>
      </c>
      <c r="P58" s="69" t="s">
        <v>50</v>
      </c>
      <c r="Q58" s="69" t="s">
        <v>51</v>
      </c>
      <c r="R58" s="69"/>
      <c r="S58" s="46">
        <v>45231</v>
      </c>
      <c r="T58" s="48">
        <v>45231</v>
      </c>
      <c r="U58" s="69"/>
      <c r="V58" s="69"/>
      <c r="W58" s="69"/>
      <c r="X58" s="69"/>
      <c r="Y58" s="69" t="s">
        <v>4129</v>
      </c>
      <c r="Z58" s="43">
        <v>474388</v>
      </c>
      <c r="AA58" s="43" t="s">
        <v>52</v>
      </c>
      <c r="AB58" s="43" t="s">
        <v>53</v>
      </c>
      <c r="AC58" s="43">
        <v>10950</v>
      </c>
      <c r="AD58" s="141">
        <v>30</v>
      </c>
      <c r="AE58" s="142">
        <v>0</v>
      </c>
      <c r="AF58" s="142"/>
      <c r="AG58" s="69" t="str">
        <f t="shared" si="0"/>
        <v>1 years 62 days</v>
      </c>
      <c r="AH58" s="69">
        <v>1</v>
      </c>
      <c r="AI58" s="69">
        <v>62</v>
      </c>
      <c r="AJ58" s="69">
        <v>0</v>
      </c>
      <c r="AK58" s="69">
        <v>0</v>
      </c>
      <c r="AL58" s="60">
        <v>474388</v>
      </c>
      <c r="AM58" s="60">
        <f t="shared" si="1"/>
        <v>474388</v>
      </c>
      <c r="AN58" s="59">
        <v>18499</v>
      </c>
      <c r="AO58" s="148">
        <f t="shared" si="2"/>
        <v>-18499</v>
      </c>
      <c r="AP58" s="58">
        <v>7841.4478538812764</v>
      </c>
      <c r="AQ58" s="143">
        <f t="shared" si="3"/>
        <v>-7841.45</v>
      </c>
    </row>
    <row r="59" spans="1:43" x14ac:dyDescent="0.35">
      <c r="A59" s="69" t="s">
        <v>43</v>
      </c>
      <c r="B59" s="15" t="s">
        <v>189</v>
      </c>
      <c r="C59" s="15"/>
      <c r="D59" s="69"/>
      <c r="E59" s="76">
        <v>0</v>
      </c>
      <c r="F59" s="69" t="s">
        <v>45</v>
      </c>
      <c r="G59" s="10" t="s">
        <v>46</v>
      </c>
      <c r="H59" s="76">
        <v>9001000019</v>
      </c>
      <c r="I59" s="92" t="s">
        <v>47</v>
      </c>
      <c r="J59" s="92">
        <v>1202010202</v>
      </c>
      <c r="K59" s="15"/>
      <c r="L59" s="95" t="s">
        <v>190</v>
      </c>
      <c r="M59" s="69" t="s">
        <v>191</v>
      </c>
      <c r="N59" s="69"/>
      <c r="O59" s="94">
        <v>47</v>
      </c>
      <c r="P59" s="69" t="s">
        <v>50</v>
      </c>
      <c r="Q59" s="69" t="s">
        <v>51</v>
      </c>
      <c r="R59" s="69"/>
      <c r="S59" s="46">
        <v>45231</v>
      </c>
      <c r="T59" s="48">
        <v>45231</v>
      </c>
      <c r="U59" s="69"/>
      <c r="V59" s="69"/>
      <c r="W59" s="69"/>
      <c r="X59" s="69"/>
      <c r="Y59" s="69" t="s">
        <v>4129</v>
      </c>
      <c r="Z59" s="43">
        <v>153400</v>
      </c>
      <c r="AA59" s="43" t="s">
        <v>52</v>
      </c>
      <c r="AB59" s="43" t="s">
        <v>53</v>
      </c>
      <c r="AC59" s="43">
        <v>10950</v>
      </c>
      <c r="AD59" s="141">
        <v>30</v>
      </c>
      <c r="AE59" s="142">
        <v>0</v>
      </c>
      <c r="AF59" s="142"/>
      <c r="AG59" s="69" t="str">
        <f t="shared" si="0"/>
        <v>1 years 62 days</v>
      </c>
      <c r="AH59" s="69">
        <v>1</v>
      </c>
      <c r="AI59" s="69">
        <v>62</v>
      </c>
      <c r="AJ59" s="69">
        <v>0</v>
      </c>
      <c r="AK59" s="69">
        <v>0</v>
      </c>
      <c r="AL59" s="60">
        <v>153400</v>
      </c>
      <c r="AM59" s="60">
        <f t="shared" si="1"/>
        <v>153400</v>
      </c>
      <c r="AN59" s="59">
        <v>5982</v>
      </c>
      <c r="AO59" s="148">
        <f t="shared" si="2"/>
        <v>-5982</v>
      </c>
      <c r="AP59" s="58">
        <v>2535.5525114155244</v>
      </c>
      <c r="AQ59" s="143">
        <f t="shared" si="3"/>
        <v>-2535.5500000000002</v>
      </c>
    </row>
    <row r="60" spans="1:43" x14ac:dyDescent="0.35">
      <c r="A60" s="69" t="s">
        <v>43</v>
      </c>
      <c r="B60" s="15" t="s">
        <v>192</v>
      </c>
      <c r="C60" s="15"/>
      <c r="D60" s="69"/>
      <c r="E60" s="76">
        <v>0</v>
      </c>
      <c r="F60" s="69" t="s">
        <v>45</v>
      </c>
      <c r="G60" s="10" t="s">
        <v>46</v>
      </c>
      <c r="H60" s="76">
        <v>9001000019</v>
      </c>
      <c r="I60" s="92" t="s">
        <v>47</v>
      </c>
      <c r="J60" s="92">
        <v>1202010202</v>
      </c>
      <c r="K60" s="15"/>
      <c r="L60" s="95" t="s">
        <v>193</v>
      </c>
      <c r="M60" s="69" t="s">
        <v>194</v>
      </c>
      <c r="N60" s="69"/>
      <c r="O60" s="94">
        <v>1</v>
      </c>
      <c r="P60" s="69" t="s">
        <v>50</v>
      </c>
      <c r="Q60" s="69" t="s">
        <v>51</v>
      </c>
      <c r="R60" s="69"/>
      <c r="S60" s="46">
        <v>45231</v>
      </c>
      <c r="T60" s="48">
        <v>45231</v>
      </c>
      <c r="U60" s="69"/>
      <c r="V60" s="69"/>
      <c r="W60" s="69"/>
      <c r="X60" s="69"/>
      <c r="Y60" s="69" t="s">
        <v>4129</v>
      </c>
      <c r="Z60" s="43">
        <v>54042</v>
      </c>
      <c r="AA60" s="43" t="s">
        <v>52</v>
      </c>
      <c r="AB60" s="43" t="s">
        <v>53</v>
      </c>
      <c r="AC60" s="43">
        <v>10950</v>
      </c>
      <c r="AD60" s="141">
        <v>30</v>
      </c>
      <c r="AE60" s="142">
        <v>0</v>
      </c>
      <c r="AF60" s="142"/>
      <c r="AG60" s="69" t="str">
        <f t="shared" si="0"/>
        <v>1 years 62 days</v>
      </c>
      <c r="AH60" s="69">
        <v>1</v>
      </c>
      <c r="AI60" s="69">
        <v>62</v>
      </c>
      <c r="AJ60" s="69">
        <v>0</v>
      </c>
      <c r="AK60" s="69">
        <v>0</v>
      </c>
      <c r="AL60" s="60">
        <v>54042</v>
      </c>
      <c r="AM60" s="60">
        <f t="shared" si="1"/>
        <v>54042</v>
      </c>
      <c r="AN60" s="59">
        <v>2107</v>
      </c>
      <c r="AO60" s="148">
        <f t="shared" si="2"/>
        <v>-2107</v>
      </c>
      <c r="AP60" s="58">
        <v>893.68821917808236</v>
      </c>
      <c r="AQ60" s="143">
        <f t="shared" si="3"/>
        <v>-893.69</v>
      </c>
    </row>
    <row r="61" spans="1:43" x14ac:dyDescent="0.35">
      <c r="A61" s="69" t="s">
        <v>43</v>
      </c>
      <c r="B61" s="15" t="s">
        <v>195</v>
      </c>
      <c r="C61" s="15"/>
      <c r="D61" s="69"/>
      <c r="E61" s="76">
        <v>0</v>
      </c>
      <c r="F61" s="69" t="s">
        <v>45</v>
      </c>
      <c r="G61" s="10" t="s">
        <v>46</v>
      </c>
      <c r="H61" s="76">
        <v>9001000019</v>
      </c>
      <c r="I61" s="92" t="s">
        <v>47</v>
      </c>
      <c r="J61" s="92">
        <v>1202010202</v>
      </c>
      <c r="K61" s="15"/>
      <c r="L61" s="95" t="s">
        <v>196</v>
      </c>
      <c r="M61" s="69" t="s">
        <v>197</v>
      </c>
      <c r="N61" s="69"/>
      <c r="O61" s="94">
        <v>1</v>
      </c>
      <c r="P61" s="69" t="s">
        <v>50</v>
      </c>
      <c r="Q61" s="69" t="s">
        <v>51</v>
      </c>
      <c r="R61" s="69"/>
      <c r="S61" s="46">
        <v>45231</v>
      </c>
      <c r="T61" s="48">
        <v>45231</v>
      </c>
      <c r="U61" s="69"/>
      <c r="V61" s="69"/>
      <c r="W61" s="69"/>
      <c r="X61" s="69"/>
      <c r="Y61" s="69" t="s">
        <v>4129</v>
      </c>
      <c r="Z61" s="43">
        <v>3211253</v>
      </c>
      <c r="AA61" s="43" t="s">
        <v>52</v>
      </c>
      <c r="AB61" s="43" t="s">
        <v>53</v>
      </c>
      <c r="AC61" s="43">
        <v>10950</v>
      </c>
      <c r="AD61" s="141">
        <v>30</v>
      </c>
      <c r="AE61" s="142">
        <v>0</v>
      </c>
      <c r="AF61" s="142"/>
      <c r="AG61" s="69" t="str">
        <f t="shared" si="0"/>
        <v>1 years 62 days</v>
      </c>
      <c r="AH61" s="69">
        <v>1</v>
      </c>
      <c r="AI61" s="69">
        <v>62</v>
      </c>
      <c r="AJ61" s="69">
        <v>0</v>
      </c>
      <c r="AK61" s="69">
        <v>0</v>
      </c>
      <c r="AL61" s="60">
        <v>3211253</v>
      </c>
      <c r="AM61" s="60">
        <f t="shared" si="1"/>
        <v>3211253</v>
      </c>
      <c r="AN61" s="59">
        <v>125224</v>
      </c>
      <c r="AO61" s="148">
        <f t="shared" si="2"/>
        <v>-125224</v>
      </c>
      <c r="AP61" s="58">
        <v>53081.189406392688</v>
      </c>
      <c r="AQ61" s="143">
        <f t="shared" si="3"/>
        <v>-53081.19</v>
      </c>
    </row>
    <row r="62" spans="1:43" x14ac:dyDescent="0.35">
      <c r="A62" s="69" t="s">
        <v>43</v>
      </c>
      <c r="B62" s="15" t="s">
        <v>198</v>
      </c>
      <c r="C62" s="15"/>
      <c r="D62" s="69"/>
      <c r="E62" s="76">
        <v>0</v>
      </c>
      <c r="F62" s="69" t="s">
        <v>45</v>
      </c>
      <c r="G62" s="10" t="s">
        <v>46</v>
      </c>
      <c r="H62" s="76">
        <v>9001000019</v>
      </c>
      <c r="I62" s="92" t="s">
        <v>47</v>
      </c>
      <c r="J62" s="92">
        <v>1202010202</v>
      </c>
      <c r="K62" s="15"/>
      <c r="L62" s="95" t="s">
        <v>199</v>
      </c>
      <c r="M62" s="69" t="s">
        <v>200</v>
      </c>
      <c r="N62" s="69"/>
      <c r="O62" s="94">
        <v>1</v>
      </c>
      <c r="P62" s="69" t="s">
        <v>50</v>
      </c>
      <c r="Q62" s="69" t="s">
        <v>51</v>
      </c>
      <c r="R62" s="69"/>
      <c r="S62" s="46">
        <v>45231</v>
      </c>
      <c r="T62" s="48">
        <v>45231</v>
      </c>
      <c r="U62" s="69"/>
      <c r="V62" s="69"/>
      <c r="W62" s="69"/>
      <c r="X62" s="69"/>
      <c r="Y62" s="69" t="s">
        <v>4129</v>
      </c>
      <c r="Z62" s="43">
        <v>111523</v>
      </c>
      <c r="AA62" s="43" t="s">
        <v>52</v>
      </c>
      <c r="AB62" s="43" t="s">
        <v>53</v>
      </c>
      <c r="AC62" s="43">
        <v>10950</v>
      </c>
      <c r="AD62" s="141">
        <v>30</v>
      </c>
      <c r="AE62" s="142">
        <v>0</v>
      </c>
      <c r="AF62" s="142"/>
      <c r="AG62" s="69" t="str">
        <f t="shared" si="0"/>
        <v>1 years 62 days</v>
      </c>
      <c r="AH62" s="69">
        <v>1</v>
      </c>
      <c r="AI62" s="69">
        <v>62</v>
      </c>
      <c r="AJ62" s="69">
        <v>0</v>
      </c>
      <c r="AK62" s="69">
        <v>0</v>
      </c>
      <c r="AL62" s="60">
        <v>111523</v>
      </c>
      <c r="AM62" s="60">
        <f t="shared" si="1"/>
        <v>111523</v>
      </c>
      <c r="AN62" s="59">
        <v>4349</v>
      </c>
      <c r="AO62" s="148">
        <f t="shared" si="2"/>
        <v>-4349</v>
      </c>
      <c r="AP62" s="58">
        <v>1843.3273059360727</v>
      </c>
      <c r="AQ62" s="143">
        <f t="shared" si="3"/>
        <v>-1843.33</v>
      </c>
    </row>
    <row r="63" spans="1:43" x14ac:dyDescent="0.35">
      <c r="A63" s="69" t="s">
        <v>43</v>
      </c>
      <c r="B63" s="15" t="s">
        <v>201</v>
      </c>
      <c r="C63" s="15"/>
      <c r="D63" s="69"/>
      <c r="E63" s="76">
        <v>0</v>
      </c>
      <c r="F63" s="69" t="s">
        <v>45</v>
      </c>
      <c r="G63" s="10" t="s">
        <v>46</v>
      </c>
      <c r="H63" s="76">
        <v>9001000019</v>
      </c>
      <c r="I63" s="92" t="s">
        <v>47</v>
      </c>
      <c r="J63" s="92">
        <v>1202010202</v>
      </c>
      <c r="K63" s="15"/>
      <c r="L63" s="95" t="s">
        <v>202</v>
      </c>
      <c r="M63" s="69" t="s">
        <v>203</v>
      </c>
      <c r="N63" s="69"/>
      <c r="O63" s="94">
        <v>1</v>
      </c>
      <c r="P63" s="69" t="s">
        <v>50</v>
      </c>
      <c r="Q63" s="69" t="s">
        <v>51</v>
      </c>
      <c r="R63" s="69"/>
      <c r="S63" s="46">
        <v>45231</v>
      </c>
      <c r="T63" s="48">
        <v>45231</v>
      </c>
      <c r="U63" s="69"/>
      <c r="V63" s="69"/>
      <c r="W63" s="69"/>
      <c r="X63" s="69"/>
      <c r="Y63" s="69" t="s">
        <v>4129</v>
      </c>
      <c r="Z63" s="43">
        <v>625968</v>
      </c>
      <c r="AA63" s="43" t="s">
        <v>52</v>
      </c>
      <c r="AB63" s="43" t="s">
        <v>53</v>
      </c>
      <c r="AC63" s="43">
        <v>10950</v>
      </c>
      <c r="AD63" s="141">
        <v>30</v>
      </c>
      <c r="AE63" s="142">
        <v>0</v>
      </c>
      <c r="AF63" s="142"/>
      <c r="AG63" s="69" t="str">
        <f t="shared" si="0"/>
        <v>1 years 62 days</v>
      </c>
      <c r="AH63" s="69">
        <v>1</v>
      </c>
      <c r="AI63" s="69">
        <v>62</v>
      </c>
      <c r="AJ63" s="69">
        <v>0</v>
      </c>
      <c r="AK63" s="69">
        <v>0</v>
      </c>
      <c r="AL63" s="60">
        <v>625968</v>
      </c>
      <c r="AM63" s="60">
        <f t="shared" si="1"/>
        <v>625968</v>
      </c>
      <c r="AN63" s="59">
        <v>24410</v>
      </c>
      <c r="AO63" s="148">
        <f t="shared" si="2"/>
        <v>-24410</v>
      </c>
      <c r="AP63" s="58">
        <v>10346.944657534244</v>
      </c>
      <c r="AQ63" s="143">
        <f t="shared" si="3"/>
        <v>-10346.94</v>
      </c>
    </row>
    <row r="64" spans="1:43" x14ac:dyDescent="0.35">
      <c r="A64" s="69" t="s">
        <v>43</v>
      </c>
      <c r="B64" s="15" t="s">
        <v>204</v>
      </c>
      <c r="C64" s="15"/>
      <c r="D64" s="69"/>
      <c r="E64" s="76">
        <v>0</v>
      </c>
      <c r="F64" s="69" t="s">
        <v>45</v>
      </c>
      <c r="G64" s="10" t="s">
        <v>46</v>
      </c>
      <c r="H64" s="76">
        <v>9001000019</v>
      </c>
      <c r="I64" s="92" t="s">
        <v>47</v>
      </c>
      <c r="J64" s="92">
        <v>1202010202</v>
      </c>
      <c r="K64" s="15"/>
      <c r="L64" s="95" t="s">
        <v>205</v>
      </c>
      <c r="M64" s="69" t="s">
        <v>206</v>
      </c>
      <c r="N64" s="69"/>
      <c r="O64" s="94">
        <v>46</v>
      </c>
      <c r="P64" s="69" t="s">
        <v>50</v>
      </c>
      <c r="Q64" s="69" t="s">
        <v>51</v>
      </c>
      <c r="R64" s="69"/>
      <c r="S64" s="46">
        <v>45231</v>
      </c>
      <c r="T64" s="48">
        <v>45231</v>
      </c>
      <c r="U64" s="69"/>
      <c r="V64" s="69"/>
      <c r="W64" s="69"/>
      <c r="X64" s="69"/>
      <c r="Y64" s="69" t="s">
        <v>4129</v>
      </c>
      <c r="Z64" s="43">
        <v>80334</v>
      </c>
      <c r="AA64" s="43" t="s">
        <v>52</v>
      </c>
      <c r="AB64" s="43" t="s">
        <v>53</v>
      </c>
      <c r="AC64" s="43">
        <v>10950</v>
      </c>
      <c r="AD64" s="141">
        <v>30</v>
      </c>
      <c r="AE64" s="142">
        <v>0</v>
      </c>
      <c r="AF64" s="142"/>
      <c r="AG64" s="69" t="str">
        <f t="shared" si="0"/>
        <v>1 years 62 days</v>
      </c>
      <c r="AH64" s="69">
        <v>1</v>
      </c>
      <c r="AI64" s="69">
        <v>62</v>
      </c>
      <c r="AJ64" s="69">
        <v>0</v>
      </c>
      <c r="AK64" s="69">
        <v>0</v>
      </c>
      <c r="AL64" s="60">
        <v>80334</v>
      </c>
      <c r="AM64" s="60">
        <f t="shared" si="1"/>
        <v>80334</v>
      </c>
      <c r="AN64" s="59">
        <v>3133</v>
      </c>
      <c r="AO64" s="148">
        <f t="shared" si="2"/>
        <v>-3133</v>
      </c>
      <c r="AP64" s="58">
        <v>1327.5545205479448</v>
      </c>
      <c r="AQ64" s="143">
        <f t="shared" si="3"/>
        <v>-1327.55</v>
      </c>
    </row>
    <row r="65" spans="1:43" x14ac:dyDescent="0.35">
      <c r="A65" s="69" t="s">
        <v>43</v>
      </c>
      <c r="B65" s="15" t="s">
        <v>207</v>
      </c>
      <c r="C65" s="15"/>
      <c r="D65" s="69"/>
      <c r="E65" s="76">
        <v>0</v>
      </c>
      <c r="F65" s="69" t="s">
        <v>45</v>
      </c>
      <c r="G65" s="10" t="s">
        <v>46</v>
      </c>
      <c r="H65" s="76">
        <v>9001000019</v>
      </c>
      <c r="I65" s="92" t="s">
        <v>47</v>
      </c>
      <c r="J65" s="92">
        <v>1202010202</v>
      </c>
      <c r="K65" s="15"/>
      <c r="L65" s="95" t="s">
        <v>208</v>
      </c>
      <c r="M65" s="69" t="s">
        <v>209</v>
      </c>
      <c r="N65" s="69"/>
      <c r="O65" s="94">
        <v>1</v>
      </c>
      <c r="P65" s="69" t="s">
        <v>50</v>
      </c>
      <c r="Q65" s="69" t="s">
        <v>51</v>
      </c>
      <c r="R65" s="69"/>
      <c r="S65" s="46">
        <v>45231</v>
      </c>
      <c r="T65" s="48">
        <v>45231</v>
      </c>
      <c r="U65" s="69"/>
      <c r="V65" s="69"/>
      <c r="W65" s="69"/>
      <c r="X65" s="69"/>
      <c r="Y65" s="69" t="s">
        <v>4129</v>
      </c>
      <c r="Z65" s="43">
        <v>99120</v>
      </c>
      <c r="AA65" s="43" t="s">
        <v>52</v>
      </c>
      <c r="AB65" s="43" t="s">
        <v>53</v>
      </c>
      <c r="AC65" s="43">
        <v>10950</v>
      </c>
      <c r="AD65" s="141">
        <v>30</v>
      </c>
      <c r="AE65" s="142">
        <v>0</v>
      </c>
      <c r="AF65" s="142"/>
      <c r="AG65" s="69" t="str">
        <f t="shared" si="0"/>
        <v>1 years 62 days</v>
      </c>
      <c r="AH65" s="69">
        <v>1</v>
      </c>
      <c r="AI65" s="69">
        <v>62</v>
      </c>
      <c r="AJ65" s="69">
        <v>0</v>
      </c>
      <c r="AK65" s="69">
        <v>0</v>
      </c>
      <c r="AL65" s="60">
        <v>99120</v>
      </c>
      <c r="AM65" s="60">
        <f t="shared" si="1"/>
        <v>99120</v>
      </c>
      <c r="AN65" s="59">
        <v>3865</v>
      </c>
      <c r="AO65" s="148">
        <f t="shared" si="2"/>
        <v>-3865</v>
      </c>
      <c r="AP65" s="58">
        <v>1638.6493150684928</v>
      </c>
      <c r="AQ65" s="143">
        <f t="shared" si="3"/>
        <v>-1638.65</v>
      </c>
    </row>
    <row r="66" spans="1:43" x14ac:dyDescent="0.35">
      <c r="A66" s="69" t="s">
        <v>43</v>
      </c>
      <c r="B66" s="15" t="s">
        <v>210</v>
      </c>
      <c r="C66" s="15"/>
      <c r="D66" s="69"/>
      <c r="E66" s="76">
        <v>0</v>
      </c>
      <c r="F66" s="69" t="s">
        <v>45</v>
      </c>
      <c r="G66" s="10" t="s">
        <v>46</v>
      </c>
      <c r="H66" s="76">
        <v>9001000020</v>
      </c>
      <c r="I66" s="92" t="s">
        <v>47</v>
      </c>
      <c r="J66" s="92">
        <v>1202010202</v>
      </c>
      <c r="K66" s="15"/>
      <c r="L66" s="95" t="s">
        <v>211</v>
      </c>
      <c r="M66" s="69" t="s">
        <v>212</v>
      </c>
      <c r="N66" s="69"/>
      <c r="O66" s="94">
        <v>67</v>
      </c>
      <c r="P66" s="69" t="s">
        <v>50</v>
      </c>
      <c r="Q66" s="69" t="s">
        <v>51</v>
      </c>
      <c r="R66" s="69"/>
      <c r="S66" s="46">
        <v>45261</v>
      </c>
      <c r="T66" s="48">
        <v>45261</v>
      </c>
      <c r="U66" s="69"/>
      <c r="V66" s="69"/>
      <c r="W66" s="69"/>
      <c r="X66" s="69"/>
      <c r="Y66" s="69" t="s">
        <v>4129</v>
      </c>
      <c r="Z66" s="43">
        <v>100327</v>
      </c>
      <c r="AA66" s="43" t="s">
        <v>52</v>
      </c>
      <c r="AB66" s="43" t="s">
        <v>53</v>
      </c>
      <c r="AC66" s="43">
        <v>10950</v>
      </c>
      <c r="AD66" s="141">
        <v>30</v>
      </c>
      <c r="AE66" s="142">
        <v>0</v>
      </c>
      <c r="AF66" s="142"/>
      <c r="AG66" s="69" t="str">
        <f t="shared" si="0"/>
        <v>1 years 32 days</v>
      </c>
      <c r="AH66" s="69">
        <v>1</v>
      </c>
      <c r="AI66" s="69">
        <v>32</v>
      </c>
      <c r="AJ66" s="69">
        <v>0</v>
      </c>
      <c r="AK66" s="69">
        <v>0</v>
      </c>
      <c r="AL66" s="60">
        <v>100327</v>
      </c>
      <c r="AM66" s="60">
        <f t="shared" si="1"/>
        <v>100327</v>
      </c>
      <c r="AN66" s="59">
        <v>3637</v>
      </c>
      <c r="AO66" s="148">
        <f t="shared" si="2"/>
        <v>-3637</v>
      </c>
      <c r="AP66" s="58">
        <v>1658.7996347031967</v>
      </c>
      <c r="AQ66" s="143">
        <f t="shared" si="3"/>
        <v>-1658.8</v>
      </c>
    </row>
    <row r="67" spans="1:43" x14ac:dyDescent="0.35">
      <c r="A67" s="69" t="s">
        <v>43</v>
      </c>
      <c r="B67" s="15" t="s">
        <v>213</v>
      </c>
      <c r="C67" s="15"/>
      <c r="D67" s="69"/>
      <c r="E67" s="76">
        <v>0</v>
      </c>
      <c r="F67" s="69" t="s">
        <v>45</v>
      </c>
      <c r="G67" s="10" t="s">
        <v>46</v>
      </c>
      <c r="H67" s="76">
        <v>9001000020</v>
      </c>
      <c r="I67" s="92" t="s">
        <v>47</v>
      </c>
      <c r="J67" s="92">
        <v>1202010202</v>
      </c>
      <c r="K67" s="15"/>
      <c r="L67" s="95" t="s">
        <v>214</v>
      </c>
      <c r="M67" s="69" t="s">
        <v>215</v>
      </c>
      <c r="N67" s="69"/>
      <c r="O67" s="94">
        <v>2</v>
      </c>
      <c r="P67" s="69" t="s">
        <v>50</v>
      </c>
      <c r="Q67" s="69" t="s">
        <v>51</v>
      </c>
      <c r="R67" s="69"/>
      <c r="S67" s="46">
        <v>45261</v>
      </c>
      <c r="T67" s="48">
        <v>45261</v>
      </c>
      <c r="U67" s="69"/>
      <c r="V67" s="69"/>
      <c r="W67" s="69"/>
      <c r="X67" s="69"/>
      <c r="Y67" s="69" t="s">
        <v>4129</v>
      </c>
      <c r="Z67" s="43">
        <v>14160</v>
      </c>
      <c r="AA67" s="43" t="s">
        <v>52</v>
      </c>
      <c r="AB67" s="43" t="s">
        <v>53</v>
      </c>
      <c r="AC67" s="43">
        <v>10950</v>
      </c>
      <c r="AD67" s="141">
        <v>30</v>
      </c>
      <c r="AE67" s="142">
        <v>0</v>
      </c>
      <c r="AF67" s="142"/>
      <c r="AG67" s="69" t="str">
        <f t="shared" si="0"/>
        <v>1 years 32 days</v>
      </c>
      <c r="AH67" s="69">
        <v>1</v>
      </c>
      <c r="AI67" s="69">
        <v>32</v>
      </c>
      <c r="AJ67" s="69">
        <v>0</v>
      </c>
      <c r="AK67" s="69">
        <v>0</v>
      </c>
      <c r="AL67" s="60">
        <v>14160</v>
      </c>
      <c r="AM67" s="60">
        <f t="shared" si="1"/>
        <v>14160</v>
      </c>
      <c r="AN67" s="59">
        <v>513</v>
      </c>
      <c r="AO67" s="148">
        <f t="shared" si="2"/>
        <v>-513</v>
      </c>
      <c r="AP67" s="58">
        <v>234.44109589041102</v>
      </c>
      <c r="AQ67" s="143">
        <f t="shared" si="3"/>
        <v>-234.44</v>
      </c>
    </row>
    <row r="68" spans="1:43" x14ac:dyDescent="0.35">
      <c r="A68" s="69" t="s">
        <v>43</v>
      </c>
      <c r="B68" s="15" t="s">
        <v>216</v>
      </c>
      <c r="C68" s="15"/>
      <c r="D68" s="69"/>
      <c r="E68" s="76">
        <v>0</v>
      </c>
      <c r="F68" s="69" t="s">
        <v>45</v>
      </c>
      <c r="G68" s="10" t="s">
        <v>46</v>
      </c>
      <c r="H68" s="76">
        <v>9001000021</v>
      </c>
      <c r="I68" s="92" t="s">
        <v>47</v>
      </c>
      <c r="J68" s="92">
        <v>1202010202</v>
      </c>
      <c r="K68" s="15"/>
      <c r="L68" s="95" t="s">
        <v>217</v>
      </c>
      <c r="M68" s="69" t="s">
        <v>218</v>
      </c>
      <c r="N68" s="69"/>
      <c r="O68" s="94">
        <v>1</v>
      </c>
      <c r="P68" s="69" t="s">
        <v>50</v>
      </c>
      <c r="Q68" s="69" t="s">
        <v>51</v>
      </c>
      <c r="R68" s="69"/>
      <c r="S68" s="46">
        <v>45314</v>
      </c>
      <c r="T68" s="48">
        <v>45314</v>
      </c>
      <c r="U68" s="69"/>
      <c r="V68" s="69"/>
      <c r="W68" s="69"/>
      <c r="X68" s="69"/>
      <c r="Y68" s="69" t="s">
        <v>4130</v>
      </c>
      <c r="Z68" s="43">
        <v>30007</v>
      </c>
      <c r="AA68" s="43" t="s">
        <v>52</v>
      </c>
      <c r="AB68" s="43" t="s">
        <v>53</v>
      </c>
      <c r="AC68" s="43">
        <v>10950</v>
      </c>
      <c r="AD68" s="141">
        <v>30</v>
      </c>
      <c r="AE68" s="142">
        <v>0</v>
      </c>
      <c r="AF68" s="142"/>
      <c r="AG68" s="69" t="str">
        <f t="shared" si="0"/>
        <v>0 years 344 days</v>
      </c>
      <c r="AH68" s="69">
        <v>0</v>
      </c>
      <c r="AI68" s="69">
        <v>344</v>
      </c>
      <c r="AJ68" s="69">
        <v>0</v>
      </c>
      <c r="AK68" s="69">
        <v>0</v>
      </c>
      <c r="AL68" s="60">
        <v>30007</v>
      </c>
      <c r="AM68" s="60">
        <f t="shared" si="1"/>
        <v>30007</v>
      </c>
      <c r="AN68" s="59">
        <v>943</v>
      </c>
      <c r="AO68" s="148">
        <f t="shared" si="2"/>
        <v>-943</v>
      </c>
      <c r="AP68" s="58">
        <v>495.69178082191775</v>
      </c>
      <c r="AQ68" s="143">
        <f t="shared" si="3"/>
        <v>-495.69</v>
      </c>
    </row>
    <row r="69" spans="1:43" x14ac:dyDescent="0.35">
      <c r="A69" s="69" t="s">
        <v>43</v>
      </c>
      <c r="B69" s="15" t="s">
        <v>219</v>
      </c>
      <c r="C69" s="15"/>
      <c r="D69" s="69"/>
      <c r="E69" s="76">
        <v>0</v>
      </c>
      <c r="F69" s="69" t="s">
        <v>45</v>
      </c>
      <c r="G69" s="10" t="s">
        <v>46</v>
      </c>
      <c r="H69" s="76">
        <v>9001000022</v>
      </c>
      <c r="I69" s="92" t="s">
        <v>47</v>
      </c>
      <c r="J69" s="92">
        <v>1202010202</v>
      </c>
      <c r="K69" s="15"/>
      <c r="L69" s="95" t="s">
        <v>220</v>
      </c>
      <c r="M69" s="69" t="s">
        <v>221</v>
      </c>
      <c r="N69" s="69"/>
      <c r="O69" s="94">
        <v>1</v>
      </c>
      <c r="P69" s="69" t="s">
        <v>50</v>
      </c>
      <c r="Q69" s="69" t="s">
        <v>51</v>
      </c>
      <c r="R69" s="69"/>
      <c r="S69" s="46">
        <v>45345</v>
      </c>
      <c r="T69" s="48">
        <v>45345</v>
      </c>
      <c r="U69" s="69"/>
      <c r="V69" s="69"/>
      <c r="W69" s="69"/>
      <c r="X69" s="69"/>
      <c r="Y69" s="69" t="s">
        <v>4130</v>
      </c>
      <c r="Z69" s="43">
        <v>316483</v>
      </c>
      <c r="AA69" s="43" t="s">
        <v>52</v>
      </c>
      <c r="AB69" s="43" t="s">
        <v>53</v>
      </c>
      <c r="AC69" s="43">
        <v>10950</v>
      </c>
      <c r="AD69" s="141">
        <v>30</v>
      </c>
      <c r="AE69" s="142">
        <v>0</v>
      </c>
      <c r="AF69" s="142"/>
      <c r="AG69" s="69" t="str">
        <f t="shared" si="0"/>
        <v>0 years 313 days</v>
      </c>
      <c r="AH69" s="69">
        <v>0</v>
      </c>
      <c r="AI69" s="69">
        <v>313</v>
      </c>
      <c r="AJ69" s="69">
        <v>0</v>
      </c>
      <c r="AK69" s="69">
        <v>0</v>
      </c>
      <c r="AL69" s="60">
        <v>316483</v>
      </c>
      <c r="AM69" s="60">
        <f t="shared" si="1"/>
        <v>316483</v>
      </c>
      <c r="AN69" s="59">
        <v>9047</v>
      </c>
      <c r="AO69" s="148">
        <f t="shared" si="2"/>
        <v>-9047</v>
      </c>
      <c r="AP69" s="58">
        <v>5230.8631963470307</v>
      </c>
      <c r="AQ69" s="143">
        <f t="shared" si="3"/>
        <v>-5230.8599999999997</v>
      </c>
    </row>
    <row r="70" spans="1:43" x14ac:dyDescent="0.35">
      <c r="A70" s="69" t="s">
        <v>43</v>
      </c>
      <c r="B70" s="15" t="s">
        <v>222</v>
      </c>
      <c r="C70" s="15"/>
      <c r="D70" s="69"/>
      <c r="E70" s="76">
        <v>0</v>
      </c>
      <c r="F70" s="69" t="s">
        <v>45</v>
      </c>
      <c r="G70" s="10" t="s">
        <v>46</v>
      </c>
      <c r="H70" s="76">
        <v>9001000022</v>
      </c>
      <c r="I70" s="92" t="s">
        <v>47</v>
      </c>
      <c r="J70" s="92">
        <v>1202010202</v>
      </c>
      <c r="K70" s="15"/>
      <c r="L70" s="95" t="s">
        <v>223</v>
      </c>
      <c r="M70" s="69" t="s">
        <v>224</v>
      </c>
      <c r="N70" s="69"/>
      <c r="O70" s="94">
        <v>1</v>
      </c>
      <c r="P70" s="69" t="s">
        <v>50</v>
      </c>
      <c r="Q70" s="69" t="s">
        <v>51</v>
      </c>
      <c r="R70" s="69"/>
      <c r="S70" s="46">
        <v>45346</v>
      </c>
      <c r="T70" s="48">
        <v>45346</v>
      </c>
      <c r="U70" s="69"/>
      <c r="V70" s="69"/>
      <c r="W70" s="69"/>
      <c r="X70" s="69"/>
      <c r="Y70" s="69" t="s">
        <v>4130</v>
      </c>
      <c r="Z70" s="43">
        <v>49361</v>
      </c>
      <c r="AA70" s="43" t="s">
        <v>52</v>
      </c>
      <c r="AB70" s="43" t="s">
        <v>53</v>
      </c>
      <c r="AC70" s="43">
        <v>10950</v>
      </c>
      <c r="AD70" s="141">
        <v>30</v>
      </c>
      <c r="AE70" s="142">
        <v>0</v>
      </c>
      <c r="AF70" s="142"/>
      <c r="AG70" s="69" t="str">
        <f t="shared" si="0"/>
        <v>0 years 312 days</v>
      </c>
      <c r="AH70" s="69">
        <v>0</v>
      </c>
      <c r="AI70" s="69">
        <v>312</v>
      </c>
      <c r="AJ70" s="69">
        <v>0</v>
      </c>
      <c r="AK70" s="69">
        <v>0</v>
      </c>
      <c r="AL70" s="60">
        <v>49361</v>
      </c>
      <c r="AM70" s="60">
        <f t="shared" si="1"/>
        <v>49361</v>
      </c>
      <c r="AN70" s="59">
        <v>1406</v>
      </c>
      <c r="AO70" s="148">
        <f t="shared" si="2"/>
        <v>-1406</v>
      </c>
      <c r="AP70" s="58">
        <v>816.37196347031932</v>
      </c>
      <c r="AQ70" s="143">
        <f t="shared" si="3"/>
        <v>-816.37</v>
      </c>
    </row>
    <row r="71" spans="1:43" x14ac:dyDescent="0.35">
      <c r="A71" s="69" t="s">
        <v>43</v>
      </c>
      <c r="B71" s="15" t="s">
        <v>225</v>
      </c>
      <c r="C71" s="15"/>
      <c r="D71" s="69"/>
      <c r="E71" s="76">
        <v>0</v>
      </c>
      <c r="F71" s="69" t="s">
        <v>45</v>
      </c>
      <c r="G71" s="10" t="s">
        <v>46</v>
      </c>
      <c r="H71" s="76">
        <v>9001000022</v>
      </c>
      <c r="I71" s="92" t="s">
        <v>47</v>
      </c>
      <c r="J71" s="92">
        <v>1202010202</v>
      </c>
      <c r="K71" s="15"/>
      <c r="L71" s="95" t="s">
        <v>226</v>
      </c>
      <c r="M71" s="69" t="s">
        <v>227</v>
      </c>
      <c r="N71" s="69"/>
      <c r="O71" s="94">
        <v>1</v>
      </c>
      <c r="P71" s="69" t="s">
        <v>50</v>
      </c>
      <c r="Q71" s="69" t="s">
        <v>51</v>
      </c>
      <c r="R71" s="69"/>
      <c r="S71" s="46">
        <v>45346</v>
      </c>
      <c r="T71" s="48">
        <v>45346</v>
      </c>
      <c r="U71" s="69"/>
      <c r="V71" s="69"/>
      <c r="W71" s="69"/>
      <c r="X71" s="69"/>
      <c r="Y71" s="69" t="s">
        <v>4130</v>
      </c>
      <c r="Z71" s="43">
        <v>1245065</v>
      </c>
      <c r="AA71" s="43" t="s">
        <v>52</v>
      </c>
      <c r="AB71" s="43" t="s">
        <v>53</v>
      </c>
      <c r="AC71" s="43">
        <v>10950</v>
      </c>
      <c r="AD71" s="141">
        <v>30</v>
      </c>
      <c r="AE71" s="142">
        <v>0</v>
      </c>
      <c r="AF71" s="142"/>
      <c r="AG71" s="69" t="str">
        <f t="shared" ref="AG71:AG84" si="4">_xlfn.CONCAT(AH71," years ",AI71," days")</f>
        <v>0 years 312 days</v>
      </c>
      <c r="AH71" s="69">
        <v>0</v>
      </c>
      <c r="AI71" s="69">
        <v>312</v>
      </c>
      <c r="AJ71" s="69">
        <v>0</v>
      </c>
      <c r="AK71" s="69">
        <v>0</v>
      </c>
      <c r="AL71" s="60">
        <v>1245065</v>
      </c>
      <c r="AM71" s="60">
        <f t="shared" ref="AM71:AM84" si="5">ROUND(AL71,2)</f>
        <v>1245065</v>
      </c>
      <c r="AN71" s="59">
        <v>35476</v>
      </c>
      <c r="AO71" s="148">
        <f t="shared" ref="AO71:AO84" si="6">ROUND(AN71,2)*-1</f>
        <v>-35476</v>
      </c>
      <c r="AP71" s="58">
        <v>20580.351141552506</v>
      </c>
      <c r="AQ71" s="143">
        <f t="shared" ref="AQ71:AQ84" si="7">ROUND(AP71,2)*-1</f>
        <v>-20580.349999999999</v>
      </c>
    </row>
    <row r="72" spans="1:43" x14ac:dyDescent="0.35">
      <c r="A72" s="69" t="s">
        <v>43</v>
      </c>
      <c r="B72" s="15" t="s">
        <v>228</v>
      </c>
      <c r="C72" s="15"/>
      <c r="D72" s="69"/>
      <c r="E72" s="76">
        <v>0</v>
      </c>
      <c r="F72" s="69" t="s">
        <v>45</v>
      </c>
      <c r="G72" s="10" t="s">
        <v>46</v>
      </c>
      <c r="H72" s="76">
        <v>9001000023</v>
      </c>
      <c r="I72" s="92" t="s">
        <v>47</v>
      </c>
      <c r="J72" s="92">
        <v>1202010202</v>
      </c>
      <c r="K72" s="15"/>
      <c r="L72" s="95" t="s">
        <v>229</v>
      </c>
      <c r="M72" s="69" t="s">
        <v>49</v>
      </c>
      <c r="N72" s="69"/>
      <c r="O72" s="94">
        <v>1</v>
      </c>
      <c r="P72" s="69" t="s">
        <v>50</v>
      </c>
      <c r="Q72" s="69" t="s">
        <v>51</v>
      </c>
      <c r="R72" s="69"/>
      <c r="S72" s="46">
        <v>45444</v>
      </c>
      <c r="T72" s="48">
        <v>45444</v>
      </c>
      <c r="U72" s="69"/>
      <c r="V72" s="69"/>
      <c r="W72" s="69"/>
      <c r="X72" s="69"/>
      <c r="Y72" s="69" t="s">
        <v>4130</v>
      </c>
      <c r="Z72" s="43">
        <v>102042</v>
      </c>
      <c r="AA72" s="43" t="s">
        <v>52</v>
      </c>
      <c r="AB72" s="43" t="s">
        <v>53</v>
      </c>
      <c r="AC72" s="43">
        <v>10950</v>
      </c>
      <c r="AD72" s="141">
        <v>30</v>
      </c>
      <c r="AE72" s="142">
        <v>0</v>
      </c>
      <c r="AF72" s="142"/>
      <c r="AG72" s="69" t="str">
        <f t="shared" si="4"/>
        <v>0 years 214 days</v>
      </c>
      <c r="AH72" s="69">
        <v>0</v>
      </c>
      <c r="AI72" s="69">
        <v>214</v>
      </c>
      <c r="AJ72" s="69">
        <v>0</v>
      </c>
      <c r="AK72" s="69">
        <v>0</v>
      </c>
      <c r="AL72" s="60">
        <v>102042</v>
      </c>
      <c r="AM72" s="60">
        <f t="shared" si="5"/>
        <v>102042</v>
      </c>
      <c r="AN72" s="59">
        <v>1994</v>
      </c>
      <c r="AO72" s="148">
        <f t="shared" si="6"/>
        <v>-1994</v>
      </c>
      <c r="AP72" s="58">
        <v>1686.9671232876713</v>
      </c>
      <c r="AQ72" s="143">
        <f t="shared" si="7"/>
        <v>-1686.97</v>
      </c>
    </row>
    <row r="73" spans="1:43" x14ac:dyDescent="0.35">
      <c r="A73" s="69" t="s">
        <v>43</v>
      </c>
      <c r="B73" s="15" t="s">
        <v>230</v>
      </c>
      <c r="C73" s="15"/>
      <c r="D73" s="69"/>
      <c r="E73" s="76">
        <v>0</v>
      </c>
      <c r="F73" s="69" t="s">
        <v>45</v>
      </c>
      <c r="G73" s="10" t="s">
        <v>46</v>
      </c>
      <c r="H73" s="76">
        <v>9001000023</v>
      </c>
      <c r="I73" s="92" t="s">
        <v>47</v>
      </c>
      <c r="J73" s="92">
        <v>1202010202</v>
      </c>
      <c r="K73" s="15"/>
      <c r="L73" s="95" t="s">
        <v>231</v>
      </c>
      <c r="M73" s="69" t="s">
        <v>232</v>
      </c>
      <c r="N73" s="69"/>
      <c r="O73" s="94">
        <v>1</v>
      </c>
      <c r="P73" s="69" t="s">
        <v>50</v>
      </c>
      <c r="Q73" s="69" t="s">
        <v>51</v>
      </c>
      <c r="R73" s="69"/>
      <c r="S73" s="46">
        <v>45453</v>
      </c>
      <c r="T73" s="48">
        <v>45453</v>
      </c>
      <c r="U73" s="69"/>
      <c r="V73" s="69"/>
      <c r="W73" s="69"/>
      <c r="X73" s="69"/>
      <c r="Y73" s="69" t="s">
        <v>4130</v>
      </c>
      <c r="Z73" s="43">
        <v>51201</v>
      </c>
      <c r="AA73" s="43" t="s">
        <v>52</v>
      </c>
      <c r="AB73" s="43" t="s">
        <v>53</v>
      </c>
      <c r="AC73" s="43">
        <v>10950</v>
      </c>
      <c r="AD73" s="141">
        <v>30</v>
      </c>
      <c r="AE73" s="142">
        <v>0</v>
      </c>
      <c r="AF73" s="142"/>
      <c r="AG73" s="69" t="str">
        <f t="shared" si="4"/>
        <v>0 years 205 days</v>
      </c>
      <c r="AH73" s="69">
        <v>0</v>
      </c>
      <c r="AI73" s="69">
        <v>205</v>
      </c>
      <c r="AJ73" s="69">
        <v>0</v>
      </c>
      <c r="AK73" s="69">
        <v>0</v>
      </c>
      <c r="AL73" s="60">
        <v>51201</v>
      </c>
      <c r="AM73" s="60">
        <f t="shared" si="5"/>
        <v>51201</v>
      </c>
      <c r="AN73" s="59">
        <v>959</v>
      </c>
      <c r="AO73" s="148">
        <f t="shared" si="6"/>
        <v>-959</v>
      </c>
      <c r="AP73" s="58">
        <v>845.8936986301369</v>
      </c>
      <c r="AQ73" s="143">
        <f t="shared" si="7"/>
        <v>-845.89</v>
      </c>
    </row>
    <row r="74" spans="1:43" x14ac:dyDescent="0.35">
      <c r="A74" s="69" t="s">
        <v>43</v>
      </c>
      <c r="B74" s="15" t="s">
        <v>233</v>
      </c>
      <c r="C74" s="15"/>
      <c r="D74" s="69"/>
      <c r="E74" s="76">
        <v>0</v>
      </c>
      <c r="F74" s="69" t="s">
        <v>45</v>
      </c>
      <c r="G74" s="10" t="s">
        <v>46</v>
      </c>
      <c r="H74" s="76">
        <v>9001000024</v>
      </c>
      <c r="I74" s="92" t="s">
        <v>47</v>
      </c>
      <c r="J74" s="92">
        <v>1202010202</v>
      </c>
      <c r="K74" s="15"/>
      <c r="L74" s="95" t="s">
        <v>234</v>
      </c>
      <c r="M74" s="69" t="s">
        <v>49</v>
      </c>
      <c r="N74" s="69"/>
      <c r="O74" s="94">
        <v>1</v>
      </c>
      <c r="P74" s="69" t="s">
        <v>50</v>
      </c>
      <c r="Q74" s="69" t="s">
        <v>51</v>
      </c>
      <c r="R74" s="69"/>
      <c r="S74" s="46">
        <v>45530</v>
      </c>
      <c r="T74" s="48">
        <v>45530</v>
      </c>
      <c r="U74" s="69"/>
      <c r="V74" s="69"/>
      <c r="W74" s="69"/>
      <c r="X74" s="69"/>
      <c r="Y74" s="69" t="s">
        <v>4130</v>
      </c>
      <c r="Z74" s="43">
        <v>838800</v>
      </c>
      <c r="AA74" s="43" t="s">
        <v>52</v>
      </c>
      <c r="AB74" s="43" t="s">
        <v>53</v>
      </c>
      <c r="AC74" s="43">
        <v>10950</v>
      </c>
      <c r="AD74" s="141">
        <v>30</v>
      </c>
      <c r="AE74" s="142">
        <v>0</v>
      </c>
      <c r="AF74" s="142"/>
      <c r="AG74" s="69" t="str">
        <f t="shared" si="4"/>
        <v>0 years 128 days</v>
      </c>
      <c r="AH74" s="69">
        <v>0</v>
      </c>
      <c r="AI74" s="69">
        <v>128</v>
      </c>
      <c r="AJ74" s="69">
        <v>0</v>
      </c>
      <c r="AK74" s="69">
        <v>0</v>
      </c>
      <c r="AL74" s="60">
        <v>838800</v>
      </c>
      <c r="AM74" s="60">
        <f t="shared" si="5"/>
        <v>838800</v>
      </c>
      <c r="AN74" s="59">
        <v>9805</v>
      </c>
      <c r="AO74" s="148">
        <f t="shared" si="6"/>
        <v>-9805</v>
      </c>
      <c r="AP74" s="58">
        <v>13865.246575342469</v>
      </c>
      <c r="AQ74" s="143">
        <f t="shared" si="7"/>
        <v>-13865.25</v>
      </c>
    </row>
    <row r="75" spans="1:43" x14ac:dyDescent="0.35">
      <c r="A75" s="69" t="s">
        <v>43</v>
      </c>
      <c r="B75" s="15" t="s">
        <v>235</v>
      </c>
      <c r="C75" s="15"/>
      <c r="D75" s="69"/>
      <c r="E75" s="76">
        <v>0</v>
      </c>
      <c r="F75" s="69" t="s">
        <v>45</v>
      </c>
      <c r="G75" s="10" t="s">
        <v>46</v>
      </c>
      <c r="H75" s="76">
        <v>9001000025</v>
      </c>
      <c r="I75" s="92" t="s">
        <v>47</v>
      </c>
      <c r="J75" s="92">
        <v>1202010202</v>
      </c>
      <c r="K75" s="15"/>
      <c r="L75" s="95" t="s">
        <v>236</v>
      </c>
      <c r="M75" s="69" t="s">
        <v>237</v>
      </c>
      <c r="N75" s="69"/>
      <c r="O75" s="94">
        <v>1</v>
      </c>
      <c r="P75" s="69" t="s">
        <v>50</v>
      </c>
      <c r="Q75" s="69" t="s">
        <v>51</v>
      </c>
      <c r="R75" s="69"/>
      <c r="S75" s="46">
        <v>45812</v>
      </c>
      <c r="T75" s="48">
        <v>45812</v>
      </c>
      <c r="U75" s="69"/>
      <c r="V75" s="69"/>
      <c r="W75" s="69"/>
      <c r="X75" s="69"/>
      <c r="Y75" s="69" t="s">
        <v>4132</v>
      </c>
      <c r="Z75" s="43">
        <v>0</v>
      </c>
      <c r="AA75" s="43" t="s">
        <v>52</v>
      </c>
      <c r="AB75" s="43" t="s">
        <v>53</v>
      </c>
      <c r="AC75" s="43">
        <v>10950</v>
      </c>
      <c r="AD75" s="141">
        <v>30</v>
      </c>
      <c r="AE75" s="142">
        <v>0</v>
      </c>
      <c r="AF75" s="142"/>
      <c r="AG75" s="69" t="str">
        <f t="shared" si="4"/>
        <v>0 years 0 days</v>
      </c>
      <c r="AH75" s="69">
        <v>0</v>
      </c>
      <c r="AI75" s="69">
        <v>0</v>
      </c>
      <c r="AJ75" s="69">
        <v>0</v>
      </c>
      <c r="AK75" s="69">
        <v>0</v>
      </c>
      <c r="AL75" s="60">
        <v>222190</v>
      </c>
      <c r="AM75" s="60">
        <f t="shared" si="5"/>
        <v>222190</v>
      </c>
      <c r="AN75" s="59">
        <v>0</v>
      </c>
      <c r="AO75" s="148">
        <f t="shared" si="6"/>
        <v>0</v>
      </c>
      <c r="AP75" s="58">
        <v>547.86575342465756</v>
      </c>
      <c r="AQ75" s="143">
        <f t="shared" si="7"/>
        <v>-547.87</v>
      </c>
    </row>
    <row r="76" spans="1:43" x14ac:dyDescent="0.35">
      <c r="A76" s="69" t="s">
        <v>43</v>
      </c>
      <c r="B76" s="15" t="s">
        <v>238</v>
      </c>
      <c r="C76" s="15"/>
      <c r="D76" s="69"/>
      <c r="E76" s="76">
        <v>0</v>
      </c>
      <c r="F76" s="69" t="s">
        <v>45</v>
      </c>
      <c r="G76" s="10" t="s">
        <v>46</v>
      </c>
      <c r="H76" s="76">
        <v>9001000026</v>
      </c>
      <c r="I76" s="92" t="s">
        <v>47</v>
      </c>
      <c r="J76" s="92">
        <v>1202010202</v>
      </c>
      <c r="K76" s="15"/>
      <c r="L76" s="95" t="s">
        <v>239</v>
      </c>
      <c r="M76" s="69" t="s">
        <v>49</v>
      </c>
      <c r="N76" s="69"/>
      <c r="O76" s="94">
        <v>1</v>
      </c>
      <c r="P76" s="69" t="s">
        <v>50</v>
      </c>
      <c r="Q76" s="69" t="s">
        <v>51</v>
      </c>
      <c r="R76" s="69"/>
      <c r="S76" s="46">
        <v>45382</v>
      </c>
      <c r="T76" s="48">
        <v>45382</v>
      </c>
      <c r="U76" s="69"/>
      <c r="V76" s="69"/>
      <c r="W76" s="69"/>
      <c r="X76" s="69"/>
      <c r="Y76" s="69" t="s">
        <v>4130</v>
      </c>
      <c r="Z76" s="43">
        <v>5399840.6800000006</v>
      </c>
      <c r="AA76" s="43" t="s">
        <v>52</v>
      </c>
      <c r="AB76" s="43" t="s">
        <v>53</v>
      </c>
      <c r="AC76" s="43">
        <v>10950</v>
      </c>
      <c r="AD76" s="141">
        <v>30</v>
      </c>
      <c r="AE76" s="142">
        <v>0</v>
      </c>
      <c r="AF76" s="142"/>
      <c r="AG76" s="69" t="str">
        <f t="shared" si="4"/>
        <v>0 years 276 days</v>
      </c>
      <c r="AH76" s="69">
        <v>0</v>
      </c>
      <c r="AI76" s="69">
        <v>276</v>
      </c>
      <c r="AJ76" s="69">
        <v>0</v>
      </c>
      <c r="AK76" s="69">
        <v>0</v>
      </c>
      <c r="AL76" s="60">
        <v>5399840.6800000006</v>
      </c>
      <c r="AM76" s="60">
        <f t="shared" si="5"/>
        <v>5399840.6799999997</v>
      </c>
      <c r="AN76" s="59">
        <v>136599</v>
      </c>
      <c r="AO76" s="148">
        <f t="shared" si="6"/>
        <v>-136599</v>
      </c>
      <c r="AP76" s="58">
        <v>89257.349903196358</v>
      </c>
      <c r="AQ76" s="143">
        <f t="shared" si="7"/>
        <v>-89257.35</v>
      </c>
    </row>
    <row r="77" spans="1:43" x14ac:dyDescent="0.35">
      <c r="A77" s="69" t="s">
        <v>43</v>
      </c>
      <c r="B77" s="15" t="s">
        <v>240</v>
      </c>
      <c r="C77" s="15"/>
      <c r="D77" s="69"/>
      <c r="E77" s="76">
        <v>0</v>
      </c>
      <c r="F77" s="69" t="s">
        <v>241</v>
      </c>
      <c r="G77" s="10" t="s">
        <v>242</v>
      </c>
      <c r="H77" s="76">
        <v>9002000001</v>
      </c>
      <c r="I77" s="92" t="s">
        <v>47</v>
      </c>
      <c r="J77" s="92">
        <v>1202010202</v>
      </c>
      <c r="K77" s="15"/>
      <c r="L77" s="95" t="s">
        <v>243</v>
      </c>
      <c r="M77" s="69" t="s">
        <v>49</v>
      </c>
      <c r="N77" s="69"/>
      <c r="O77" s="94">
        <v>1</v>
      </c>
      <c r="P77" s="69" t="s">
        <v>50</v>
      </c>
      <c r="Q77" s="69" t="s">
        <v>51</v>
      </c>
      <c r="R77" s="69"/>
      <c r="S77" s="46">
        <v>36445</v>
      </c>
      <c r="T77" s="48">
        <v>43191</v>
      </c>
      <c r="U77" s="69"/>
      <c r="V77" s="69"/>
      <c r="W77" s="69"/>
      <c r="X77" s="69"/>
      <c r="Y77" s="69" t="s">
        <v>4125</v>
      </c>
      <c r="Z77" s="43">
        <v>1400000</v>
      </c>
      <c r="AA77" s="43" t="s">
        <v>52</v>
      </c>
      <c r="AB77" s="43" t="s">
        <v>53</v>
      </c>
      <c r="AC77" s="43">
        <v>11498</v>
      </c>
      <c r="AD77" s="141">
        <v>31</v>
      </c>
      <c r="AE77" s="142">
        <v>6</v>
      </c>
      <c r="AF77" s="142"/>
      <c r="AG77" s="69" t="str">
        <f t="shared" si="4"/>
        <v>6 years 277 days</v>
      </c>
      <c r="AH77" s="69">
        <v>6</v>
      </c>
      <c r="AI77" s="69">
        <v>277</v>
      </c>
      <c r="AJ77" s="69">
        <v>0</v>
      </c>
      <c r="AK77" s="69">
        <v>0</v>
      </c>
      <c r="AL77" s="60">
        <v>1400000</v>
      </c>
      <c r="AM77" s="60">
        <f t="shared" si="5"/>
        <v>1400000</v>
      </c>
      <c r="AN77" s="59">
        <v>300383</v>
      </c>
      <c r="AO77" s="148">
        <f t="shared" si="6"/>
        <v>-300383</v>
      </c>
      <c r="AP77" s="58">
        <v>22038.290659245104</v>
      </c>
      <c r="AQ77" s="143">
        <f t="shared" si="7"/>
        <v>-22038.29</v>
      </c>
    </row>
    <row r="78" spans="1:43" x14ac:dyDescent="0.35">
      <c r="A78" s="69" t="s">
        <v>43</v>
      </c>
      <c r="B78" s="15" t="s">
        <v>244</v>
      </c>
      <c r="C78" s="15"/>
      <c r="D78" s="69"/>
      <c r="E78" s="76">
        <v>0</v>
      </c>
      <c r="F78" s="69" t="s">
        <v>241</v>
      </c>
      <c r="G78" s="10" t="s">
        <v>242</v>
      </c>
      <c r="H78" s="76">
        <v>9002000002</v>
      </c>
      <c r="I78" s="92" t="s">
        <v>47</v>
      </c>
      <c r="J78" s="92">
        <v>1202010202</v>
      </c>
      <c r="K78" s="15"/>
      <c r="L78" s="95" t="s">
        <v>245</v>
      </c>
      <c r="M78" s="69" t="s">
        <v>49</v>
      </c>
      <c r="N78" s="69"/>
      <c r="O78" s="94">
        <v>1</v>
      </c>
      <c r="P78" s="69" t="s">
        <v>50</v>
      </c>
      <c r="Q78" s="69" t="s">
        <v>51</v>
      </c>
      <c r="R78" s="69"/>
      <c r="S78" s="46">
        <v>36707</v>
      </c>
      <c r="T78" s="48">
        <v>43191</v>
      </c>
      <c r="U78" s="69"/>
      <c r="V78" s="69"/>
      <c r="W78" s="69"/>
      <c r="X78" s="69"/>
      <c r="Y78" s="69" t="s">
        <v>4125</v>
      </c>
      <c r="Z78" s="43">
        <v>800000</v>
      </c>
      <c r="AA78" s="43" t="s">
        <v>52</v>
      </c>
      <c r="AB78" s="43" t="s">
        <v>53</v>
      </c>
      <c r="AC78" s="43">
        <v>11753</v>
      </c>
      <c r="AD78" s="141">
        <v>32</v>
      </c>
      <c r="AE78" s="142">
        <v>2</v>
      </c>
      <c r="AF78" s="142"/>
      <c r="AG78" s="69" t="str">
        <f t="shared" si="4"/>
        <v>6 years 277 days</v>
      </c>
      <c r="AH78" s="69">
        <v>6</v>
      </c>
      <c r="AI78" s="69">
        <v>277</v>
      </c>
      <c r="AJ78" s="69">
        <v>0</v>
      </c>
      <c r="AK78" s="69">
        <v>0</v>
      </c>
      <c r="AL78" s="60">
        <v>800000</v>
      </c>
      <c r="AM78" s="60">
        <f t="shared" si="5"/>
        <v>800000</v>
      </c>
      <c r="AN78" s="59">
        <v>167923</v>
      </c>
      <c r="AO78" s="148">
        <f t="shared" si="6"/>
        <v>-167923</v>
      </c>
      <c r="AP78" s="58">
        <v>12320.342125414783</v>
      </c>
      <c r="AQ78" s="143">
        <f t="shared" si="7"/>
        <v>-12320.34</v>
      </c>
    </row>
    <row r="79" spans="1:43" x14ac:dyDescent="0.35">
      <c r="A79" s="69" t="s">
        <v>43</v>
      </c>
      <c r="B79" s="15" t="s">
        <v>246</v>
      </c>
      <c r="C79" s="15"/>
      <c r="D79" s="69"/>
      <c r="E79" s="76">
        <v>0</v>
      </c>
      <c r="F79" s="69" t="s">
        <v>241</v>
      </c>
      <c r="G79" s="10" t="s">
        <v>242</v>
      </c>
      <c r="H79" s="76">
        <v>9002000003</v>
      </c>
      <c r="I79" s="92" t="s">
        <v>47</v>
      </c>
      <c r="J79" s="92">
        <v>1202010202</v>
      </c>
      <c r="K79" s="15"/>
      <c r="L79" s="95" t="s">
        <v>247</v>
      </c>
      <c r="M79" s="69" t="s">
        <v>49</v>
      </c>
      <c r="N79" s="69"/>
      <c r="O79" s="94">
        <v>1</v>
      </c>
      <c r="P79" s="69" t="s">
        <v>50</v>
      </c>
      <c r="Q79" s="69" t="s">
        <v>51</v>
      </c>
      <c r="R79" s="69"/>
      <c r="S79" s="46">
        <v>36891</v>
      </c>
      <c r="T79" s="48">
        <v>43191</v>
      </c>
      <c r="U79" s="69"/>
      <c r="V79" s="69"/>
      <c r="W79" s="69"/>
      <c r="X79" s="69"/>
      <c r="Y79" s="69" t="s">
        <v>4125</v>
      </c>
      <c r="Z79" s="43">
        <v>2700000</v>
      </c>
      <c r="AA79" s="43" t="s">
        <v>52</v>
      </c>
      <c r="AB79" s="43" t="s">
        <v>53</v>
      </c>
      <c r="AC79" s="43">
        <v>11936</v>
      </c>
      <c r="AD79" s="141">
        <v>32</v>
      </c>
      <c r="AE79" s="142">
        <v>9</v>
      </c>
      <c r="AF79" s="142"/>
      <c r="AG79" s="69" t="str">
        <f t="shared" si="4"/>
        <v>6 years 277 days</v>
      </c>
      <c r="AH79" s="69">
        <v>6</v>
      </c>
      <c r="AI79" s="69">
        <v>277</v>
      </c>
      <c r="AJ79" s="69">
        <v>0</v>
      </c>
      <c r="AK79" s="69">
        <v>0</v>
      </c>
      <c r="AL79" s="60">
        <v>2700000</v>
      </c>
      <c r="AM79" s="60">
        <f t="shared" si="5"/>
        <v>2700000</v>
      </c>
      <c r="AN79" s="59">
        <v>558051</v>
      </c>
      <c r="AO79" s="148">
        <f t="shared" si="6"/>
        <v>-558051</v>
      </c>
      <c r="AP79" s="58">
        <v>40943.638069705106</v>
      </c>
      <c r="AQ79" s="143">
        <f t="shared" si="7"/>
        <v>-40943.64</v>
      </c>
    </row>
    <row r="80" spans="1:43" x14ac:dyDescent="0.35">
      <c r="A80" s="69" t="s">
        <v>43</v>
      </c>
      <c r="B80" s="15" t="s">
        <v>248</v>
      </c>
      <c r="C80" s="15"/>
      <c r="D80" s="69"/>
      <c r="E80" s="76">
        <v>0</v>
      </c>
      <c r="F80" s="69" t="s">
        <v>241</v>
      </c>
      <c r="G80" s="10" t="s">
        <v>242</v>
      </c>
      <c r="H80" s="76">
        <v>9002000004</v>
      </c>
      <c r="I80" s="92" t="s">
        <v>47</v>
      </c>
      <c r="J80" s="92">
        <v>1202010202</v>
      </c>
      <c r="K80" s="15"/>
      <c r="L80" s="95" t="s">
        <v>249</v>
      </c>
      <c r="M80" s="69" t="s">
        <v>250</v>
      </c>
      <c r="N80" s="69"/>
      <c r="O80" s="94">
        <v>2</v>
      </c>
      <c r="P80" s="69" t="s">
        <v>50</v>
      </c>
      <c r="Q80" s="69" t="s">
        <v>51</v>
      </c>
      <c r="R80" s="69"/>
      <c r="S80" s="46">
        <v>38960</v>
      </c>
      <c r="T80" s="48">
        <v>43191</v>
      </c>
      <c r="U80" s="69"/>
      <c r="V80" s="69"/>
      <c r="W80" s="69"/>
      <c r="X80" s="69"/>
      <c r="Y80" s="69" t="s">
        <v>4125</v>
      </c>
      <c r="Z80" s="43">
        <v>2900000</v>
      </c>
      <c r="AA80" s="43" t="s">
        <v>52</v>
      </c>
      <c r="AB80" s="43" t="s">
        <v>53</v>
      </c>
      <c r="AC80" s="43">
        <v>14016</v>
      </c>
      <c r="AD80" s="141">
        <v>38</v>
      </c>
      <c r="AE80" s="142">
        <v>5</v>
      </c>
      <c r="AF80" s="142"/>
      <c r="AG80" s="69" t="str">
        <f t="shared" si="4"/>
        <v>6 years 277 days</v>
      </c>
      <c r="AH80" s="69">
        <v>6</v>
      </c>
      <c r="AI80" s="69">
        <v>277</v>
      </c>
      <c r="AJ80" s="69">
        <v>0</v>
      </c>
      <c r="AK80" s="69">
        <v>0</v>
      </c>
      <c r="AL80" s="60">
        <v>2900000</v>
      </c>
      <c r="AM80" s="60">
        <f t="shared" si="5"/>
        <v>2900000</v>
      </c>
      <c r="AN80" s="59">
        <v>510438</v>
      </c>
      <c r="AO80" s="148">
        <f t="shared" si="6"/>
        <v>-510438</v>
      </c>
      <c r="AP80" s="58">
        <v>37450.127853881335</v>
      </c>
      <c r="AQ80" s="143">
        <f t="shared" si="7"/>
        <v>-37450.129999999997</v>
      </c>
    </row>
    <row r="81" spans="1:43" x14ac:dyDescent="0.35">
      <c r="A81" s="69" t="s">
        <v>43</v>
      </c>
      <c r="B81" s="15">
        <v>1131102149</v>
      </c>
      <c r="C81" s="15"/>
      <c r="D81" s="69"/>
      <c r="E81" s="76">
        <v>0</v>
      </c>
      <c r="F81" s="69" t="s">
        <v>241</v>
      </c>
      <c r="G81" s="10" t="s">
        <v>242</v>
      </c>
      <c r="H81" s="76">
        <v>9002000005</v>
      </c>
      <c r="I81" s="92" t="s">
        <v>47</v>
      </c>
      <c r="J81" s="92">
        <v>1202010202</v>
      </c>
      <c r="K81" s="15"/>
      <c r="L81" s="95" t="s">
        <v>251</v>
      </c>
      <c r="M81" s="69" t="s">
        <v>49</v>
      </c>
      <c r="N81" s="69"/>
      <c r="O81" s="94">
        <v>1</v>
      </c>
      <c r="P81" s="69" t="s">
        <v>50</v>
      </c>
      <c r="Q81" s="69" t="s">
        <v>51</v>
      </c>
      <c r="R81" s="69"/>
      <c r="S81" s="46"/>
      <c r="T81" s="48">
        <v>43191</v>
      </c>
      <c r="U81" s="69"/>
      <c r="V81" s="69"/>
      <c r="W81" s="69"/>
      <c r="X81" s="69"/>
      <c r="Y81" s="69">
        <v>1900</v>
      </c>
      <c r="Z81" s="43">
        <v>1</v>
      </c>
      <c r="AA81" s="43" t="s">
        <v>52</v>
      </c>
      <c r="AB81" s="43" t="s">
        <v>53</v>
      </c>
      <c r="AC81" s="59">
        <v>18078</v>
      </c>
      <c r="AD81" s="141">
        <v>49</v>
      </c>
      <c r="AE81" s="142">
        <v>6</v>
      </c>
      <c r="AF81" s="142"/>
      <c r="AG81" s="69" t="str">
        <f t="shared" si="4"/>
        <v>6 years 277 days</v>
      </c>
      <c r="AH81" s="69">
        <v>6</v>
      </c>
      <c r="AI81" s="69">
        <v>277</v>
      </c>
      <c r="AJ81" s="69">
        <v>0</v>
      </c>
      <c r="AK81" s="69">
        <v>0</v>
      </c>
      <c r="AL81" s="60">
        <v>1</v>
      </c>
      <c r="AM81" s="60">
        <f t="shared" si="5"/>
        <v>1</v>
      </c>
      <c r="AN81" s="59">
        <v>1</v>
      </c>
      <c r="AO81" s="148">
        <f t="shared" si="6"/>
        <v>-1</v>
      </c>
      <c r="AP81" s="58">
        <v>0</v>
      </c>
      <c r="AQ81" s="143">
        <f t="shared" si="7"/>
        <v>0</v>
      </c>
    </row>
    <row r="82" spans="1:43" x14ac:dyDescent="0.35">
      <c r="A82" s="69" t="s">
        <v>43</v>
      </c>
      <c r="B82" s="15" t="s">
        <v>252</v>
      </c>
      <c r="C82" s="15"/>
      <c r="D82" s="69"/>
      <c r="E82" s="76">
        <v>0</v>
      </c>
      <c r="F82" s="69" t="s">
        <v>253</v>
      </c>
      <c r="G82" s="132" t="s">
        <v>254</v>
      </c>
      <c r="H82" s="76">
        <v>9005000001</v>
      </c>
      <c r="I82" s="92" t="s">
        <v>47</v>
      </c>
      <c r="J82" s="92">
        <v>1202010202</v>
      </c>
      <c r="K82" s="15"/>
      <c r="L82" s="95" t="s">
        <v>255</v>
      </c>
      <c r="M82" s="69" t="s">
        <v>49</v>
      </c>
      <c r="N82" s="69"/>
      <c r="O82" s="94">
        <v>1</v>
      </c>
      <c r="P82" s="69" t="s">
        <v>50</v>
      </c>
      <c r="Q82" s="69" t="s">
        <v>51</v>
      </c>
      <c r="R82" s="69"/>
      <c r="S82" s="46">
        <v>43191</v>
      </c>
      <c r="T82" s="48">
        <v>43191</v>
      </c>
      <c r="U82" s="69"/>
      <c r="V82" s="69"/>
      <c r="W82" s="69"/>
      <c r="X82" s="69"/>
      <c r="Y82" s="69" t="s">
        <v>4125</v>
      </c>
      <c r="Z82" s="43">
        <v>47000000</v>
      </c>
      <c r="AA82" s="43" t="s">
        <v>52</v>
      </c>
      <c r="AB82" s="43" t="s">
        <v>53</v>
      </c>
      <c r="AC82" s="43">
        <v>0</v>
      </c>
      <c r="AD82" s="141">
        <v>0</v>
      </c>
      <c r="AE82" s="142">
        <v>0</v>
      </c>
      <c r="AF82" s="142"/>
      <c r="AG82" s="69" t="str">
        <f t="shared" si="4"/>
        <v>0 years 0 days</v>
      </c>
      <c r="AH82" s="69">
        <v>0</v>
      </c>
      <c r="AI82" s="69">
        <v>0</v>
      </c>
      <c r="AJ82" s="69">
        <v>0</v>
      </c>
      <c r="AK82" s="69">
        <v>0</v>
      </c>
      <c r="AL82" s="60">
        <v>47000000</v>
      </c>
      <c r="AM82" s="60">
        <f t="shared" si="5"/>
        <v>47000000</v>
      </c>
      <c r="AN82" s="59">
        <v>0</v>
      </c>
      <c r="AO82" s="148">
        <f t="shared" si="6"/>
        <v>0</v>
      </c>
      <c r="AP82" s="58">
        <v>0</v>
      </c>
      <c r="AQ82" s="143">
        <f t="shared" si="7"/>
        <v>0</v>
      </c>
    </row>
    <row r="83" spans="1:43" x14ac:dyDescent="0.35">
      <c r="A83" s="69" t="s">
        <v>43</v>
      </c>
      <c r="B83" s="15" t="s">
        <v>256</v>
      </c>
      <c r="C83" s="15"/>
      <c r="D83" s="69"/>
      <c r="E83" s="76">
        <v>0</v>
      </c>
      <c r="F83" s="69" t="s">
        <v>253</v>
      </c>
      <c r="G83" s="132" t="s">
        <v>254</v>
      </c>
      <c r="H83" s="76">
        <v>9005000002</v>
      </c>
      <c r="I83" s="92" t="s">
        <v>47</v>
      </c>
      <c r="J83" s="92">
        <v>1202010202</v>
      </c>
      <c r="K83" s="15"/>
      <c r="L83" s="95" t="s">
        <v>257</v>
      </c>
      <c r="M83" s="69" t="s">
        <v>49</v>
      </c>
      <c r="N83" s="69"/>
      <c r="O83" s="94">
        <v>1</v>
      </c>
      <c r="P83" s="69" t="s">
        <v>50</v>
      </c>
      <c r="Q83" s="69" t="s">
        <v>51</v>
      </c>
      <c r="R83" s="69"/>
      <c r="S83" s="46">
        <v>43775</v>
      </c>
      <c r="T83" s="48">
        <v>43775</v>
      </c>
      <c r="U83" s="69"/>
      <c r="V83" s="69"/>
      <c r="W83" s="69"/>
      <c r="X83" s="69"/>
      <c r="Y83" s="69" t="s">
        <v>4126</v>
      </c>
      <c r="Z83" s="43">
        <v>86390500</v>
      </c>
      <c r="AA83" s="43" t="s">
        <v>52</v>
      </c>
      <c r="AB83" s="43" t="s">
        <v>53</v>
      </c>
      <c r="AC83" s="43">
        <v>0</v>
      </c>
      <c r="AD83" s="141">
        <v>0</v>
      </c>
      <c r="AE83" s="142">
        <v>0</v>
      </c>
      <c r="AF83" s="142"/>
      <c r="AG83" s="69" t="str">
        <f t="shared" si="4"/>
        <v>0 years 0 days</v>
      </c>
      <c r="AH83" s="69">
        <v>0</v>
      </c>
      <c r="AI83" s="69">
        <v>0</v>
      </c>
      <c r="AJ83" s="69">
        <v>0</v>
      </c>
      <c r="AK83" s="69">
        <v>0</v>
      </c>
      <c r="AL83" s="60">
        <v>86390500</v>
      </c>
      <c r="AM83" s="60">
        <f t="shared" si="5"/>
        <v>86390500</v>
      </c>
      <c r="AN83" s="59">
        <v>0</v>
      </c>
      <c r="AO83" s="148">
        <f t="shared" si="6"/>
        <v>0</v>
      </c>
      <c r="AP83" s="58">
        <v>0</v>
      </c>
      <c r="AQ83" s="143">
        <f t="shared" si="7"/>
        <v>0</v>
      </c>
    </row>
    <row r="84" spans="1:43" x14ac:dyDescent="0.35">
      <c r="A84" s="69" t="s">
        <v>43</v>
      </c>
      <c r="B84" s="15" t="s">
        <v>258</v>
      </c>
      <c r="C84" s="15"/>
      <c r="D84" s="69"/>
      <c r="E84" s="76">
        <v>0</v>
      </c>
      <c r="F84" s="69" t="s">
        <v>259</v>
      </c>
      <c r="G84" s="10" t="s">
        <v>260</v>
      </c>
      <c r="H84" s="15">
        <v>9007000001</v>
      </c>
      <c r="I84" s="92" t="s">
        <v>261</v>
      </c>
      <c r="J84" s="92">
        <v>1202010217</v>
      </c>
      <c r="K84" s="16" t="s">
        <v>262</v>
      </c>
      <c r="L84" s="95" t="s">
        <v>263</v>
      </c>
      <c r="M84" s="69" t="s">
        <v>264</v>
      </c>
      <c r="N84" s="69"/>
      <c r="O84" s="94">
        <v>1</v>
      </c>
      <c r="P84" s="69" t="s">
        <v>50</v>
      </c>
      <c r="Q84" s="69" t="s">
        <v>51</v>
      </c>
      <c r="R84" s="69"/>
      <c r="S84" s="46">
        <v>41297</v>
      </c>
      <c r="T84" s="48">
        <v>43191</v>
      </c>
      <c r="U84" s="69"/>
      <c r="V84" s="69"/>
      <c r="W84" s="69"/>
      <c r="X84" s="69"/>
      <c r="Y84" s="69" t="s">
        <v>4125</v>
      </c>
      <c r="Z84" s="43">
        <v>430000</v>
      </c>
      <c r="AA84" s="43" t="s">
        <v>52</v>
      </c>
      <c r="AB84" s="43" t="s">
        <v>53</v>
      </c>
      <c r="AC84" s="43">
        <v>3577</v>
      </c>
      <c r="AD84" s="141">
        <v>9</v>
      </c>
      <c r="AE84" s="142">
        <v>10</v>
      </c>
      <c r="AF84" s="142"/>
      <c r="AG84" s="69" t="str">
        <f t="shared" si="4"/>
        <v>6 years 277 days</v>
      </c>
      <c r="AH84" s="69">
        <v>6</v>
      </c>
      <c r="AI84" s="69">
        <v>277</v>
      </c>
      <c r="AJ84" s="69">
        <v>0</v>
      </c>
      <c r="AK84" s="69">
        <v>0</v>
      </c>
      <c r="AL84" s="60">
        <v>430000</v>
      </c>
      <c r="AM84" s="60">
        <f t="shared" si="5"/>
        <v>430000</v>
      </c>
      <c r="AN84" s="59">
        <v>296564</v>
      </c>
      <c r="AO84" s="148">
        <f t="shared" si="6"/>
        <v>-296564</v>
      </c>
      <c r="AP84" s="58">
        <v>21758.616717920057</v>
      </c>
      <c r="AQ84" s="143">
        <f t="shared" si="7"/>
        <v>-21758.62</v>
      </c>
    </row>
    <row r="85" spans="1:43" x14ac:dyDescent="0.35">
      <c r="A85" s="69" t="s">
        <v>43</v>
      </c>
      <c r="B85" s="15" t="s">
        <v>265</v>
      </c>
      <c r="C85" s="15"/>
      <c r="D85" s="69"/>
      <c r="E85" s="76">
        <v>0</v>
      </c>
      <c r="F85" s="69" t="s">
        <v>259</v>
      </c>
      <c r="G85" s="10" t="s">
        <v>260</v>
      </c>
      <c r="H85" s="15">
        <v>9007000002</v>
      </c>
      <c r="I85" s="92" t="s">
        <v>261</v>
      </c>
      <c r="J85" s="92">
        <v>1202010217</v>
      </c>
      <c r="K85" s="16" t="s">
        <v>266</v>
      </c>
      <c r="L85" s="95" t="s">
        <v>267</v>
      </c>
      <c r="M85" s="69" t="s">
        <v>268</v>
      </c>
      <c r="N85" s="69"/>
      <c r="O85" s="94">
        <v>1</v>
      </c>
      <c r="P85" s="69" t="s">
        <v>50</v>
      </c>
      <c r="Q85" s="69" t="s">
        <v>51</v>
      </c>
      <c r="R85" s="69"/>
      <c r="S85" s="46">
        <v>45000</v>
      </c>
      <c r="T85" s="48">
        <v>45000</v>
      </c>
      <c r="U85" s="69"/>
      <c r="V85" s="69"/>
      <c r="W85" s="69"/>
      <c r="X85" s="69"/>
      <c r="Y85" s="69" t="s">
        <v>4129</v>
      </c>
      <c r="Z85" s="43">
        <v>2169334.2000000002</v>
      </c>
      <c r="AA85" s="43" t="s">
        <v>52</v>
      </c>
      <c r="AB85" s="43" t="s">
        <v>53</v>
      </c>
      <c r="AC85" s="43">
        <v>3650</v>
      </c>
      <c r="AD85" s="141">
        <v>10</v>
      </c>
      <c r="AE85" s="142">
        <v>0</v>
      </c>
      <c r="AF85" s="142"/>
      <c r="AG85" s="69" t="str">
        <f t="shared" ref="AG85:AG86" si="8">_xlfn.CONCAT(AH85," years ",AI85," days")</f>
        <v>1 years 293 days</v>
      </c>
      <c r="AH85" s="69">
        <v>1</v>
      </c>
      <c r="AI85" s="69">
        <v>293</v>
      </c>
      <c r="AJ85" s="69">
        <v>0</v>
      </c>
      <c r="AK85" s="69">
        <v>0</v>
      </c>
      <c r="AL85" s="60">
        <v>2169334.2000000002</v>
      </c>
      <c r="AM85" s="60">
        <f t="shared" ref="AM85:AM86" si="9">ROUND(AL85,2)</f>
        <v>2169334.2000000002</v>
      </c>
      <c r="AN85" s="59">
        <v>391074</v>
      </c>
      <c r="AO85" s="148">
        <f t="shared" ref="AO85:AO86" si="10">ROUND(AN85,2)*-1</f>
        <v>-391074</v>
      </c>
      <c r="AP85" s="58">
        <v>107575.69600000005</v>
      </c>
      <c r="AQ85" s="143">
        <f t="shared" ref="AQ85:AQ86" si="11">ROUND(AP85,2)*-1</f>
        <v>-107575.7</v>
      </c>
    </row>
    <row r="86" spans="1:43" x14ac:dyDescent="0.35">
      <c r="A86" s="69" t="s">
        <v>43</v>
      </c>
      <c r="B86" s="15" t="s">
        <v>269</v>
      </c>
      <c r="C86" s="15"/>
      <c r="D86" s="69" t="e">
        <f>_xlfn.XLOOKUP(B86,SOM!B:B,SOM!D:D,,0)</f>
        <v>#N/A</v>
      </c>
      <c r="E86" s="76">
        <v>1</v>
      </c>
      <c r="F86" s="69" t="s">
        <v>259</v>
      </c>
      <c r="G86" s="10" t="s">
        <v>260</v>
      </c>
      <c r="H86" s="15">
        <v>9007000002</v>
      </c>
      <c r="I86" s="92" t="s">
        <v>261</v>
      </c>
      <c r="J86" s="92">
        <v>1202010217</v>
      </c>
      <c r="K86" s="102"/>
      <c r="L86" s="95" t="s">
        <v>270</v>
      </c>
      <c r="M86" s="69" t="s">
        <v>49</v>
      </c>
      <c r="N86" s="69"/>
      <c r="O86" s="94">
        <v>1</v>
      </c>
      <c r="P86" s="69" t="s">
        <v>50</v>
      </c>
      <c r="Q86" s="69" t="s">
        <v>51</v>
      </c>
      <c r="R86" s="69"/>
      <c r="S86" s="46">
        <v>45618</v>
      </c>
      <c r="T86" s="48">
        <v>45618</v>
      </c>
      <c r="U86" s="69"/>
      <c r="V86" s="69"/>
      <c r="W86" s="69"/>
      <c r="X86" s="69"/>
      <c r="Y86" s="69" t="s">
        <v>4130</v>
      </c>
      <c r="Z86" s="43">
        <v>160000</v>
      </c>
      <c r="AA86" s="43" t="s">
        <v>52</v>
      </c>
      <c r="AB86" s="43" t="s">
        <v>53</v>
      </c>
      <c r="AC86" s="43">
        <v>3650</v>
      </c>
      <c r="AD86" s="141">
        <v>10</v>
      </c>
      <c r="AE86" s="142">
        <v>0</v>
      </c>
      <c r="AF86" s="142"/>
      <c r="AG86" s="69" t="str">
        <f t="shared" si="8"/>
        <v>0 years 40 days</v>
      </c>
      <c r="AH86" s="69">
        <v>0</v>
      </c>
      <c r="AI86" s="69">
        <v>40</v>
      </c>
      <c r="AJ86" s="69">
        <v>0</v>
      </c>
      <c r="AK86" s="69">
        <v>0</v>
      </c>
      <c r="AL86" s="60">
        <v>160000</v>
      </c>
      <c r="AM86" s="60">
        <f t="shared" si="9"/>
        <v>160000</v>
      </c>
      <c r="AN86" s="59">
        <v>86855</v>
      </c>
      <c r="AO86" s="148">
        <f t="shared" si="10"/>
        <v>-86855</v>
      </c>
      <c r="AP86" s="58">
        <v>7934.6712328767171</v>
      </c>
      <c r="AQ86" s="143">
        <f t="shared" si="11"/>
        <v>-7934.67</v>
      </c>
    </row>
    <row r="87" spans="1:43" x14ac:dyDescent="0.35">
      <c r="A87" s="69" t="s">
        <v>43</v>
      </c>
      <c r="B87" s="15" t="s">
        <v>271</v>
      </c>
      <c r="C87" s="15"/>
      <c r="D87" s="69"/>
      <c r="E87" s="76">
        <v>0</v>
      </c>
      <c r="F87" s="69" t="s">
        <v>259</v>
      </c>
      <c r="G87" s="10" t="s">
        <v>260</v>
      </c>
      <c r="H87" s="15">
        <v>9007000003</v>
      </c>
      <c r="I87" s="92" t="s">
        <v>261</v>
      </c>
      <c r="J87" s="92">
        <v>1202010217</v>
      </c>
      <c r="K87" s="17" t="s">
        <v>272</v>
      </c>
      <c r="L87" s="95" t="s">
        <v>273</v>
      </c>
      <c r="M87" s="69" t="s">
        <v>49</v>
      </c>
      <c r="N87" s="69"/>
      <c r="O87" s="94">
        <v>1</v>
      </c>
      <c r="P87" s="69" t="s">
        <v>50</v>
      </c>
      <c r="Q87" s="69" t="s">
        <v>51</v>
      </c>
      <c r="R87" s="69"/>
      <c r="S87" s="46">
        <v>39966</v>
      </c>
      <c r="T87" s="48">
        <v>43191</v>
      </c>
      <c r="U87" s="69"/>
      <c r="V87" s="69"/>
      <c r="W87" s="69"/>
      <c r="X87" s="69"/>
      <c r="Y87" s="69" t="s">
        <v>4125</v>
      </c>
      <c r="Z87" s="43">
        <v>3325000</v>
      </c>
      <c r="AA87" s="43" t="s">
        <v>52</v>
      </c>
      <c r="AB87" s="43" t="s">
        <v>53</v>
      </c>
      <c r="AC87" s="43">
        <v>2263</v>
      </c>
      <c r="AD87" s="141">
        <v>6</v>
      </c>
      <c r="AE87" s="142">
        <v>2</v>
      </c>
      <c r="AF87" s="142"/>
      <c r="AG87" s="69" t="str">
        <f t="shared" ref="AG87:AG91" si="12">_xlfn.CONCAT(AH87," years ",AI87," days")</f>
        <v>6 years 73 days</v>
      </c>
      <c r="AH87" s="69">
        <v>6</v>
      </c>
      <c r="AI87" s="69">
        <v>73</v>
      </c>
      <c r="AJ87" s="69">
        <v>0</v>
      </c>
      <c r="AK87" s="69">
        <v>0</v>
      </c>
      <c r="AL87" s="60">
        <v>3325000</v>
      </c>
      <c r="AM87" s="60">
        <f t="shared" ref="AM87:AM91" si="13">ROUND(AL87,2)</f>
        <v>3325000</v>
      </c>
      <c r="AN87" s="59">
        <v>3325000</v>
      </c>
      <c r="AO87" s="148">
        <f t="shared" ref="AO87:AO91" si="14">ROUND(AN87,2)*-1</f>
        <v>-3325000</v>
      </c>
      <c r="AP87" s="58">
        <v>0</v>
      </c>
      <c r="AQ87" s="143">
        <f t="shared" ref="AQ87:AQ91" si="15">ROUND(AP87,2)*-1</f>
        <v>0</v>
      </c>
    </row>
    <row r="88" spans="1:43" x14ac:dyDescent="0.35">
      <c r="A88" s="69" t="s">
        <v>43</v>
      </c>
      <c r="B88" s="15" t="s">
        <v>274</v>
      </c>
      <c r="C88" s="15"/>
      <c r="D88" s="69" t="e">
        <f>_xlfn.XLOOKUP(B88,SOM!B:B,SOM!D:D,,0)</f>
        <v>#N/A</v>
      </c>
      <c r="E88" s="76">
        <v>1</v>
      </c>
      <c r="F88" s="69" t="s">
        <v>259</v>
      </c>
      <c r="G88" s="10" t="s">
        <v>260</v>
      </c>
      <c r="H88" s="103">
        <v>9007000003</v>
      </c>
      <c r="I88" s="92" t="s">
        <v>261</v>
      </c>
      <c r="J88" s="92">
        <v>1202010217</v>
      </c>
      <c r="K88" s="14"/>
      <c r="L88" s="95" t="s">
        <v>275</v>
      </c>
      <c r="M88" s="69" t="s">
        <v>276</v>
      </c>
      <c r="N88" s="69"/>
      <c r="O88" s="94">
        <v>1</v>
      </c>
      <c r="P88" s="69" t="s">
        <v>50</v>
      </c>
      <c r="Q88" s="69" t="s">
        <v>51</v>
      </c>
      <c r="R88" s="69"/>
      <c r="S88" s="46">
        <v>44986</v>
      </c>
      <c r="T88" s="48">
        <v>44986</v>
      </c>
      <c r="U88" s="69"/>
      <c r="V88" s="69"/>
      <c r="W88" s="69"/>
      <c r="X88" s="69"/>
      <c r="Y88" s="69" t="s">
        <v>4129</v>
      </c>
      <c r="Z88" s="43">
        <v>82374</v>
      </c>
      <c r="AA88" s="43" t="s">
        <v>52</v>
      </c>
      <c r="AB88" s="43" t="s">
        <v>53</v>
      </c>
      <c r="AC88" s="43">
        <v>3650</v>
      </c>
      <c r="AD88" s="141">
        <v>10</v>
      </c>
      <c r="AE88" s="142">
        <v>0</v>
      </c>
      <c r="AF88" s="142"/>
      <c r="AG88" s="69" t="str">
        <f t="shared" si="12"/>
        <v>1 years 307 days</v>
      </c>
      <c r="AH88" s="69">
        <v>1</v>
      </c>
      <c r="AI88" s="69">
        <v>307</v>
      </c>
      <c r="AJ88" s="69">
        <v>0</v>
      </c>
      <c r="AK88" s="69">
        <v>0</v>
      </c>
      <c r="AL88" s="60">
        <v>82374</v>
      </c>
      <c r="AM88" s="60">
        <f t="shared" si="13"/>
        <v>82374</v>
      </c>
      <c r="AN88" s="59">
        <v>15166</v>
      </c>
      <c r="AO88" s="148">
        <f t="shared" si="14"/>
        <v>-15166</v>
      </c>
      <c r="AP88" s="58">
        <v>4084.6909589041097</v>
      </c>
      <c r="AQ88" s="143">
        <f t="shared" si="15"/>
        <v>-4084.69</v>
      </c>
    </row>
    <row r="89" spans="1:43" x14ac:dyDescent="0.35">
      <c r="A89" s="69" t="s">
        <v>43</v>
      </c>
      <c r="B89" s="15" t="s">
        <v>277</v>
      </c>
      <c r="C89" s="15"/>
      <c r="D89" s="69" t="e">
        <f>_xlfn.XLOOKUP(B89,SOM!B:B,SOM!D:D,,0)</f>
        <v>#N/A</v>
      </c>
      <c r="E89" s="76">
        <v>2</v>
      </c>
      <c r="F89" s="69" t="s">
        <v>259</v>
      </c>
      <c r="G89" s="10" t="s">
        <v>260</v>
      </c>
      <c r="H89" s="15">
        <v>9007000003</v>
      </c>
      <c r="I89" s="92" t="s">
        <v>261</v>
      </c>
      <c r="J89" s="92">
        <v>1202010217</v>
      </c>
      <c r="K89" s="102"/>
      <c r="L89" s="95" t="s">
        <v>278</v>
      </c>
      <c r="M89" s="69" t="s">
        <v>279</v>
      </c>
      <c r="N89" s="69"/>
      <c r="O89" s="94">
        <v>1</v>
      </c>
      <c r="P89" s="69" t="s">
        <v>50</v>
      </c>
      <c r="Q89" s="69" t="s">
        <v>51</v>
      </c>
      <c r="R89" s="69"/>
      <c r="S89" s="46">
        <v>45199</v>
      </c>
      <c r="T89" s="48">
        <v>45199</v>
      </c>
      <c r="U89" s="69"/>
      <c r="V89" s="69"/>
      <c r="W89" s="69"/>
      <c r="X89" s="69"/>
      <c r="Y89" s="69" t="s">
        <v>4129</v>
      </c>
      <c r="Z89" s="43">
        <v>24875</v>
      </c>
      <c r="AA89" s="43" t="s">
        <v>52</v>
      </c>
      <c r="AB89" s="43" t="s">
        <v>53</v>
      </c>
      <c r="AC89" s="43">
        <v>3650</v>
      </c>
      <c r="AD89" s="141">
        <v>10</v>
      </c>
      <c r="AE89" s="142">
        <v>0</v>
      </c>
      <c r="AF89" s="142"/>
      <c r="AG89" s="69" t="str">
        <f t="shared" si="12"/>
        <v>1 years 94 days</v>
      </c>
      <c r="AH89" s="69">
        <v>1</v>
      </c>
      <c r="AI89" s="69">
        <v>94</v>
      </c>
      <c r="AJ89" s="69">
        <v>0</v>
      </c>
      <c r="AK89" s="69">
        <v>0</v>
      </c>
      <c r="AL89" s="60">
        <v>24875</v>
      </c>
      <c r="AM89" s="60">
        <f t="shared" si="13"/>
        <v>24875</v>
      </c>
      <c r="AN89" s="59">
        <v>3128</v>
      </c>
      <c r="AO89" s="148">
        <f t="shared" si="14"/>
        <v>-3128</v>
      </c>
      <c r="AP89" s="58">
        <v>1233.6438356164381</v>
      </c>
      <c r="AQ89" s="143">
        <f t="shared" si="15"/>
        <v>-1233.6400000000001</v>
      </c>
    </row>
    <row r="90" spans="1:43" x14ac:dyDescent="0.35">
      <c r="A90" s="69" t="s">
        <v>43</v>
      </c>
      <c r="B90" s="15" t="s">
        <v>280</v>
      </c>
      <c r="C90" s="15"/>
      <c r="D90" s="69" t="e">
        <f>_xlfn.XLOOKUP(B90,SOM!B:B,SOM!D:D,,0)</f>
        <v>#N/A</v>
      </c>
      <c r="E90" s="76">
        <v>3</v>
      </c>
      <c r="F90" s="69" t="s">
        <v>259</v>
      </c>
      <c r="G90" s="10" t="s">
        <v>260</v>
      </c>
      <c r="H90" s="15">
        <v>9007000003</v>
      </c>
      <c r="I90" s="92" t="s">
        <v>261</v>
      </c>
      <c r="J90" s="92">
        <v>1202010217</v>
      </c>
      <c r="K90" s="14"/>
      <c r="L90" s="95" t="s">
        <v>281</v>
      </c>
      <c r="M90" s="69" t="s">
        <v>282</v>
      </c>
      <c r="N90" s="69"/>
      <c r="O90" s="94">
        <v>1</v>
      </c>
      <c r="P90" s="69" t="s">
        <v>50</v>
      </c>
      <c r="Q90" s="69" t="s">
        <v>51</v>
      </c>
      <c r="R90" s="69"/>
      <c r="S90" s="46">
        <v>45199</v>
      </c>
      <c r="T90" s="48">
        <v>45199</v>
      </c>
      <c r="U90" s="69"/>
      <c r="V90" s="69"/>
      <c r="W90" s="69"/>
      <c r="X90" s="69"/>
      <c r="Y90" s="69" t="s">
        <v>4129</v>
      </c>
      <c r="Z90" s="43">
        <v>6695</v>
      </c>
      <c r="AA90" s="43" t="s">
        <v>52</v>
      </c>
      <c r="AB90" s="43" t="s">
        <v>53</v>
      </c>
      <c r="AC90" s="43">
        <v>3650</v>
      </c>
      <c r="AD90" s="141">
        <v>10</v>
      </c>
      <c r="AE90" s="142">
        <v>0</v>
      </c>
      <c r="AF90" s="142"/>
      <c r="AG90" s="69" t="str">
        <f t="shared" si="12"/>
        <v>1 years 94 days</v>
      </c>
      <c r="AH90" s="69">
        <v>1</v>
      </c>
      <c r="AI90" s="69">
        <v>94</v>
      </c>
      <c r="AJ90" s="69">
        <v>0</v>
      </c>
      <c r="AK90" s="69">
        <v>0</v>
      </c>
      <c r="AL90" s="60">
        <v>6695</v>
      </c>
      <c r="AM90" s="60">
        <f t="shared" si="13"/>
        <v>6695</v>
      </c>
      <c r="AN90" s="59">
        <v>842</v>
      </c>
      <c r="AO90" s="148">
        <f t="shared" si="14"/>
        <v>-842</v>
      </c>
      <c r="AP90" s="58">
        <v>331.91780821917814</v>
      </c>
      <c r="AQ90" s="143">
        <f t="shared" si="15"/>
        <v>-331.92</v>
      </c>
    </row>
    <row r="91" spans="1:43" x14ac:dyDescent="0.35">
      <c r="A91" s="69" t="s">
        <v>43</v>
      </c>
      <c r="B91" s="104" t="s">
        <v>283</v>
      </c>
      <c r="C91" s="104"/>
      <c r="D91" s="69" t="e">
        <f>_xlfn.XLOOKUP(B91,SOM!B:B,SOM!D:D,,0)</f>
        <v>#N/A</v>
      </c>
      <c r="E91" s="76">
        <v>4</v>
      </c>
      <c r="F91" s="69" t="s">
        <v>259</v>
      </c>
      <c r="G91" s="11" t="s">
        <v>260</v>
      </c>
      <c r="H91" s="104">
        <v>9007000003</v>
      </c>
      <c r="I91" s="92" t="s">
        <v>261</v>
      </c>
      <c r="J91" s="92">
        <v>1202010217</v>
      </c>
      <c r="K91" s="18" t="s">
        <v>284</v>
      </c>
      <c r="L91" s="95" t="s">
        <v>285</v>
      </c>
      <c r="M91" s="69" t="s">
        <v>286</v>
      </c>
      <c r="N91" s="69"/>
      <c r="O91" s="94">
        <v>202</v>
      </c>
      <c r="P91" s="69" t="s">
        <v>50</v>
      </c>
      <c r="Q91" s="69" t="s">
        <v>51</v>
      </c>
      <c r="R91" s="69"/>
      <c r="S91" s="46">
        <v>44620</v>
      </c>
      <c r="T91" s="48">
        <v>44620</v>
      </c>
      <c r="U91" s="69"/>
      <c r="V91" s="69"/>
      <c r="W91" s="69"/>
      <c r="X91" s="69"/>
      <c r="Y91" s="69" t="s">
        <v>4131</v>
      </c>
      <c r="Z91" s="51">
        <v>503961</v>
      </c>
      <c r="AA91" s="43" t="s">
        <v>52</v>
      </c>
      <c r="AB91" s="43" t="s">
        <v>53</v>
      </c>
      <c r="AC91" s="43">
        <v>3650</v>
      </c>
      <c r="AD91" s="141">
        <v>10</v>
      </c>
      <c r="AE91" s="142">
        <v>0</v>
      </c>
      <c r="AF91" s="142"/>
      <c r="AG91" s="69" t="str">
        <f t="shared" si="12"/>
        <v>2 years 308 days</v>
      </c>
      <c r="AH91" s="69">
        <v>2</v>
      </c>
      <c r="AI91" s="69">
        <v>308</v>
      </c>
      <c r="AJ91" s="69">
        <v>0</v>
      </c>
      <c r="AK91" s="69">
        <v>0</v>
      </c>
      <c r="AL91" s="65">
        <v>503961</v>
      </c>
      <c r="AM91" s="60">
        <f t="shared" si="13"/>
        <v>503961</v>
      </c>
      <c r="AN91" s="59">
        <v>143318</v>
      </c>
      <c r="AO91" s="148">
        <f t="shared" si="14"/>
        <v>-143318</v>
      </c>
      <c r="AP91" s="58">
        <v>24991.166849315079</v>
      </c>
      <c r="AQ91" s="143">
        <f t="shared" si="15"/>
        <v>-24991.17</v>
      </c>
    </row>
    <row r="92" spans="1:43" x14ac:dyDescent="0.35">
      <c r="A92" s="69" t="s">
        <v>43</v>
      </c>
      <c r="B92" s="15" t="s">
        <v>287</v>
      </c>
      <c r="C92" s="15"/>
      <c r="D92" s="69"/>
      <c r="E92" s="76">
        <v>0</v>
      </c>
      <c r="F92" s="69" t="s">
        <v>259</v>
      </c>
      <c r="G92" s="10" t="s">
        <v>260</v>
      </c>
      <c r="H92" s="15">
        <v>9007000004</v>
      </c>
      <c r="I92" s="92" t="s">
        <v>261</v>
      </c>
      <c r="J92" s="92">
        <v>1202010217</v>
      </c>
      <c r="K92" s="17" t="s">
        <v>288</v>
      </c>
      <c r="L92" s="95" t="s">
        <v>289</v>
      </c>
      <c r="M92" s="69" t="s">
        <v>290</v>
      </c>
      <c r="N92" s="69"/>
      <c r="O92" s="94">
        <v>1</v>
      </c>
      <c r="P92" s="69" t="s">
        <v>50</v>
      </c>
      <c r="Q92" s="69" t="s">
        <v>51</v>
      </c>
      <c r="R92" s="69"/>
      <c r="S92" s="46">
        <v>40817</v>
      </c>
      <c r="T92" s="48">
        <v>43191</v>
      </c>
      <c r="U92" s="69"/>
      <c r="V92" s="69"/>
      <c r="W92" s="69"/>
      <c r="X92" s="69"/>
      <c r="Y92" s="69" t="s">
        <v>4125</v>
      </c>
      <c r="Z92" s="43">
        <v>1350000</v>
      </c>
      <c r="AA92" s="43" t="s">
        <v>52</v>
      </c>
      <c r="AB92" s="43" t="s">
        <v>53</v>
      </c>
      <c r="AC92" s="43">
        <v>3103</v>
      </c>
      <c r="AD92" s="141">
        <v>8</v>
      </c>
      <c r="AE92" s="142">
        <v>6</v>
      </c>
      <c r="AF92" s="142"/>
      <c r="AG92" s="69" t="str">
        <f t="shared" ref="AG92:AG93" si="16">_xlfn.CONCAT(AH92," years ",AI92," days")</f>
        <v>6 years 277 days</v>
      </c>
      <c r="AH92" s="69">
        <v>6</v>
      </c>
      <c r="AI92" s="69">
        <v>277</v>
      </c>
      <c r="AJ92" s="69">
        <v>0</v>
      </c>
      <c r="AK92" s="69">
        <v>0</v>
      </c>
      <c r="AL92" s="60">
        <v>1350000</v>
      </c>
      <c r="AM92" s="60">
        <f t="shared" ref="AM92:AM93" si="17">ROUND(AL92,2)</f>
        <v>1350000</v>
      </c>
      <c r="AN92" s="59">
        <v>1073300</v>
      </c>
      <c r="AO92" s="148">
        <f t="shared" ref="AO92:AO93" si="18">ROUND(AN92,2)*-1</f>
        <v>-1073300</v>
      </c>
      <c r="AP92" s="58">
        <v>78746.406703190412</v>
      </c>
      <c r="AQ92" s="143">
        <f t="shared" ref="AQ92:AQ93" si="19">ROUND(AP92,2)*-1</f>
        <v>-78746.41</v>
      </c>
    </row>
    <row r="93" spans="1:43" x14ac:dyDescent="0.35">
      <c r="A93" s="69" t="s">
        <v>43</v>
      </c>
      <c r="B93" s="104" t="s">
        <v>291</v>
      </c>
      <c r="C93" s="104"/>
      <c r="D93" s="69" t="e">
        <f>_xlfn.XLOOKUP(B93,SOM!B:B,SOM!D:D,,0)</f>
        <v>#N/A</v>
      </c>
      <c r="E93" s="76">
        <v>1</v>
      </c>
      <c r="F93" s="69" t="s">
        <v>259</v>
      </c>
      <c r="G93" s="11" t="s">
        <v>260</v>
      </c>
      <c r="H93" s="104">
        <v>9007000004</v>
      </c>
      <c r="I93" s="92" t="s">
        <v>261</v>
      </c>
      <c r="J93" s="92">
        <v>1202010217</v>
      </c>
      <c r="K93" s="18" t="s">
        <v>292</v>
      </c>
      <c r="L93" s="95" t="s">
        <v>293</v>
      </c>
      <c r="M93" s="69" t="s">
        <v>49</v>
      </c>
      <c r="N93" s="69"/>
      <c r="O93" s="94">
        <v>1</v>
      </c>
      <c r="P93" s="69" t="s">
        <v>50</v>
      </c>
      <c r="Q93" s="69" t="s">
        <v>51</v>
      </c>
      <c r="R93" s="69"/>
      <c r="S93" s="46">
        <v>45524</v>
      </c>
      <c r="T93" s="48">
        <v>45524</v>
      </c>
      <c r="U93" s="69"/>
      <c r="V93" s="69"/>
      <c r="W93" s="69"/>
      <c r="X93" s="69"/>
      <c r="Y93" s="69" t="s">
        <v>4130</v>
      </c>
      <c r="Z93" s="51">
        <v>266656.5</v>
      </c>
      <c r="AA93" s="43" t="s">
        <v>52</v>
      </c>
      <c r="AB93" s="43" t="s">
        <v>53</v>
      </c>
      <c r="AC93" s="43">
        <v>3650</v>
      </c>
      <c r="AD93" s="141">
        <v>10</v>
      </c>
      <c r="AE93" s="142">
        <v>0</v>
      </c>
      <c r="AF93" s="142"/>
      <c r="AG93" s="69" t="str">
        <f t="shared" si="16"/>
        <v>0 years 134 days</v>
      </c>
      <c r="AH93" s="69">
        <v>0</v>
      </c>
      <c r="AI93" s="69">
        <v>134</v>
      </c>
      <c r="AJ93" s="69">
        <v>0</v>
      </c>
      <c r="AK93" s="69">
        <v>0</v>
      </c>
      <c r="AL93" s="65">
        <v>266656.5</v>
      </c>
      <c r="AM93" s="60">
        <f t="shared" si="17"/>
        <v>266656.5</v>
      </c>
      <c r="AN93" s="59">
        <v>9790</v>
      </c>
      <c r="AO93" s="148">
        <f t="shared" si="18"/>
        <v>-9790</v>
      </c>
      <c r="AP93" s="58">
        <v>13222.821232876711</v>
      </c>
      <c r="AQ93" s="143">
        <f t="shared" si="19"/>
        <v>-13222.82</v>
      </c>
    </row>
    <row r="94" spans="1:43" x14ac:dyDescent="0.35">
      <c r="A94" s="69" t="s">
        <v>43</v>
      </c>
      <c r="B94" s="15" t="s">
        <v>294</v>
      </c>
      <c r="C94" s="15"/>
      <c r="D94" s="69"/>
      <c r="E94" s="76">
        <v>0</v>
      </c>
      <c r="F94" s="69" t="s">
        <v>259</v>
      </c>
      <c r="G94" s="10" t="s">
        <v>260</v>
      </c>
      <c r="H94" s="15">
        <v>9007000005</v>
      </c>
      <c r="I94" s="92" t="s">
        <v>261</v>
      </c>
      <c r="J94" s="92">
        <v>1202010217</v>
      </c>
      <c r="K94" s="14" t="s">
        <v>295</v>
      </c>
      <c r="L94" s="95" t="s">
        <v>296</v>
      </c>
      <c r="M94" s="69" t="s">
        <v>297</v>
      </c>
      <c r="N94" s="69"/>
      <c r="O94" s="94">
        <v>1</v>
      </c>
      <c r="P94" s="69" t="s">
        <v>50</v>
      </c>
      <c r="Q94" s="69" t="s">
        <v>51</v>
      </c>
      <c r="R94" s="69"/>
      <c r="S94" s="46">
        <v>44910</v>
      </c>
      <c r="T94" s="48">
        <v>44910</v>
      </c>
      <c r="U94" s="69"/>
      <c r="V94" s="69"/>
      <c r="W94" s="69"/>
      <c r="X94" s="69"/>
      <c r="Y94" s="69" t="s">
        <v>4131</v>
      </c>
      <c r="Z94" s="43">
        <v>4602270.0200000014</v>
      </c>
      <c r="AA94" s="43" t="s">
        <v>52</v>
      </c>
      <c r="AB94" s="43" t="s">
        <v>53</v>
      </c>
      <c r="AC94" s="43">
        <v>3650</v>
      </c>
      <c r="AD94" s="141">
        <v>10</v>
      </c>
      <c r="AE94" s="142">
        <v>0</v>
      </c>
      <c r="AF94" s="142"/>
      <c r="AG94" s="69" t="str">
        <f t="shared" ref="AG94:AG97" si="20">_xlfn.CONCAT(AH94," years ",AI94," days")</f>
        <v>2 years 18 days</v>
      </c>
      <c r="AH94" s="69">
        <v>2</v>
      </c>
      <c r="AI94" s="69">
        <v>18</v>
      </c>
      <c r="AJ94" s="69">
        <v>0</v>
      </c>
      <c r="AK94" s="69">
        <v>0</v>
      </c>
      <c r="AL94" s="60">
        <v>4602270.0200000014</v>
      </c>
      <c r="AM94" s="60">
        <f t="shared" ref="AM94:AM97" si="21">ROUND(AL94,2)</f>
        <v>4602270.0199999996</v>
      </c>
      <c r="AN94" s="59">
        <v>943150</v>
      </c>
      <c r="AO94" s="148">
        <f t="shared" ref="AO94:AO97" si="22">ROUND(AN94,2)*-1</f>
        <v>-943150</v>
      </c>
      <c r="AP94" s="58">
        <v>228222.28669589059</v>
      </c>
      <c r="AQ94" s="143">
        <f t="shared" ref="AQ94:AQ97" si="23">ROUND(AP94,2)*-1</f>
        <v>-228222.29</v>
      </c>
    </row>
    <row r="95" spans="1:43" x14ac:dyDescent="0.35">
      <c r="A95" s="69" t="s">
        <v>43</v>
      </c>
      <c r="B95" s="15" t="s">
        <v>298</v>
      </c>
      <c r="C95" s="15"/>
      <c r="D95" s="69" t="e">
        <f>_xlfn.XLOOKUP(B95,SOM!B:B,SOM!D:D,,0)</f>
        <v>#N/A</v>
      </c>
      <c r="E95" s="76">
        <v>1</v>
      </c>
      <c r="F95" s="69" t="s">
        <v>259</v>
      </c>
      <c r="G95" s="10" t="s">
        <v>260</v>
      </c>
      <c r="H95" s="15">
        <v>9007000005</v>
      </c>
      <c r="I95" s="92" t="s">
        <v>261</v>
      </c>
      <c r="J95" s="92">
        <v>1202010217</v>
      </c>
      <c r="K95" s="16" t="s">
        <v>299</v>
      </c>
      <c r="L95" s="95" t="s">
        <v>300</v>
      </c>
      <c r="M95" s="69" t="s">
        <v>301</v>
      </c>
      <c r="N95" s="69"/>
      <c r="O95" s="94">
        <v>1</v>
      </c>
      <c r="P95" s="69" t="s">
        <v>50</v>
      </c>
      <c r="Q95" s="69" t="s">
        <v>51</v>
      </c>
      <c r="R95" s="69"/>
      <c r="S95" s="46">
        <v>45000</v>
      </c>
      <c r="T95" s="48">
        <v>45000</v>
      </c>
      <c r="U95" s="69"/>
      <c r="V95" s="69"/>
      <c r="W95" s="69"/>
      <c r="X95" s="69"/>
      <c r="Y95" s="69" t="s">
        <v>4129</v>
      </c>
      <c r="Z95" s="43">
        <v>12178086.799999999</v>
      </c>
      <c r="AA95" s="43" t="s">
        <v>52</v>
      </c>
      <c r="AB95" s="43" t="s">
        <v>53</v>
      </c>
      <c r="AC95" s="43">
        <v>3650</v>
      </c>
      <c r="AD95" s="141">
        <v>10</v>
      </c>
      <c r="AE95" s="142">
        <v>0</v>
      </c>
      <c r="AF95" s="142"/>
      <c r="AG95" s="69" t="str">
        <f t="shared" si="20"/>
        <v>1 years 293 days</v>
      </c>
      <c r="AH95" s="69">
        <v>1</v>
      </c>
      <c r="AI95" s="69">
        <v>293</v>
      </c>
      <c r="AJ95" s="69">
        <v>0</v>
      </c>
      <c r="AK95" s="69">
        <v>0</v>
      </c>
      <c r="AL95" s="60">
        <v>12178086.799999999</v>
      </c>
      <c r="AM95" s="60">
        <f t="shared" si="21"/>
        <v>12178086.800000001</v>
      </c>
      <c r="AN95" s="59">
        <v>2195392</v>
      </c>
      <c r="AO95" s="148">
        <f t="shared" si="22"/>
        <v>-2195392</v>
      </c>
      <c r="AP95" s="58">
        <v>603899.73386301333</v>
      </c>
      <c r="AQ95" s="143">
        <f t="shared" si="23"/>
        <v>-603899.73</v>
      </c>
    </row>
    <row r="96" spans="1:43" x14ac:dyDescent="0.35">
      <c r="A96" s="69" t="s">
        <v>43</v>
      </c>
      <c r="B96" s="15" t="s">
        <v>302</v>
      </c>
      <c r="C96" s="15"/>
      <c r="D96" s="69" t="e">
        <f>_xlfn.XLOOKUP(B96,SOM!B:B,SOM!D:D,,0)</f>
        <v>#N/A</v>
      </c>
      <c r="E96" s="76">
        <v>2</v>
      </c>
      <c r="F96" s="69" t="s">
        <v>259</v>
      </c>
      <c r="G96" s="10" t="s">
        <v>260</v>
      </c>
      <c r="H96" s="15">
        <v>9007000005</v>
      </c>
      <c r="I96" s="92" t="s">
        <v>261</v>
      </c>
      <c r="J96" s="92">
        <v>1202010217</v>
      </c>
      <c r="K96" s="14"/>
      <c r="L96" s="95" t="s">
        <v>303</v>
      </c>
      <c r="M96" s="69" t="s">
        <v>304</v>
      </c>
      <c r="N96" s="69"/>
      <c r="O96" s="94">
        <v>1080</v>
      </c>
      <c r="P96" s="69" t="s">
        <v>50</v>
      </c>
      <c r="Q96" s="69" t="s">
        <v>51</v>
      </c>
      <c r="R96" s="69"/>
      <c r="S96" s="46">
        <v>45327</v>
      </c>
      <c r="T96" s="48">
        <v>45327</v>
      </c>
      <c r="U96" s="69"/>
      <c r="V96" s="69"/>
      <c r="W96" s="69"/>
      <c r="X96" s="69"/>
      <c r="Y96" s="69" t="s">
        <v>4130</v>
      </c>
      <c r="Z96" s="43">
        <v>206800</v>
      </c>
      <c r="AA96" s="43" t="s">
        <v>52</v>
      </c>
      <c r="AB96" s="43" t="s">
        <v>53</v>
      </c>
      <c r="AC96" s="43">
        <v>3650</v>
      </c>
      <c r="AD96" s="141">
        <v>10</v>
      </c>
      <c r="AE96" s="142">
        <v>0</v>
      </c>
      <c r="AF96" s="142"/>
      <c r="AG96" s="69" t="str">
        <f t="shared" si="20"/>
        <v>0 years 331 days</v>
      </c>
      <c r="AH96" s="69">
        <v>0</v>
      </c>
      <c r="AI96" s="69">
        <v>331</v>
      </c>
      <c r="AJ96" s="69">
        <v>0</v>
      </c>
      <c r="AK96" s="69">
        <v>0</v>
      </c>
      <c r="AL96" s="60">
        <v>206800</v>
      </c>
      <c r="AM96" s="60">
        <f t="shared" si="21"/>
        <v>206800</v>
      </c>
      <c r="AN96" s="59">
        <v>18754</v>
      </c>
      <c r="AO96" s="148">
        <f t="shared" si="22"/>
        <v>-18754</v>
      </c>
      <c r="AP96" s="58">
        <v>10254.657534246573</v>
      </c>
      <c r="AQ96" s="143">
        <f t="shared" si="23"/>
        <v>-10254.66</v>
      </c>
    </row>
    <row r="97" spans="1:43" x14ac:dyDescent="0.35">
      <c r="A97" s="69" t="s">
        <v>43</v>
      </c>
      <c r="B97" s="15" t="s">
        <v>305</v>
      </c>
      <c r="C97" s="15"/>
      <c r="D97" s="69" t="e">
        <f>_xlfn.XLOOKUP(B97,SOM!B:B,SOM!D:D,,0)</f>
        <v>#N/A</v>
      </c>
      <c r="E97" s="76">
        <v>3</v>
      </c>
      <c r="F97" s="69" t="s">
        <v>259</v>
      </c>
      <c r="G97" s="10" t="s">
        <v>260</v>
      </c>
      <c r="H97" s="15">
        <v>9007000005</v>
      </c>
      <c r="I97" s="92" t="s">
        <v>261</v>
      </c>
      <c r="J97" s="92">
        <v>1202010217</v>
      </c>
      <c r="K97" s="19"/>
      <c r="L97" s="95" t="s">
        <v>306</v>
      </c>
      <c r="M97" s="69" t="s">
        <v>307</v>
      </c>
      <c r="N97" s="69"/>
      <c r="O97" s="94">
        <v>1</v>
      </c>
      <c r="P97" s="69" t="s">
        <v>50</v>
      </c>
      <c r="Q97" s="69" t="s">
        <v>51</v>
      </c>
      <c r="R97" s="69"/>
      <c r="S97" s="46">
        <v>44622</v>
      </c>
      <c r="T97" s="48">
        <v>44622</v>
      </c>
      <c r="U97" s="69"/>
      <c r="V97" s="69"/>
      <c r="W97" s="69"/>
      <c r="X97" s="69"/>
      <c r="Y97" s="69" t="s">
        <v>4131</v>
      </c>
      <c r="Z97" s="43">
        <v>87000</v>
      </c>
      <c r="AA97" s="43" t="s">
        <v>52</v>
      </c>
      <c r="AB97" s="43" t="s">
        <v>53</v>
      </c>
      <c r="AC97" s="43">
        <v>3650</v>
      </c>
      <c r="AD97" s="141">
        <v>10</v>
      </c>
      <c r="AE97" s="142">
        <v>0</v>
      </c>
      <c r="AF97" s="142"/>
      <c r="AG97" s="69" t="str">
        <f t="shared" si="20"/>
        <v>2 years 306 days</v>
      </c>
      <c r="AH97" s="69">
        <v>2</v>
      </c>
      <c r="AI97" s="69">
        <v>306</v>
      </c>
      <c r="AJ97" s="69">
        <v>0</v>
      </c>
      <c r="AK97" s="69">
        <v>0</v>
      </c>
      <c r="AL97" s="60">
        <v>87000</v>
      </c>
      <c r="AM97" s="60">
        <f t="shared" si="21"/>
        <v>87000</v>
      </c>
      <c r="AN97" s="59">
        <v>24694</v>
      </c>
      <c r="AO97" s="148">
        <f t="shared" si="22"/>
        <v>-24694</v>
      </c>
      <c r="AP97" s="58">
        <v>4313.9452054794529</v>
      </c>
      <c r="AQ97" s="143">
        <f t="shared" si="23"/>
        <v>-4313.95</v>
      </c>
    </row>
    <row r="98" spans="1:43" x14ac:dyDescent="0.35">
      <c r="A98" s="69" t="s">
        <v>43</v>
      </c>
      <c r="B98" s="15" t="s">
        <v>308</v>
      </c>
      <c r="C98" s="15"/>
      <c r="D98" s="69"/>
      <c r="E98" s="76">
        <v>0</v>
      </c>
      <c r="F98" s="69" t="s">
        <v>259</v>
      </c>
      <c r="G98" s="10" t="s">
        <v>260</v>
      </c>
      <c r="H98" s="15">
        <v>9007000006</v>
      </c>
      <c r="I98" s="92" t="s">
        <v>261</v>
      </c>
      <c r="J98" s="92">
        <v>1202010217</v>
      </c>
      <c r="K98" s="17" t="s">
        <v>309</v>
      </c>
      <c r="L98" s="95" t="s">
        <v>310</v>
      </c>
      <c r="M98" s="69" t="s">
        <v>311</v>
      </c>
      <c r="N98" s="69"/>
      <c r="O98" s="94">
        <v>1</v>
      </c>
      <c r="P98" s="69" t="s">
        <v>50</v>
      </c>
      <c r="Q98" s="69" t="s">
        <v>51</v>
      </c>
      <c r="R98" s="69"/>
      <c r="S98" s="46">
        <v>41303</v>
      </c>
      <c r="T98" s="48">
        <v>43191</v>
      </c>
      <c r="U98" s="69"/>
      <c r="V98" s="69"/>
      <c r="W98" s="69"/>
      <c r="X98" s="69"/>
      <c r="Y98" s="69" t="s">
        <v>4125</v>
      </c>
      <c r="Z98" s="43">
        <v>650000</v>
      </c>
      <c r="AA98" s="43" t="s">
        <v>52</v>
      </c>
      <c r="AB98" s="43" t="s">
        <v>53</v>
      </c>
      <c r="AC98" s="43">
        <v>3577</v>
      </c>
      <c r="AD98" s="141">
        <v>9</v>
      </c>
      <c r="AE98" s="142">
        <v>10</v>
      </c>
      <c r="AF98" s="142"/>
      <c r="AG98" s="69" t="str">
        <f>_xlfn.CONCAT(AH98," years ",AI98," days")</f>
        <v>6 years 277 days</v>
      </c>
      <c r="AH98" s="69">
        <v>6</v>
      </c>
      <c r="AI98" s="69">
        <v>277</v>
      </c>
      <c r="AJ98" s="69">
        <v>0</v>
      </c>
      <c r="AK98" s="69">
        <v>0</v>
      </c>
      <c r="AL98" s="60">
        <v>650000</v>
      </c>
      <c r="AM98" s="60">
        <f>ROUND(AL98,2)</f>
        <v>650000</v>
      </c>
      <c r="AN98" s="59">
        <v>448295</v>
      </c>
      <c r="AO98" s="148">
        <f>ROUND(AN98,2)*-1</f>
        <v>-448295</v>
      </c>
      <c r="AP98" s="58">
        <v>32890.350852669857</v>
      </c>
      <c r="AQ98" s="143">
        <f>ROUND(AP98,2)*-1</f>
        <v>-32890.35</v>
      </c>
    </row>
    <row r="99" spans="1:43" x14ac:dyDescent="0.35">
      <c r="A99" s="69" t="s">
        <v>43</v>
      </c>
      <c r="B99" s="15" t="s">
        <v>312</v>
      </c>
      <c r="C99" s="15"/>
      <c r="D99" s="69"/>
      <c r="E99" s="76">
        <v>0</v>
      </c>
      <c r="F99" s="69" t="s">
        <v>259</v>
      </c>
      <c r="G99" s="10" t="s">
        <v>260</v>
      </c>
      <c r="H99" s="15">
        <v>9007000007</v>
      </c>
      <c r="I99" s="92" t="s">
        <v>261</v>
      </c>
      <c r="J99" s="92">
        <v>1202010217</v>
      </c>
      <c r="K99" s="17" t="s">
        <v>313</v>
      </c>
      <c r="L99" s="95" t="s">
        <v>314</v>
      </c>
      <c r="M99" s="69" t="s">
        <v>315</v>
      </c>
      <c r="N99" s="69"/>
      <c r="O99" s="94">
        <v>1</v>
      </c>
      <c r="P99" s="69" t="s">
        <v>50</v>
      </c>
      <c r="Q99" s="69" t="s">
        <v>51</v>
      </c>
      <c r="R99" s="69"/>
      <c r="S99" s="46">
        <v>42323</v>
      </c>
      <c r="T99" s="48">
        <v>43191</v>
      </c>
      <c r="U99" s="69"/>
      <c r="V99" s="69"/>
      <c r="W99" s="69"/>
      <c r="X99" s="69"/>
      <c r="Y99" s="69" t="s">
        <v>4125</v>
      </c>
      <c r="Z99" s="43">
        <v>420000</v>
      </c>
      <c r="AA99" s="43" t="s">
        <v>52</v>
      </c>
      <c r="AB99" s="43" t="s">
        <v>53</v>
      </c>
      <c r="AC99" s="43">
        <v>4563</v>
      </c>
      <c r="AD99" s="141">
        <v>12</v>
      </c>
      <c r="AE99" s="142">
        <v>6</v>
      </c>
      <c r="AF99" s="142"/>
      <c r="AG99" s="69" t="str">
        <f>_xlfn.CONCAT(AH99," years ",AI99," days")</f>
        <v>6 years 277 days</v>
      </c>
      <c r="AH99" s="69">
        <v>6</v>
      </c>
      <c r="AI99" s="69">
        <v>277</v>
      </c>
      <c r="AJ99" s="69">
        <v>0</v>
      </c>
      <c r="AK99" s="69">
        <v>0</v>
      </c>
      <c r="AL99" s="60">
        <v>420000</v>
      </c>
      <c r="AM99" s="60">
        <f>ROUND(AL99,2)</f>
        <v>420000</v>
      </c>
      <c r="AN99" s="59">
        <v>227074</v>
      </c>
      <c r="AO99" s="148">
        <f>ROUND(AN99,2)*-1</f>
        <v>-227074</v>
      </c>
      <c r="AP99" s="58">
        <v>16660.385272846819</v>
      </c>
      <c r="AQ99" s="143">
        <f>ROUND(AP99,2)*-1</f>
        <v>-16660.39</v>
      </c>
    </row>
    <row r="100" spans="1:43" x14ac:dyDescent="0.35">
      <c r="A100" s="69" t="s">
        <v>43</v>
      </c>
      <c r="B100" s="15" t="s">
        <v>316</v>
      </c>
      <c r="C100" s="15"/>
      <c r="D100" s="69"/>
      <c r="E100" s="76">
        <v>0</v>
      </c>
      <c r="F100" s="69" t="s">
        <v>259</v>
      </c>
      <c r="G100" s="10" t="s">
        <v>260</v>
      </c>
      <c r="H100" s="15">
        <v>9007000008</v>
      </c>
      <c r="I100" s="92" t="s">
        <v>261</v>
      </c>
      <c r="J100" s="92">
        <v>1202010217</v>
      </c>
      <c r="K100" s="14"/>
      <c r="L100" s="95" t="s">
        <v>317</v>
      </c>
      <c r="M100" s="69" t="s">
        <v>318</v>
      </c>
      <c r="N100" s="69"/>
      <c r="O100" s="94">
        <v>1</v>
      </c>
      <c r="P100" s="69" t="s">
        <v>50</v>
      </c>
      <c r="Q100" s="69" t="s">
        <v>51</v>
      </c>
      <c r="R100" s="69"/>
      <c r="S100" s="46">
        <v>41307</v>
      </c>
      <c r="T100" s="48">
        <v>43191</v>
      </c>
      <c r="U100" s="69"/>
      <c r="V100" s="69"/>
      <c r="W100" s="69"/>
      <c r="X100" s="69"/>
      <c r="Y100" s="69" t="s">
        <v>4125</v>
      </c>
      <c r="Z100" s="43">
        <v>215000</v>
      </c>
      <c r="AA100" s="43" t="s">
        <v>52</v>
      </c>
      <c r="AB100" s="43" t="s">
        <v>53</v>
      </c>
      <c r="AC100" s="43">
        <v>1752</v>
      </c>
      <c r="AD100" s="141">
        <v>4</v>
      </c>
      <c r="AE100" s="142">
        <v>10</v>
      </c>
      <c r="AF100" s="142"/>
      <c r="AG100" s="69" t="str">
        <f t="shared" ref="AG100:AG106" si="24">_xlfn.CONCAT(AH100," years ",AI100," days")</f>
        <v>4 years 292 days</v>
      </c>
      <c r="AH100" s="69">
        <v>4</v>
      </c>
      <c r="AI100" s="69">
        <v>292</v>
      </c>
      <c r="AJ100" s="69">
        <v>0</v>
      </c>
      <c r="AK100" s="69">
        <v>0</v>
      </c>
      <c r="AL100" s="60">
        <v>215000</v>
      </c>
      <c r="AM100" s="60">
        <f t="shared" ref="AM100:AM106" si="25">ROUND(AL100,2)</f>
        <v>215000</v>
      </c>
      <c r="AN100" s="59">
        <v>215000</v>
      </c>
      <c r="AO100" s="148">
        <f t="shared" ref="AO100:AO106" si="26">ROUND(AN100,2)*-1</f>
        <v>-215000</v>
      </c>
      <c r="AP100" s="58">
        <v>0</v>
      </c>
      <c r="AQ100" s="143">
        <f t="shared" ref="AQ100:AQ106" si="27">ROUND(AP100,2)*-1</f>
        <v>0</v>
      </c>
    </row>
    <row r="101" spans="1:43" x14ac:dyDescent="0.35">
      <c r="A101" s="69" t="s">
        <v>43</v>
      </c>
      <c r="B101" s="15" t="s">
        <v>319</v>
      </c>
      <c r="C101" s="15"/>
      <c r="D101" s="69" t="e">
        <f>_xlfn.XLOOKUP(B101,SOM!B:B,SOM!D:D,,0)</f>
        <v>#N/A</v>
      </c>
      <c r="E101" s="76">
        <v>1</v>
      </c>
      <c r="F101" s="69" t="s">
        <v>259</v>
      </c>
      <c r="G101" s="10" t="s">
        <v>260</v>
      </c>
      <c r="H101" s="15">
        <v>9007000008</v>
      </c>
      <c r="I101" s="92" t="s">
        <v>261</v>
      </c>
      <c r="J101" s="92">
        <v>1202010217</v>
      </c>
      <c r="K101" s="16" t="s">
        <v>320</v>
      </c>
      <c r="L101" s="95" t="s">
        <v>321</v>
      </c>
      <c r="M101" s="69" t="s">
        <v>322</v>
      </c>
      <c r="N101" s="69"/>
      <c r="O101" s="94">
        <v>1</v>
      </c>
      <c r="P101" s="69" t="s">
        <v>50</v>
      </c>
      <c r="Q101" s="69" t="s">
        <v>51</v>
      </c>
      <c r="R101" s="69"/>
      <c r="S101" s="46">
        <v>44910</v>
      </c>
      <c r="T101" s="48">
        <v>44910</v>
      </c>
      <c r="U101" s="69"/>
      <c r="V101" s="69"/>
      <c r="W101" s="69"/>
      <c r="X101" s="69"/>
      <c r="Y101" s="69" t="s">
        <v>4131</v>
      </c>
      <c r="Z101" s="43">
        <v>7877130.1799999997</v>
      </c>
      <c r="AA101" s="43" t="s">
        <v>52</v>
      </c>
      <c r="AB101" s="43" t="s">
        <v>53</v>
      </c>
      <c r="AC101" s="43">
        <v>3650</v>
      </c>
      <c r="AD101" s="141">
        <v>10</v>
      </c>
      <c r="AE101" s="142">
        <v>0</v>
      </c>
      <c r="AF101" s="142"/>
      <c r="AG101" s="69" t="str">
        <f t="shared" si="24"/>
        <v>2 years 18 days</v>
      </c>
      <c r="AH101" s="69">
        <v>2</v>
      </c>
      <c r="AI101" s="69">
        <v>18</v>
      </c>
      <c r="AJ101" s="69">
        <v>0</v>
      </c>
      <c r="AK101" s="69">
        <v>0</v>
      </c>
      <c r="AL101" s="60">
        <v>7877130.1799999997</v>
      </c>
      <c r="AM101" s="60">
        <f t="shared" si="25"/>
        <v>7877130.1799999997</v>
      </c>
      <c r="AN101" s="59">
        <v>1614272</v>
      </c>
      <c r="AO101" s="148">
        <f t="shared" si="26"/>
        <v>-1614272</v>
      </c>
      <c r="AP101" s="58">
        <v>390619.48437260254</v>
      </c>
      <c r="AQ101" s="143">
        <f t="shared" si="27"/>
        <v>-390619.48</v>
      </c>
    </row>
    <row r="102" spans="1:43" x14ac:dyDescent="0.35">
      <c r="A102" s="69" t="s">
        <v>43</v>
      </c>
      <c r="B102" s="15" t="s">
        <v>323</v>
      </c>
      <c r="C102" s="15"/>
      <c r="D102" s="69" t="e">
        <f>_xlfn.XLOOKUP(B102,SOM!B:B,SOM!D:D,,0)</f>
        <v>#N/A</v>
      </c>
      <c r="E102" s="76">
        <v>2</v>
      </c>
      <c r="F102" s="69" t="s">
        <v>259</v>
      </c>
      <c r="G102" s="10" t="s">
        <v>260</v>
      </c>
      <c r="H102" s="15">
        <v>9007000008</v>
      </c>
      <c r="I102" s="92" t="s">
        <v>261</v>
      </c>
      <c r="J102" s="92">
        <v>1202010217</v>
      </c>
      <c r="K102" s="14" t="s">
        <v>324</v>
      </c>
      <c r="L102" s="95" t="s">
        <v>325</v>
      </c>
      <c r="M102" s="69" t="s">
        <v>326</v>
      </c>
      <c r="N102" s="69"/>
      <c r="O102" s="94">
        <v>1</v>
      </c>
      <c r="P102" s="69" t="s">
        <v>50</v>
      </c>
      <c r="Q102" s="69" t="s">
        <v>51</v>
      </c>
      <c r="R102" s="69"/>
      <c r="S102" s="46">
        <v>45000</v>
      </c>
      <c r="T102" s="48">
        <v>45000</v>
      </c>
      <c r="U102" s="69"/>
      <c r="V102" s="69"/>
      <c r="W102" s="69"/>
      <c r="X102" s="69"/>
      <c r="Y102" s="69" t="s">
        <v>4129</v>
      </c>
      <c r="Z102" s="43">
        <v>4196003.7</v>
      </c>
      <c r="AA102" s="43" t="s">
        <v>52</v>
      </c>
      <c r="AB102" s="43" t="s">
        <v>53</v>
      </c>
      <c r="AC102" s="43">
        <v>3650</v>
      </c>
      <c r="AD102" s="141">
        <v>10</v>
      </c>
      <c r="AE102" s="142">
        <v>0</v>
      </c>
      <c r="AF102" s="142"/>
      <c r="AG102" s="69" t="str">
        <f t="shared" si="24"/>
        <v>1 years 293 days</v>
      </c>
      <c r="AH102" s="69">
        <v>1</v>
      </c>
      <c r="AI102" s="69">
        <v>293</v>
      </c>
      <c r="AJ102" s="69">
        <v>0</v>
      </c>
      <c r="AK102" s="69">
        <v>0</v>
      </c>
      <c r="AL102" s="60">
        <v>4196003.7</v>
      </c>
      <c r="AM102" s="60">
        <f t="shared" si="25"/>
        <v>4196003.7</v>
      </c>
      <c r="AN102" s="59">
        <v>756430</v>
      </c>
      <c r="AO102" s="148">
        <f t="shared" si="26"/>
        <v>-756430</v>
      </c>
      <c r="AP102" s="58">
        <v>208076.05736986303</v>
      </c>
      <c r="AQ102" s="143">
        <f t="shared" si="27"/>
        <v>-208076.06</v>
      </c>
    </row>
    <row r="103" spans="1:43" x14ac:dyDescent="0.35">
      <c r="A103" s="69" t="s">
        <v>43</v>
      </c>
      <c r="B103" s="15" t="s">
        <v>327</v>
      </c>
      <c r="C103" s="15"/>
      <c r="D103" s="69" t="e">
        <f>_xlfn.XLOOKUP(B103,SOM!B:B,SOM!D:D,,0)</f>
        <v>#N/A</v>
      </c>
      <c r="E103" s="76">
        <v>3</v>
      </c>
      <c r="F103" s="69" t="s">
        <v>259</v>
      </c>
      <c r="G103" s="10" t="s">
        <v>260</v>
      </c>
      <c r="H103" s="15">
        <v>9007000008</v>
      </c>
      <c r="I103" s="92" t="s">
        <v>261</v>
      </c>
      <c r="J103" s="92">
        <v>1202010217</v>
      </c>
      <c r="K103" s="14" t="s">
        <v>328</v>
      </c>
      <c r="L103" s="95" t="s">
        <v>329</v>
      </c>
      <c r="M103" s="69" t="s">
        <v>330</v>
      </c>
      <c r="N103" s="69"/>
      <c r="O103" s="94">
        <v>4</v>
      </c>
      <c r="P103" s="69" t="s">
        <v>50</v>
      </c>
      <c r="Q103" s="69" t="s">
        <v>51</v>
      </c>
      <c r="R103" s="69"/>
      <c r="S103" s="46">
        <v>45402</v>
      </c>
      <c r="T103" s="48">
        <v>45402</v>
      </c>
      <c r="U103" s="69"/>
      <c r="V103" s="69"/>
      <c r="W103" s="69"/>
      <c r="X103" s="69"/>
      <c r="Y103" s="69" t="s">
        <v>4130</v>
      </c>
      <c r="Z103" s="43">
        <v>668360</v>
      </c>
      <c r="AA103" s="43" t="s">
        <v>52</v>
      </c>
      <c r="AB103" s="43" t="s">
        <v>53</v>
      </c>
      <c r="AC103" s="43">
        <v>3650</v>
      </c>
      <c r="AD103" s="141">
        <v>10</v>
      </c>
      <c r="AE103" s="142">
        <v>0</v>
      </c>
      <c r="AF103" s="142"/>
      <c r="AG103" s="69" t="str">
        <f t="shared" si="24"/>
        <v>0 years 256 days</v>
      </c>
      <c r="AH103" s="69">
        <v>0</v>
      </c>
      <c r="AI103" s="69">
        <v>256</v>
      </c>
      <c r="AJ103" s="69">
        <v>0</v>
      </c>
      <c r="AK103" s="69">
        <v>0</v>
      </c>
      <c r="AL103" s="60">
        <v>668360</v>
      </c>
      <c r="AM103" s="60">
        <f t="shared" si="25"/>
        <v>668360</v>
      </c>
      <c r="AN103" s="59">
        <v>46877</v>
      </c>
      <c r="AO103" s="148">
        <f t="shared" si="26"/>
        <v>-46877</v>
      </c>
      <c r="AP103" s="58">
        <v>33143.087671232875</v>
      </c>
      <c r="AQ103" s="143">
        <f t="shared" si="27"/>
        <v>-33143.089999999997</v>
      </c>
    </row>
    <row r="104" spans="1:43" x14ac:dyDescent="0.35">
      <c r="A104" s="69" t="s">
        <v>43</v>
      </c>
      <c r="B104" s="15" t="s">
        <v>331</v>
      </c>
      <c r="C104" s="15"/>
      <c r="D104" s="69" t="e">
        <f>_xlfn.XLOOKUP(B104,SOM!B:B,SOM!D:D,,0)</f>
        <v>#N/A</v>
      </c>
      <c r="E104" s="76">
        <v>4</v>
      </c>
      <c r="F104" s="69" t="s">
        <v>259</v>
      </c>
      <c r="G104" s="10" t="s">
        <v>260</v>
      </c>
      <c r="H104" s="15">
        <v>9007000008</v>
      </c>
      <c r="I104" s="92" t="s">
        <v>261</v>
      </c>
      <c r="J104" s="92">
        <v>1202010217</v>
      </c>
      <c r="K104" s="14"/>
      <c r="L104" s="95" t="s">
        <v>332</v>
      </c>
      <c r="M104" s="69" t="s">
        <v>49</v>
      </c>
      <c r="N104" s="69"/>
      <c r="O104" s="94">
        <v>1</v>
      </c>
      <c r="P104" s="69" t="s">
        <v>50</v>
      </c>
      <c r="Q104" s="69" t="s">
        <v>51</v>
      </c>
      <c r="R104" s="69"/>
      <c r="S104" s="46">
        <v>40446</v>
      </c>
      <c r="T104" s="48">
        <v>43191</v>
      </c>
      <c r="U104" s="69"/>
      <c r="V104" s="69"/>
      <c r="W104" s="69"/>
      <c r="X104" s="69"/>
      <c r="Y104" s="69" t="s">
        <v>4125</v>
      </c>
      <c r="Z104" s="43">
        <v>220000</v>
      </c>
      <c r="AA104" s="43" t="s">
        <v>52</v>
      </c>
      <c r="AB104" s="43" t="s">
        <v>53</v>
      </c>
      <c r="AC104" s="43">
        <v>2738</v>
      </c>
      <c r="AD104" s="141">
        <v>7</v>
      </c>
      <c r="AE104" s="142">
        <v>6</v>
      </c>
      <c r="AF104" s="142"/>
      <c r="AG104" s="69" t="str">
        <f t="shared" si="24"/>
        <v>6 years 277 days</v>
      </c>
      <c r="AH104" s="69">
        <v>6</v>
      </c>
      <c r="AI104" s="69">
        <v>277</v>
      </c>
      <c r="AJ104" s="69">
        <v>0</v>
      </c>
      <c r="AK104" s="69">
        <v>0</v>
      </c>
      <c r="AL104" s="60">
        <v>220000</v>
      </c>
      <c r="AM104" s="60">
        <f t="shared" si="25"/>
        <v>220000</v>
      </c>
      <c r="AN104" s="59">
        <v>198225</v>
      </c>
      <c r="AO104" s="148">
        <f t="shared" si="26"/>
        <v>-198225</v>
      </c>
      <c r="AP104" s="58">
        <v>14543.444119795458</v>
      </c>
      <c r="AQ104" s="143">
        <f t="shared" si="27"/>
        <v>-14543.44</v>
      </c>
    </row>
    <row r="105" spans="1:43" x14ac:dyDescent="0.35">
      <c r="A105" s="69" t="s">
        <v>43</v>
      </c>
      <c r="B105" s="15" t="s">
        <v>333</v>
      </c>
      <c r="C105" s="15"/>
      <c r="D105" s="69" t="e">
        <f>_xlfn.XLOOKUP(B105,SOM!B:B,SOM!D:D,,0)</f>
        <v>#N/A</v>
      </c>
      <c r="E105" s="76">
        <v>5</v>
      </c>
      <c r="F105" s="69" t="s">
        <v>259</v>
      </c>
      <c r="G105" s="10" t="s">
        <v>260</v>
      </c>
      <c r="H105" s="15">
        <v>9007000008</v>
      </c>
      <c r="I105" s="92" t="s">
        <v>261</v>
      </c>
      <c r="J105" s="92">
        <v>1202010217</v>
      </c>
      <c r="K105" s="19"/>
      <c r="L105" s="95" t="s">
        <v>334</v>
      </c>
      <c r="M105" s="69" t="s">
        <v>335</v>
      </c>
      <c r="N105" s="69"/>
      <c r="O105" s="94">
        <v>1</v>
      </c>
      <c r="P105" s="69" t="s">
        <v>50</v>
      </c>
      <c r="Q105" s="69" t="s">
        <v>51</v>
      </c>
      <c r="R105" s="69"/>
      <c r="S105" s="46">
        <v>44865</v>
      </c>
      <c r="T105" s="48">
        <v>44865</v>
      </c>
      <c r="U105" s="69"/>
      <c r="V105" s="69"/>
      <c r="W105" s="69"/>
      <c r="X105" s="69"/>
      <c r="Y105" s="69" t="s">
        <v>4131</v>
      </c>
      <c r="Z105" s="43">
        <v>115000</v>
      </c>
      <c r="AA105" s="43" t="s">
        <v>52</v>
      </c>
      <c r="AB105" s="43" t="s">
        <v>53</v>
      </c>
      <c r="AC105" s="43">
        <v>3650</v>
      </c>
      <c r="AD105" s="141">
        <v>10</v>
      </c>
      <c r="AE105" s="142">
        <v>0</v>
      </c>
      <c r="AF105" s="142"/>
      <c r="AG105" s="69" t="str">
        <f t="shared" si="24"/>
        <v>2 years 63 days</v>
      </c>
      <c r="AH105" s="69">
        <v>2</v>
      </c>
      <c r="AI105" s="69">
        <v>63</v>
      </c>
      <c r="AJ105" s="69">
        <v>0</v>
      </c>
      <c r="AK105" s="69">
        <v>0</v>
      </c>
      <c r="AL105" s="60">
        <v>115000</v>
      </c>
      <c r="AM105" s="60">
        <f t="shared" si="25"/>
        <v>115000</v>
      </c>
      <c r="AN105" s="59">
        <v>106013</v>
      </c>
      <c r="AO105" s="148">
        <f t="shared" si="26"/>
        <v>-106013</v>
      </c>
      <c r="AP105" s="58">
        <v>5702.9055354472803</v>
      </c>
      <c r="AQ105" s="143">
        <f t="shared" si="27"/>
        <v>-5702.91</v>
      </c>
    </row>
    <row r="106" spans="1:43" x14ac:dyDescent="0.35">
      <c r="A106" s="69" t="s">
        <v>43</v>
      </c>
      <c r="B106" s="15" t="s">
        <v>336</v>
      </c>
      <c r="C106" s="15"/>
      <c r="D106" s="69" t="e">
        <f>_xlfn.XLOOKUP(B106,SOM!B:B,SOM!D:D,,0)</f>
        <v>#N/A</v>
      </c>
      <c r="E106" s="76">
        <v>6</v>
      </c>
      <c r="F106" s="69" t="s">
        <v>259</v>
      </c>
      <c r="G106" s="10" t="s">
        <v>260</v>
      </c>
      <c r="H106" s="15">
        <v>9007000008</v>
      </c>
      <c r="I106" s="92" t="s">
        <v>261</v>
      </c>
      <c r="J106" s="92">
        <v>1202010217</v>
      </c>
      <c r="K106" s="19"/>
      <c r="L106" s="95" t="s">
        <v>337</v>
      </c>
      <c r="M106" s="69" t="s">
        <v>338</v>
      </c>
      <c r="N106" s="69"/>
      <c r="O106" s="94">
        <v>1</v>
      </c>
      <c r="P106" s="69" t="s">
        <v>50</v>
      </c>
      <c r="Q106" s="69" t="s">
        <v>51</v>
      </c>
      <c r="R106" s="69"/>
      <c r="S106" s="46">
        <v>44865</v>
      </c>
      <c r="T106" s="48">
        <v>44865</v>
      </c>
      <c r="U106" s="69"/>
      <c r="V106" s="69"/>
      <c r="W106" s="69"/>
      <c r="X106" s="69"/>
      <c r="Y106" s="69" t="s">
        <v>4131</v>
      </c>
      <c r="Z106" s="43">
        <v>62500</v>
      </c>
      <c r="AA106" s="43" t="s">
        <v>52</v>
      </c>
      <c r="AB106" s="43" t="s">
        <v>53</v>
      </c>
      <c r="AC106" s="43">
        <v>3650</v>
      </c>
      <c r="AD106" s="141">
        <v>10</v>
      </c>
      <c r="AE106" s="142">
        <v>0</v>
      </c>
      <c r="AF106" s="142"/>
      <c r="AG106" s="69" t="str">
        <f t="shared" si="24"/>
        <v>2 years 63 days</v>
      </c>
      <c r="AH106" s="69">
        <v>2</v>
      </c>
      <c r="AI106" s="69">
        <v>63</v>
      </c>
      <c r="AJ106" s="69">
        <v>0</v>
      </c>
      <c r="AK106" s="69">
        <v>0</v>
      </c>
      <c r="AL106" s="60">
        <v>62500</v>
      </c>
      <c r="AM106" s="60">
        <f t="shared" si="25"/>
        <v>62500</v>
      </c>
      <c r="AN106" s="59">
        <v>57616</v>
      </c>
      <c r="AO106" s="148">
        <f t="shared" si="26"/>
        <v>-57616</v>
      </c>
      <c r="AP106" s="58">
        <v>3099.1660518735298</v>
      </c>
      <c r="AQ106" s="143">
        <f t="shared" si="27"/>
        <v>-3099.17</v>
      </c>
    </row>
    <row r="107" spans="1:43" x14ac:dyDescent="0.35">
      <c r="A107" s="69" t="s">
        <v>43</v>
      </c>
      <c r="B107" s="15" t="s">
        <v>339</v>
      </c>
      <c r="C107" s="15"/>
      <c r="D107" s="69"/>
      <c r="E107" s="76">
        <v>0</v>
      </c>
      <c r="F107" s="69" t="s">
        <v>259</v>
      </c>
      <c r="G107" s="10" t="s">
        <v>260</v>
      </c>
      <c r="H107" s="15">
        <v>9007000009</v>
      </c>
      <c r="I107" s="92" t="s">
        <v>261</v>
      </c>
      <c r="J107" s="92">
        <v>1202010217</v>
      </c>
      <c r="K107" s="17" t="s">
        <v>340</v>
      </c>
      <c r="L107" s="95" t="s">
        <v>341</v>
      </c>
      <c r="M107" s="69" t="s">
        <v>342</v>
      </c>
      <c r="N107" s="69"/>
      <c r="O107" s="94">
        <v>1</v>
      </c>
      <c r="P107" s="69" t="s">
        <v>50</v>
      </c>
      <c r="Q107" s="69" t="s">
        <v>51</v>
      </c>
      <c r="R107" s="69"/>
      <c r="S107" s="46">
        <v>44020</v>
      </c>
      <c r="T107" s="48">
        <v>44020</v>
      </c>
      <c r="U107" s="69"/>
      <c r="V107" s="69"/>
      <c r="W107" s="69"/>
      <c r="X107" s="69"/>
      <c r="Y107" s="69" t="s">
        <v>4127</v>
      </c>
      <c r="Z107" s="43">
        <v>232250</v>
      </c>
      <c r="AA107" s="43" t="s">
        <v>52</v>
      </c>
      <c r="AB107" s="43" t="s">
        <v>53</v>
      </c>
      <c r="AC107" s="43">
        <v>3650</v>
      </c>
      <c r="AD107" s="141">
        <v>10</v>
      </c>
      <c r="AE107" s="142">
        <v>0</v>
      </c>
      <c r="AF107" s="142"/>
      <c r="AG107" s="69" t="str">
        <f t="shared" ref="AG107:AG109" si="28">_xlfn.CONCAT(AH107," years ",AI107," days")</f>
        <v>4 years 178 days</v>
      </c>
      <c r="AH107" s="69">
        <v>4</v>
      </c>
      <c r="AI107" s="69">
        <v>178</v>
      </c>
      <c r="AJ107" s="69">
        <v>0</v>
      </c>
      <c r="AK107" s="69">
        <v>0</v>
      </c>
      <c r="AL107" s="60">
        <v>232250</v>
      </c>
      <c r="AM107" s="60">
        <f t="shared" ref="AM107:AM109" si="29">ROUND(AL107,2)</f>
        <v>232250</v>
      </c>
      <c r="AN107" s="59">
        <v>104226</v>
      </c>
      <c r="AO107" s="148">
        <f t="shared" ref="AO107:AO109" si="30">ROUND(AN107,2)*-1</f>
        <v>-104226</v>
      </c>
      <c r="AP107" s="58">
        <v>11517.219178082189</v>
      </c>
      <c r="AQ107" s="143">
        <f t="shared" ref="AQ107:AQ109" si="31">ROUND(AP107,2)*-1</f>
        <v>-11517.22</v>
      </c>
    </row>
    <row r="108" spans="1:43" x14ac:dyDescent="0.35">
      <c r="A108" s="69" t="s">
        <v>43</v>
      </c>
      <c r="B108" s="15" t="s">
        <v>343</v>
      </c>
      <c r="C108" s="15"/>
      <c r="D108" s="69" t="e">
        <f>_xlfn.XLOOKUP(B108,SOM!B:B,SOM!D:D,,0)</f>
        <v>#N/A</v>
      </c>
      <c r="E108" s="76">
        <v>1</v>
      </c>
      <c r="F108" s="69" t="s">
        <v>259</v>
      </c>
      <c r="G108" s="10" t="s">
        <v>260</v>
      </c>
      <c r="H108" s="15">
        <v>9007000009</v>
      </c>
      <c r="I108" s="92" t="s">
        <v>261</v>
      </c>
      <c r="J108" s="92">
        <v>1202010217</v>
      </c>
      <c r="K108" s="17" t="s">
        <v>344</v>
      </c>
      <c r="L108" s="95" t="s">
        <v>345</v>
      </c>
      <c r="M108" s="69" t="s">
        <v>346</v>
      </c>
      <c r="N108" s="69"/>
      <c r="O108" s="94">
        <v>1</v>
      </c>
      <c r="P108" s="69" t="s">
        <v>50</v>
      </c>
      <c r="Q108" s="69" t="s">
        <v>51</v>
      </c>
      <c r="R108" s="69"/>
      <c r="S108" s="46">
        <v>44621</v>
      </c>
      <c r="T108" s="48">
        <v>44621</v>
      </c>
      <c r="U108" s="69"/>
      <c r="V108" s="69"/>
      <c r="W108" s="69"/>
      <c r="X108" s="69"/>
      <c r="Y108" s="69" t="s">
        <v>4131</v>
      </c>
      <c r="Z108" s="43">
        <v>1622288</v>
      </c>
      <c r="AA108" s="43" t="s">
        <v>52</v>
      </c>
      <c r="AB108" s="43" t="s">
        <v>53</v>
      </c>
      <c r="AC108" s="43">
        <v>3650</v>
      </c>
      <c r="AD108" s="141">
        <v>10</v>
      </c>
      <c r="AE108" s="142">
        <v>0</v>
      </c>
      <c r="AF108" s="142"/>
      <c r="AG108" s="69" t="str">
        <f t="shared" si="28"/>
        <v>2 years 307 days</v>
      </c>
      <c r="AH108" s="69">
        <v>2</v>
      </c>
      <c r="AI108" s="69">
        <v>307</v>
      </c>
      <c r="AJ108" s="69">
        <v>0</v>
      </c>
      <c r="AK108" s="69">
        <v>0</v>
      </c>
      <c r="AL108" s="60">
        <v>1622288</v>
      </c>
      <c r="AM108" s="60">
        <f t="shared" si="29"/>
        <v>1622288</v>
      </c>
      <c r="AN108" s="59">
        <v>460908</v>
      </c>
      <c r="AO108" s="148">
        <f t="shared" si="30"/>
        <v>-460908</v>
      </c>
      <c r="AP108" s="58">
        <v>80447.283287671278</v>
      </c>
      <c r="AQ108" s="143">
        <f t="shared" si="31"/>
        <v>-80447.28</v>
      </c>
    </row>
    <row r="109" spans="1:43" x14ac:dyDescent="0.35">
      <c r="A109" s="69" t="s">
        <v>43</v>
      </c>
      <c r="B109" s="15" t="s">
        <v>347</v>
      </c>
      <c r="C109" s="15"/>
      <c r="D109" s="69" t="e">
        <f>_xlfn.XLOOKUP(B109,SOM!B:B,SOM!D:D,,0)</f>
        <v>#N/A</v>
      </c>
      <c r="E109" s="76">
        <v>2</v>
      </c>
      <c r="F109" s="69" t="s">
        <v>259</v>
      </c>
      <c r="G109" s="10" t="s">
        <v>260</v>
      </c>
      <c r="H109" s="15">
        <v>9007000009</v>
      </c>
      <c r="I109" s="92" t="s">
        <v>261</v>
      </c>
      <c r="J109" s="92">
        <v>1202010217</v>
      </c>
      <c r="K109" s="14"/>
      <c r="L109" s="95" t="s">
        <v>348</v>
      </c>
      <c r="M109" s="69" t="s">
        <v>349</v>
      </c>
      <c r="N109" s="69"/>
      <c r="O109" s="94">
        <v>1</v>
      </c>
      <c r="P109" s="69" t="s">
        <v>50</v>
      </c>
      <c r="Q109" s="69" t="s">
        <v>51</v>
      </c>
      <c r="R109" s="69"/>
      <c r="S109" s="46">
        <v>45310</v>
      </c>
      <c r="T109" s="48">
        <v>45310</v>
      </c>
      <c r="U109" s="69"/>
      <c r="V109" s="69"/>
      <c r="W109" s="69"/>
      <c r="X109" s="69"/>
      <c r="Y109" s="69" t="s">
        <v>4130</v>
      </c>
      <c r="Z109" s="43">
        <v>48353</v>
      </c>
      <c r="AA109" s="43" t="s">
        <v>52</v>
      </c>
      <c r="AB109" s="43" t="s">
        <v>53</v>
      </c>
      <c r="AC109" s="43">
        <v>3650</v>
      </c>
      <c r="AD109" s="141">
        <v>10</v>
      </c>
      <c r="AE109" s="142">
        <v>0</v>
      </c>
      <c r="AF109" s="142"/>
      <c r="AG109" s="69" t="str">
        <f t="shared" si="28"/>
        <v>0 years 348 days</v>
      </c>
      <c r="AH109" s="69">
        <v>0</v>
      </c>
      <c r="AI109" s="69">
        <v>348</v>
      </c>
      <c r="AJ109" s="69">
        <v>0</v>
      </c>
      <c r="AK109" s="69">
        <v>0</v>
      </c>
      <c r="AL109" s="60">
        <v>48353</v>
      </c>
      <c r="AM109" s="60">
        <f t="shared" si="29"/>
        <v>48353</v>
      </c>
      <c r="AN109" s="59">
        <v>4610</v>
      </c>
      <c r="AO109" s="148">
        <f t="shared" si="30"/>
        <v>-4610</v>
      </c>
      <c r="AP109" s="58">
        <v>2397.8731506849326</v>
      </c>
      <c r="AQ109" s="143">
        <f t="shared" si="31"/>
        <v>-2397.87</v>
      </c>
    </row>
    <row r="110" spans="1:43" x14ac:dyDescent="0.35">
      <c r="A110" s="69" t="s">
        <v>43</v>
      </c>
      <c r="B110" s="15" t="s">
        <v>350</v>
      </c>
      <c r="C110" s="15"/>
      <c r="D110" s="69"/>
      <c r="E110" s="76">
        <v>0</v>
      </c>
      <c r="F110" s="69" t="s">
        <v>259</v>
      </c>
      <c r="G110" s="10" t="s">
        <v>260</v>
      </c>
      <c r="H110" s="15">
        <v>9007000010</v>
      </c>
      <c r="I110" s="92" t="s">
        <v>261</v>
      </c>
      <c r="J110" s="92">
        <v>1202010217</v>
      </c>
      <c r="K110" s="17" t="s">
        <v>351</v>
      </c>
      <c r="L110" s="95" t="s">
        <v>352</v>
      </c>
      <c r="M110" s="69" t="s">
        <v>49</v>
      </c>
      <c r="N110" s="69"/>
      <c r="O110" s="94">
        <v>1</v>
      </c>
      <c r="P110" s="69" t="s">
        <v>50</v>
      </c>
      <c r="Q110" s="69" t="s">
        <v>51</v>
      </c>
      <c r="R110" s="69"/>
      <c r="S110" s="46">
        <v>40089</v>
      </c>
      <c r="T110" s="48">
        <v>43191</v>
      </c>
      <c r="U110" s="69"/>
      <c r="V110" s="69"/>
      <c r="W110" s="69"/>
      <c r="X110" s="69"/>
      <c r="Y110" s="69" t="s">
        <v>4125</v>
      </c>
      <c r="Z110" s="43">
        <v>480000</v>
      </c>
      <c r="AA110" s="43" t="s">
        <v>52</v>
      </c>
      <c r="AB110" s="43" t="s">
        <v>53</v>
      </c>
      <c r="AC110" s="43">
        <v>548</v>
      </c>
      <c r="AD110" s="141">
        <v>1</v>
      </c>
      <c r="AE110" s="142">
        <v>6</v>
      </c>
      <c r="AF110" s="142"/>
      <c r="AG110" s="69" t="str">
        <f>_xlfn.CONCAT(AH110," years ",AI110," days")</f>
        <v>1 years 183 days</v>
      </c>
      <c r="AH110" s="69">
        <v>1</v>
      </c>
      <c r="AI110" s="69">
        <v>183</v>
      </c>
      <c r="AJ110" s="69">
        <v>0</v>
      </c>
      <c r="AK110" s="69">
        <v>0</v>
      </c>
      <c r="AL110" s="60">
        <v>480000</v>
      </c>
      <c r="AM110" s="60">
        <f>ROUND(AL110,2)</f>
        <v>480000</v>
      </c>
      <c r="AN110" s="59">
        <v>480000</v>
      </c>
      <c r="AO110" s="148">
        <f>ROUND(AN110,2)*-1</f>
        <v>-480000</v>
      </c>
      <c r="AP110" s="58">
        <v>0</v>
      </c>
      <c r="AQ110" s="143">
        <f>ROUND(AP110,2)*-1</f>
        <v>0</v>
      </c>
    </row>
    <row r="111" spans="1:43" x14ac:dyDescent="0.35">
      <c r="A111" s="69" t="s">
        <v>43</v>
      </c>
      <c r="B111" s="15" t="s">
        <v>353</v>
      </c>
      <c r="C111" s="15"/>
      <c r="D111" s="69"/>
      <c r="E111" s="76">
        <v>0</v>
      </c>
      <c r="F111" s="69" t="s">
        <v>259</v>
      </c>
      <c r="G111" s="10" t="s">
        <v>260</v>
      </c>
      <c r="H111" s="15">
        <v>9007000011</v>
      </c>
      <c r="I111" s="92" t="s">
        <v>261</v>
      </c>
      <c r="J111" s="92">
        <v>1202010217</v>
      </c>
      <c r="K111" s="17" t="s">
        <v>354</v>
      </c>
      <c r="L111" s="95" t="s">
        <v>355</v>
      </c>
      <c r="M111" s="69" t="s">
        <v>49</v>
      </c>
      <c r="N111" s="69"/>
      <c r="O111" s="94">
        <v>1</v>
      </c>
      <c r="P111" s="69" t="s">
        <v>50</v>
      </c>
      <c r="Q111" s="69" t="s">
        <v>51</v>
      </c>
      <c r="R111" s="69"/>
      <c r="S111" s="46">
        <v>40492</v>
      </c>
      <c r="T111" s="48">
        <v>43191</v>
      </c>
      <c r="U111" s="69"/>
      <c r="V111" s="69"/>
      <c r="W111" s="69"/>
      <c r="X111" s="69"/>
      <c r="Y111" s="69" t="s">
        <v>4125</v>
      </c>
      <c r="Z111" s="43">
        <v>730000</v>
      </c>
      <c r="AA111" s="43" t="s">
        <v>52</v>
      </c>
      <c r="AB111" s="43" t="s">
        <v>53</v>
      </c>
      <c r="AC111" s="43">
        <v>949</v>
      </c>
      <c r="AD111" s="141">
        <v>2</v>
      </c>
      <c r="AE111" s="142">
        <v>7</v>
      </c>
      <c r="AF111" s="142"/>
      <c r="AG111" s="69" t="str">
        <f>_xlfn.CONCAT(AH111," years ",AI111," days")</f>
        <v>2 years 219 days</v>
      </c>
      <c r="AH111" s="69">
        <v>2</v>
      </c>
      <c r="AI111" s="69">
        <v>219</v>
      </c>
      <c r="AJ111" s="69">
        <v>0</v>
      </c>
      <c r="AK111" s="69">
        <v>0</v>
      </c>
      <c r="AL111" s="60">
        <v>730000</v>
      </c>
      <c r="AM111" s="60">
        <f>ROUND(AL111,2)</f>
        <v>730000</v>
      </c>
      <c r="AN111" s="59">
        <v>730000</v>
      </c>
      <c r="AO111" s="148">
        <f>ROUND(AN111,2)*-1</f>
        <v>-730000</v>
      </c>
      <c r="AP111" s="58">
        <v>0</v>
      </c>
      <c r="AQ111" s="143">
        <f>ROUND(AP111,2)*-1</f>
        <v>0</v>
      </c>
    </row>
    <row r="112" spans="1:43" x14ac:dyDescent="0.35">
      <c r="A112" s="69" t="s">
        <v>43</v>
      </c>
      <c r="B112" s="15" t="s">
        <v>356</v>
      </c>
      <c r="C112" s="15"/>
      <c r="D112" s="69"/>
      <c r="E112" s="76">
        <v>0</v>
      </c>
      <c r="F112" s="69" t="s">
        <v>259</v>
      </c>
      <c r="G112" s="10" t="s">
        <v>260</v>
      </c>
      <c r="H112" s="8">
        <v>9007000012</v>
      </c>
      <c r="I112" s="92" t="s">
        <v>261</v>
      </c>
      <c r="J112" s="92">
        <v>1202010217</v>
      </c>
      <c r="K112" s="17" t="s">
        <v>357</v>
      </c>
      <c r="L112" s="95" t="s">
        <v>358</v>
      </c>
      <c r="M112" s="69" t="s">
        <v>49</v>
      </c>
      <c r="N112" s="69"/>
      <c r="O112" s="94">
        <v>1</v>
      </c>
      <c r="P112" s="69" t="s">
        <v>50</v>
      </c>
      <c r="Q112" s="69" t="s">
        <v>51</v>
      </c>
      <c r="R112" s="69"/>
      <c r="S112" s="46">
        <v>40679</v>
      </c>
      <c r="T112" s="48">
        <v>43191</v>
      </c>
      <c r="U112" s="69"/>
      <c r="V112" s="69"/>
      <c r="W112" s="69"/>
      <c r="X112" s="69"/>
      <c r="Y112" s="69" t="s">
        <v>4125</v>
      </c>
      <c r="Z112" s="43">
        <v>740000</v>
      </c>
      <c r="AA112" s="43" t="s">
        <v>52</v>
      </c>
      <c r="AB112" s="43" t="s">
        <v>53</v>
      </c>
      <c r="AC112" s="43">
        <v>1132</v>
      </c>
      <c r="AD112" s="141">
        <v>3</v>
      </c>
      <c r="AE112" s="142">
        <v>1</v>
      </c>
      <c r="AF112" s="142"/>
      <c r="AG112" s="69" t="str">
        <f t="shared" ref="AG112:AG115" si="32">_xlfn.CONCAT(AH112," years ",AI112," days")</f>
        <v>3 years 37 days</v>
      </c>
      <c r="AH112" s="69">
        <v>3</v>
      </c>
      <c r="AI112" s="69">
        <v>37</v>
      </c>
      <c r="AJ112" s="69">
        <v>0</v>
      </c>
      <c r="AK112" s="69">
        <v>0</v>
      </c>
      <c r="AL112" s="60">
        <v>740000</v>
      </c>
      <c r="AM112" s="60">
        <f t="shared" ref="AM112:AM115" si="33">ROUND(AL112,2)</f>
        <v>740000</v>
      </c>
      <c r="AN112" s="59">
        <v>740000</v>
      </c>
      <c r="AO112" s="148">
        <f t="shared" ref="AO112:AO115" si="34">ROUND(AN112,2)*-1</f>
        <v>-740000</v>
      </c>
      <c r="AP112" s="58">
        <v>0</v>
      </c>
      <c r="AQ112" s="143">
        <f t="shared" ref="AQ112:AQ115" si="35">ROUND(AP112,2)*-1</f>
        <v>0</v>
      </c>
    </row>
    <row r="113" spans="1:43" x14ac:dyDescent="0.35">
      <c r="A113" s="69" t="s">
        <v>43</v>
      </c>
      <c r="B113" s="15" t="s">
        <v>359</v>
      </c>
      <c r="C113" s="15"/>
      <c r="D113" s="69" t="e">
        <f>_xlfn.XLOOKUP(B113,SOM!B:B,SOM!D:D,,0)</f>
        <v>#N/A</v>
      </c>
      <c r="E113" s="76">
        <v>1</v>
      </c>
      <c r="F113" s="69" t="s">
        <v>259</v>
      </c>
      <c r="G113" s="10" t="s">
        <v>260</v>
      </c>
      <c r="H113" s="15">
        <v>9007000012</v>
      </c>
      <c r="I113" s="92" t="s">
        <v>261</v>
      </c>
      <c r="J113" s="92">
        <v>1202010217</v>
      </c>
      <c r="K113" s="17" t="s">
        <v>360</v>
      </c>
      <c r="L113" s="95" t="s">
        <v>361</v>
      </c>
      <c r="M113" s="69" t="s">
        <v>362</v>
      </c>
      <c r="N113" s="69"/>
      <c r="O113" s="94">
        <v>1</v>
      </c>
      <c r="P113" s="69" t="s">
        <v>50</v>
      </c>
      <c r="Q113" s="69" t="s">
        <v>51</v>
      </c>
      <c r="R113" s="69"/>
      <c r="S113" s="46">
        <v>44336</v>
      </c>
      <c r="T113" s="48">
        <v>44336</v>
      </c>
      <c r="U113" s="69"/>
      <c r="V113" s="69"/>
      <c r="W113" s="69"/>
      <c r="X113" s="69"/>
      <c r="Y113" s="69" t="s">
        <v>4128</v>
      </c>
      <c r="Z113" s="43">
        <v>164664</v>
      </c>
      <c r="AA113" s="43" t="s">
        <v>52</v>
      </c>
      <c r="AB113" s="43" t="s">
        <v>53</v>
      </c>
      <c r="AC113" s="43">
        <v>3650</v>
      </c>
      <c r="AD113" s="141">
        <v>10</v>
      </c>
      <c r="AE113" s="142">
        <v>0</v>
      </c>
      <c r="AF113" s="142"/>
      <c r="AG113" s="69" t="str">
        <f t="shared" si="32"/>
        <v>3 years 227 days</v>
      </c>
      <c r="AH113" s="69">
        <v>3</v>
      </c>
      <c r="AI113" s="69">
        <v>227</v>
      </c>
      <c r="AJ113" s="69">
        <v>0</v>
      </c>
      <c r="AK113" s="69">
        <v>0</v>
      </c>
      <c r="AL113" s="60">
        <v>164664</v>
      </c>
      <c r="AM113" s="60">
        <f t="shared" si="33"/>
        <v>164664</v>
      </c>
      <c r="AN113" s="59">
        <v>59640</v>
      </c>
      <c r="AO113" s="148">
        <f t="shared" si="34"/>
        <v>-59640</v>
      </c>
      <c r="AP113" s="58">
        <v>8165.4772602739686</v>
      </c>
      <c r="AQ113" s="143">
        <f t="shared" si="35"/>
        <v>-8165.48</v>
      </c>
    </row>
    <row r="114" spans="1:43" x14ac:dyDescent="0.35">
      <c r="A114" s="69" t="s">
        <v>43</v>
      </c>
      <c r="B114" s="15" t="s">
        <v>363</v>
      </c>
      <c r="C114" s="15"/>
      <c r="D114" s="69" t="e">
        <f>_xlfn.XLOOKUP(B114,SOM!B:B,SOM!D:D,,0)</f>
        <v>#N/A</v>
      </c>
      <c r="E114" s="76">
        <v>2</v>
      </c>
      <c r="F114" s="69" t="s">
        <v>259</v>
      </c>
      <c r="G114" s="10" t="s">
        <v>260</v>
      </c>
      <c r="H114" s="15">
        <v>9007000012</v>
      </c>
      <c r="I114" s="92" t="s">
        <v>261</v>
      </c>
      <c r="J114" s="92">
        <v>1202010217</v>
      </c>
      <c r="K114" s="14"/>
      <c r="L114" s="95" t="s">
        <v>364</v>
      </c>
      <c r="M114" s="69" t="s">
        <v>365</v>
      </c>
      <c r="N114" s="69"/>
      <c r="O114" s="94">
        <v>4</v>
      </c>
      <c r="P114" s="69" t="s">
        <v>50</v>
      </c>
      <c r="Q114" s="69" t="s">
        <v>51</v>
      </c>
      <c r="R114" s="69"/>
      <c r="S114" s="46">
        <v>45064</v>
      </c>
      <c r="T114" s="48">
        <v>45064</v>
      </c>
      <c r="U114" s="69"/>
      <c r="V114" s="69"/>
      <c r="W114" s="69"/>
      <c r="X114" s="69"/>
      <c r="Y114" s="69" t="s">
        <v>4129</v>
      </c>
      <c r="Z114" s="43">
        <v>247080</v>
      </c>
      <c r="AA114" s="43" t="s">
        <v>52</v>
      </c>
      <c r="AB114" s="43" t="s">
        <v>53</v>
      </c>
      <c r="AC114" s="43">
        <v>3650</v>
      </c>
      <c r="AD114" s="141">
        <v>10</v>
      </c>
      <c r="AE114" s="142">
        <v>0</v>
      </c>
      <c r="AF114" s="142"/>
      <c r="AG114" s="69" t="str">
        <f t="shared" si="32"/>
        <v>1 years 229 days</v>
      </c>
      <c r="AH114" s="69">
        <v>1</v>
      </c>
      <c r="AI114" s="69">
        <v>229</v>
      </c>
      <c r="AJ114" s="69">
        <v>0</v>
      </c>
      <c r="AK114" s="69">
        <v>0</v>
      </c>
      <c r="AL114" s="60">
        <v>247080</v>
      </c>
      <c r="AM114" s="60">
        <f t="shared" si="33"/>
        <v>247080</v>
      </c>
      <c r="AN114" s="59">
        <v>40210</v>
      </c>
      <c r="AO114" s="148">
        <f t="shared" si="34"/>
        <v>-40210</v>
      </c>
      <c r="AP114" s="58">
        <v>12252.191780821915</v>
      </c>
      <c r="AQ114" s="143">
        <f t="shared" si="35"/>
        <v>-12252.19</v>
      </c>
    </row>
    <row r="115" spans="1:43" x14ac:dyDescent="0.35">
      <c r="A115" s="69" t="s">
        <v>43</v>
      </c>
      <c r="B115" s="15" t="s">
        <v>366</v>
      </c>
      <c r="C115" s="15"/>
      <c r="D115" s="69" t="e">
        <f>_xlfn.XLOOKUP(B115,SOM!B:B,SOM!D:D,,0)</f>
        <v>#N/A</v>
      </c>
      <c r="E115" s="76">
        <v>3</v>
      </c>
      <c r="F115" s="69" t="s">
        <v>259</v>
      </c>
      <c r="G115" s="10" t="s">
        <v>260</v>
      </c>
      <c r="H115" s="15">
        <v>9007000012</v>
      </c>
      <c r="I115" s="92" t="s">
        <v>261</v>
      </c>
      <c r="J115" s="92">
        <v>1202010217</v>
      </c>
      <c r="K115" s="14"/>
      <c r="L115" s="95" t="s">
        <v>367</v>
      </c>
      <c r="M115" s="69" t="s">
        <v>368</v>
      </c>
      <c r="N115" s="69"/>
      <c r="O115" s="94">
        <v>1</v>
      </c>
      <c r="P115" s="69" t="s">
        <v>50</v>
      </c>
      <c r="Q115" s="69" t="s">
        <v>51</v>
      </c>
      <c r="R115" s="69"/>
      <c r="S115" s="46">
        <v>45108</v>
      </c>
      <c r="T115" s="48">
        <v>45108</v>
      </c>
      <c r="U115" s="69"/>
      <c r="V115" s="69"/>
      <c r="W115" s="69"/>
      <c r="X115" s="69"/>
      <c r="Y115" s="69" t="s">
        <v>4129</v>
      </c>
      <c r="Z115" s="43">
        <v>56781</v>
      </c>
      <c r="AA115" s="43" t="s">
        <v>52</v>
      </c>
      <c r="AB115" s="43" t="s">
        <v>53</v>
      </c>
      <c r="AC115" s="43">
        <v>3650</v>
      </c>
      <c r="AD115" s="141">
        <v>10</v>
      </c>
      <c r="AE115" s="142">
        <v>0</v>
      </c>
      <c r="AF115" s="142"/>
      <c r="AG115" s="69" t="str">
        <f t="shared" si="32"/>
        <v>1 years 185 days</v>
      </c>
      <c r="AH115" s="69">
        <v>1</v>
      </c>
      <c r="AI115" s="69">
        <v>185</v>
      </c>
      <c r="AJ115" s="69">
        <v>0</v>
      </c>
      <c r="AK115" s="69">
        <v>0</v>
      </c>
      <c r="AL115" s="60">
        <v>56781</v>
      </c>
      <c r="AM115" s="60">
        <f t="shared" si="33"/>
        <v>56781</v>
      </c>
      <c r="AN115" s="59">
        <v>8556</v>
      </c>
      <c r="AO115" s="148">
        <f t="shared" si="34"/>
        <v>-8556</v>
      </c>
      <c r="AP115" s="58">
        <v>2815.7564383561639</v>
      </c>
      <c r="AQ115" s="143">
        <f t="shared" si="35"/>
        <v>-2815.76</v>
      </c>
    </row>
    <row r="116" spans="1:43" x14ac:dyDescent="0.35">
      <c r="A116" s="69" t="s">
        <v>43</v>
      </c>
      <c r="B116" s="15" t="s">
        <v>369</v>
      </c>
      <c r="C116" s="15"/>
      <c r="D116" s="69"/>
      <c r="E116" s="76">
        <v>0</v>
      </c>
      <c r="F116" s="69" t="s">
        <v>259</v>
      </c>
      <c r="G116" s="10" t="s">
        <v>260</v>
      </c>
      <c r="H116" s="15">
        <v>9007000013</v>
      </c>
      <c r="I116" s="92" t="s">
        <v>261</v>
      </c>
      <c r="J116" s="92">
        <v>1202010217</v>
      </c>
      <c r="K116" s="20" t="s">
        <v>370</v>
      </c>
      <c r="L116" s="95" t="s">
        <v>371</v>
      </c>
      <c r="M116" s="69" t="s">
        <v>49</v>
      </c>
      <c r="N116" s="69"/>
      <c r="O116" s="94">
        <v>1</v>
      </c>
      <c r="P116" s="69" t="s">
        <v>50</v>
      </c>
      <c r="Q116" s="69" t="s">
        <v>51</v>
      </c>
      <c r="R116" s="69"/>
      <c r="S116" s="46">
        <v>44865</v>
      </c>
      <c r="T116" s="48">
        <v>44865</v>
      </c>
      <c r="U116" s="69"/>
      <c r="V116" s="69"/>
      <c r="W116" s="69"/>
      <c r="X116" s="69"/>
      <c r="Y116" s="69" t="s">
        <v>4131</v>
      </c>
      <c r="Z116" s="43">
        <v>400000</v>
      </c>
      <c r="AA116" s="43" t="s">
        <v>52</v>
      </c>
      <c r="AB116" s="43" t="s">
        <v>53</v>
      </c>
      <c r="AC116" s="43">
        <v>3650</v>
      </c>
      <c r="AD116" s="141">
        <v>10</v>
      </c>
      <c r="AE116" s="142">
        <v>0</v>
      </c>
      <c r="AF116" s="142"/>
      <c r="AG116" s="69" t="str">
        <f t="shared" ref="AG116:AG117" si="36">_xlfn.CONCAT(AH116," years ",AI116," days")</f>
        <v>2 years 63 days</v>
      </c>
      <c r="AH116" s="69">
        <v>2</v>
      </c>
      <c r="AI116" s="69">
        <v>63</v>
      </c>
      <c r="AJ116" s="69">
        <v>0</v>
      </c>
      <c r="AK116" s="69">
        <v>0</v>
      </c>
      <c r="AL116" s="60">
        <v>400000</v>
      </c>
      <c r="AM116" s="60">
        <f t="shared" ref="AM116:AM117" si="37">ROUND(AL116,2)</f>
        <v>400000</v>
      </c>
      <c r="AN116" s="59">
        <v>270137</v>
      </c>
      <c r="AO116" s="148">
        <f t="shared" ref="AO116:AO117" si="38">ROUND(AN116,2)*-1</f>
        <v>-270137</v>
      </c>
      <c r="AP116" s="58">
        <v>19835.602739726019</v>
      </c>
      <c r="AQ116" s="143">
        <f t="shared" ref="AQ116:AQ117" si="39">ROUND(AP116,2)*-1</f>
        <v>-19835.599999999999</v>
      </c>
    </row>
    <row r="117" spans="1:43" x14ac:dyDescent="0.35">
      <c r="A117" s="69" t="s">
        <v>43</v>
      </c>
      <c r="B117" s="15" t="s">
        <v>372</v>
      </c>
      <c r="C117" s="15"/>
      <c r="D117" s="69" t="e">
        <f>_xlfn.XLOOKUP(B117,SOM!B:B,SOM!D:D,,0)</f>
        <v>#N/A</v>
      </c>
      <c r="E117" s="76">
        <v>1</v>
      </c>
      <c r="F117" s="69" t="s">
        <v>259</v>
      </c>
      <c r="G117" s="10" t="s">
        <v>260</v>
      </c>
      <c r="H117" s="15">
        <v>9007000013</v>
      </c>
      <c r="I117" s="92" t="s">
        <v>261</v>
      </c>
      <c r="J117" s="92">
        <v>1202010217</v>
      </c>
      <c r="K117" s="14"/>
      <c r="L117" s="95" t="s">
        <v>373</v>
      </c>
      <c r="M117" s="69" t="s">
        <v>374</v>
      </c>
      <c r="N117" s="69"/>
      <c r="O117" s="94">
        <v>401</v>
      </c>
      <c r="P117" s="69" t="s">
        <v>50</v>
      </c>
      <c r="Q117" s="69" t="s">
        <v>51</v>
      </c>
      <c r="R117" s="69"/>
      <c r="S117" s="46">
        <v>45167</v>
      </c>
      <c r="T117" s="48">
        <v>45167</v>
      </c>
      <c r="U117" s="69"/>
      <c r="V117" s="69"/>
      <c r="W117" s="69"/>
      <c r="X117" s="69"/>
      <c r="Y117" s="69" t="s">
        <v>4129</v>
      </c>
      <c r="Z117" s="43">
        <v>24149.5</v>
      </c>
      <c r="AA117" s="43" t="s">
        <v>52</v>
      </c>
      <c r="AB117" s="43" t="s">
        <v>53</v>
      </c>
      <c r="AC117" s="43">
        <v>3650</v>
      </c>
      <c r="AD117" s="141">
        <v>10</v>
      </c>
      <c r="AE117" s="142">
        <v>0</v>
      </c>
      <c r="AF117" s="142"/>
      <c r="AG117" s="69" t="str">
        <f t="shared" si="36"/>
        <v>1 years 126 days</v>
      </c>
      <c r="AH117" s="69">
        <v>1</v>
      </c>
      <c r="AI117" s="69">
        <v>126</v>
      </c>
      <c r="AJ117" s="69">
        <v>0</v>
      </c>
      <c r="AK117" s="69">
        <v>0</v>
      </c>
      <c r="AL117" s="60">
        <v>24149.5</v>
      </c>
      <c r="AM117" s="60">
        <f t="shared" si="37"/>
        <v>24149.5</v>
      </c>
      <c r="AN117" s="59">
        <v>3249</v>
      </c>
      <c r="AO117" s="148">
        <f t="shared" si="38"/>
        <v>-3249</v>
      </c>
      <c r="AP117" s="58">
        <v>1197.1545205479451</v>
      </c>
      <c r="AQ117" s="143">
        <f t="shared" si="39"/>
        <v>-1197.1500000000001</v>
      </c>
    </row>
    <row r="118" spans="1:43" x14ac:dyDescent="0.35">
      <c r="A118" s="69" t="s">
        <v>43</v>
      </c>
      <c r="B118" s="15" t="s">
        <v>375</v>
      </c>
      <c r="C118" s="15"/>
      <c r="D118" s="69"/>
      <c r="E118" s="76">
        <v>0</v>
      </c>
      <c r="F118" s="69" t="s">
        <v>259</v>
      </c>
      <c r="G118" s="10" t="s">
        <v>260</v>
      </c>
      <c r="H118" s="15">
        <v>9007000014</v>
      </c>
      <c r="I118" s="92" t="s">
        <v>261</v>
      </c>
      <c r="J118" s="92">
        <v>1202010217</v>
      </c>
      <c r="K118" s="20" t="s">
        <v>376</v>
      </c>
      <c r="L118" s="95" t="s">
        <v>377</v>
      </c>
      <c r="M118" s="69" t="s">
        <v>49</v>
      </c>
      <c r="N118" s="69"/>
      <c r="O118" s="94">
        <v>1</v>
      </c>
      <c r="P118" s="69" t="s">
        <v>50</v>
      </c>
      <c r="Q118" s="69" t="s">
        <v>51</v>
      </c>
      <c r="R118" s="69"/>
      <c r="S118" s="46">
        <v>44845</v>
      </c>
      <c r="T118" s="48">
        <v>44845</v>
      </c>
      <c r="U118" s="69"/>
      <c r="V118" s="69"/>
      <c r="W118" s="69"/>
      <c r="X118" s="69"/>
      <c r="Y118" s="69" t="s">
        <v>4131</v>
      </c>
      <c r="Z118" s="43">
        <v>510000</v>
      </c>
      <c r="AA118" s="43" t="s">
        <v>52</v>
      </c>
      <c r="AB118" s="43" t="s">
        <v>53</v>
      </c>
      <c r="AC118" s="43">
        <v>3650</v>
      </c>
      <c r="AD118" s="141">
        <v>10</v>
      </c>
      <c r="AE118" s="142">
        <v>0</v>
      </c>
      <c r="AF118" s="142"/>
      <c r="AG118" s="69" t="str">
        <f t="shared" ref="AG118:AG119" si="40">_xlfn.CONCAT(AH118," years ",AI118," days")</f>
        <v>2 years 83 days</v>
      </c>
      <c r="AH118" s="69">
        <v>2</v>
      </c>
      <c r="AI118" s="69">
        <v>83</v>
      </c>
      <c r="AJ118" s="69">
        <v>0</v>
      </c>
      <c r="AK118" s="69">
        <v>0</v>
      </c>
      <c r="AL118" s="60">
        <v>510000</v>
      </c>
      <c r="AM118" s="60">
        <f t="shared" ref="AM118:AM119" si="41">ROUND(AL118,2)</f>
        <v>510000</v>
      </c>
      <c r="AN118" s="59">
        <v>510000</v>
      </c>
      <c r="AO118" s="148">
        <f t="shared" ref="AO118:AO119" si="42">ROUND(AN118,2)*-1</f>
        <v>-510000</v>
      </c>
      <c r="AP118" s="58">
        <v>0</v>
      </c>
      <c r="AQ118" s="143">
        <f t="shared" ref="AQ118:AQ119" si="43">ROUND(AP118,2)*-1</f>
        <v>0</v>
      </c>
    </row>
    <row r="119" spans="1:43" x14ac:dyDescent="0.35">
      <c r="A119" s="69" t="s">
        <v>43</v>
      </c>
      <c r="B119" s="15" t="s">
        <v>378</v>
      </c>
      <c r="C119" s="15"/>
      <c r="D119" s="69" t="e">
        <f>_xlfn.XLOOKUP(B119,SOM!B:B,SOM!D:D,,0)</f>
        <v>#N/A</v>
      </c>
      <c r="E119" s="76">
        <v>1</v>
      </c>
      <c r="F119" s="69" t="s">
        <v>259</v>
      </c>
      <c r="G119" s="10" t="s">
        <v>260</v>
      </c>
      <c r="H119" s="15">
        <v>9007000014</v>
      </c>
      <c r="I119" s="92" t="s">
        <v>261</v>
      </c>
      <c r="J119" s="92">
        <v>1202010217</v>
      </c>
      <c r="K119" s="19"/>
      <c r="L119" s="95" t="s">
        <v>379</v>
      </c>
      <c r="M119" s="69" t="s">
        <v>380</v>
      </c>
      <c r="N119" s="69"/>
      <c r="O119" s="94">
        <v>1</v>
      </c>
      <c r="P119" s="69" t="s">
        <v>50</v>
      </c>
      <c r="Q119" s="69" t="s">
        <v>51</v>
      </c>
      <c r="R119" s="69"/>
      <c r="S119" s="46">
        <v>44865</v>
      </c>
      <c r="T119" s="48">
        <v>44865</v>
      </c>
      <c r="U119" s="69"/>
      <c r="V119" s="69"/>
      <c r="W119" s="69"/>
      <c r="X119" s="69"/>
      <c r="Y119" s="69" t="s">
        <v>4131</v>
      </c>
      <c r="Z119" s="43">
        <v>145000</v>
      </c>
      <c r="AA119" s="43" t="s">
        <v>52</v>
      </c>
      <c r="AB119" s="43" t="s">
        <v>53</v>
      </c>
      <c r="AC119" s="43">
        <v>3650</v>
      </c>
      <c r="AD119" s="141">
        <v>10</v>
      </c>
      <c r="AE119" s="142">
        <v>0</v>
      </c>
      <c r="AF119" s="142"/>
      <c r="AG119" s="69" t="str">
        <f t="shared" si="40"/>
        <v>2 years 63 days</v>
      </c>
      <c r="AH119" s="69">
        <v>2</v>
      </c>
      <c r="AI119" s="69">
        <v>63</v>
      </c>
      <c r="AJ119" s="69">
        <v>0</v>
      </c>
      <c r="AK119" s="69">
        <v>0</v>
      </c>
      <c r="AL119" s="60">
        <v>145000</v>
      </c>
      <c r="AM119" s="60">
        <f t="shared" si="41"/>
        <v>145000</v>
      </c>
      <c r="AN119" s="59">
        <v>113491</v>
      </c>
      <c r="AO119" s="148">
        <f t="shared" si="42"/>
        <v>-113491</v>
      </c>
      <c r="AP119" s="58">
        <v>7190.652544924742</v>
      </c>
      <c r="AQ119" s="143">
        <f t="shared" si="43"/>
        <v>-7190.65</v>
      </c>
    </row>
    <row r="120" spans="1:43" x14ac:dyDescent="0.35">
      <c r="A120" s="69" t="s">
        <v>43</v>
      </c>
      <c r="B120" s="15" t="s">
        <v>381</v>
      </c>
      <c r="C120" s="15"/>
      <c r="D120" s="69"/>
      <c r="E120" s="76">
        <v>0</v>
      </c>
      <c r="F120" s="69" t="s">
        <v>259</v>
      </c>
      <c r="G120" s="10" t="s">
        <v>260</v>
      </c>
      <c r="H120" s="15">
        <v>9007000015</v>
      </c>
      <c r="I120" s="92" t="s">
        <v>261</v>
      </c>
      <c r="J120" s="92">
        <v>1202010217</v>
      </c>
      <c r="K120" s="17" t="s">
        <v>382</v>
      </c>
      <c r="L120" s="95" t="s">
        <v>383</v>
      </c>
      <c r="M120" s="69" t="s">
        <v>49</v>
      </c>
      <c r="N120" s="69"/>
      <c r="O120" s="94">
        <v>1</v>
      </c>
      <c r="P120" s="69" t="s">
        <v>50</v>
      </c>
      <c r="Q120" s="69" t="s">
        <v>51</v>
      </c>
      <c r="R120" s="69"/>
      <c r="S120" s="46">
        <v>43346</v>
      </c>
      <c r="T120" s="48">
        <v>43346</v>
      </c>
      <c r="U120" s="69"/>
      <c r="V120" s="69"/>
      <c r="W120" s="69"/>
      <c r="X120" s="69"/>
      <c r="Y120" s="69" t="s">
        <v>4125</v>
      </c>
      <c r="Z120" s="43">
        <v>2516472</v>
      </c>
      <c r="AA120" s="43" t="s">
        <v>52</v>
      </c>
      <c r="AB120" s="43" t="s">
        <v>53</v>
      </c>
      <c r="AC120" s="43">
        <v>3650</v>
      </c>
      <c r="AD120" s="141">
        <v>10</v>
      </c>
      <c r="AE120" s="142">
        <v>0</v>
      </c>
      <c r="AF120" s="142"/>
      <c r="AG120" s="69" t="str">
        <f t="shared" ref="AG120:AG121" si="44">_xlfn.CONCAT(AH120," years ",AI120," days")</f>
        <v>6 years 122 days</v>
      </c>
      <c r="AH120" s="69">
        <v>6</v>
      </c>
      <c r="AI120" s="69">
        <v>122</v>
      </c>
      <c r="AJ120" s="69">
        <v>0</v>
      </c>
      <c r="AK120" s="69">
        <v>0</v>
      </c>
      <c r="AL120" s="60">
        <v>2516472</v>
      </c>
      <c r="AM120" s="60">
        <f t="shared" ref="AM120:AM121" si="45">ROUND(AL120,2)</f>
        <v>2516472</v>
      </c>
      <c r="AN120" s="59">
        <v>1593306</v>
      </c>
      <c r="AO120" s="148">
        <f t="shared" ref="AO120:AO121" si="46">ROUND(AN120,2)*-1</f>
        <v>-1593306</v>
      </c>
      <c r="AP120" s="58">
        <v>124789.40383561631</v>
      </c>
      <c r="AQ120" s="143">
        <f t="shared" ref="AQ120:AQ121" si="47">ROUND(AP120,2)*-1</f>
        <v>-124789.4</v>
      </c>
    </row>
    <row r="121" spans="1:43" x14ac:dyDescent="0.35">
      <c r="A121" s="69" t="s">
        <v>43</v>
      </c>
      <c r="B121" s="15" t="s">
        <v>384</v>
      </c>
      <c r="C121" s="15"/>
      <c r="D121" s="69" t="e">
        <f>_xlfn.XLOOKUP(B121,SOM!B:B,SOM!D:D,,0)</f>
        <v>#N/A</v>
      </c>
      <c r="E121" s="76">
        <v>1</v>
      </c>
      <c r="F121" s="69" t="s">
        <v>259</v>
      </c>
      <c r="G121" s="10" t="s">
        <v>260</v>
      </c>
      <c r="H121" s="15">
        <v>9007000015</v>
      </c>
      <c r="I121" s="92" t="s">
        <v>261</v>
      </c>
      <c r="J121" s="92">
        <v>1202010217</v>
      </c>
      <c r="K121" s="14"/>
      <c r="L121" s="95" t="s">
        <v>385</v>
      </c>
      <c r="M121" s="69" t="s">
        <v>49</v>
      </c>
      <c r="N121" s="69"/>
      <c r="O121" s="94">
        <v>1</v>
      </c>
      <c r="P121" s="69" t="s">
        <v>50</v>
      </c>
      <c r="Q121" s="69" t="s">
        <v>51</v>
      </c>
      <c r="R121" s="69"/>
      <c r="S121" s="46">
        <v>41365</v>
      </c>
      <c r="T121" s="48">
        <v>43191</v>
      </c>
      <c r="U121" s="69"/>
      <c r="V121" s="69"/>
      <c r="W121" s="69"/>
      <c r="X121" s="69"/>
      <c r="Y121" s="69" t="s">
        <v>4125</v>
      </c>
      <c r="Z121" s="43">
        <v>310000</v>
      </c>
      <c r="AA121" s="43" t="s">
        <v>52</v>
      </c>
      <c r="AB121" s="43" t="s">
        <v>53</v>
      </c>
      <c r="AC121" s="43">
        <v>3650</v>
      </c>
      <c r="AD121" s="141">
        <v>10</v>
      </c>
      <c r="AE121" s="142">
        <v>0</v>
      </c>
      <c r="AF121" s="142"/>
      <c r="AG121" s="69" t="str">
        <f t="shared" si="44"/>
        <v>6 years 277 days</v>
      </c>
      <c r="AH121" s="69">
        <v>6</v>
      </c>
      <c r="AI121" s="69">
        <v>277</v>
      </c>
      <c r="AJ121" s="69">
        <v>0</v>
      </c>
      <c r="AK121" s="69">
        <v>0</v>
      </c>
      <c r="AL121" s="60">
        <v>310000</v>
      </c>
      <c r="AM121" s="60">
        <f t="shared" si="45"/>
        <v>310000</v>
      </c>
      <c r="AN121" s="59">
        <v>209526</v>
      </c>
      <c r="AO121" s="148">
        <f t="shared" si="46"/>
        <v>-209526</v>
      </c>
      <c r="AP121" s="58">
        <v>15372.630136986263</v>
      </c>
      <c r="AQ121" s="143">
        <f t="shared" si="47"/>
        <v>-15372.63</v>
      </c>
    </row>
    <row r="122" spans="1:43" x14ac:dyDescent="0.35">
      <c r="A122" s="69" t="s">
        <v>43</v>
      </c>
      <c r="B122" s="15" t="s">
        <v>386</v>
      </c>
      <c r="C122" s="15"/>
      <c r="D122" s="69"/>
      <c r="E122" s="76">
        <v>0</v>
      </c>
      <c r="F122" s="69" t="s">
        <v>259</v>
      </c>
      <c r="G122" s="10" t="s">
        <v>260</v>
      </c>
      <c r="H122" s="15">
        <v>9007000016</v>
      </c>
      <c r="I122" s="92" t="s">
        <v>261</v>
      </c>
      <c r="J122" s="92">
        <v>1202010217</v>
      </c>
      <c r="K122" s="17" t="s">
        <v>387</v>
      </c>
      <c r="L122" s="95" t="s">
        <v>388</v>
      </c>
      <c r="M122" s="69" t="s">
        <v>389</v>
      </c>
      <c r="N122" s="69"/>
      <c r="O122" s="94">
        <v>1</v>
      </c>
      <c r="P122" s="69" t="s">
        <v>50</v>
      </c>
      <c r="Q122" s="69" t="s">
        <v>51</v>
      </c>
      <c r="R122" s="69"/>
      <c r="S122" s="46">
        <v>43577</v>
      </c>
      <c r="T122" s="48">
        <v>43577</v>
      </c>
      <c r="U122" s="69"/>
      <c r="V122" s="69"/>
      <c r="W122" s="69"/>
      <c r="X122" s="69"/>
      <c r="Y122" s="69" t="s">
        <v>4126</v>
      </c>
      <c r="Z122" s="43">
        <v>2511704</v>
      </c>
      <c r="AA122" s="43" t="s">
        <v>52</v>
      </c>
      <c r="AB122" s="43" t="s">
        <v>53</v>
      </c>
      <c r="AC122" s="43">
        <v>3650</v>
      </c>
      <c r="AD122" s="141">
        <v>10</v>
      </c>
      <c r="AE122" s="142">
        <v>0</v>
      </c>
      <c r="AF122" s="142"/>
      <c r="AG122" s="69" t="str">
        <f t="shared" ref="AG122:AG123" si="48">_xlfn.CONCAT(AH122," years ",AI122," days")</f>
        <v>5 years 256 days</v>
      </c>
      <c r="AH122" s="69">
        <v>5</v>
      </c>
      <c r="AI122" s="69">
        <v>256</v>
      </c>
      <c r="AJ122" s="69">
        <v>0</v>
      </c>
      <c r="AK122" s="69">
        <v>0</v>
      </c>
      <c r="AL122" s="60">
        <v>2511704</v>
      </c>
      <c r="AM122" s="60">
        <f t="shared" ref="AM122:AM123" si="49">ROUND(AL122,2)</f>
        <v>2511704</v>
      </c>
      <c r="AN122" s="59">
        <v>1432015</v>
      </c>
      <c r="AO122" s="148">
        <f t="shared" ref="AO122:AO123" si="50">ROUND(AN122,2)*-1</f>
        <v>-1432015</v>
      </c>
      <c r="AP122" s="58">
        <v>124553.34191780817</v>
      </c>
      <c r="AQ122" s="143">
        <f t="shared" ref="AQ122:AQ123" si="51">ROUND(AP122,2)*-1</f>
        <v>-124553.34</v>
      </c>
    </row>
    <row r="123" spans="1:43" x14ac:dyDescent="0.35">
      <c r="A123" s="69" t="s">
        <v>43</v>
      </c>
      <c r="B123" s="15" t="s">
        <v>390</v>
      </c>
      <c r="C123" s="15"/>
      <c r="D123" s="69" t="e">
        <f>_xlfn.XLOOKUP(B123,SOM!B:B,SOM!D:D,,0)</f>
        <v>#N/A</v>
      </c>
      <c r="E123" s="76">
        <v>1</v>
      </c>
      <c r="F123" s="69" t="s">
        <v>259</v>
      </c>
      <c r="G123" s="10" t="s">
        <v>260</v>
      </c>
      <c r="H123" s="15">
        <v>9007000016</v>
      </c>
      <c r="I123" s="92" t="s">
        <v>261</v>
      </c>
      <c r="J123" s="92">
        <v>1202010217</v>
      </c>
      <c r="K123" s="14"/>
      <c r="L123" s="95" t="s">
        <v>391</v>
      </c>
      <c r="M123" s="69" t="s">
        <v>392</v>
      </c>
      <c r="N123" s="69"/>
      <c r="O123" s="94">
        <v>1</v>
      </c>
      <c r="P123" s="69" t="s">
        <v>50</v>
      </c>
      <c r="Q123" s="69" t="s">
        <v>51</v>
      </c>
      <c r="R123" s="69"/>
      <c r="S123" s="46">
        <v>43577</v>
      </c>
      <c r="T123" s="48">
        <v>43577</v>
      </c>
      <c r="U123" s="69"/>
      <c r="V123" s="69"/>
      <c r="W123" s="69"/>
      <c r="X123" s="69"/>
      <c r="Y123" s="69" t="s">
        <v>4126</v>
      </c>
      <c r="Z123" s="43">
        <v>114300</v>
      </c>
      <c r="AA123" s="43" t="s">
        <v>52</v>
      </c>
      <c r="AB123" s="43" t="s">
        <v>53</v>
      </c>
      <c r="AC123" s="43">
        <v>3650</v>
      </c>
      <c r="AD123" s="141">
        <v>10</v>
      </c>
      <c r="AE123" s="142">
        <v>0</v>
      </c>
      <c r="AF123" s="142"/>
      <c r="AG123" s="69" t="str">
        <f t="shared" si="48"/>
        <v>5 years 256 days</v>
      </c>
      <c r="AH123" s="69">
        <v>5</v>
      </c>
      <c r="AI123" s="69">
        <v>256</v>
      </c>
      <c r="AJ123" s="69">
        <v>0</v>
      </c>
      <c r="AK123" s="69">
        <v>0</v>
      </c>
      <c r="AL123" s="60">
        <v>114300</v>
      </c>
      <c r="AM123" s="60">
        <f t="shared" si="49"/>
        <v>114300</v>
      </c>
      <c r="AN123" s="59">
        <v>65167</v>
      </c>
      <c r="AO123" s="148">
        <f t="shared" si="50"/>
        <v>-65167</v>
      </c>
      <c r="AP123" s="58">
        <v>5667.6849315068685</v>
      </c>
      <c r="AQ123" s="143">
        <f t="shared" si="51"/>
        <v>-5667.68</v>
      </c>
    </row>
    <row r="124" spans="1:43" x14ac:dyDescent="0.35">
      <c r="A124" s="69" t="s">
        <v>43</v>
      </c>
      <c r="B124" s="15" t="s">
        <v>393</v>
      </c>
      <c r="C124" s="15"/>
      <c r="D124" s="69"/>
      <c r="E124" s="76">
        <v>0</v>
      </c>
      <c r="F124" s="69" t="s">
        <v>259</v>
      </c>
      <c r="G124" s="10" t="s">
        <v>260</v>
      </c>
      <c r="H124" s="15">
        <v>9007000017</v>
      </c>
      <c r="I124" s="92" t="s">
        <v>261</v>
      </c>
      <c r="J124" s="92">
        <v>1202010217</v>
      </c>
      <c r="K124" s="17" t="s">
        <v>394</v>
      </c>
      <c r="L124" s="95" t="s">
        <v>395</v>
      </c>
      <c r="M124" s="69" t="s">
        <v>396</v>
      </c>
      <c r="N124" s="69"/>
      <c r="O124" s="94">
        <v>1</v>
      </c>
      <c r="P124" s="69" t="s">
        <v>50</v>
      </c>
      <c r="Q124" s="69" t="s">
        <v>51</v>
      </c>
      <c r="R124" s="69"/>
      <c r="S124" s="46">
        <v>44621</v>
      </c>
      <c r="T124" s="48">
        <v>44621</v>
      </c>
      <c r="U124" s="69"/>
      <c r="V124" s="69"/>
      <c r="W124" s="69"/>
      <c r="X124" s="69"/>
      <c r="Y124" s="69" t="s">
        <v>4131</v>
      </c>
      <c r="Z124" s="43">
        <v>1885954</v>
      </c>
      <c r="AA124" s="43" t="s">
        <v>52</v>
      </c>
      <c r="AB124" s="43" t="s">
        <v>53</v>
      </c>
      <c r="AC124" s="43">
        <v>3650</v>
      </c>
      <c r="AD124" s="141">
        <v>10</v>
      </c>
      <c r="AE124" s="142">
        <v>0</v>
      </c>
      <c r="AF124" s="142"/>
      <c r="AG124" s="69" t="str">
        <f t="shared" ref="AG124:AG125" si="52">_xlfn.CONCAT(AH124," years ",AI124," days")</f>
        <v>2 years 307 days</v>
      </c>
      <c r="AH124" s="69">
        <v>2</v>
      </c>
      <c r="AI124" s="69">
        <v>307</v>
      </c>
      <c r="AJ124" s="69">
        <v>0</v>
      </c>
      <c r="AK124" s="69">
        <v>0</v>
      </c>
      <c r="AL124" s="60">
        <v>1885954</v>
      </c>
      <c r="AM124" s="60">
        <f t="shared" ref="AM124:AM125" si="53">ROUND(AL124,2)</f>
        <v>1885954</v>
      </c>
      <c r="AN124" s="59">
        <v>535818</v>
      </c>
      <c r="AO124" s="148">
        <f t="shared" ref="AO124:AO125" si="54">ROUND(AN124,2)*-1</f>
        <v>-535818</v>
      </c>
      <c r="AP124" s="58">
        <v>93522.266301369877</v>
      </c>
      <c r="AQ124" s="143">
        <f t="shared" ref="AQ124:AQ125" si="55">ROUND(AP124,2)*-1</f>
        <v>-93522.27</v>
      </c>
    </row>
    <row r="125" spans="1:43" x14ac:dyDescent="0.35">
      <c r="A125" s="69" t="s">
        <v>43</v>
      </c>
      <c r="B125" s="15" t="s">
        <v>397</v>
      </c>
      <c r="C125" s="15"/>
      <c r="D125" s="69" t="e">
        <f>_xlfn.XLOOKUP(B125,SOM!B:B,SOM!D:D,,0)</f>
        <v>#N/A</v>
      </c>
      <c r="E125" s="76">
        <v>1</v>
      </c>
      <c r="F125" s="69" t="s">
        <v>259</v>
      </c>
      <c r="G125" s="10" t="s">
        <v>260</v>
      </c>
      <c r="H125" s="15">
        <v>9007000017</v>
      </c>
      <c r="I125" s="92" t="s">
        <v>261</v>
      </c>
      <c r="J125" s="92">
        <v>1202010217</v>
      </c>
      <c r="K125" s="14"/>
      <c r="L125" s="95" t="s">
        <v>398</v>
      </c>
      <c r="M125" s="69" t="s">
        <v>399</v>
      </c>
      <c r="N125" s="69"/>
      <c r="O125" s="94">
        <v>1</v>
      </c>
      <c r="P125" s="69" t="s">
        <v>50</v>
      </c>
      <c r="Q125" s="69" t="s">
        <v>51</v>
      </c>
      <c r="R125" s="69"/>
      <c r="S125" s="46">
        <v>45148</v>
      </c>
      <c r="T125" s="48">
        <v>45148</v>
      </c>
      <c r="U125" s="69"/>
      <c r="V125" s="69"/>
      <c r="W125" s="69"/>
      <c r="X125" s="69"/>
      <c r="Y125" s="69" t="s">
        <v>4129</v>
      </c>
      <c r="Z125" s="43">
        <v>15725</v>
      </c>
      <c r="AA125" s="43" t="s">
        <v>52</v>
      </c>
      <c r="AB125" s="43" t="s">
        <v>53</v>
      </c>
      <c r="AC125" s="43">
        <v>3650</v>
      </c>
      <c r="AD125" s="141">
        <v>10</v>
      </c>
      <c r="AE125" s="142">
        <v>0</v>
      </c>
      <c r="AF125" s="142"/>
      <c r="AG125" s="69" t="str">
        <f t="shared" si="52"/>
        <v>1 years 145 days</v>
      </c>
      <c r="AH125" s="69">
        <v>1</v>
      </c>
      <c r="AI125" s="69">
        <v>145</v>
      </c>
      <c r="AJ125" s="69">
        <v>0</v>
      </c>
      <c r="AK125" s="69">
        <v>0</v>
      </c>
      <c r="AL125" s="60">
        <v>15725</v>
      </c>
      <c r="AM125" s="60">
        <f t="shared" si="53"/>
        <v>15725</v>
      </c>
      <c r="AN125" s="59">
        <v>2197</v>
      </c>
      <c r="AO125" s="148">
        <f t="shared" si="54"/>
        <v>-2197</v>
      </c>
      <c r="AP125" s="58">
        <v>779.97945205479482</v>
      </c>
      <c r="AQ125" s="143">
        <f t="shared" si="55"/>
        <v>-779.98</v>
      </c>
    </row>
    <row r="126" spans="1:43" x14ac:dyDescent="0.35">
      <c r="A126" s="69" t="s">
        <v>43</v>
      </c>
      <c r="B126" s="15" t="s">
        <v>400</v>
      </c>
      <c r="C126" s="15"/>
      <c r="D126" s="69"/>
      <c r="E126" s="76">
        <v>0</v>
      </c>
      <c r="F126" s="69" t="s">
        <v>259</v>
      </c>
      <c r="G126" s="10" t="s">
        <v>260</v>
      </c>
      <c r="H126" s="15">
        <v>9007000018</v>
      </c>
      <c r="I126" s="92" t="s">
        <v>261</v>
      </c>
      <c r="J126" s="92">
        <v>1202010217</v>
      </c>
      <c r="K126" s="17" t="s">
        <v>401</v>
      </c>
      <c r="L126" s="95" t="s">
        <v>402</v>
      </c>
      <c r="M126" s="69" t="s">
        <v>403</v>
      </c>
      <c r="N126" s="69"/>
      <c r="O126" s="94">
        <v>1</v>
      </c>
      <c r="P126" s="69" t="s">
        <v>50</v>
      </c>
      <c r="Q126" s="69" t="s">
        <v>51</v>
      </c>
      <c r="R126" s="69"/>
      <c r="S126" s="46">
        <v>44910</v>
      </c>
      <c r="T126" s="48">
        <v>44910</v>
      </c>
      <c r="U126" s="69"/>
      <c r="V126" s="69"/>
      <c r="W126" s="69"/>
      <c r="X126" s="69"/>
      <c r="Y126" s="69" t="s">
        <v>4131</v>
      </c>
      <c r="Z126" s="43">
        <v>7098917.54</v>
      </c>
      <c r="AA126" s="43" t="s">
        <v>52</v>
      </c>
      <c r="AB126" s="43" t="s">
        <v>53</v>
      </c>
      <c r="AC126" s="43">
        <v>3650</v>
      </c>
      <c r="AD126" s="141">
        <v>10</v>
      </c>
      <c r="AE126" s="142">
        <v>0</v>
      </c>
      <c r="AF126" s="142"/>
      <c r="AG126" s="69" t="str">
        <f t="shared" ref="AG126:AG128" si="56">_xlfn.CONCAT(AH126," years ",AI126," days")</f>
        <v>2 years 18 days</v>
      </c>
      <c r="AH126" s="69">
        <v>2</v>
      </c>
      <c r="AI126" s="69">
        <v>18</v>
      </c>
      <c r="AJ126" s="69">
        <v>0</v>
      </c>
      <c r="AK126" s="69">
        <v>0</v>
      </c>
      <c r="AL126" s="60">
        <v>7098917.54</v>
      </c>
      <c r="AM126" s="60">
        <f t="shared" ref="AM126:AM128" si="57">ROUND(AL126,2)</f>
        <v>7098917.54</v>
      </c>
      <c r="AN126" s="59">
        <v>1454792</v>
      </c>
      <c r="AO126" s="148">
        <f t="shared" ref="AO126:AO128" si="58">ROUND(AN126,2)*-1</f>
        <v>-1454792</v>
      </c>
      <c r="AP126" s="58">
        <v>352028.39558356162</v>
      </c>
      <c r="AQ126" s="143">
        <f t="shared" ref="AQ126:AQ128" si="59">ROUND(AP126,2)*-1</f>
        <v>-352028.4</v>
      </c>
    </row>
    <row r="127" spans="1:43" x14ac:dyDescent="0.35">
      <c r="A127" s="69" t="s">
        <v>43</v>
      </c>
      <c r="B127" s="15" t="s">
        <v>404</v>
      </c>
      <c r="C127" s="15"/>
      <c r="D127" s="69" t="e">
        <f>_xlfn.XLOOKUP(B127,SOM!B:B,SOM!D:D,,0)</f>
        <v>#N/A</v>
      </c>
      <c r="E127" s="76">
        <v>1</v>
      </c>
      <c r="F127" s="69" t="s">
        <v>259</v>
      </c>
      <c r="G127" s="10" t="s">
        <v>260</v>
      </c>
      <c r="H127" s="15">
        <v>9007000018</v>
      </c>
      <c r="I127" s="92" t="s">
        <v>261</v>
      </c>
      <c r="J127" s="92">
        <v>1202010217</v>
      </c>
      <c r="K127" s="14" t="s">
        <v>405</v>
      </c>
      <c r="L127" s="95" t="s">
        <v>406</v>
      </c>
      <c r="M127" s="69" t="s">
        <v>407</v>
      </c>
      <c r="N127" s="69"/>
      <c r="O127" s="94">
        <v>1</v>
      </c>
      <c r="P127" s="69" t="s">
        <v>50</v>
      </c>
      <c r="Q127" s="69" t="s">
        <v>51</v>
      </c>
      <c r="R127" s="69"/>
      <c r="S127" s="46">
        <v>44910</v>
      </c>
      <c r="T127" s="48">
        <v>44910</v>
      </c>
      <c r="U127" s="69"/>
      <c r="V127" s="69"/>
      <c r="W127" s="69"/>
      <c r="X127" s="69"/>
      <c r="Y127" s="69" t="s">
        <v>4131</v>
      </c>
      <c r="Z127" s="43">
        <v>13700081.419999998</v>
      </c>
      <c r="AA127" s="43" t="s">
        <v>52</v>
      </c>
      <c r="AB127" s="43" t="s">
        <v>53</v>
      </c>
      <c r="AC127" s="43">
        <v>3650</v>
      </c>
      <c r="AD127" s="141">
        <v>10</v>
      </c>
      <c r="AE127" s="142">
        <v>0</v>
      </c>
      <c r="AF127" s="142"/>
      <c r="AG127" s="69" t="str">
        <f t="shared" si="56"/>
        <v>2 years 18 days</v>
      </c>
      <c r="AH127" s="69">
        <v>2</v>
      </c>
      <c r="AI127" s="69">
        <v>18</v>
      </c>
      <c r="AJ127" s="69">
        <v>0</v>
      </c>
      <c r="AK127" s="69">
        <v>0</v>
      </c>
      <c r="AL127" s="60">
        <v>13700081.419999998</v>
      </c>
      <c r="AM127" s="60">
        <f t="shared" si="57"/>
        <v>13700081.42</v>
      </c>
      <c r="AN127" s="59">
        <v>2807578</v>
      </c>
      <c r="AO127" s="148">
        <f t="shared" si="58"/>
        <v>-2807578</v>
      </c>
      <c r="AP127" s="58">
        <v>679374.21759999963</v>
      </c>
      <c r="AQ127" s="143">
        <f t="shared" si="59"/>
        <v>-679374.22</v>
      </c>
    </row>
    <row r="128" spans="1:43" x14ac:dyDescent="0.35">
      <c r="A128" s="69" t="s">
        <v>43</v>
      </c>
      <c r="B128" s="15" t="s">
        <v>408</v>
      </c>
      <c r="C128" s="15"/>
      <c r="D128" s="69" t="e">
        <f>_xlfn.XLOOKUP(B128,SOM!B:B,SOM!D:D,,0)</f>
        <v>#N/A</v>
      </c>
      <c r="E128" s="76">
        <v>2</v>
      </c>
      <c r="F128" s="69" t="s">
        <v>259</v>
      </c>
      <c r="G128" s="10" t="s">
        <v>260</v>
      </c>
      <c r="H128" s="15">
        <v>9007000018</v>
      </c>
      <c r="I128" s="92" t="s">
        <v>261</v>
      </c>
      <c r="J128" s="92">
        <v>1202010217</v>
      </c>
      <c r="K128" s="14"/>
      <c r="L128" s="95" t="s">
        <v>409</v>
      </c>
      <c r="M128" s="69" t="s">
        <v>49</v>
      </c>
      <c r="N128" s="69"/>
      <c r="O128" s="94">
        <v>1</v>
      </c>
      <c r="P128" s="69" t="s">
        <v>50</v>
      </c>
      <c r="Q128" s="69" t="s">
        <v>51</v>
      </c>
      <c r="R128" s="69"/>
      <c r="S128" s="46">
        <v>44927</v>
      </c>
      <c r="T128" s="48">
        <v>44927</v>
      </c>
      <c r="U128" s="69"/>
      <c r="V128" s="69"/>
      <c r="W128" s="69"/>
      <c r="X128" s="69"/>
      <c r="Y128" s="69" t="s">
        <v>4129</v>
      </c>
      <c r="Z128" s="43">
        <v>328438</v>
      </c>
      <c r="AA128" s="43" t="s">
        <v>52</v>
      </c>
      <c r="AB128" s="43" t="s">
        <v>53</v>
      </c>
      <c r="AC128" s="43">
        <v>3650</v>
      </c>
      <c r="AD128" s="141">
        <v>10</v>
      </c>
      <c r="AE128" s="142">
        <v>0</v>
      </c>
      <c r="AF128" s="142"/>
      <c r="AG128" s="69" t="str">
        <f t="shared" si="56"/>
        <v>2 years 1 days</v>
      </c>
      <c r="AH128" s="69">
        <v>2</v>
      </c>
      <c r="AI128" s="69">
        <v>1</v>
      </c>
      <c r="AJ128" s="69">
        <v>0</v>
      </c>
      <c r="AK128" s="69">
        <v>0</v>
      </c>
      <c r="AL128" s="60">
        <v>328438</v>
      </c>
      <c r="AM128" s="60">
        <f t="shared" si="57"/>
        <v>328438</v>
      </c>
      <c r="AN128" s="59">
        <v>65778</v>
      </c>
      <c r="AO128" s="148">
        <f t="shared" si="58"/>
        <v>-65778</v>
      </c>
      <c r="AP128" s="58">
        <v>16286.508493150686</v>
      </c>
      <c r="AQ128" s="143">
        <f t="shared" si="59"/>
        <v>-16286.51</v>
      </c>
    </row>
    <row r="129" spans="1:43" x14ac:dyDescent="0.35">
      <c r="A129" s="69" t="s">
        <v>43</v>
      </c>
      <c r="B129" s="15" t="s">
        <v>410</v>
      </c>
      <c r="C129" s="15"/>
      <c r="D129" s="69"/>
      <c r="E129" s="76">
        <v>0</v>
      </c>
      <c r="F129" s="69" t="s">
        <v>259</v>
      </c>
      <c r="G129" s="10" t="s">
        <v>260</v>
      </c>
      <c r="H129" s="15">
        <v>9007000019</v>
      </c>
      <c r="I129" s="92" t="s">
        <v>261</v>
      </c>
      <c r="J129" s="92">
        <v>1202010217</v>
      </c>
      <c r="K129" s="20" t="s">
        <v>411</v>
      </c>
      <c r="L129" s="95" t="s">
        <v>412</v>
      </c>
      <c r="M129" s="69" t="s">
        <v>49</v>
      </c>
      <c r="N129" s="69"/>
      <c r="O129" s="94">
        <v>1</v>
      </c>
      <c r="P129" s="69" t="s">
        <v>50</v>
      </c>
      <c r="Q129" s="69" t="s">
        <v>51</v>
      </c>
      <c r="R129" s="69"/>
      <c r="S129" s="46">
        <v>44865</v>
      </c>
      <c r="T129" s="48">
        <v>44865</v>
      </c>
      <c r="U129" s="69"/>
      <c r="V129" s="69"/>
      <c r="W129" s="69"/>
      <c r="X129" s="69"/>
      <c r="Y129" s="69" t="s">
        <v>4131</v>
      </c>
      <c r="Z129" s="43">
        <v>800000</v>
      </c>
      <c r="AA129" s="43" t="s">
        <v>52</v>
      </c>
      <c r="AB129" s="43" t="s">
        <v>53</v>
      </c>
      <c r="AC129" s="43">
        <v>3650</v>
      </c>
      <c r="AD129" s="141">
        <v>10</v>
      </c>
      <c r="AE129" s="142">
        <v>0</v>
      </c>
      <c r="AF129" s="142"/>
      <c r="AG129" s="69" t="str">
        <f>_xlfn.CONCAT(AH129," years ",AI129," days")</f>
        <v>2 years 63 days</v>
      </c>
      <c r="AH129" s="69">
        <v>2</v>
      </c>
      <c r="AI129" s="69">
        <v>63</v>
      </c>
      <c r="AJ129" s="69">
        <v>0</v>
      </c>
      <c r="AK129" s="69">
        <v>0</v>
      </c>
      <c r="AL129" s="60">
        <v>800000</v>
      </c>
      <c r="AM129" s="60">
        <f>ROUND(AL129,2)</f>
        <v>800000</v>
      </c>
      <c r="AN129" s="59">
        <v>528000</v>
      </c>
      <c r="AO129" s="148">
        <f>ROUND(AN129,2)*-1</f>
        <v>-528000</v>
      </c>
      <c r="AP129" s="58">
        <v>39671.23287671234</v>
      </c>
      <c r="AQ129" s="143">
        <f>ROUND(AP129,2)*-1</f>
        <v>-39671.230000000003</v>
      </c>
    </row>
    <row r="130" spans="1:43" x14ac:dyDescent="0.35">
      <c r="A130" s="69" t="s">
        <v>43</v>
      </c>
      <c r="B130" s="15" t="s">
        <v>413</v>
      </c>
      <c r="C130" s="15"/>
      <c r="D130" s="69"/>
      <c r="E130" s="76">
        <v>0</v>
      </c>
      <c r="F130" s="69" t="s">
        <v>259</v>
      </c>
      <c r="G130" s="10" t="s">
        <v>260</v>
      </c>
      <c r="H130" s="15">
        <v>9007000020</v>
      </c>
      <c r="I130" s="92" t="s">
        <v>261</v>
      </c>
      <c r="J130" s="92">
        <v>1202010217</v>
      </c>
      <c r="K130" s="17" t="s">
        <v>414</v>
      </c>
      <c r="L130" s="95" t="s">
        <v>415</v>
      </c>
      <c r="M130" s="69" t="s">
        <v>416</v>
      </c>
      <c r="N130" s="69"/>
      <c r="O130" s="94">
        <v>1</v>
      </c>
      <c r="P130" s="69" t="s">
        <v>50</v>
      </c>
      <c r="Q130" s="69" t="s">
        <v>51</v>
      </c>
      <c r="R130" s="69"/>
      <c r="S130" s="46">
        <v>43470</v>
      </c>
      <c r="T130" s="48">
        <v>43470</v>
      </c>
      <c r="U130" s="69"/>
      <c r="V130" s="69"/>
      <c r="W130" s="69"/>
      <c r="X130" s="69"/>
      <c r="Y130" s="69" t="s">
        <v>4126</v>
      </c>
      <c r="Z130" s="43">
        <v>807556</v>
      </c>
      <c r="AA130" s="43" t="s">
        <v>52</v>
      </c>
      <c r="AB130" s="43" t="s">
        <v>53</v>
      </c>
      <c r="AC130" s="43">
        <v>3650</v>
      </c>
      <c r="AD130" s="141">
        <v>10</v>
      </c>
      <c r="AE130" s="142">
        <v>0</v>
      </c>
      <c r="AF130" s="142"/>
      <c r="AG130" s="69" t="str">
        <f>_xlfn.CONCAT(AH130," years ",AI130," days")</f>
        <v>5 years 363 days</v>
      </c>
      <c r="AH130" s="69">
        <v>5</v>
      </c>
      <c r="AI130" s="69">
        <v>363</v>
      </c>
      <c r="AJ130" s="69">
        <v>0</v>
      </c>
      <c r="AK130" s="69">
        <v>0</v>
      </c>
      <c r="AL130" s="60">
        <v>807556</v>
      </c>
      <c r="AM130" s="60">
        <f>ROUND(AL130,2)</f>
        <v>807556</v>
      </c>
      <c r="AN130" s="59">
        <v>483870</v>
      </c>
      <c r="AO130" s="148">
        <f>ROUND(AN130,2)*-1</f>
        <v>-483870</v>
      </c>
      <c r="AP130" s="58">
        <v>40045.783013698645</v>
      </c>
      <c r="AQ130" s="143">
        <f>ROUND(AP130,2)*-1</f>
        <v>-40045.78</v>
      </c>
    </row>
    <row r="131" spans="1:43" x14ac:dyDescent="0.35">
      <c r="A131" s="69" t="s">
        <v>43</v>
      </c>
      <c r="B131" s="15" t="s">
        <v>417</v>
      </c>
      <c r="C131" s="15"/>
      <c r="D131" s="69"/>
      <c r="E131" s="76">
        <v>0</v>
      </c>
      <c r="F131" s="69" t="s">
        <v>259</v>
      </c>
      <c r="G131" s="10" t="s">
        <v>260</v>
      </c>
      <c r="H131" s="15">
        <v>9007000021</v>
      </c>
      <c r="I131" s="92" t="s">
        <v>261</v>
      </c>
      <c r="J131" s="92">
        <v>1202010217</v>
      </c>
      <c r="K131" s="17" t="s">
        <v>418</v>
      </c>
      <c r="L131" s="95" t="s">
        <v>419</v>
      </c>
      <c r="M131" s="69" t="s">
        <v>420</v>
      </c>
      <c r="N131" s="69"/>
      <c r="O131" s="94">
        <v>1</v>
      </c>
      <c r="P131" s="69" t="s">
        <v>50</v>
      </c>
      <c r="Q131" s="69" t="s">
        <v>51</v>
      </c>
      <c r="R131" s="69"/>
      <c r="S131" s="46">
        <v>45000</v>
      </c>
      <c r="T131" s="48">
        <v>45000</v>
      </c>
      <c r="U131" s="69"/>
      <c r="V131" s="69"/>
      <c r="W131" s="69"/>
      <c r="X131" s="69"/>
      <c r="Y131" s="69" t="s">
        <v>4129</v>
      </c>
      <c r="Z131" s="43">
        <v>6105507.6000000006</v>
      </c>
      <c r="AA131" s="43" t="s">
        <v>52</v>
      </c>
      <c r="AB131" s="43" t="s">
        <v>53</v>
      </c>
      <c r="AC131" s="43">
        <v>3650</v>
      </c>
      <c r="AD131" s="141">
        <v>10</v>
      </c>
      <c r="AE131" s="142">
        <v>0</v>
      </c>
      <c r="AF131" s="142"/>
      <c r="AG131" s="69" t="str">
        <f t="shared" ref="AG131:AG134" si="60">_xlfn.CONCAT(AH131," years ",AI131," days")</f>
        <v>1 years 293 days</v>
      </c>
      <c r="AH131" s="69">
        <v>1</v>
      </c>
      <c r="AI131" s="69">
        <v>293</v>
      </c>
      <c r="AJ131" s="69">
        <v>0</v>
      </c>
      <c r="AK131" s="69">
        <v>0</v>
      </c>
      <c r="AL131" s="60">
        <v>6105507.6000000006</v>
      </c>
      <c r="AM131" s="60">
        <f t="shared" ref="AM131:AM134" si="61">ROUND(AL131,2)</f>
        <v>6105507.5999999996</v>
      </c>
      <c r="AN131" s="59">
        <v>1100664</v>
      </c>
      <c r="AO131" s="148">
        <f t="shared" ref="AO131:AO134" si="62">ROUND(AN131,2)*-1</f>
        <v>-1100664</v>
      </c>
      <c r="AP131" s="58">
        <v>302766.37895890418</v>
      </c>
      <c r="AQ131" s="143">
        <f t="shared" ref="AQ131:AQ134" si="63">ROUND(AP131,2)*-1</f>
        <v>-302766.38</v>
      </c>
    </row>
    <row r="132" spans="1:43" x14ac:dyDescent="0.35">
      <c r="A132" s="69" t="s">
        <v>43</v>
      </c>
      <c r="B132" s="15" t="s">
        <v>421</v>
      </c>
      <c r="C132" s="15"/>
      <c r="D132" s="69" t="e">
        <f>_xlfn.XLOOKUP(B132,SOM!B:B,SOM!D:D,,0)</f>
        <v>#N/A</v>
      </c>
      <c r="E132" s="76">
        <v>1</v>
      </c>
      <c r="F132" s="69" t="s">
        <v>259</v>
      </c>
      <c r="G132" s="10" t="s">
        <v>260</v>
      </c>
      <c r="H132" s="15">
        <v>9007000021</v>
      </c>
      <c r="I132" s="92" t="s">
        <v>261</v>
      </c>
      <c r="J132" s="92">
        <v>1202010217</v>
      </c>
      <c r="K132" s="14"/>
      <c r="L132" s="95" t="s">
        <v>422</v>
      </c>
      <c r="M132" s="69" t="s">
        <v>423</v>
      </c>
      <c r="N132" s="69"/>
      <c r="O132" s="94">
        <v>1</v>
      </c>
      <c r="P132" s="69" t="s">
        <v>50</v>
      </c>
      <c r="Q132" s="69" t="s">
        <v>51</v>
      </c>
      <c r="R132" s="69"/>
      <c r="S132" s="46">
        <v>44459</v>
      </c>
      <c r="T132" s="48">
        <v>44459</v>
      </c>
      <c r="U132" s="69"/>
      <c r="V132" s="69"/>
      <c r="W132" s="69"/>
      <c r="X132" s="69"/>
      <c r="Y132" s="69" t="s">
        <v>4128</v>
      </c>
      <c r="Z132" s="43">
        <v>34600</v>
      </c>
      <c r="AA132" s="43" t="s">
        <v>52</v>
      </c>
      <c r="AB132" s="43" t="s">
        <v>53</v>
      </c>
      <c r="AC132" s="43">
        <v>3650</v>
      </c>
      <c r="AD132" s="141">
        <v>10</v>
      </c>
      <c r="AE132" s="142">
        <v>0</v>
      </c>
      <c r="AF132" s="142"/>
      <c r="AG132" s="69" t="str">
        <f t="shared" si="60"/>
        <v>3 years 104 days</v>
      </c>
      <c r="AH132" s="69">
        <v>3</v>
      </c>
      <c r="AI132" s="69">
        <v>104</v>
      </c>
      <c r="AJ132" s="69">
        <v>0</v>
      </c>
      <c r="AK132" s="69">
        <v>0</v>
      </c>
      <c r="AL132" s="60">
        <v>34600</v>
      </c>
      <c r="AM132" s="60">
        <f t="shared" si="61"/>
        <v>34600</v>
      </c>
      <c r="AN132" s="59">
        <v>11366</v>
      </c>
      <c r="AO132" s="148">
        <f t="shared" si="62"/>
        <v>-11366</v>
      </c>
      <c r="AP132" s="58">
        <v>1715.6438356164381</v>
      </c>
      <c r="AQ132" s="143">
        <f t="shared" si="63"/>
        <v>-1715.64</v>
      </c>
    </row>
    <row r="133" spans="1:43" x14ac:dyDescent="0.35">
      <c r="A133" s="69" t="s">
        <v>43</v>
      </c>
      <c r="B133" s="15" t="s">
        <v>424</v>
      </c>
      <c r="C133" s="15"/>
      <c r="D133" s="69" t="e">
        <f>_xlfn.XLOOKUP(B133,SOM!B:B,SOM!D:D,,0)</f>
        <v>#N/A</v>
      </c>
      <c r="E133" s="76">
        <v>2</v>
      </c>
      <c r="F133" s="69" t="s">
        <v>259</v>
      </c>
      <c r="G133" s="10" t="s">
        <v>260</v>
      </c>
      <c r="H133" s="15">
        <v>9007000021</v>
      </c>
      <c r="I133" s="92" t="s">
        <v>261</v>
      </c>
      <c r="J133" s="92">
        <v>1202010217</v>
      </c>
      <c r="K133" s="14"/>
      <c r="L133" s="95" t="s">
        <v>425</v>
      </c>
      <c r="M133" s="69" t="s">
        <v>426</v>
      </c>
      <c r="N133" s="69"/>
      <c r="O133" s="94">
        <v>1</v>
      </c>
      <c r="P133" s="69" t="s">
        <v>50</v>
      </c>
      <c r="Q133" s="69" t="s">
        <v>51</v>
      </c>
      <c r="R133" s="69"/>
      <c r="S133" s="46">
        <v>42016</v>
      </c>
      <c r="T133" s="48">
        <v>43191</v>
      </c>
      <c r="U133" s="69"/>
      <c r="V133" s="69"/>
      <c r="W133" s="69"/>
      <c r="X133" s="69"/>
      <c r="Y133" s="69" t="s">
        <v>4125</v>
      </c>
      <c r="Z133" s="43">
        <v>95000</v>
      </c>
      <c r="AA133" s="43" t="s">
        <v>52</v>
      </c>
      <c r="AB133" s="43" t="s">
        <v>53</v>
      </c>
      <c r="AC133" s="43">
        <v>4198</v>
      </c>
      <c r="AD133" s="141">
        <v>11</v>
      </c>
      <c r="AE133" s="142">
        <v>6</v>
      </c>
      <c r="AF133" s="142"/>
      <c r="AG133" s="69" t="str">
        <f t="shared" si="60"/>
        <v>6 years 277 days</v>
      </c>
      <c r="AH133" s="69">
        <v>6</v>
      </c>
      <c r="AI133" s="69">
        <v>277</v>
      </c>
      <c r="AJ133" s="69">
        <v>0</v>
      </c>
      <c r="AK133" s="69">
        <v>0</v>
      </c>
      <c r="AL133" s="60">
        <v>95000</v>
      </c>
      <c r="AM133" s="60">
        <f t="shared" si="61"/>
        <v>95000</v>
      </c>
      <c r="AN133" s="59">
        <v>55828</v>
      </c>
      <c r="AO133" s="148">
        <f t="shared" si="62"/>
        <v>-55828</v>
      </c>
      <c r="AP133" s="58">
        <v>4095.773225345416</v>
      </c>
      <c r="AQ133" s="143">
        <f t="shared" si="63"/>
        <v>-4095.77</v>
      </c>
    </row>
    <row r="134" spans="1:43" x14ac:dyDescent="0.35">
      <c r="A134" s="69" t="s">
        <v>43</v>
      </c>
      <c r="B134" s="15" t="s">
        <v>427</v>
      </c>
      <c r="C134" s="15"/>
      <c r="D134" s="69" t="e">
        <f>_xlfn.XLOOKUP(B134,SOM!B:B,SOM!D:D,,0)</f>
        <v>#N/A</v>
      </c>
      <c r="E134" s="76">
        <v>3</v>
      </c>
      <c r="F134" s="69" t="s">
        <v>259</v>
      </c>
      <c r="G134" s="10" t="s">
        <v>260</v>
      </c>
      <c r="H134" s="15">
        <v>9007000021</v>
      </c>
      <c r="I134" s="92" t="s">
        <v>261</v>
      </c>
      <c r="J134" s="92">
        <v>1202010217</v>
      </c>
      <c r="K134" s="14"/>
      <c r="L134" s="95" t="s">
        <v>428</v>
      </c>
      <c r="M134" s="69" t="s">
        <v>49</v>
      </c>
      <c r="N134" s="69"/>
      <c r="O134" s="94">
        <v>1</v>
      </c>
      <c r="P134" s="69" t="s">
        <v>50</v>
      </c>
      <c r="Q134" s="69" t="s">
        <v>51</v>
      </c>
      <c r="R134" s="69"/>
      <c r="S134" s="46">
        <v>42099</v>
      </c>
      <c r="T134" s="48">
        <v>43191</v>
      </c>
      <c r="U134" s="69"/>
      <c r="V134" s="69"/>
      <c r="W134" s="69"/>
      <c r="X134" s="69"/>
      <c r="Y134" s="69" t="s">
        <v>4125</v>
      </c>
      <c r="Z134" s="43">
        <v>23000</v>
      </c>
      <c r="AA134" s="43" t="s">
        <v>52</v>
      </c>
      <c r="AB134" s="43" t="s">
        <v>53</v>
      </c>
      <c r="AC134" s="43">
        <v>4307</v>
      </c>
      <c r="AD134" s="141">
        <v>11</v>
      </c>
      <c r="AE134" s="142">
        <v>10</v>
      </c>
      <c r="AF134" s="142"/>
      <c r="AG134" s="69" t="str">
        <f t="shared" si="60"/>
        <v>6 years 277 days</v>
      </c>
      <c r="AH134" s="69">
        <v>6</v>
      </c>
      <c r="AI134" s="69">
        <v>277</v>
      </c>
      <c r="AJ134" s="69">
        <v>0</v>
      </c>
      <c r="AK134" s="69">
        <v>0</v>
      </c>
      <c r="AL134" s="60">
        <v>23000</v>
      </c>
      <c r="AM134" s="60">
        <f t="shared" si="61"/>
        <v>23000</v>
      </c>
      <c r="AN134" s="59">
        <v>13174</v>
      </c>
      <c r="AO134" s="148">
        <f t="shared" si="62"/>
        <v>-13174</v>
      </c>
      <c r="AP134" s="58">
        <v>966.70118411887779</v>
      </c>
      <c r="AQ134" s="143">
        <f t="shared" si="63"/>
        <v>-966.7</v>
      </c>
    </row>
    <row r="135" spans="1:43" x14ac:dyDescent="0.35">
      <c r="A135" s="69" t="s">
        <v>43</v>
      </c>
      <c r="B135" s="15" t="s">
        <v>429</v>
      </c>
      <c r="C135" s="15"/>
      <c r="D135" s="69"/>
      <c r="E135" s="76">
        <v>0</v>
      </c>
      <c r="F135" s="69" t="s">
        <v>259</v>
      </c>
      <c r="G135" s="10" t="s">
        <v>260</v>
      </c>
      <c r="H135" s="15">
        <v>9007000022</v>
      </c>
      <c r="I135" s="92" t="s">
        <v>261</v>
      </c>
      <c r="J135" s="92">
        <v>1202010217</v>
      </c>
      <c r="K135" s="17" t="s">
        <v>430</v>
      </c>
      <c r="L135" s="95" t="s">
        <v>431</v>
      </c>
      <c r="M135" s="69" t="s">
        <v>432</v>
      </c>
      <c r="N135" s="69"/>
      <c r="O135" s="94">
        <v>1</v>
      </c>
      <c r="P135" s="69" t="s">
        <v>50</v>
      </c>
      <c r="Q135" s="69" t="s">
        <v>51</v>
      </c>
      <c r="R135" s="69"/>
      <c r="S135" s="46">
        <v>45514</v>
      </c>
      <c r="T135" s="48">
        <v>45514</v>
      </c>
      <c r="U135" s="69"/>
      <c r="V135" s="69"/>
      <c r="W135" s="69"/>
      <c r="X135" s="69"/>
      <c r="Y135" s="69" t="s">
        <v>4130</v>
      </c>
      <c r="Z135" s="43">
        <v>793498</v>
      </c>
      <c r="AA135" s="43" t="s">
        <v>52</v>
      </c>
      <c r="AB135" s="43" t="s">
        <v>53</v>
      </c>
      <c r="AC135" s="43">
        <v>3650</v>
      </c>
      <c r="AD135" s="141">
        <v>10</v>
      </c>
      <c r="AE135" s="142">
        <v>0</v>
      </c>
      <c r="AF135" s="142"/>
      <c r="AG135" s="69" t="str">
        <f t="shared" ref="AG135:AG137" si="64">_xlfn.CONCAT(AH135," years ",AI135," days")</f>
        <v>0 years 144 days</v>
      </c>
      <c r="AH135" s="69">
        <v>0</v>
      </c>
      <c r="AI135" s="69">
        <v>144</v>
      </c>
      <c r="AJ135" s="69">
        <v>0</v>
      </c>
      <c r="AK135" s="69">
        <v>0</v>
      </c>
      <c r="AL135" s="60">
        <v>793498</v>
      </c>
      <c r="AM135" s="60">
        <f t="shared" ref="AM135:AM137" si="65">ROUND(AL135,2)</f>
        <v>793498</v>
      </c>
      <c r="AN135" s="59">
        <v>31305</v>
      </c>
      <c r="AO135" s="148">
        <f t="shared" ref="AO135:AO137" si="66">ROUND(AN135,2)*-1</f>
        <v>-31305</v>
      </c>
      <c r="AP135" s="58">
        <v>39348.931506849316</v>
      </c>
      <c r="AQ135" s="143">
        <f t="shared" ref="AQ135:AQ137" si="67">ROUND(AP135,2)*-1</f>
        <v>-39348.93</v>
      </c>
    </row>
    <row r="136" spans="1:43" x14ac:dyDescent="0.35">
      <c r="A136" s="69" t="s">
        <v>43</v>
      </c>
      <c r="B136" s="15" t="s">
        <v>433</v>
      </c>
      <c r="C136" s="15"/>
      <c r="D136" s="69" t="e">
        <f>_xlfn.XLOOKUP(B136,SOM!B:B,SOM!D:D,,0)</f>
        <v>#N/A</v>
      </c>
      <c r="E136" s="76">
        <v>1</v>
      </c>
      <c r="F136" s="69" t="s">
        <v>259</v>
      </c>
      <c r="G136" s="10" t="s">
        <v>260</v>
      </c>
      <c r="H136" s="15">
        <v>9007000022</v>
      </c>
      <c r="I136" s="92" t="s">
        <v>261</v>
      </c>
      <c r="J136" s="92">
        <v>1202010217</v>
      </c>
      <c r="K136" s="19"/>
      <c r="L136" s="95" t="s">
        <v>434</v>
      </c>
      <c r="M136" s="69" t="s">
        <v>435</v>
      </c>
      <c r="N136" s="69"/>
      <c r="O136" s="94">
        <v>1</v>
      </c>
      <c r="P136" s="69" t="s">
        <v>50</v>
      </c>
      <c r="Q136" s="69" t="s">
        <v>51</v>
      </c>
      <c r="R136" s="69"/>
      <c r="S136" s="46">
        <v>43555</v>
      </c>
      <c r="T136" s="48">
        <v>43555</v>
      </c>
      <c r="U136" s="69"/>
      <c r="V136" s="69"/>
      <c r="W136" s="69"/>
      <c r="X136" s="69"/>
      <c r="Y136" s="69" t="s">
        <v>4126</v>
      </c>
      <c r="Z136" s="43">
        <v>51200</v>
      </c>
      <c r="AA136" s="43" t="s">
        <v>52</v>
      </c>
      <c r="AB136" s="43" t="s">
        <v>53</v>
      </c>
      <c r="AC136" s="43">
        <v>3650</v>
      </c>
      <c r="AD136" s="141">
        <v>10</v>
      </c>
      <c r="AE136" s="142">
        <v>0</v>
      </c>
      <c r="AF136" s="142"/>
      <c r="AG136" s="69" t="str">
        <f t="shared" si="64"/>
        <v>5 years 278 days</v>
      </c>
      <c r="AH136" s="69">
        <v>5</v>
      </c>
      <c r="AI136" s="69">
        <v>278</v>
      </c>
      <c r="AJ136" s="69">
        <v>0</v>
      </c>
      <c r="AK136" s="69">
        <v>0</v>
      </c>
      <c r="AL136" s="60">
        <v>51200</v>
      </c>
      <c r="AM136" s="60">
        <f t="shared" si="65"/>
        <v>51200</v>
      </c>
      <c r="AN136" s="59">
        <v>29486</v>
      </c>
      <c r="AO136" s="148">
        <f t="shared" si="66"/>
        <v>-29486</v>
      </c>
      <c r="AP136" s="58">
        <v>2538.5479452054788</v>
      </c>
      <c r="AQ136" s="143">
        <f t="shared" si="67"/>
        <v>-2538.5500000000002</v>
      </c>
    </row>
    <row r="137" spans="1:43" x14ac:dyDescent="0.35">
      <c r="A137" s="69" t="s">
        <v>43</v>
      </c>
      <c r="B137" s="15" t="s">
        <v>436</v>
      </c>
      <c r="C137" s="15"/>
      <c r="D137" s="69" t="e">
        <f>_xlfn.XLOOKUP(B137,SOM!B:B,SOM!D:D,,0)</f>
        <v>#N/A</v>
      </c>
      <c r="E137" s="76">
        <v>2</v>
      </c>
      <c r="F137" s="69" t="s">
        <v>259</v>
      </c>
      <c r="G137" s="10" t="s">
        <v>260</v>
      </c>
      <c r="H137" s="15">
        <v>9007000022</v>
      </c>
      <c r="I137" s="92" t="s">
        <v>261</v>
      </c>
      <c r="J137" s="92">
        <v>1202010217</v>
      </c>
      <c r="K137" s="19"/>
      <c r="L137" s="95" t="s">
        <v>437</v>
      </c>
      <c r="M137" s="69" t="s">
        <v>438</v>
      </c>
      <c r="N137" s="69"/>
      <c r="O137" s="94">
        <v>1</v>
      </c>
      <c r="P137" s="69" t="s">
        <v>50</v>
      </c>
      <c r="Q137" s="69" t="s">
        <v>51</v>
      </c>
      <c r="R137" s="69"/>
      <c r="S137" s="46">
        <v>44288</v>
      </c>
      <c r="T137" s="48">
        <v>44288</v>
      </c>
      <c r="U137" s="69"/>
      <c r="V137" s="69"/>
      <c r="W137" s="69"/>
      <c r="X137" s="69"/>
      <c r="Y137" s="69" t="s">
        <v>4128</v>
      </c>
      <c r="Z137" s="43">
        <v>25145</v>
      </c>
      <c r="AA137" s="43" t="s">
        <v>52</v>
      </c>
      <c r="AB137" s="43" t="s">
        <v>53</v>
      </c>
      <c r="AC137" s="43">
        <v>3650</v>
      </c>
      <c r="AD137" s="141">
        <v>10</v>
      </c>
      <c r="AE137" s="142">
        <v>0</v>
      </c>
      <c r="AF137" s="142"/>
      <c r="AG137" s="69" t="str">
        <f t="shared" si="64"/>
        <v>3 years 275 days</v>
      </c>
      <c r="AH137" s="69">
        <v>3</v>
      </c>
      <c r="AI137" s="69">
        <v>275</v>
      </c>
      <c r="AJ137" s="69">
        <v>0</v>
      </c>
      <c r="AK137" s="69">
        <v>0</v>
      </c>
      <c r="AL137" s="60">
        <v>25145</v>
      </c>
      <c r="AM137" s="60">
        <f t="shared" si="65"/>
        <v>25145</v>
      </c>
      <c r="AN137" s="59">
        <v>9438</v>
      </c>
      <c r="AO137" s="148">
        <f t="shared" si="66"/>
        <v>-9438</v>
      </c>
      <c r="AP137" s="58">
        <v>1246.902739726027</v>
      </c>
      <c r="AQ137" s="143">
        <f t="shared" si="67"/>
        <v>-1246.9000000000001</v>
      </c>
    </row>
    <row r="138" spans="1:43" x14ac:dyDescent="0.35">
      <c r="A138" s="69" t="s">
        <v>43</v>
      </c>
      <c r="B138" s="15" t="s">
        <v>439</v>
      </c>
      <c r="C138" s="15"/>
      <c r="D138" s="69"/>
      <c r="E138" s="76">
        <v>0</v>
      </c>
      <c r="F138" s="69" t="s">
        <v>259</v>
      </c>
      <c r="G138" s="10" t="s">
        <v>260</v>
      </c>
      <c r="H138" s="15">
        <v>9007000023</v>
      </c>
      <c r="I138" s="92" t="s">
        <v>261</v>
      </c>
      <c r="J138" s="92">
        <v>1202010217</v>
      </c>
      <c r="K138" s="21" t="s">
        <v>440</v>
      </c>
      <c r="L138" s="95" t="s">
        <v>441</v>
      </c>
      <c r="M138" s="69" t="s">
        <v>49</v>
      </c>
      <c r="N138" s="69"/>
      <c r="O138" s="94">
        <v>1</v>
      </c>
      <c r="P138" s="69" t="s">
        <v>50</v>
      </c>
      <c r="Q138" s="69" t="s">
        <v>51</v>
      </c>
      <c r="R138" s="69"/>
      <c r="S138" s="46">
        <v>40627</v>
      </c>
      <c r="T138" s="48">
        <v>43191</v>
      </c>
      <c r="U138" s="69"/>
      <c r="V138" s="69"/>
      <c r="W138" s="69"/>
      <c r="X138" s="69"/>
      <c r="Y138" s="69" t="s">
        <v>4125</v>
      </c>
      <c r="Z138" s="43">
        <v>4825000</v>
      </c>
      <c r="AA138" s="43" t="s">
        <v>52</v>
      </c>
      <c r="AB138" s="43" t="s">
        <v>53</v>
      </c>
      <c r="AC138" s="43">
        <v>2920</v>
      </c>
      <c r="AD138" s="141">
        <v>8</v>
      </c>
      <c r="AE138" s="142">
        <v>0</v>
      </c>
      <c r="AF138" s="142"/>
      <c r="AG138" s="69" t="str">
        <f t="shared" ref="AG138:AG144" si="68">_xlfn.CONCAT(AH138," years ",AI138," days")</f>
        <v>6 years 277 days</v>
      </c>
      <c r="AH138" s="69">
        <v>6</v>
      </c>
      <c r="AI138" s="69">
        <v>277</v>
      </c>
      <c r="AJ138" s="69">
        <v>0</v>
      </c>
      <c r="AK138" s="69">
        <v>0</v>
      </c>
      <c r="AL138" s="60">
        <v>4825000</v>
      </c>
      <c r="AM138" s="60">
        <f t="shared" ref="AM138:AM144" si="69">ROUND(AL138,2)</f>
        <v>4825000</v>
      </c>
      <c r="AN138" s="59">
        <v>4076464</v>
      </c>
      <c r="AO138" s="148">
        <f t="shared" ref="AO138:AO144" si="70">ROUND(AN138,2)*-1</f>
        <v>-4076464</v>
      </c>
      <c r="AP138" s="58">
        <v>299083.94520547893</v>
      </c>
      <c r="AQ138" s="143">
        <f t="shared" ref="AQ138:AQ144" si="71">ROUND(AP138,2)*-1</f>
        <v>-299083.95</v>
      </c>
    </row>
    <row r="139" spans="1:43" x14ac:dyDescent="0.35">
      <c r="A139" s="69" t="s">
        <v>43</v>
      </c>
      <c r="B139" s="15" t="s">
        <v>442</v>
      </c>
      <c r="C139" s="15"/>
      <c r="D139" s="69" t="e">
        <f>_xlfn.XLOOKUP(B139,SOM!B:B,SOM!D:D,,0)</f>
        <v>#N/A</v>
      </c>
      <c r="E139" s="76">
        <v>1</v>
      </c>
      <c r="F139" s="69" t="s">
        <v>259</v>
      </c>
      <c r="G139" s="10" t="s">
        <v>260</v>
      </c>
      <c r="H139" s="15">
        <v>9007000023</v>
      </c>
      <c r="I139" s="92" t="s">
        <v>261</v>
      </c>
      <c r="J139" s="92">
        <v>1202010217</v>
      </c>
      <c r="K139" s="14"/>
      <c r="L139" s="95" t="s">
        <v>443</v>
      </c>
      <c r="M139" s="69" t="s">
        <v>444</v>
      </c>
      <c r="N139" s="69"/>
      <c r="O139" s="94">
        <v>1</v>
      </c>
      <c r="P139" s="69" t="s">
        <v>50</v>
      </c>
      <c r="Q139" s="69" t="s">
        <v>51</v>
      </c>
      <c r="R139" s="69"/>
      <c r="S139" s="46">
        <v>41342</v>
      </c>
      <c r="T139" s="48">
        <v>43191</v>
      </c>
      <c r="U139" s="69"/>
      <c r="V139" s="69"/>
      <c r="W139" s="69"/>
      <c r="X139" s="69"/>
      <c r="Y139" s="69" t="s">
        <v>4125</v>
      </c>
      <c r="Z139" s="43">
        <v>31000</v>
      </c>
      <c r="AA139" s="43" t="s">
        <v>52</v>
      </c>
      <c r="AB139" s="43" t="s">
        <v>53</v>
      </c>
      <c r="AC139" s="43">
        <v>3249</v>
      </c>
      <c r="AD139" s="141">
        <v>8</v>
      </c>
      <c r="AE139" s="142">
        <v>11</v>
      </c>
      <c r="AF139" s="142"/>
      <c r="AG139" s="69" t="str">
        <f t="shared" si="68"/>
        <v>6 years 277 days</v>
      </c>
      <c r="AH139" s="69">
        <v>6</v>
      </c>
      <c r="AI139" s="69">
        <v>277</v>
      </c>
      <c r="AJ139" s="69">
        <v>0</v>
      </c>
      <c r="AK139" s="69">
        <v>0</v>
      </c>
      <c r="AL139" s="60">
        <v>31000</v>
      </c>
      <c r="AM139" s="60">
        <f t="shared" si="69"/>
        <v>31000</v>
      </c>
      <c r="AN139" s="59">
        <v>23539</v>
      </c>
      <c r="AO139" s="148">
        <f t="shared" si="70"/>
        <v>-23539</v>
      </c>
      <c r="AP139" s="58">
        <v>1726.6201908279436</v>
      </c>
      <c r="AQ139" s="143">
        <f t="shared" si="71"/>
        <v>-1726.62</v>
      </c>
    </row>
    <row r="140" spans="1:43" x14ac:dyDescent="0.35">
      <c r="A140" s="69" t="s">
        <v>43</v>
      </c>
      <c r="B140" s="15" t="s">
        <v>445</v>
      </c>
      <c r="C140" s="15"/>
      <c r="D140" s="69" t="e">
        <f>_xlfn.XLOOKUP(B140,SOM!B:B,SOM!D:D,,0)</f>
        <v>#N/A</v>
      </c>
      <c r="E140" s="76">
        <v>2</v>
      </c>
      <c r="F140" s="69" t="s">
        <v>259</v>
      </c>
      <c r="G140" s="10" t="s">
        <v>260</v>
      </c>
      <c r="H140" s="15">
        <v>9007000023</v>
      </c>
      <c r="I140" s="92" t="s">
        <v>261</v>
      </c>
      <c r="J140" s="92">
        <v>1202010217</v>
      </c>
      <c r="K140" s="14"/>
      <c r="L140" s="95" t="s">
        <v>446</v>
      </c>
      <c r="M140" s="69" t="s">
        <v>447</v>
      </c>
      <c r="N140" s="69"/>
      <c r="O140" s="94">
        <v>1</v>
      </c>
      <c r="P140" s="69" t="s">
        <v>50</v>
      </c>
      <c r="Q140" s="69" t="s">
        <v>51</v>
      </c>
      <c r="R140" s="69"/>
      <c r="S140" s="46">
        <v>41265</v>
      </c>
      <c r="T140" s="48">
        <v>43191</v>
      </c>
      <c r="U140" s="69"/>
      <c r="V140" s="69"/>
      <c r="W140" s="69"/>
      <c r="X140" s="69"/>
      <c r="Y140" s="69" t="s">
        <v>4125</v>
      </c>
      <c r="Z140" s="43">
        <v>390000</v>
      </c>
      <c r="AA140" s="43" t="s">
        <v>52</v>
      </c>
      <c r="AB140" s="43" t="s">
        <v>53</v>
      </c>
      <c r="AC140" s="43">
        <v>3541</v>
      </c>
      <c r="AD140" s="141">
        <v>9</v>
      </c>
      <c r="AE140" s="142">
        <v>9</v>
      </c>
      <c r="AF140" s="142"/>
      <c r="AG140" s="69" t="str">
        <f t="shared" si="68"/>
        <v>6 years 277 days</v>
      </c>
      <c r="AH140" s="69">
        <v>6</v>
      </c>
      <c r="AI140" s="69">
        <v>277</v>
      </c>
      <c r="AJ140" s="69">
        <v>0</v>
      </c>
      <c r="AK140" s="69">
        <v>0</v>
      </c>
      <c r="AL140" s="60">
        <v>390000</v>
      </c>
      <c r="AM140" s="60">
        <f t="shared" si="69"/>
        <v>390000</v>
      </c>
      <c r="AN140" s="59">
        <v>271711</v>
      </c>
      <c r="AO140" s="148">
        <f t="shared" si="70"/>
        <v>-271711</v>
      </c>
      <c r="AP140" s="58">
        <v>19935.427562835335</v>
      </c>
      <c r="AQ140" s="143">
        <f t="shared" si="71"/>
        <v>-19935.43</v>
      </c>
    </row>
    <row r="141" spans="1:43" x14ac:dyDescent="0.35">
      <c r="A141" s="69" t="s">
        <v>43</v>
      </c>
      <c r="B141" s="15" t="s">
        <v>448</v>
      </c>
      <c r="C141" s="15"/>
      <c r="D141" s="69" t="e">
        <f>_xlfn.XLOOKUP(B141,SOM!B:B,SOM!D:D,,0)</f>
        <v>#N/A</v>
      </c>
      <c r="E141" s="76">
        <v>3</v>
      </c>
      <c r="F141" s="69" t="s">
        <v>259</v>
      </c>
      <c r="G141" s="10" t="s">
        <v>260</v>
      </c>
      <c r="H141" s="15">
        <v>9007000023</v>
      </c>
      <c r="I141" s="92" t="s">
        <v>261</v>
      </c>
      <c r="J141" s="92">
        <v>1202010217</v>
      </c>
      <c r="K141" s="14"/>
      <c r="L141" s="95" t="s">
        <v>449</v>
      </c>
      <c r="M141" s="69" t="s">
        <v>450</v>
      </c>
      <c r="N141" s="69"/>
      <c r="O141" s="94">
        <v>1</v>
      </c>
      <c r="P141" s="69" t="s">
        <v>50</v>
      </c>
      <c r="Q141" s="69" t="s">
        <v>51</v>
      </c>
      <c r="R141" s="69"/>
      <c r="S141" s="46">
        <v>41295</v>
      </c>
      <c r="T141" s="48">
        <v>43191</v>
      </c>
      <c r="U141" s="69"/>
      <c r="V141" s="69"/>
      <c r="W141" s="69"/>
      <c r="X141" s="69"/>
      <c r="Y141" s="69" t="s">
        <v>4125</v>
      </c>
      <c r="Z141" s="43">
        <v>540000</v>
      </c>
      <c r="AA141" s="43" t="s">
        <v>52</v>
      </c>
      <c r="AB141" s="43" t="s">
        <v>53</v>
      </c>
      <c r="AC141" s="43">
        <v>3577</v>
      </c>
      <c r="AD141" s="141">
        <v>9</v>
      </c>
      <c r="AE141" s="142">
        <v>10</v>
      </c>
      <c r="AF141" s="142"/>
      <c r="AG141" s="69" t="str">
        <f t="shared" si="68"/>
        <v>6 years 277 days</v>
      </c>
      <c r="AH141" s="69">
        <v>6</v>
      </c>
      <c r="AI141" s="69">
        <v>277</v>
      </c>
      <c r="AJ141" s="69">
        <v>0</v>
      </c>
      <c r="AK141" s="69">
        <v>0</v>
      </c>
      <c r="AL141" s="60">
        <v>540000</v>
      </c>
      <c r="AM141" s="60">
        <f t="shared" si="69"/>
        <v>540000</v>
      </c>
      <c r="AN141" s="59">
        <v>372429</v>
      </c>
      <c r="AO141" s="148">
        <f t="shared" si="70"/>
        <v>-372429</v>
      </c>
      <c r="AP141" s="58">
        <v>27324.983785294928</v>
      </c>
      <c r="AQ141" s="143">
        <f t="shared" si="71"/>
        <v>-27324.98</v>
      </c>
    </row>
    <row r="142" spans="1:43" x14ac:dyDescent="0.35">
      <c r="A142" s="69" t="s">
        <v>43</v>
      </c>
      <c r="B142" s="15" t="s">
        <v>451</v>
      </c>
      <c r="C142" s="15"/>
      <c r="D142" s="69" t="e">
        <f>_xlfn.XLOOKUP(B142,SOM!B:B,SOM!D:D,,0)</f>
        <v>#N/A</v>
      </c>
      <c r="E142" s="76">
        <v>4</v>
      </c>
      <c r="F142" s="69" t="s">
        <v>259</v>
      </c>
      <c r="G142" s="10" t="s">
        <v>260</v>
      </c>
      <c r="H142" s="15">
        <v>9007000023</v>
      </c>
      <c r="I142" s="92" t="s">
        <v>261</v>
      </c>
      <c r="J142" s="92">
        <v>1202010217</v>
      </c>
      <c r="K142" s="14"/>
      <c r="L142" s="95" t="s">
        <v>452</v>
      </c>
      <c r="M142" s="69" t="s">
        <v>453</v>
      </c>
      <c r="N142" s="69"/>
      <c r="O142" s="94">
        <v>1</v>
      </c>
      <c r="P142" s="69" t="s">
        <v>50</v>
      </c>
      <c r="Q142" s="69" t="s">
        <v>51</v>
      </c>
      <c r="R142" s="69"/>
      <c r="S142" s="46">
        <v>41295</v>
      </c>
      <c r="T142" s="48">
        <v>43191</v>
      </c>
      <c r="U142" s="69"/>
      <c r="V142" s="69"/>
      <c r="W142" s="69"/>
      <c r="X142" s="69"/>
      <c r="Y142" s="69" t="s">
        <v>4125</v>
      </c>
      <c r="Z142" s="43">
        <v>350000</v>
      </c>
      <c r="AA142" s="43" t="s">
        <v>52</v>
      </c>
      <c r="AB142" s="43" t="s">
        <v>53</v>
      </c>
      <c r="AC142" s="43">
        <v>3577</v>
      </c>
      <c r="AD142" s="141">
        <v>9</v>
      </c>
      <c r="AE142" s="142">
        <v>10</v>
      </c>
      <c r="AF142" s="142"/>
      <c r="AG142" s="69" t="str">
        <f t="shared" si="68"/>
        <v>6 years 277 days</v>
      </c>
      <c r="AH142" s="69">
        <v>6</v>
      </c>
      <c r="AI142" s="69">
        <v>277</v>
      </c>
      <c r="AJ142" s="69">
        <v>0</v>
      </c>
      <c r="AK142" s="69">
        <v>0</v>
      </c>
      <c r="AL142" s="60">
        <v>350000</v>
      </c>
      <c r="AM142" s="60">
        <f t="shared" si="69"/>
        <v>350000</v>
      </c>
      <c r="AN142" s="59">
        <v>241389</v>
      </c>
      <c r="AO142" s="148">
        <f t="shared" si="70"/>
        <v>-241389</v>
      </c>
      <c r="AP142" s="58">
        <v>17710.804305283731</v>
      </c>
      <c r="AQ142" s="143">
        <f t="shared" si="71"/>
        <v>-17710.8</v>
      </c>
    </row>
    <row r="143" spans="1:43" x14ac:dyDescent="0.35">
      <c r="A143" s="69" t="s">
        <v>43</v>
      </c>
      <c r="B143" s="15" t="s">
        <v>454</v>
      </c>
      <c r="C143" s="15"/>
      <c r="D143" s="69" t="e">
        <f>_xlfn.XLOOKUP(B143,SOM!B:B,SOM!D:D,,0)</f>
        <v>#N/A</v>
      </c>
      <c r="E143" s="76">
        <v>5</v>
      </c>
      <c r="F143" s="69" t="s">
        <v>259</v>
      </c>
      <c r="G143" s="10" t="s">
        <v>260</v>
      </c>
      <c r="H143" s="15">
        <v>9007000023</v>
      </c>
      <c r="I143" s="92" t="s">
        <v>261</v>
      </c>
      <c r="J143" s="92">
        <v>1202010217</v>
      </c>
      <c r="K143" s="14"/>
      <c r="L143" s="95" t="s">
        <v>455</v>
      </c>
      <c r="M143" s="69" t="s">
        <v>456</v>
      </c>
      <c r="N143" s="69"/>
      <c r="O143" s="94">
        <v>1</v>
      </c>
      <c r="P143" s="69" t="s">
        <v>50</v>
      </c>
      <c r="Q143" s="69" t="s">
        <v>51</v>
      </c>
      <c r="R143" s="69"/>
      <c r="S143" s="46">
        <v>41343</v>
      </c>
      <c r="T143" s="48">
        <v>43191</v>
      </c>
      <c r="U143" s="69"/>
      <c r="V143" s="69"/>
      <c r="W143" s="69"/>
      <c r="X143" s="69"/>
      <c r="Y143" s="69" t="s">
        <v>4125</v>
      </c>
      <c r="Z143" s="43">
        <v>110000</v>
      </c>
      <c r="AA143" s="43" t="s">
        <v>52</v>
      </c>
      <c r="AB143" s="43" t="s">
        <v>53</v>
      </c>
      <c r="AC143" s="43">
        <v>3614</v>
      </c>
      <c r="AD143" s="141">
        <v>9</v>
      </c>
      <c r="AE143" s="142">
        <v>11</v>
      </c>
      <c r="AF143" s="142"/>
      <c r="AG143" s="69" t="str">
        <f t="shared" si="68"/>
        <v>6 years 277 days</v>
      </c>
      <c r="AH143" s="69">
        <v>6</v>
      </c>
      <c r="AI143" s="69">
        <v>277</v>
      </c>
      <c r="AJ143" s="69">
        <v>0</v>
      </c>
      <c r="AK143" s="69">
        <v>0</v>
      </c>
      <c r="AL143" s="60">
        <v>110000</v>
      </c>
      <c r="AM143" s="60">
        <f t="shared" si="69"/>
        <v>110000</v>
      </c>
      <c r="AN143" s="59">
        <v>75089</v>
      </c>
      <c r="AO143" s="148">
        <f t="shared" si="70"/>
        <v>-75089</v>
      </c>
      <c r="AP143" s="58">
        <v>5508.6757055893686</v>
      </c>
      <c r="AQ143" s="143">
        <f t="shared" si="71"/>
        <v>-5508.68</v>
      </c>
    </row>
    <row r="144" spans="1:43" x14ac:dyDescent="0.35">
      <c r="A144" s="69" t="s">
        <v>43</v>
      </c>
      <c r="B144" s="15" t="s">
        <v>457</v>
      </c>
      <c r="C144" s="15"/>
      <c r="D144" s="69" t="e">
        <f>_xlfn.XLOOKUP(B144,SOM!B:B,SOM!D:D,,0)</f>
        <v>#N/A</v>
      </c>
      <c r="E144" s="76">
        <v>6</v>
      </c>
      <c r="F144" s="69" t="s">
        <v>259</v>
      </c>
      <c r="G144" s="10" t="s">
        <v>260</v>
      </c>
      <c r="H144" s="15">
        <v>9007000023</v>
      </c>
      <c r="I144" s="92" t="s">
        <v>261</v>
      </c>
      <c r="J144" s="92">
        <v>1202010217</v>
      </c>
      <c r="K144" s="14"/>
      <c r="L144" s="95" t="s">
        <v>458</v>
      </c>
      <c r="M144" s="69" t="s">
        <v>459</v>
      </c>
      <c r="N144" s="69"/>
      <c r="O144" s="94">
        <v>1</v>
      </c>
      <c r="P144" s="69" t="s">
        <v>50</v>
      </c>
      <c r="Q144" s="69" t="s">
        <v>51</v>
      </c>
      <c r="R144" s="69"/>
      <c r="S144" s="46">
        <v>44012</v>
      </c>
      <c r="T144" s="48">
        <v>44012</v>
      </c>
      <c r="U144" s="69"/>
      <c r="V144" s="69"/>
      <c r="W144" s="69"/>
      <c r="X144" s="69"/>
      <c r="Y144" s="69" t="s">
        <v>4127</v>
      </c>
      <c r="Z144" s="43">
        <v>41848</v>
      </c>
      <c r="AA144" s="43" t="s">
        <v>52</v>
      </c>
      <c r="AB144" s="43" t="s">
        <v>53</v>
      </c>
      <c r="AC144" s="43">
        <v>3650</v>
      </c>
      <c r="AD144" s="141">
        <v>10</v>
      </c>
      <c r="AE144" s="142">
        <v>0</v>
      </c>
      <c r="AF144" s="142"/>
      <c r="AG144" s="69" t="str">
        <f t="shared" si="68"/>
        <v>4 years 186 days</v>
      </c>
      <c r="AH144" s="69">
        <v>4</v>
      </c>
      <c r="AI144" s="69">
        <v>186</v>
      </c>
      <c r="AJ144" s="69">
        <v>0</v>
      </c>
      <c r="AK144" s="69">
        <v>0</v>
      </c>
      <c r="AL144" s="60">
        <v>41848</v>
      </c>
      <c r="AM144" s="60">
        <f t="shared" si="69"/>
        <v>41848</v>
      </c>
      <c r="AN144" s="59">
        <v>18872</v>
      </c>
      <c r="AO144" s="148">
        <f t="shared" si="70"/>
        <v>-18872</v>
      </c>
      <c r="AP144" s="58">
        <v>2074.9304109589029</v>
      </c>
      <c r="AQ144" s="143">
        <f t="shared" si="71"/>
        <v>-2074.9299999999998</v>
      </c>
    </row>
    <row r="145" spans="1:43" x14ac:dyDescent="0.35">
      <c r="A145" s="69" t="s">
        <v>43</v>
      </c>
      <c r="B145" s="15" t="s">
        <v>460</v>
      </c>
      <c r="C145" s="15"/>
      <c r="D145" s="69"/>
      <c r="E145" s="76">
        <v>0</v>
      </c>
      <c r="F145" s="69" t="s">
        <v>259</v>
      </c>
      <c r="G145" s="10" t="s">
        <v>260</v>
      </c>
      <c r="H145" s="15">
        <v>9007000024</v>
      </c>
      <c r="I145" s="92" t="s">
        <v>261</v>
      </c>
      <c r="J145" s="92">
        <v>1202010217</v>
      </c>
      <c r="K145" s="21" t="s">
        <v>461</v>
      </c>
      <c r="L145" s="95" t="s">
        <v>462</v>
      </c>
      <c r="M145" s="69" t="s">
        <v>463</v>
      </c>
      <c r="N145" s="69"/>
      <c r="O145" s="94">
        <v>2</v>
      </c>
      <c r="P145" s="69" t="s">
        <v>50</v>
      </c>
      <c r="Q145" s="69" t="s">
        <v>51</v>
      </c>
      <c r="R145" s="69"/>
      <c r="S145" s="46">
        <v>41285</v>
      </c>
      <c r="T145" s="48">
        <v>43191</v>
      </c>
      <c r="U145" s="69"/>
      <c r="V145" s="69"/>
      <c r="W145" s="69"/>
      <c r="X145" s="69"/>
      <c r="Y145" s="69" t="s">
        <v>4125</v>
      </c>
      <c r="Z145" s="43">
        <v>510000</v>
      </c>
      <c r="AA145" s="43" t="s">
        <v>52</v>
      </c>
      <c r="AB145" s="43" t="s">
        <v>53</v>
      </c>
      <c r="AC145" s="43">
        <v>3577</v>
      </c>
      <c r="AD145" s="141">
        <v>9</v>
      </c>
      <c r="AE145" s="142">
        <v>10</v>
      </c>
      <c r="AF145" s="142"/>
      <c r="AG145" s="69" t="str">
        <f t="shared" ref="AG145:AG147" si="72">_xlfn.CONCAT(AH145," years ",AI145," days")</f>
        <v>6 years 277 days</v>
      </c>
      <c r="AH145" s="69">
        <v>6</v>
      </c>
      <c r="AI145" s="69">
        <v>277</v>
      </c>
      <c r="AJ145" s="69">
        <v>0</v>
      </c>
      <c r="AK145" s="69">
        <v>0</v>
      </c>
      <c r="AL145" s="60">
        <v>510000</v>
      </c>
      <c r="AM145" s="60">
        <f t="shared" ref="AM145:AM147" si="73">ROUND(AL145,2)</f>
        <v>510000</v>
      </c>
      <c r="AN145" s="59">
        <v>351739</v>
      </c>
      <c r="AO145" s="148">
        <f t="shared" ref="AO145:AO147" si="74">ROUND(AN145,2)*-1</f>
        <v>-351739</v>
      </c>
      <c r="AP145" s="58">
        <v>25806.429130556353</v>
      </c>
      <c r="AQ145" s="143">
        <f t="shared" ref="AQ145:AQ147" si="75">ROUND(AP145,2)*-1</f>
        <v>-25806.43</v>
      </c>
    </row>
    <row r="146" spans="1:43" x14ac:dyDescent="0.35">
      <c r="A146" s="69" t="s">
        <v>43</v>
      </c>
      <c r="B146" s="15" t="s">
        <v>464</v>
      </c>
      <c r="C146" s="15"/>
      <c r="D146" s="69" t="e">
        <f>_xlfn.XLOOKUP(B146,SOM!B:B,SOM!D:D,,0)</f>
        <v>#N/A</v>
      </c>
      <c r="E146" s="76">
        <v>1</v>
      </c>
      <c r="F146" s="69" t="s">
        <v>259</v>
      </c>
      <c r="G146" s="10" t="s">
        <v>260</v>
      </c>
      <c r="H146" s="15">
        <v>9007000024</v>
      </c>
      <c r="I146" s="92" t="s">
        <v>261</v>
      </c>
      <c r="J146" s="92">
        <v>1202010217</v>
      </c>
      <c r="K146" s="14"/>
      <c r="L146" s="95" t="s">
        <v>465</v>
      </c>
      <c r="M146" s="69" t="s">
        <v>466</v>
      </c>
      <c r="N146" s="69"/>
      <c r="O146" s="94">
        <v>1</v>
      </c>
      <c r="P146" s="69" t="s">
        <v>50</v>
      </c>
      <c r="Q146" s="69" t="s">
        <v>51</v>
      </c>
      <c r="R146" s="69"/>
      <c r="S146" s="46">
        <v>41263</v>
      </c>
      <c r="T146" s="48">
        <v>43191</v>
      </c>
      <c r="U146" s="69"/>
      <c r="V146" s="69"/>
      <c r="W146" s="69"/>
      <c r="X146" s="69"/>
      <c r="Y146" s="69" t="s">
        <v>4125</v>
      </c>
      <c r="Z146" s="43">
        <v>440000</v>
      </c>
      <c r="AA146" s="43" t="s">
        <v>52</v>
      </c>
      <c r="AB146" s="43" t="s">
        <v>53</v>
      </c>
      <c r="AC146" s="43">
        <v>3541</v>
      </c>
      <c r="AD146" s="141">
        <v>9</v>
      </c>
      <c r="AE146" s="142">
        <v>9</v>
      </c>
      <c r="AF146" s="142"/>
      <c r="AG146" s="69" t="str">
        <f t="shared" si="72"/>
        <v>6 years 277 days</v>
      </c>
      <c r="AH146" s="69">
        <v>6</v>
      </c>
      <c r="AI146" s="69">
        <v>277</v>
      </c>
      <c r="AJ146" s="69">
        <v>0</v>
      </c>
      <c r="AK146" s="69">
        <v>0</v>
      </c>
      <c r="AL146" s="60">
        <v>440000</v>
      </c>
      <c r="AM146" s="60">
        <f t="shared" si="73"/>
        <v>440000</v>
      </c>
      <c r="AN146" s="59">
        <v>306546</v>
      </c>
      <c r="AO146" s="148">
        <f t="shared" si="74"/>
        <v>-306546</v>
      </c>
      <c r="AP146" s="58">
        <v>22490.995199096331</v>
      </c>
      <c r="AQ146" s="143">
        <f t="shared" si="75"/>
        <v>-22491</v>
      </c>
    </row>
    <row r="147" spans="1:43" x14ac:dyDescent="0.35">
      <c r="A147" s="69" t="s">
        <v>43</v>
      </c>
      <c r="B147" s="15" t="s">
        <v>467</v>
      </c>
      <c r="C147" s="15"/>
      <c r="D147" s="69" t="e">
        <f>_xlfn.XLOOKUP(B147,SOM!B:B,SOM!D:D,,0)</f>
        <v>#N/A</v>
      </c>
      <c r="E147" s="76">
        <v>2</v>
      </c>
      <c r="F147" s="69" t="s">
        <v>259</v>
      </c>
      <c r="G147" s="10" t="s">
        <v>260</v>
      </c>
      <c r="H147" s="15">
        <v>9007000024</v>
      </c>
      <c r="I147" s="92" t="s">
        <v>261</v>
      </c>
      <c r="J147" s="92">
        <v>1202010217</v>
      </c>
      <c r="K147" s="14"/>
      <c r="L147" s="95" t="s">
        <v>468</v>
      </c>
      <c r="M147" s="69" t="s">
        <v>469</v>
      </c>
      <c r="N147" s="69"/>
      <c r="O147" s="94">
        <v>1</v>
      </c>
      <c r="P147" s="69" t="s">
        <v>50</v>
      </c>
      <c r="Q147" s="69" t="s">
        <v>51</v>
      </c>
      <c r="R147" s="69"/>
      <c r="S147" s="46">
        <v>41297</v>
      </c>
      <c r="T147" s="48">
        <v>43191</v>
      </c>
      <c r="U147" s="69"/>
      <c r="V147" s="69"/>
      <c r="W147" s="69"/>
      <c r="X147" s="69"/>
      <c r="Y147" s="69" t="s">
        <v>4125</v>
      </c>
      <c r="Z147" s="43">
        <v>155000</v>
      </c>
      <c r="AA147" s="43" t="s">
        <v>52</v>
      </c>
      <c r="AB147" s="43" t="s">
        <v>53</v>
      </c>
      <c r="AC147" s="43">
        <v>3577</v>
      </c>
      <c r="AD147" s="141">
        <v>9</v>
      </c>
      <c r="AE147" s="142">
        <v>10</v>
      </c>
      <c r="AF147" s="142"/>
      <c r="AG147" s="69" t="str">
        <f t="shared" si="72"/>
        <v>6 years 277 days</v>
      </c>
      <c r="AH147" s="69">
        <v>6</v>
      </c>
      <c r="AI147" s="69">
        <v>277</v>
      </c>
      <c r="AJ147" s="69">
        <v>0</v>
      </c>
      <c r="AK147" s="69">
        <v>0</v>
      </c>
      <c r="AL147" s="60">
        <v>155000</v>
      </c>
      <c r="AM147" s="60">
        <f t="shared" si="73"/>
        <v>155000</v>
      </c>
      <c r="AN147" s="59">
        <v>106901</v>
      </c>
      <c r="AO147" s="148">
        <f t="shared" si="74"/>
        <v>-106901</v>
      </c>
      <c r="AP147" s="58">
        <v>7843.199049482806</v>
      </c>
      <c r="AQ147" s="143">
        <f t="shared" si="75"/>
        <v>-7843.2</v>
      </c>
    </row>
    <row r="148" spans="1:43" x14ac:dyDescent="0.35">
      <c r="A148" s="69" t="s">
        <v>43</v>
      </c>
      <c r="B148" s="15" t="s">
        <v>470</v>
      </c>
      <c r="C148" s="15"/>
      <c r="D148" s="69"/>
      <c r="E148" s="76">
        <v>0</v>
      </c>
      <c r="F148" s="69" t="s">
        <v>259</v>
      </c>
      <c r="G148" s="10" t="s">
        <v>260</v>
      </c>
      <c r="H148" s="15">
        <v>9007000025</v>
      </c>
      <c r="I148" s="92" t="s">
        <v>261</v>
      </c>
      <c r="J148" s="92">
        <v>1202010217</v>
      </c>
      <c r="K148" s="21" t="s">
        <v>471</v>
      </c>
      <c r="L148" s="95" t="s">
        <v>472</v>
      </c>
      <c r="M148" s="69" t="s">
        <v>473</v>
      </c>
      <c r="N148" s="69"/>
      <c r="O148" s="94">
        <v>1</v>
      </c>
      <c r="P148" s="69" t="s">
        <v>50</v>
      </c>
      <c r="Q148" s="69" t="s">
        <v>51</v>
      </c>
      <c r="R148" s="69"/>
      <c r="S148" s="46">
        <v>41285</v>
      </c>
      <c r="T148" s="48">
        <v>43191</v>
      </c>
      <c r="U148" s="69"/>
      <c r="V148" s="69"/>
      <c r="W148" s="69"/>
      <c r="X148" s="69"/>
      <c r="Y148" s="69" t="s">
        <v>4125</v>
      </c>
      <c r="Z148" s="43">
        <v>390000</v>
      </c>
      <c r="AA148" s="43" t="s">
        <v>52</v>
      </c>
      <c r="AB148" s="43" t="s">
        <v>53</v>
      </c>
      <c r="AC148" s="43">
        <v>3577</v>
      </c>
      <c r="AD148" s="141">
        <v>9</v>
      </c>
      <c r="AE148" s="142">
        <v>10</v>
      </c>
      <c r="AF148" s="142"/>
      <c r="AG148" s="69" t="str">
        <f t="shared" ref="AG148:AG149" si="76">_xlfn.CONCAT(AH148," years ",AI148," days")</f>
        <v>6 years 277 days</v>
      </c>
      <c r="AH148" s="69">
        <v>6</v>
      </c>
      <c r="AI148" s="69">
        <v>277</v>
      </c>
      <c r="AJ148" s="69">
        <v>0</v>
      </c>
      <c r="AK148" s="69">
        <v>0</v>
      </c>
      <c r="AL148" s="60">
        <v>390000</v>
      </c>
      <c r="AM148" s="60">
        <f t="shared" ref="AM148:AM149" si="77">ROUND(AL148,2)</f>
        <v>390000</v>
      </c>
      <c r="AN148" s="59">
        <v>268977</v>
      </c>
      <c r="AO148" s="148">
        <f t="shared" ref="AO148:AO149" si="78">ROUND(AN148,2)*-1</f>
        <v>-268977</v>
      </c>
      <c r="AP148" s="58">
        <v>19734.210511601879</v>
      </c>
      <c r="AQ148" s="143">
        <f t="shared" ref="AQ148:AQ149" si="79">ROUND(AP148,2)*-1</f>
        <v>-19734.21</v>
      </c>
    </row>
    <row r="149" spans="1:43" x14ac:dyDescent="0.35">
      <c r="A149" s="69" t="s">
        <v>43</v>
      </c>
      <c r="B149" s="15" t="s">
        <v>474</v>
      </c>
      <c r="C149" s="15"/>
      <c r="D149" s="69" t="e">
        <f>_xlfn.XLOOKUP(B149,SOM!B:B,SOM!D:D,,0)</f>
        <v>#N/A</v>
      </c>
      <c r="E149" s="76">
        <v>1</v>
      </c>
      <c r="F149" s="69" t="s">
        <v>259</v>
      </c>
      <c r="G149" s="10" t="s">
        <v>260</v>
      </c>
      <c r="H149" s="15">
        <v>9007000025</v>
      </c>
      <c r="I149" s="92" t="s">
        <v>261</v>
      </c>
      <c r="J149" s="92">
        <v>1202010217</v>
      </c>
      <c r="K149" s="14"/>
      <c r="L149" s="95" t="s">
        <v>475</v>
      </c>
      <c r="M149" s="69" t="s">
        <v>476</v>
      </c>
      <c r="N149" s="69"/>
      <c r="O149" s="94">
        <v>1</v>
      </c>
      <c r="P149" s="69" t="s">
        <v>50</v>
      </c>
      <c r="Q149" s="69" t="s">
        <v>51</v>
      </c>
      <c r="R149" s="69"/>
      <c r="S149" s="46">
        <v>41298</v>
      </c>
      <c r="T149" s="48">
        <v>43191</v>
      </c>
      <c r="U149" s="69"/>
      <c r="V149" s="69"/>
      <c r="W149" s="69"/>
      <c r="X149" s="69"/>
      <c r="Y149" s="69" t="s">
        <v>4125</v>
      </c>
      <c r="Z149" s="43">
        <v>92500</v>
      </c>
      <c r="AA149" s="43" t="s">
        <v>52</v>
      </c>
      <c r="AB149" s="43" t="s">
        <v>53</v>
      </c>
      <c r="AC149" s="43">
        <v>3577</v>
      </c>
      <c r="AD149" s="141">
        <v>9</v>
      </c>
      <c r="AE149" s="142">
        <v>10</v>
      </c>
      <c r="AF149" s="142"/>
      <c r="AG149" s="69" t="str">
        <f t="shared" si="76"/>
        <v>6 years 277 days</v>
      </c>
      <c r="AH149" s="69">
        <v>6</v>
      </c>
      <c r="AI149" s="69">
        <v>277</v>
      </c>
      <c r="AJ149" s="69">
        <v>0</v>
      </c>
      <c r="AK149" s="69">
        <v>0</v>
      </c>
      <c r="AL149" s="60">
        <v>92500</v>
      </c>
      <c r="AM149" s="60">
        <f t="shared" si="77"/>
        <v>92500</v>
      </c>
      <c r="AN149" s="59">
        <v>63796</v>
      </c>
      <c r="AO149" s="148">
        <f t="shared" si="78"/>
        <v>-63796</v>
      </c>
      <c r="AP149" s="58">
        <v>4680.3768521106977</v>
      </c>
      <c r="AQ149" s="143">
        <f t="shared" si="79"/>
        <v>-4680.38</v>
      </c>
    </row>
    <row r="150" spans="1:43" x14ac:dyDescent="0.35">
      <c r="A150" s="69" t="s">
        <v>43</v>
      </c>
      <c r="B150" s="15" t="s">
        <v>477</v>
      </c>
      <c r="C150" s="15"/>
      <c r="D150" s="69"/>
      <c r="E150" s="76">
        <v>0</v>
      </c>
      <c r="F150" s="69" t="s">
        <v>259</v>
      </c>
      <c r="G150" s="10" t="s">
        <v>260</v>
      </c>
      <c r="H150" s="15">
        <v>9007000026</v>
      </c>
      <c r="I150" s="92" t="s">
        <v>261</v>
      </c>
      <c r="J150" s="92">
        <v>1202010217</v>
      </c>
      <c r="K150" s="14" t="s">
        <v>478</v>
      </c>
      <c r="L150" s="95" t="s">
        <v>479</v>
      </c>
      <c r="M150" s="69" t="s">
        <v>480</v>
      </c>
      <c r="N150" s="69"/>
      <c r="O150" s="94">
        <v>1</v>
      </c>
      <c r="P150" s="69" t="s">
        <v>50</v>
      </c>
      <c r="Q150" s="69" t="s">
        <v>51</v>
      </c>
      <c r="R150" s="69"/>
      <c r="S150" s="46">
        <v>44910</v>
      </c>
      <c r="T150" s="48">
        <v>44910</v>
      </c>
      <c r="U150" s="69"/>
      <c r="V150" s="69"/>
      <c r="W150" s="69"/>
      <c r="X150" s="69"/>
      <c r="Y150" s="69" t="s">
        <v>4131</v>
      </c>
      <c r="Z150" s="43">
        <v>17136218.380000003</v>
      </c>
      <c r="AA150" s="43" t="s">
        <v>52</v>
      </c>
      <c r="AB150" s="43" t="s">
        <v>53</v>
      </c>
      <c r="AC150" s="43">
        <v>3650</v>
      </c>
      <c r="AD150" s="141">
        <v>10</v>
      </c>
      <c r="AE150" s="142">
        <v>0</v>
      </c>
      <c r="AF150" s="142"/>
      <c r="AG150" s="69" t="str">
        <f t="shared" ref="AG150:AG153" si="80">_xlfn.CONCAT(AH150," years ",AI150," days")</f>
        <v>2 years 18 days</v>
      </c>
      <c r="AH150" s="69">
        <v>2</v>
      </c>
      <c r="AI150" s="69">
        <v>18</v>
      </c>
      <c r="AJ150" s="69">
        <v>0</v>
      </c>
      <c r="AK150" s="69">
        <v>0</v>
      </c>
      <c r="AL150" s="60">
        <v>17136218.380000003</v>
      </c>
      <c r="AM150" s="60">
        <f t="shared" ref="AM150:AM153" si="81">ROUND(AL150,2)</f>
        <v>17136218.379999999</v>
      </c>
      <c r="AN150" s="59">
        <v>3511751</v>
      </c>
      <c r="AO150" s="148">
        <f t="shared" ref="AO150:AO153" si="82">ROUND(AN150,2)*-1</f>
        <v>-3511751</v>
      </c>
      <c r="AP150" s="58">
        <v>849768.68064657599</v>
      </c>
      <c r="AQ150" s="143">
        <f t="shared" ref="AQ150:AQ153" si="83">ROUND(AP150,2)*-1</f>
        <v>-849768.68</v>
      </c>
    </row>
    <row r="151" spans="1:43" x14ac:dyDescent="0.35">
      <c r="A151" s="69" t="s">
        <v>43</v>
      </c>
      <c r="B151" s="15" t="s">
        <v>481</v>
      </c>
      <c r="C151" s="15"/>
      <c r="D151" s="69" t="e">
        <f>_xlfn.XLOOKUP(B151,SOM!B:B,SOM!D:D,,0)</f>
        <v>#N/A</v>
      </c>
      <c r="E151" s="76">
        <v>1</v>
      </c>
      <c r="F151" s="69" t="s">
        <v>259</v>
      </c>
      <c r="G151" s="10" t="s">
        <v>260</v>
      </c>
      <c r="H151" s="15">
        <v>9007000026</v>
      </c>
      <c r="I151" s="92" t="s">
        <v>261</v>
      </c>
      <c r="J151" s="92">
        <v>1202010217</v>
      </c>
      <c r="K151" s="21" t="s">
        <v>478</v>
      </c>
      <c r="L151" s="95" t="s">
        <v>482</v>
      </c>
      <c r="M151" s="69" t="s">
        <v>483</v>
      </c>
      <c r="N151" s="69"/>
      <c r="O151" s="94">
        <v>1</v>
      </c>
      <c r="P151" s="69" t="s">
        <v>50</v>
      </c>
      <c r="Q151" s="69" t="s">
        <v>51</v>
      </c>
      <c r="R151" s="69"/>
      <c r="S151" s="46">
        <v>45000</v>
      </c>
      <c r="T151" s="48">
        <v>45000</v>
      </c>
      <c r="U151" s="69"/>
      <c r="V151" s="69"/>
      <c r="W151" s="69"/>
      <c r="X151" s="69"/>
      <c r="Y151" s="69" t="s">
        <v>4129</v>
      </c>
      <c r="Z151" s="43">
        <v>53634825.849999987</v>
      </c>
      <c r="AA151" s="43" t="s">
        <v>52</v>
      </c>
      <c r="AB151" s="43" t="s">
        <v>53</v>
      </c>
      <c r="AC151" s="43">
        <v>3650</v>
      </c>
      <c r="AD151" s="141">
        <v>10</v>
      </c>
      <c r="AE151" s="142">
        <v>0</v>
      </c>
      <c r="AF151" s="142"/>
      <c r="AG151" s="69" t="str">
        <f t="shared" si="80"/>
        <v>1 years 293 days</v>
      </c>
      <c r="AH151" s="69">
        <v>1</v>
      </c>
      <c r="AI151" s="69">
        <v>293</v>
      </c>
      <c r="AJ151" s="69">
        <v>0</v>
      </c>
      <c r="AK151" s="69">
        <v>0</v>
      </c>
      <c r="AL151" s="60">
        <v>53634825.849999987</v>
      </c>
      <c r="AM151" s="60">
        <f t="shared" si="81"/>
        <v>53634825.850000001</v>
      </c>
      <c r="AN151" s="59">
        <v>9668963</v>
      </c>
      <c r="AO151" s="148">
        <f t="shared" si="82"/>
        <v>-9668963</v>
      </c>
      <c r="AP151" s="58">
        <v>2659699.7097808197</v>
      </c>
      <c r="AQ151" s="143">
        <f t="shared" si="83"/>
        <v>-2659699.71</v>
      </c>
    </row>
    <row r="152" spans="1:43" x14ac:dyDescent="0.35">
      <c r="A152" s="69" t="s">
        <v>43</v>
      </c>
      <c r="B152" s="15" t="s">
        <v>484</v>
      </c>
      <c r="C152" s="15"/>
      <c r="D152" s="69" t="e">
        <f>_xlfn.XLOOKUP(B152,SOM!B:B,SOM!D:D,,0)</f>
        <v>#N/A</v>
      </c>
      <c r="E152" s="76">
        <v>2</v>
      </c>
      <c r="F152" s="69" t="s">
        <v>259</v>
      </c>
      <c r="G152" s="10" t="s">
        <v>260</v>
      </c>
      <c r="H152" s="15">
        <v>9007000026</v>
      </c>
      <c r="I152" s="92" t="s">
        <v>261</v>
      </c>
      <c r="J152" s="92">
        <v>1202010217</v>
      </c>
      <c r="K152" s="14"/>
      <c r="L152" s="95" t="s">
        <v>485</v>
      </c>
      <c r="M152" s="69" t="s">
        <v>486</v>
      </c>
      <c r="N152" s="69"/>
      <c r="O152" s="94">
        <v>1</v>
      </c>
      <c r="P152" s="69" t="s">
        <v>50</v>
      </c>
      <c r="Q152" s="69" t="s">
        <v>51</v>
      </c>
      <c r="R152" s="69"/>
      <c r="S152" s="46">
        <v>45064</v>
      </c>
      <c r="T152" s="48">
        <v>45064</v>
      </c>
      <c r="U152" s="69"/>
      <c r="V152" s="69"/>
      <c r="W152" s="69"/>
      <c r="X152" s="69"/>
      <c r="Y152" s="69" t="s">
        <v>4129</v>
      </c>
      <c r="Z152" s="43">
        <v>197500</v>
      </c>
      <c r="AA152" s="43" t="s">
        <v>52</v>
      </c>
      <c r="AB152" s="43" t="s">
        <v>53</v>
      </c>
      <c r="AC152" s="43">
        <v>3650</v>
      </c>
      <c r="AD152" s="141">
        <v>10</v>
      </c>
      <c r="AE152" s="142">
        <v>0</v>
      </c>
      <c r="AF152" s="142"/>
      <c r="AG152" s="69" t="str">
        <f t="shared" si="80"/>
        <v>1 years 229 days</v>
      </c>
      <c r="AH152" s="69">
        <v>1</v>
      </c>
      <c r="AI152" s="69">
        <v>229</v>
      </c>
      <c r="AJ152" s="69">
        <v>0</v>
      </c>
      <c r="AK152" s="69">
        <v>0</v>
      </c>
      <c r="AL152" s="60">
        <v>197500</v>
      </c>
      <c r="AM152" s="60">
        <f t="shared" si="81"/>
        <v>197500</v>
      </c>
      <c r="AN152" s="59">
        <v>32141</v>
      </c>
      <c r="AO152" s="148">
        <f t="shared" si="82"/>
        <v>-32141</v>
      </c>
      <c r="AP152" s="58">
        <v>9793.9315068493161</v>
      </c>
      <c r="AQ152" s="143">
        <f t="shared" si="83"/>
        <v>-9793.93</v>
      </c>
    </row>
    <row r="153" spans="1:43" x14ac:dyDescent="0.35">
      <c r="A153" s="69" t="s">
        <v>43</v>
      </c>
      <c r="B153" s="15" t="s">
        <v>487</v>
      </c>
      <c r="C153" s="15"/>
      <c r="D153" s="69" t="e">
        <f>_xlfn.XLOOKUP(B153,SOM!B:B,SOM!D:D,,0)</f>
        <v>#N/A</v>
      </c>
      <c r="E153" s="76">
        <v>3</v>
      </c>
      <c r="F153" s="69" t="s">
        <v>259</v>
      </c>
      <c r="G153" s="10" t="s">
        <v>260</v>
      </c>
      <c r="H153" s="15">
        <v>9007000026</v>
      </c>
      <c r="I153" s="92" t="s">
        <v>261</v>
      </c>
      <c r="J153" s="92">
        <v>1202010217</v>
      </c>
      <c r="K153" s="14"/>
      <c r="L153" s="95" t="s">
        <v>488</v>
      </c>
      <c r="M153" s="69" t="s">
        <v>489</v>
      </c>
      <c r="N153" s="69"/>
      <c r="O153" s="94">
        <v>6</v>
      </c>
      <c r="P153" s="69" t="s">
        <v>50</v>
      </c>
      <c r="Q153" s="69" t="s">
        <v>51</v>
      </c>
      <c r="R153" s="69"/>
      <c r="S153" s="46">
        <v>45412</v>
      </c>
      <c r="T153" s="48">
        <v>45412</v>
      </c>
      <c r="U153" s="69"/>
      <c r="V153" s="69"/>
      <c r="W153" s="69"/>
      <c r="X153" s="69"/>
      <c r="Y153" s="69" t="s">
        <v>4130</v>
      </c>
      <c r="Z153" s="43">
        <v>42600</v>
      </c>
      <c r="AA153" s="43" t="s">
        <v>52</v>
      </c>
      <c r="AB153" s="43" t="s">
        <v>53</v>
      </c>
      <c r="AC153" s="43">
        <v>3650</v>
      </c>
      <c r="AD153" s="141">
        <v>10</v>
      </c>
      <c r="AE153" s="142">
        <v>0</v>
      </c>
      <c r="AF153" s="142"/>
      <c r="AG153" s="69" t="str">
        <f t="shared" si="80"/>
        <v>0 years 246 days</v>
      </c>
      <c r="AH153" s="69">
        <v>0</v>
      </c>
      <c r="AI153" s="69">
        <v>246</v>
      </c>
      <c r="AJ153" s="69">
        <v>0</v>
      </c>
      <c r="AK153" s="69">
        <v>0</v>
      </c>
      <c r="AL153" s="60">
        <v>42600</v>
      </c>
      <c r="AM153" s="60">
        <f t="shared" si="81"/>
        <v>42600</v>
      </c>
      <c r="AN153" s="59">
        <v>2871</v>
      </c>
      <c r="AO153" s="148">
        <f t="shared" si="82"/>
        <v>-2871</v>
      </c>
      <c r="AP153" s="58">
        <v>2112.6164383561645</v>
      </c>
      <c r="AQ153" s="143">
        <f t="shared" si="83"/>
        <v>-2112.62</v>
      </c>
    </row>
    <row r="154" spans="1:43" x14ac:dyDescent="0.35">
      <c r="A154" s="69" t="s">
        <v>43</v>
      </c>
      <c r="B154" s="15" t="s">
        <v>490</v>
      </c>
      <c r="C154" s="15"/>
      <c r="D154" s="69"/>
      <c r="E154" s="76">
        <v>0</v>
      </c>
      <c r="F154" s="69" t="s">
        <v>259</v>
      </c>
      <c r="G154" s="10" t="s">
        <v>260</v>
      </c>
      <c r="H154" s="15">
        <v>9007000027</v>
      </c>
      <c r="I154" s="92" t="s">
        <v>261</v>
      </c>
      <c r="J154" s="92">
        <v>1202010217</v>
      </c>
      <c r="K154" s="21" t="s">
        <v>491</v>
      </c>
      <c r="L154" s="95" t="s">
        <v>492</v>
      </c>
      <c r="M154" s="69" t="s">
        <v>493</v>
      </c>
      <c r="N154" s="69"/>
      <c r="O154" s="94">
        <v>1</v>
      </c>
      <c r="P154" s="69" t="s">
        <v>50</v>
      </c>
      <c r="Q154" s="69" t="s">
        <v>51</v>
      </c>
      <c r="R154" s="69"/>
      <c r="S154" s="46">
        <v>43753</v>
      </c>
      <c r="T154" s="48">
        <v>43753</v>
      </c>
      <c r="U154" s="69"/>
      <c r="V154" s="69"/>
      <c r="W154" s="69"/>
      <c r="X154" s="69"/>
      <c r="Y154" s="69" t="s">
        <v>4126</v>
      </c>
      <c r="Z154" s="43">
        <v>525756</v>
      </c>
      <c r="AA154" s="43" t="s">
        <v>52</v>
      </c>
      <c r="AB154" s="43" t="s">
        <v>53</v>
      </c>
      <c r="AC154" s="43">
        <v>3650</v>
      </c>
      <c r="AD154" s="141">
        <v>10</v>
      </c>
      <c r="AE154" s="142">
        <v>0</v>
      </c>
      <c r="AF154" s="142"/>
      <c r="AG154" s="69" t="str">
        <f>_xlfn.CONCAT(AH154," years ",AI154," days")</f>
        <v>5 years 80 days</v>
      </c>
      <c r="AH154" s="69">
        <v>5</v>
      </c>
      <c r="AI154" s="69">
        <v>80</v>
      </c>
      <c r="AJ154" s="69">
        <v>0</v>
      </c>
      <c r="AK154" s="69">
        <v>0</v>
      </c>
      <c r="AL154" s="60">
        <v>525756</v>
      </c>
      <c r="AM154" s="60">
        <f>ROUND(AL154,2)</f>
        <v>525756</v>
      </c>
      <c r="AN154" s="59">
        <v>274401</v>
      </c>
      <c r="AO154" s="148">
        <f>ROUND(AN154,2)*-1</f>
        <v>-274401</v>
      </c>
      <c r="AP154" s="58">
        <v>26072.155068493157</v>
      </c>
      <c r="AQ154" s="143">
        <f>ROUND(AP154,2)*-1</f>
        <v>-26072.16</v>
      </c>
    </row>
    <row r="155" spans="1:43" x14ac:dyDescent="0.35">
      <c r="A155" s="69" t="s">
        <v>43</v>
      </c>
      <c r="B155" s="15" t="s">
        <v>494</v>
      </c>
      <c r="C155" s="15"/>
      <c r="D155" s="69"/>
      <c r="E155" s="76">
        <v>0</v>
      </c>
      <c r="F155" s="69" t="s">
        <v>259</v>
      </c>
      <c r="G155" s="10" t="s">
        <v>260</v>
      </c>
      <c r="H155" s="15">
        <v>9007000028</v>
      </c>
      <c r="I155" s="92" t="s">
        <v>261</v>
      </c>
      <c r="J155" s="92">
        <v>1202010217</v>
      </c>
      <c r="K155" s="105" t="s">
        <v>495</v>
      </c>
      <c r="L155" s="95" t="s">
        <v>496</v>
      </c>
      <c r="M155" s="69" t="s">
        <v>49</v>
      </c>
      <c r="N155" s="69"/>
      <c r="O155" s="94">
        <v>1</v>
      </c>
      <c r="P155" s="69" t="s">
        <v>50</v>
      </c>
      <c r="Q155" s="69" t="s">
        <v>51</v>
      </c>
      <c r="R155" s="69"/>
      <c r="S155" s="46">
        <v>40526</v>
      </c>
      <c r="T155" s="48">
        <v>43191</v>
      </c>
      <c r="U155" s="69"/>
      <c r="V155" s="69"/>
      <c r="W155" s="69"/>
      <c r="X155" s="69"/>
      <c r="Y155" s="69" t="s">
        <v>4125</v>
      </c>
      <c r="Z155" s="43">
        <v>550000</v>
      </c>
      <c r="AA155" s="43" t="s">
        <v>52</v>
      </c>
      <c r="AB155" s="43" t="s">
        <v>53</v>
      </c>
      <c r="AC155" s="43">
        <v>2811</v>
      </c>
      <c r="AD155" s="141">
        <v>7</v>
      </c>
      <c r="AE155" s="142">
        <v>9</v>
      </c>
      <c r="AF155" s="142"/>
      <c r="AG155" s="69" t="str">
        <f t="shared" ref="AG155:AG156" si="84">_xlfn.CONCAT(AH155," years ",AI155," days")</f>
        <v>6 years 277 days</v>
      </c>
      <c r="AH155" s="69">
        <v>6</v>
      </c>
      <c r="AI155" s="69">
        <v>277</v>
      </c>
      <c r="AJ155" s="69">
        <v>0</v>
      </c>
      <c r="AK155" s="69">
        <v>0</v>
      </c>
      <c r="AL155" s="60">
        <v>550000</v>
      </c>
      <c r="AM155" s="60">
        <f t="shared" ref="AM155:AM156" si="85">ROUND(AL155,2)</f>
        <v>550000</v>
      </c>
      <c r="AN155" s="59">
        <v>482693</v>
      </c>
      <c r="AO155" s="148">
        <f t="shared" ref="AO155:AO156" si="86">ROUND(AN155,2)*-1</f>
        <v>-482693</v>
      </c>
      <c r="AP155" s="58">
        <v>35414.435076485213</v>
      </c>
      <c r="AQ155" s="143">
        <f t="shared" ref="AQ155:AQ156" si="87">ROUND(AP155,2)*-1</f>
        <v>-35414.44</v>
      </c>
    </row>
    <row r="156" spans="1:43" x14ac:dyDescent="0.35">
      <c r="A156" s="69" t="s">
        <v>43</v>
      </c>
      <c r="B156" s="15" t="s">
        <v>497</v>
      </c>
      <c r="C156" s="15"/>
      <c r="D156" s="69" t="e">
        <f>_xlfn.XLOOKUP(B156,SOM!B:B,SOM!D:D,,0)</f>
        <v>#N/A</v>
      </c>
      <c r="E156" s="76">
        <v>1</v>
      </c>
      <c r="F156" s="69" t="s">
        <v>259</v>
      </c>
      <c r="G156" s="10" t="s">
        <v>260</v>
      </c>
      <c r="H156" s="15">
        <v>9007000028</v>
      </c>
      <c r="I156" s="92" t="s">
        <v>261</v>
      </c>
      <c r="J156" s="92">
        <v>1202010217</v>
      </c>
      <c r="K156" s="14"/>
      <c r="L156" s="95" t="s">
        <v>498</v>
      </c>
      <c r="M156" s="69" t="s">
        <v>499</v>
      </c>
      <c r="N156" s="69"/>
      <c r="O156" s="94">
        <v>1</v>
      </c>
      <c r="P156" s="69" t="s">
        <v>50</v>
      </c>
      <c r="Q156" s="69" t="s">
        <v>51</v>
      </c>
      <c r="R156" s="69"/>
      <c r="S156" s="46">
        <v>41973</v>
      </c>
      <c r="T156" s="48">
        <v>43191</v>
      </c>
      <c r="U156" s="69"/>
      <c r="V156" s="69"/>
      <c r="W156" s="69"/>
      <c r="X156" s="69"/>
      <c r="Y156" s="69" t="s">
        <v>4125</v>
      </c>
      <c r="Z156" s="43">
        <v>920000</v>
      </c>
      <c r="AA156" s="43" t="s">
        <v>52</v>
      </c>
      <c r="AB156" s="43" t="s">
        <v>53</v>
      </c>
      <c r="AC156" s="43">
        <v>2336</v>
      </c>
      <c r="AD156" s="141">
        <v>6</v>
      </c>
      <c r="AE156" s="142">
        <v>5</v>
      </c>
      <c r="AF156" s="142"/>
      <c r="AG156" s="69" t="str">
        <f t="shared" si="84"/>
        <v>6 years 146 days</v>
      </c>
      <c r="AH156" s="69">
        <v>6</v>
      </c>
      <c r="AI156" s="69">
        <v>146</v>
      </c>
      <c r="AJ156" s="69">
        <v>0</v>
      </c>
      <c r="AK156" s="69">
        <v>0</v>
      </c>
      <c r="AL156" s="60">
        <v>920000</v>
      </c>
      <c r="AM156" s="60">
        <f t="shared" si="85"/>
        <v>920000</v>
      </c>
      <c r="AN156" s="59">
        <v>920000</v>
      </c>
      <c r="AO156" s="148">
        <f t="shared" si="86"/>
        <v>-920000</v>
      </c>
      <c r="AP156" s="58">
        <v>0</v>
      </c>
      <c r="AQ156" s="143">
        <f t="shared" si="87"/>
        <v>0</v>
      </c>
    </row>
    <row r="157" spans="1:43" x14ac:dyDescent="0.35">
      <c r="A157" s="69" t="s">
        <v>43</v>
      </c>
      <c r="B157" s="15" t="s">
        <v>500</v>
      </c>
      <c r="C157" s="15"/>
      <c r="D157" s="69"/>
      <c r="E157" s="76">
        <v>0</v>
      </c>
      <c r="F157" s="69" t="s">
        <v>259</v>
      </c>
      <c r="G157" s="10" t="s">
        <v>260</v>
      </c>
      <c r="H157" s="15">
        <v>9007000029</v>
      </c>
      <c r="I157" s="92" t="s">
        <v>261</v>
      </c>
      <c r="J157" s="92">
        <v>1202010217</v>
      </c>
      <c r="K157" s="106" t="s">
        <v>501</v>
      </c>
      <c r="L157" s="95" t="s">
        <v>502</v>
      </c>
      <c r="M157" s="69" t="s">
        <v>503</v>
      </c>
      <c r="N157" s="69"/>
      <c r="O157" s="94">
        <v>1</v>
      </c>
      <c r="P157" s="69" t="s">
        <v>50</v>
      </c>
      <c r="Q157" s="69" t="s">
        <v>51</v>
      </c>
      <c r="R157" s="69"/>
      <c r="S157" s="46">
        <v>41260</v>
      </c>
      <c r="T157" s="48">
        <v>43191</v>
      </c>
      <c r="U157" s="69"/>
      <c r="V157" s="69"/>
      <c r="W157" s="69"/>
      <c r="X157" s="69"/>
      <c r="Y157" s="69" t="s">
        <v>4125</v>
      </c>
      <c r="Z157" s="43">
        <v>1425000</v>
      </c>
      <c r="AA157" s="43" t="s">
        <v>52</v>
      </c>
      <c r="AB157" s="43" t="s">
        <v>53</v>
      </c>
      <c r="AC157" s="43">
        <v>1643</v>
      </c>
      <c r="AD157" s="141">
        <v>4</v>
      </c>
      <c r="AE157" s="142">
        <v>6</v>
      </c>
      <c r="AF157" s="142"/>
      <c r="AG157" s="69" t="str">
        <f t="shared" ref="AG157:AG160" si="88">_xlfn.CONCAT(AH157," years ",AI157," days")</f>
        <v>4 years 183 days</v>
      </c>
      <c r="AH157" s="69">
        <v>4</v>
      </c>
      <c r="AI157" s="69">
        <v>183</v>
      </c>
      <c r="AJ157" s="69">
        <v>0</v>
      </c>
      <c r="AK157" s="69">
        <v>0</v>
      </c>
      <c r="AL157" s="60">
        <v>1425000</v>
      </c>
      <c r="AM157" s="60">
        <f t="shared" ref="AM157:AM160" si="89">ROUND(AL157,2)</f>
        <v>1425000</v>
      </c>
      <c r="AN157" s="59">
        <v>1425000</v>
      </c>
      <c r="AO157" s="148">
        <f t="shared" ref="AO157:AO160" si="90">ROUND(AN157,2)*-1</f>
        <v>-1425000</v>
      </c>
      <c r="AP157" s="58">
        <v>0</v>
      </c>
      <c r="AQ157" s="143">
        <f t="shared" ref="AQ157:AQ160" si="91">ROUND(AP157,2)*-1</f>
        <v>0</v>
      </c>
    </row>
    <row r="158" spans="1:43" x14ac:dyDescent="0.35">
      <c r="A158" s="69" t="s">
        <v>43</v>
      </c>
      <c r="B158" s="15" t="s">
        <v>504</v>
      </c>
      <c r="C158" s="15"/>
      <c r="D158" s="69" t="e">
        <f>_xlfn.XLOOKUP(B158,SOM!B:B,SOM!D:D,,0)</f>
        <v>#N/A</v>
      </c>
      <c r="E158" s="76">
        <v>1</v>
      </c>
      <c r="F158" s="69" t="s">
        <v>259</v>
      </c>
      <c r="G158" s="10" t="s">
        <v>260</v>
      </c>
      <c r="H158" s="15">
        <v>9007000029</v>
      </c>
      <c r="I158" s="92" t="s">
        <v>261</v>
      </c>
      <c r="J158" s="92">
        <v>1202010217</v>
      </c>
      <c r="K158" s="106" t="s">
        <v>505</v>
      </c>
      <c r="L158" s="95" t="s">
        <v>506</v>
      </c>
      <c r="M158" s="69" t="s">
        <v>49</v>
      </c>
      <c r="N158" s="69"/>
      <c r="O158" s="94">
        <v>1</v>
      </c>
      <c r="P158" s="69" t="s">
        <v>50</v>
      </c>
      <c r="Q158" s="69" t="s">
        <v>51</v>
      </c>
      <c r="R158" s="69"/>
      <c r="S158" s="46">
        <v>41444</v>
      </c>
      <c r="T158" s="48">
        <v>43191</v>
      </c>
      <c r="U158" s="69"/>
      <c r="V158" s="69"/>
      <c r="W158" s="69"/>
      <c r="X158" s="69"/>
      <c r="Y158" s="69" t="s">
        <v>4125</v>
      </c>
      <c r="Z158" s="43">
        <v>205000</v>
      </c>
      <c r="AA158" s="43" t="s">
        <v>52</v>
      </c>
      <c r="AB158" s="43" t="s">
        <v>53</v>
      </c>
      <c r="AC158" s="43">
        <v>3723</v>
      </c>
      <c r="AD158" s="141">
        <v>10</v>
      </c>
      <c r="AE158" s="142">
        <v>2</v>
      </c>
      <c r="AF158" s="142"/>
      <c r="AG158" s="69" t="str">
        <f t="shared" si="88"/>
        <v>6 years 277 days</v>
      </c>
      <c r="AH158" s="69">
        <v>6</v>
      </c>
      <c r="AI158" s="69">
        <v>277</v>
      </c>
      <c r="AJ158" s="69">
        <v>0</v>
      </c>
      <c r="AK158" s="69">
        <v>0</v>
      </c>
      <c r="AL158" s="60">
        <v>205000</v>
      </c>
      <c r="AM158" s="60">
        <f t="shared" si="89"/>
        <v>205000</v>
      </c>
      <c r="AN158" s="59">
        <v>205000</v>
      </c>
      <c r="AO158" s="148">
        <f t="shared" si="90"/>
        <v>-205000</v>
      </c>
      <c r="AP158" s="58">
        <v>0</v>
      </c>
      <c r="AQ158" s="143">
        <f t="shared" si="91"/>
        <v>0</v>
      </c>
    </row>
    <row r="159" spans="1:43" x14ac:dyDescent="0.35">
      <c r="A159" s="69" t="s">
        <v>43</v>
      </c>
      <c r="B159" s="15" t="s">
        <v>507</v>
      </c>
      <c r="C159" s="15"/>
      <c r="D159" s="69" t="e">
        <f>_xlfn.XLOOKUP(B159,SOM!B:B,SOM!D:D,,0)</f>
        <v>#N/A</v>
      </c>
      <c r="E159" s="76">
        <v>2</v>
      </c>
      <c r="F159" s="69" t="s">
        <v>259</v>
      </c>
      <c r="G159" s="10" t="s">
        <v>260</v>
      </c>
      <c r="H159" s="15">
        <v>9007000029</v>
      </c>
      <c r="I159" s="92" t="s">
        <v>261</v>
      </c>
      <c r="J159" s="92">
        <v>1202010217</v>
      </c>
      <c r="K159" s="14"/>
      <c r="L159" s="95" t="s">
        <v>508</v>
      </c>
      <c r="M159" s="69" t="s">
        <v>509</v>
      </c>
      <c r="N159" s="69"/>
      <c r="O159" s="94">
        <v>1</v>
      </c>
      <c r="P159" s="69" t="s">
        <v>50</v>
      </c>
      <c r="Q159" s="69" t="s">
        <v>51</v>
      </c>
      <c r="R159" s="69"/>
      <c r="S159" s="46">
        <v>43339</v>
      </c>
      <c r="T159" s="48">
        <v>43339</v>
      </c>
      <c r="U159" s="69"/>
      <c r="V159" s="69"/>
      <c r="W159" s="69"/>
      <c r="X159" s="69"/>
      <c r="Y159" s="69" t="s">
        <v>4125</v>
      </c>
      <c r="Z159" s="43">
        <v>94585.72</v>
      </c>
      <c r="AA159" s="43" t="s">
        <v>52</v>
      </c>
      <c r="AB159" s="43" t="s">
        <v>53</v>
      </c>
      <c r="AC159" s="43">
        <v>3650</v>
      </c>
      <c r="AD159" s="141">
        <v>10</v>
      </c>
      <c r="AE159" s="142">
        <v>0</v>
      </c>
      <c r="AF159" s="142"/>
      <c r="AG159" s="69" t="str">
        <f t="shared" si="88"/>
        <v>6 years 129 days</v>
      </c>
      <c r="AH159" s="69">
        <v>6</v>
      </c>
      <c r="AI159" s="69">
        <v>129</v>
      </c>
      <c r="AJ159" s="69">
        <v>0</v>
      </c>
      <c r="AK159" s="69">
        <v>0</v>
      </c>
      <c r="AL159" s="60">
        <v>94585.72</v>
      </c>
      <c r="AM159" s="60">
        <f t="shared" si="89"/>
        <v>94585.72</v>
      </c>
      <c r="AN159" s="59">
        <v>64205</v>
      </c>
      <c r="AO159" s="148">
        <f t="shared" si="90"/>
        <v>-64205</v>
      </c>
      <c r="AP159" s="58">
        <v>4689.9544767123152</v>
      </c>
      <c r="AQ159" s="143">
        <f t="shared" si="91"/>
        <v>-4689.95</v>
      </c>
    </row>
    <row r="160" spans="1:43" x14ac:dyDescent="0.35">
      <c r="A160" s="69" t="s">
        <v>43</v>
      </c>
      <c r="B160" s="15" t="s">
        <v>510</v>
      </c>
      <c r="C160" s="15"/>
      <c r="D160" s="69" t="e">
        <f>_xlfn.XLOOKUP(B160,SOM!B:B,SOM!D:D,,0)</f>
        <v>#N/A</v>
      </c>
      <c r="E160" s="76">
        <v>3</v>
      </c>
      <c r="F160" s="69" t="s">
        <v>259</v>
      </c>
      <c r="G160" s="10" t="s">
        <v>260</v>
      </c>
      <c r="H160" s="15">
        <v>9007000029</v>
      </c>
      <c r="I160" s="92" t="s">
        <v>261</v>
      </c>
      <c r="J160" s="92">
        <v>1202010217</v>
      </c>
      <c r="K160" s="19"/>
      <c r="L160" s="95" t="s">
        <v>511</v>
      </c>
      <c r="M160" s="69" t="s">
        <v>49</v>
      </c>
      <c r="N160" s="69"/>
      <c r="O160" s="94">
        <v>1</v>
      </c>
      <c r="P160" s="69" t="s">
        <v>50</v>
      </c>
      <c r="Q160" s="69" t="s">
        <v>51</v>
      </c>
      <c r="R160" s="69"/>
      <c r="S160" s="46">
        <v>44848</v>
      </c>
      <c r="T160" s="48">
        <v>44848</v>
      </c>
      <c r="U160" s="69"/>
      <c r="V160" s="69"/>
      <c r="W160" s="69"/>
      <c r="X160" s="69"/>
      <c r="Y160" s="69" t="s">
        <v>4131</v>
      </c>
      <c r="Z160" s="43">
        <v>235000</v>
      </c>
      <c r="AA160" s="43" t="s">
        <v>52</v>
      </c>
      <c r="AB160" s="43" t="s">
        <v>53</v>
      </c>
      <c r="AC160" s="43">
        <v>3650</v>
      </c>
      <c r="AD160" s="141">
        <v>10</v>
      </c>
      <c r="AE160" s="142">
        <v>0</v>
      </c>
      <c r="AF160" s="142"/>
      <c r="AG160" s="69" t="str">
        <f t="shared" si="88"/>
        <v>2 years 80 days</v>
      </c>
      <c r="AH160" s="69">
        <v>2</v>
      </c>
      <c r="AI160" s="69">
        <v>80</v>
      </c>
      <c r="AJ160" s="69">
        <v>0</v>
      </c>
      <c r="AK160" s="69">
        <v>0</v>
      </c>
      <c r="AL160" s="60">
        <v>235000</v>
      </c>
      <c r="AM160" s="60">
        <f t="shared" si="89"/>
        <v>235000</v>
      </c>
      <c r="AN160" s="59">
        <v>173382</v>
      </c>
      <c r="AO160" s="148">
        <f t="shared" si="90"/>
        <v>-173382</v>
      </c>
      <c r="AP160" s="58">
        <v>11653.429638854286</v>
      </c>
      <c r="AQ160" s="143">
        <f t="shared" si="91"/>
        <v>-11653.43</v>
      </c>
    </row>
    <row r="161" spans="1:43" x14ac:dyDescent="0.35">
      <c r="A161" s="69" t="s">
        <v>43</v>
      </c>
      <c r="B161" s="15" t="s">
        <v>512</v>
      </c>
      <c r="C161" s="15"/>
      <c r="D161" s="69"/>
      <c r="E161" s="76">
        <v>0</v>
      </c>
      <c r="F161" s="69" t="s">
        <v>259</v>
      </c>
      <c r="G161" s="10" t="s">
        <v>260</v>
      </c>
      <c r="H161" s="15">
        <v>9007000030</v>
      </c>
      <c r="I161" s="92" t="s">
        <v>261</v>
      </c>
      <c r="J161" s="92">
        <v>1202010217</v>
      </c>
      <c r="K161" s="107" t="s">
        <v>513</v>
      </c>
      <c r="L161" s="95" t="s">
        <v>514</v>
      </c>
      <c r="M161" s="69" t="s">
        <v>515</v>
      </c>
      <c r="N161" s="69"/>
      <c r="O161" s="94">
        <v>1</v>
      </c>
      <c r="P161" s="69" t="s">
        <v>50</v>
      </c>
      <c r="Q161" s="69" t="s">
        <v>51</v>
      </c>
      <c r="R161" s="69"/>
      <c r="S161" s="46">
        <v>44706</v>
      </c>
      <c r="T161" s="48">
        <v>44706</v>
      </c>
      <c r="U161" s="69"/>
      <c r="V161" s="69"/>
      <c r="W161" s="69"/>
      <c r="X161" s="69"/>
      <c r="Y161" s="69" t="s">
        <v>4131</v>
      </c>
      <c r="Z161" s="43">
        <v>548000</v>
      </c>
      <c r="AA161" s="43" t="s">
        <v>52</v>
      </c>
      <c r="AB161" s="43" t="s">
        <v>53</v>
      </c>
      <c r="AC161" s="43">
        <v>3650</v>
      </c>
      <c r="AD161" s="141">
        <v>10</v>
      </c>
      <c r="AE161" s="142">
        <v>0</v>
      </c>
      <c r="AF161" s="142"/>
      <c r="AG161" s="69" t="str">
        <f>_xlfn.CONCAT(AH161," years ",AI161," days")</f>
        <v>2 years 222 days</v>
      </c>
      <c r="AH161" s="69">
        <v>2</v>
      </c>
      <c r="AI161" s="69">
        <v>222</v>
      </c>
      <c r="AJ161" s="69">
        <v>0</v>
      </c>
      <c r="AK161" s="69">
        <v>0</v>
      </c>
      <c r="AL161" s="60">
        <v>548000</v>
      </c>
      <c r="AM161" s="60">
        <f>ROUND(AL161,2)</f>
        <v>548000</v>
      </c>
      <c r="AN161" s="59">
        <v>142930</v>
      </c>
      <c r="AO161" s="148">
        <f>ROUND(AN161,2)*-1</f>
        <v>-142930</v>
      </c>
      <c r="AP161" s="58">
        <v>27175.205479452037</v>
      </c>
      <c r="AQ161" s="143">
        <f>ROUND(AP161,2)*-1</f>
        <v>-27175.21</v>
      </c>
    </row>
    <row r="162" spans="1:43" x14ac:dyDescent="0.35">
      <c r="A162" s="69" t="s">
        <v>43</v>
      </c>
      <c r="B162" s="15" t="s">
        <v>516</v>
      </c>
      <c r="C162" s="15"/>
      <c r="D162" s="69"/>
      <c r="E162" s="76">
        <v>0</v>
      </c>
      <c r="F162" s="69" t="s">
        <v>259</v>
      </c>
      <c r="G162" s="10" t="s">
        <v>260</v>
      </c>
      <c r="H162" s="15">
        <v>9007000031</v>
      </c>
      <c r="I162" s="92" t="s">
        <v>261</v>
      </c>
      <c r="J162" s="92">
        <v>1202010217</v>
      </c>
      <c r="K162" s="14" t="s">
        <v>517</v>
      </c>
      <c r="L162" s="95" t="s">
        <v>518</v>
      </c>
      <c r="M162" s="69" t="s">
        <v>519</v>
      </c>
      <c r="N162" s="69"/>
      <c r="O162" s="94">
        <v>1</v>
      </c>
      <c r="P162" s="69" t="s">
        <v>50</v>
      </c>
      <c r="Q162" s="69" t="s">
        <v>51</v>
      </c>
      <c r="R162" s="69"/>
      <c r="S162" s="46">
        <v>43881</v>
      </c>
      <c r="T162" s="48">
        <v>43881</v>
      </c>
      <c r="U162" s="69"/>
      <c r="V162" s="69"/>
      <c r="W162" s="69"/>
      <c r="X162" s="69"/>
      <c r="Y162" s="69" t="s">
        <v>4127</v>
      </c>
      <c r="Z162" s="43">
        <v>455960</v>
      </c>
      <c r="AA162" s="43" t="s">
        <v>52</v>
      </c>
      <c r="AB162" s="43" t="s">
        <v>53</v>
      </c>
      <c r="AC162" s="43">
        <v>3650</v>
      </c>
      <c r="AD162" s="141">
        <v>10</v>
      </c>
      <c r="AE162" s="142">
        <v>0</v>
      </c>
      <c r="AF162" s="142"/>
      <c r="AG162" s="69" t="str">
        <f t="shared" ref="AG162:AG174" si="92">_xlfn.CONCAT(AH162," years ",AI162," days")</f>
        <v>4 years 317 days</v>
      </c>
      <c r="AH162" s="69">
        <v>4</v>
      </c>
      <c r="AI162" s="69">
        <v>317</v>
      </c>
      <c r="AJ162" s="69">
        <v>0</v>
      </c>
      <c r="AK162" s="69">
        <v>0</v>
      </c>
      <c r="AL162" s="60">
        <v>455960</v>
      </c>
      <c r="AM162" s="60">
        <f t="shared" ref="AM162:AM174" si="93">ROUND(AL162,2)</f>
        <v>455960</v>
      </c>
      <c r="AN162" s="59">
        <v>221984</v>
      </c>
      <c r="AO162" s="148">
        <f t="shared" ref="AO162:AO174" si="94">ROUND(AN162,2)*-1</f>
        <v>-221984</v>
      </c>
      <c r="AP162" s="58">
        <v>22610.432876712352</v>
      </c>
      <c r="AQ162" s="143">
        <f t="shared" ref="AQ162:AQ174" si="95">ROUND(AP162,2)*-1</f>
        <v>-22610.43</v>
      </c>
    </row>
    <row r="163" spans="1:43" x14ac:dyDescent="0.35">
      <c r="A163" s="69" t="s">
        <v>43</v>
      </c>
      <c r="B163" s="15" t="s">
        <v>520</v>
      </c>
      <c r="C163" s="15"/>
      <c r="D163" s="69" t="e">
        <f>_xlfn.XLOOKUP(B163,SOM!B:B,SOM!D:D,,0)</f>
        <v>#N/A</v>
      </c>
      <c r="E163" s="76">
        <v>1</v>
      </c>
      <c r="F163" s="69" t="s">
        <v>259</v>
      </c>
      <c r="G163" s="10" t="s">
        <v>260</v>
      </c>
      <c r="H163" s="15">
        <v>9007000031</v>
      </c>
      <c r="I163" s="92" t="s">
        <v>261</v>
      </c>
      <c r="J163" s="92">
        <v>1202010217</v>
      </c>
      <c r="K163" s="14"/>
      <c r="L163" s="95" t="s">
        <v>521</v>
      </c>
      <c r="M163" s="69" t="s">
        <v>522</v>
      </c>
      <c r="N163" s="69"/>
      <c r="O163" s="94">
        <v>5</v>
      </c>
      <c r="P163" s="69" t="s">
        <v>50</v>
      </c>
      <c r="Q163" s="69" t="s">
        <v>51</v>
      </c>
      <c r="R163" s="69"/>
      <c r="S163" s="46">
        <v>44621</v>
      </c>
      <c r="T163" s="48">
        <v>44621</v>
      </c>
      <c r="U163" s="69"/>
      <c r="V163" s="69"/>
      <c r="W163" s="69"/>
      <c r="X163" s="69"/>
      <c r="Y163" s="69" t="s">
        <v>4131</v>
      </c>
      <c r="Z163" s="43">
        <v>238340</v>
      </c>
      <c r="AA163" s="43" t="s">
        <v>52</v>
      </c>
      <c r="AB163" s="43" t="s">
        <v>53</v>
      </c>
      <c r="AC163" s="43">
        <v>3650</v>
      </c>
      <c r="AD163" s="141">
        <v>10</v>
      </c>
      <c r="AE163" s="142">
        <v>0</v>
      </c>
      <c r="AF163" s="142"/>
      <c r="AG163" s="69" t="str">
        <f t="shared" si="92"/>
        <v>2 years 307 days</v>
      </c>
      <c r="AH163" s="69">
        <v>2</v>
      </c>
      <c r="AI163" s="69">
        <v>307</v>
      </c>
      <c r="AJ163" s="69">
        <v>0</v>
      </c>
      <c r="AK163" s="69">
        <v>0</v>
      </c>
      <c r="AL163" s="60">
        <v>238340</v>
      </c>
      <c r="AM163" s="60">
        <f t="shared" si="93"/>
        <v>238340</v>
      </c>
      <c r="AN163" s="59">
        <v>67715</v>
      </c>
      <c r="AO163" s="148">
        <f t="shared" si="94"/>
        <v>-67715</v>
      </c>
      <c r="AP163" s="58">
        <v>11818.731506849319</v>
      </c>
      <c r="AQ163" s="143">
        <f t="shared" si="95"/>
        <v>-11818.73</v>
      </c>
    </row>
    <row r="164" spans="1:43" x14ac:dyDescent="0.35">
      <c r="A164" s="69" t="s">
        <v>43</v>
      </c>
      <c r="B164" s="15" t="s">
        <v>523</v>
      </c>
      <c r="C164" s="15"/>
      <c r="D164" s="69" t="e">
        <f>_xlfn.XLOOKUP(B164,SOM!B:B,SOM!D:D,,0)</f>
        <v>#N/A</v>
      </c>
      <c r="E164" s="76">
        <v>2</v>
      </c>
      <c r="F164" s="69" t="s">
        <v>259</v>
      </c>
      <c r="G164" s="10" t="s">
        <v>260</v>
      </c>
      <c r="H164" s="15">
        <v>9007000031</v>
      </c>
      <c r="I164" s="92" t="s">
        <v>261</v>
      </c>
      <c r="J164" s="92">
        <v>1202010217</v>
      </c>
      <c r="K164" s="108" t="s">
        <v>524</v>
      </c>
      <c r="L164" s="95" t="s">
        <v>525</v>
      </c>
      <c r="M164" s="69" t="s">
        <v>526</v>
      </c>
      <c r="N164" s="69"/>
      <c r="O164" s="94">
        <v>1</v>
      </c>
      <c r="P164" s="69" t="s">
        <v>50</v>
      </c>
      <c r="Q164" s="69" t="s">
        <v>51</v>
      </c>
      <c r="R164" s="69"/>
      <c r="S164" s="46">
        <v>44910</v>
      </c>
      <c r="T164" s="48">
        <v>44910</v>
      </c>
      <c r="U164" s="69"/>
      <c r="V164" s="69"/>
      <c r="W164" s="69"/>
      <c r="X164" s="69"/>
      <c r="Y164" s="69" t="s">
        <v>4131</v>
      </c>
      <c r="Z164" s="43">
        <v>4211724.41</v>
      </c>
      <c r="AA164" s="43" t="s">
        <v>52</v>
      </c>
      <c r="AB164" s="43" t="s">
        <v>53</v>
      </c>
      <c r="AC164" s="43">
        <v>3650</v>
      </c>
      <c r="AD164" s="141">
        <v>10</v>
      </c>
      <c r="AE164" s="142">
        <v>0</v>
      </c>
      <c r="AF164" s="142"/>
      <c r="AG164" s="69" t="str">
        <f t="shared" si="92"/>
        <v>2 years 18 days</v>
      </c>
      <c r="AH164" s="69">
        <v>2</v>
      </c>
      <c r="AI164" s="69">
        <v>18</v>
      </c>
      <c r="AJ164" s="69">
        <v>0</v>
      </c>
      <c r="AK164" s="69">
        <v>0</v>
      </c>
      <c r="AL164" s="60">
        <v>4211724.41</v>
      </c>
      <c r="AM164" s="60">
        <f t="shared" si="93"/>
        <v>4211724.41</v>
      </c>
      <c r="AN164" s="59">
        <v>863115</v>
      </c>
      <c r="AO164" s="148">
        <f t="shared" si="94"/>
        <v>-863115</v>
      </c>
      <c r="AP164" s="58">
        <v>208855.39260821929</v>
      </c>
      <c r="AQ164" s="143">
        <f t="shared" si="95"/>
        <v>-208855.39</v>
      </c>
    </row>
    <row r="165" spans="1:43" x14ac:dyDescent="0.35">
      <c r="A165" s="69" t="s">
        <v>43</v>
      </c>
      <c r="B165" s="15" t="s">
        <v>527</v>
      </c>
      <c r="C165" s="15"/>
      <c r="D165" s="69" t="e">
        <f>_xlfn.XLOOKUP(B165,SOM!B:B,SOM!D:D,,0)</f>
        <v>#N/A</v>
      </c>
      <c r="E165" s="76">
        <v>3</v>
      </c>
      <c r="F165" s="69" t="s">
        <v>259</v>
      </c>
      <c r="G165" s="10" t="s">
        <v>260</v>
      </c>
      <c r="H165" s="15">
        <v>9007000031</v>
      </c>
      <c r="I165" s="92" t="s">
        <v>261</v>
      </c>
      <c r="J165" s="92">
        <v>1202010217</v>
      </c>
      <c r="K165" s="108" t="s">
        <v>528</v>
      </c>
      <c r="L165" s="95" t="s">
        <v>529</v>
      </c>
      <c r="M165" s="69" t="s">
        <v>530</v>
      </c>
      <c r="N165" s="69"/>
      <c r="O165" s="94">
        <v>1</v>
      </c>
      <c r="P165" s="69" t="s">
        <v>50</v>
      </c>
      <c r="Q165" s="69" t="s">
        <v>51</v>
      </c>
      <c r="R165" s="69"/>
      <c r="S165" s="46">
        <v>45000</v>
      </c>
      <c r="T165" s="48">
        <v>45000</v>
      </c>
      <c r="U165" s="69"/>
      <c r="V165" s="69"/>
      <c r="W165" s="69"/>
      <c r="X165" s="69"/>
      <c r="Y165" s="69" t="s">
        <v>4129</v>
      </c>
      <c r="Z165" s="43">
        <v>5453995.9500000002</v>
      </c>
      <c r="AA165" s="43" t="s">
        <v>52</v>
      </c>
      <c r="AB165" s="43" t="s">
        <v>53</v>
      </c>
      <c r="AC165" s="43">
        <v>3650</v>
      </c>
      <c r="AD165" s="141">
        <v>10</v>
      </c>
      <c r="AE165" s="142">
        <v>0</v>
      </c>
      <c r="AF165" s="142"/>
      <c r="AG165" s="69" t="str">
        <f t="shared" si="92"/>
        <v>1 years 293 days</v>
      </c>
      <c r="AH165" s="69">
        <v>1</v>
      </c>
      <c r="AI165" s="69">
        <v>293</v>
      </c>
      <c r="AJ165" s="69">
        <v>0</v>
      </c>
      <c r="AK165" s="69">
        <v>0</v>
      </c>
      <c r="AL165" s="60">
        <v>5453995.9500000002</v>
      </c>
      <c r="AM165" s="60">
        <f t="shared" si="93"/>
        <v>5453995.9500000002</v>
      </c>
      <c r="AN165" s="59">
        <v>983214</v>
      </c>
      <c r="AO165" s="148">
        <f t="shared" si="94"/>
        <v>-983214</v>
      </c>
      <c r="AP165" s="58">
        <v>270457.946</v>
      </c>
      <c r="AQ165" s="143">
        <f t="shared" si="95"/>
        <v>-270457.95</v>
      </c>
    </row>
    <row r="166" spans="1:43" x14ac:dyDescent="0.35">
      <c r="A166" s="69" t="s">
        <v>43</v>
      </c>
      <c r="B166" s="15" t="s">
        <v>531</v>
      </c>
      <c r="C166" s="15"/>
      <c r="D166" s="69" t="e">
        <f>_xlfn.XLOOKUP(B166,SOM!B:B,SOM!D:D,,0)</f>
        <v>#N/A</v>
      </c>
      <c r="E166" s="76">
        <v>4</v>
      </c>
      <c r="F166" s="69" t="s">
        <v>259</v>
      </c>
      <c r="G166" s="10" t="s">
        <v>260</v>
      </c>
      <c r="H166" s="15">
        <v>9007000031</v>
      </c>
      <c r="I166" s="92" t="s">
        <v>261</v>
      </c>
      <c r="J166" s="92">
        <v>1202010217</v>
      </c>
      <c r="K166" s="14"/>
      <c r="L166" s="95" t="s">
        <v>532</v>
      </c>
      <c r="M166" s="69" t="s">
        <v>533</v>
      </c>
      <c r="N166" s="69"/>
      <c r="O166" s="94">
        <v>1</v>
      </c>
      <c r="P166" s="69" t="s">
        <v>50</v>
      </c>
      <c r="Q166" s="69" t="s">
        <v>51</v>
      </c>
      <c r="R166" s="69"/>
      <c r="S166" s="46">
        <v>45125</v>
      </c>
      <c r="T166" s="48">
        <v>45125</v>
      </c>
      <c r="U166" s="69"/>
      <c r="V166" s="69"/>
      <c r="W166" s="69"/>
      <c r="X166" s="69"/>
      <c r="Y166" s="69" t="s">
        <v>4129</v>
      </c>
      <c r="Z166" s="43">
        <v>109400</v>
      </c>
      <c r="AA166" s="43" t="s">
        <v>52</v>
      </c>
      <c r="AB166" s="43" t="s">
        <v>53</v>
      </c>
      <c r="AC166" s="43">
        <v>3650</v>
      </c>
      <c r="AD166" s="141">
        <v>10</v>
      </c>
      <c r="AE166" s="142">
        <v>0</v>
      </c>
      <c r="AF166" s="142"/>
      <c r="AG166" s="69" t="str">
        <f t="shared" si="92"/>
        <v>1 years 168 days</v>
      </c>
      <c r="AH166" s="69">
        <v>1</v>
      </c>
      <c r="AI166" s="69">
        <v>168</v>
      </c>
      <c r="AJ166" s="69">
        <v>0</v>
      </c>
      <c r="AK166" s="69">
        <v>0</v>
      </c>
      <c r="AL166" s="60">
        <v>109400</v>
      </c>
      <c r="AM166" s="60">
        <f t="shared" si="93"/>
        <v>109400</v>
      </c>
      <c r="AN166" s="59">
        <v>15975</v>
      </c>
      <c r="AO166" s="148">
        <f t="shared" si="94"/>
        <v>-15975</v>
      </c>
      <c r="AP166" s="58">
        <v>5425.4383561643845</v>
      </c>
      <c r="AQ166" s="143">
        <f t="shared" si="95"/>
        <v>-5425.44</v>
      </c>
    </row>
    <row r="167" spans="1:43" x14ac:dyDescent="0.35">
      <c r="A167" s="69" t="s">
        <v>43</v>
      </c>
      <c r="B167" s="15" t="s">
        <v>534</v>
      </c>
      <c r="C167" s="15"/>
      <c r="D167" s="69" t="e">
        <f>_xlfn.XLOOKUP(B167,SOM!B:B,SOM!D:D,,0)</f>
        <v>#N/A</v>
      </c>
      <c r="E167" s="76">
        <v>5</v>
      </c>
      <c r="F167" s="69" t="s">
        <v>259</v>
      </c>
      <c r="G167" s="10" t="s">
        <v>260</v>
      </c>
      <c r="H167" s="15">
        <v>9007000031</v>
      </c>
      <c r="I167" s="92" t="s">
        <v>261</v>
      </c>
      <c r="J167" s="92">
        <v>1202010217</v>
      </c>
      <c r="K167" s="14" t="s">
        <v>535</v>
      </c>
      <c r="L167" s="95" t="s">
        <v>536</v>
      </c>
      <c r="M167" s="69" t="s">
        <v>537</v>
      </c>
      <c r="N167" s="69"/>
      <c r="O167" s="94">
        <v>1</v>
      </c>
      <c r="P167" s="69" t="s">
        <v>50</v>
      </c>
      <c r="Q167" s="69" t="s">
        <v>51</v>
      </c>
      <c r="R167" s="69"/>
      <c r="S167" s="46">
        <v>45108</v>
      </c>
      <c r="T167" s="48">
        <v>45108</v>
      </c>
      <c r="U167" s="69"/>
      <c r="V167" s="69"/>
      <c r="W167" s="69"/>
      <c r="X167" s="69"/>
      <c r="Y167" s="69" t="s">
        <v>4129</v>
      </c>
      <c r="Z167" s="43">
        <v>1591340</v>
      </c>
      <c r="AA167" s="43" t="s">
        <v>52</v>
      </c>
      <c r="AB167" s="43" t="s">
        <v>53</v>
      </c>
      <c r="AC167" s="43">
        <v>3650</v>
      </c>
      <c r="AD167" s="141">
        <v>10</v>
      </c>
      <c r="AE167" s="142">
        <v>0</v>
      </c>
      <c r="AF167" s="142"/>
      <c r="AG167" s="69" t="str">
        <f t="shared" si="92"/>
        <v>1 years 185 days</v>
      </c>
      <c r="AH167" s="69">
        <v>1</v>
      </c>
      <c r="AI167" s="69">
        <v>185</v>
      </c>
      <c r="AJ167" s="69">
        <v>0</v>
      </c>
      <c r="AK167" s="69">
        <v>0</v>
      </c>
      <c r="AL167" s="60">
        <v>1591340</v>
      </c>
      <c r="AM167" s="60">
        <f t="shared" si="93"/>
        <v>1591340</v>
      </c>
      <c r="AN167" s="59">
        <v>239791</v>
      </c>
      <c r="AO167" s="148">
        <f t="shared" si="94"/>
        <v>-239791</v>
      </c>
      <c r="AP167" s="58">
        <v>78912.983561643807</v>
      </c>
      <c r="AQ167" s="143">
        <f t="shared" si="95"/>
        <v>-78912.98</v>
      </c>
    </row>
    <row r="168" spans="1:43" x14ac:dyDescent="0.35">
      <c r="A168" s="69" t="s">
        <v>43</v>
      </c>
      <c r="B168" s="15" t="s">
        <v>538</v>
      </c>
      <c r="C168" s="15"/>
      <c r="D168" s="69" t="e">
        <f>_xlfn.XLOOKUP(B168,SOM!B:B,SOM!D:D,,0)</f>
        <v>#N/A</v>
      </c>
      <c r="E168" s="76">
        <v>6</v>
      </c>
      <c r="F168" s="69" t="s">
        <v>259</v>
      </c>
      <c r="G168" s="10" t="s">
        <v>260</v>
      </c>
      <c r="H168" s="15">
        <v>9007000031</v>
      </c>
      <c r="I168" s="92" t="s">
        <v>261</v>
      </c>
      <c r="J168" s="92">
        <v>1202010217</v>
      </c>
      <c r="K168" s="14"/>
      <c r="L168" s="95" t="s">
        <v>539</v>
      </c>
      <c r="M168" s="69" t="s">
        <v>540</v>
      </c>
      <c r="N168" s="69"/>
      <c r="O168" s="94">
        <v>1</v>
      </c>
      <c r="P168" s="69" t="s">
        <v>50</v>
      </c>
      <c r="Q168" s="69" t="s">
        <v>51</v>
      </c>
      <c r="R168" s="69"/>
      <c r="S168" s="46">
        <v>45166</v>
      </c>
      <c r="T168" s="48">
        <v>45166</v>
      </c>
      <c r="U168" s="69"/>
      <c r="V168" s="69"/>
      <c r="W168" s="69"/>
      <c r="X168" s="69"/>
      <c r="Y168" s="69" t="s">
        <v>4129</v>
      </c>
      <c r="Z168" s="43">
        <v>75000</v>
      </c>
      <c r="AA168" s="43" t="s">
        <v>52</v>
      </c>
      <c r="AB168" s="43" t="s">
        <v>53</v>
      </c>
      <c r="AC168" s="43">
        <v>3650</v>
      </c>
      <c r="AD168" s="141">
        <v>10</v>
      </c>
      <c r="AE168" s="142">
        <v>0</v>
      </c>
      <c r="AF168" s="142"/>
      <c r="AG168" s="69" t="str">
        <f t="shared" si="92"/>
        <v>1 years 127 days</v>
      </c>
      <c r="AH168" s="69">
        <v>1</v>
      </c>
      <c r="AI168" s="69">
        <v>127</v>
      </c>
      <c r="AJ168" s="69">
        <v>0</v>
      </c>
      <c r="AK168" s="69">
        <v>0</v>
      </c>
      <c r="AL168" s="60">
        <v>75000</v>
      </c>
      <c r="AM168" s="60">
        <f t="shared" si="93"/>
        <v>75000</v>
      </c>
      <c r="AN168" s="59">
        <v>10110</v>
      </c>
      <c r="AO168" s="148">
        <f t="shared" si="94"/>
        <v>-10110</v>
      </c>
      <c r="AP168" s="58">
        <v>3718.767123287671</v>
      </c>
      <c r="AQ168" s="143">
        <f t="shared" si="95"/>
        <v>-3718.77</v>
      </c>
    </row>
    <row r="169" spans="1:43" x14ac:dyDescent="0.35">
      <c r="A169" s="69" t="s">
        <v>43</v>
      </c>
      <c r="B169" s="15" t="s">
        <v>541</v>
      </c>
      <c r="C169" s="15"/>
      <c r="D169" s="69" t="e">
        <f>_xlfn.XLOOKUP(B169,SOM!B:B,SOM!D:D,,0)</f>
        <v>#N/A</v>
      </c>
      <c r="E169" s="76">
        <v>7</v>
      </c>
      <c r="F169" s="69" t="s">
        <v>259</v>
      </c>
      <c r="G169" s="10" t="s">
        <v>260</v>
      </c>
      <c r="H169" s="15">
        <v>9007000031</v>
      </c>
      <c r="I169" s="92" t="s">
        <v>261</v>
      </c>
      <c r="J169" s="92">
        <v>1202010217</v>
      </c>
      <c r="K169" s="14"/>
      <c r="L169" s="95" t="s">
        <v>542</v>
      </c>
      <c r="M169" s="69" t="s">
        <v>543</v>
      </c>
      <c r="N169" s="69"/>
      <c r="O169" s="94">
        <v>1</v>
      </c>
      <c r="P169" s="69" t="s">
        <v>50</v>
      </c>
      <c r="Q169" s="69" t="s">
        <v>51</v>
      </c>
      <c r="R169" s="69"/>
      <c r="S169" s="46">
        <v>45199</v>
      </c>
      <c r="T169" s="48">
        <v>45199</v>
      </c>
      <c r="U169" s="69"/>
      <c r="V169" s="69"/>
      <c r="W169" s="69"/>
      <c r="X169" s="69"/>
      <c r="Y169" s="69" t="s">
        <v>4129</v>
      </c>
      <c r="Z169" s="43">
        <v>11000</v>
      </c>
      <c r="AA169" s="43" t="s">
        <v>52</v>
      </c>
      <c r="AB169" s="43" t="s">
        <v>53</v>
      </c>
      <c r="AC169" s="43">
        <v>3650</v>
      </c>
      <c r="AD169" s="141">
        <v>10</v>
      </c>
      <c r="AE169" s="142">
        <v>0</v>
      </c>
      <c r="AF169" s="142"/>
      <c r="AG169" s="69" t="str">
        <f t="shared" si="92"/>
        <v>1 years 94 days</v>
      </c>
      <c r="AH169" s="69">
        <v>1</v>
      </c>
      <c r="AI169" s="69">
        <v>94</v>
      </c>
      <c r="AJ169" s="69">
        <v>0</v>
      </c>
      <c r="AK169" s="69">
        <v>0</v>
      </c>
      <c r="AL169" s="60">
        <v>11000</v>
      </c>
      <c r="AM169" s="60">
        <f t="shared" si="93"/>
        <v>11000</v>
      </c>
      <c r="AN169" s="59">
        <v>1383</v>
      </c>
      <c r="AO169" s="148">
        <f t="shared" si="94"/>
        <v>-1383</v>
      </c>
      <c r="AP169" s="58">
        <v>545.76712328767144</v>
      </c>
      <c r="AQ169" s="143">
        <f t="shared" si="95"/>
        <v>-545.77</v>
      </c>
    </row>
    <row r="170" spans="1:43" x14ac:dyDescent="0.35">
      <c r="A170" s="69" t="s">
        <v>43</v>
      </c>
      <c r="B170" s="15" t="s">
        <v>544</v>
      </c>
      <c r="C170" s="15"/>
      <c r="D170" s="69" t="e">
        <f>_xlfn.XLOOKUP(B170,SOM!B:B,SOM!D:D,,0)</f>
        <v>#N/A</v>
      </c>
      <c r="E170" s="76">
        <v>8</v>
      </c>
      <c r="F170" s="69" t="s">
        <v>259</v>
      </c>
      <c r="G170" s="10" t="s">
        <v>260</v>
      </c>
      <c r="H170" s="15">
        <v>9007000031</v>
      </c>
      <c r="I170" s="92" t="s">
        <v>261</v>
      </c>
      <c r="J170" s="92">
        <v>1202010217</v>
      </c>
      <c r="K170" s="14"/>
      <c r="L170" s="95" t="s">
        <v>545</v>
      </c>
      <c r="M170" s="69" t="s">
        <v>546</v>
      </c>
      <c r="N170" s="69"/>
      <c r="O170" s="94">
        <v>1</v>
      </c>
      <c r="P170" s="69" t="s">
        <v>50</v>
      </c>
      <c r="Q170" s="69" t="s">
        <v>51</v>
      </c>
      <c r="R170" s="69"/>
      <c r="S170" s="46">
        <v>45199</v>
      </c>
      <c r="T170" s="48">
        <v>45199</v>
      </c>
      <c r="U170" s="69"/>
      <c r="V170" s="69"/>
      <c r="W170" s="69"/>
      <c r="X170" s="69"/>
      <c r="Y170" s="69" t="s">
        <v>4129</v>
      </c>
      <c r="Z170" s="43">
        <v>85477</v>
      </c>
      <c r="AA170" s="43" t="s">
        <v>52</v>
      </c>
      <c r="AB170" s="43" t="s">
        <v>53</v>
      </c>
      <c r="AC170" s="43">
        <v>3650</v>
      </c>
      <c r="AD170" s="141">
        <v>10</v>
      </c>
      <c r="AE170" s="142">
        <v>0</v>
      </c>
      <c r="AF170" s="142"/>
      <c r="AG170" s="69" t="str">
        <f t="shared" si="92"/>
        <v>1 years 94 days</v>
      </c>
      <c r="AH170" s="69">
        <v>1</v>
      </c>
      <c r="AI170" s="69">
        <v>94</v>
      </c>
      <c r="AJ170" s="69">
        <v>0</v>
      </c>
      <c r="AK170" s="69">
        <v>0</v>
      </c>
      <c r="AL170" s="60">
        <v>85477</v>
      </c>
      <c r="AM170" s="60">
        <f t="shared" si="93"/>
        <v>85477</v>
      </c>
      <c r="AN170" s="59">
        <v>10749</v>
      </c>
      <c r="AO170" s="148">
        <f t="shared" si="94"/>
        <v>-10749</v>
      </c>
      <c r="AP170" s="58">
        <v>4238.7479452054813</v>
      </c>
      <c r="AQ170" s="143">
        <f t="shared" si="95"/>
        <v>-4238.75</v>
      </c>
    </row>
    <row r="171" spans="1:43" x14ac:dyDescent="0.35">
      <c r="A171" s="69" t="s">
        <v>43</v>
      </c>
      <c r="B171" s="15" t="s">
        <v>547</v>
      </c>
      <c r="C171" s="15"/>
      <c r="D171" s="69" t="e">
        <f>_xlfn.XLOOKUP(B171,SOM!B:B,SOM!D:D,,0)</f>
        <v>#N/A</v>
      </c>
      <c r="E171" s="76">
        <v>9</v>
      </c>
      <c r="F171" s="69" t="s">
        <v>259</v>
      </c>
      <c r="G171" s="10" t="s">
        <v>260</v>
      </c>
      <c r="H171" s="15">
        <v>9007000031</v>
      </c>
      <c r="I171" s="92" t="s">
        <v>261</v>
      </c>
      <c r="J171" s="92">
        <v>1202010217</v>
      </c>
      <c r="K171" s="14"/>
      <c r="L171" s="95" t="s">
        <v>548</v>
      </c>
      <c r="M171" s="69" t="s">
        <v>549</v>
      </c>
      <c r="N171" s="69"/>
      <c r="O171" s="94">
        <v>14</v>
      </c>
      <c r="P171" s="69" t="s">
        <v>50</v>
      </c>
      <c r="Q171" s="69" t="s">
        <v>51</v>
      </c>
      <c r="R171" s="69"/>
      <c r="S171" s="46">
        <v>45231</v>
      </c>
      <c r="T171" s="48">
        <v>45231</v>
      </c>
      <c r="U171" s="69"/>
      <c r="V171" s="69"/>
      <c r="W171" s="69"/>
      <c r="X171" s="69"/>
      <c r="Y171" s="69" t="s">
        <v>4129</v>
      </c>
      <c r="Z171" s="43">
        <v>63820</v>
      </c>
      <c r="AA171" s="43" t="s">
        <v>52</v>
      </c>
      <c r="AB171" s="43" t="s">
        <v>53</v>
      </c>
      <c r="AC171" s="43">
        <v>3650</v>
      </c>
      <c r="AD171" s="141">
        <v>10</v>
      </c>
      <c r="AE171" s="142">
        <v>0</v>
      </c>
      <c r="AF171" s="142"/>
      <c r="AG171" s="69" t="str">
        <f t="shared" si="92"/>
        <v>1 years 62 days</v>
      </c>
      <c r="AH171" s="69">
        <v>1</v>
      </c>
      <c r="AI171" s="69">
        <v>62</v>
      </c>
      <c r="AJ171" s="69">
        <v>0</v>
      </c>
      <c r="AK171" s="69">
        <v>0</v>
      </c>
      <c r="AL171" s="60">
        <v>63820</v>
      </c>
      <c r="AM171" s="60">
        <f t="shared" si="93"/>
        <v>63820</v>
      </c>
      <c r="AN171" s="59">
        <v>7466</v>
      </c>
      <c r="AO171" s="148">
        <f t="shared" si="94"/>
        <v>-7466</v>
      </c>
      <c r="AP171" s="58">
        <v>3164.8383561643841</v>
      </c>
      <c r="AQ171" s="143">
        <f t="shared" si="95"/>
        <v>-3164.84</v>
      </c>
    </row>
    <row r="172" spans="1:43" x14ac:dyDescent="0.35">
      <c r="A172" s="69" t="s">
        <v>43</v>
      </c>
      <c r="B172" s="15" t="s">
        <v>550</v>
      </c>
      <c r="C172" s="15"/>
      <c r="D172" s="69" t="e">
        <f>_xlfn.XLOOKUP(B172,SOM!B:B,SOM!D:D,,0)</f>
        <v>#N/A</v>
      </c>
      <c r="E172" s="76">
        <v>10</v>
      </c>
      <c r="F172" s="69" t="s">
        <v>259</v>
      </c>
      <c r="G172" s="10" t="s">
        <v>260</v>
      </c>
      <c r="H172" s="15">
        <v>9007000031</v>
      </c>
      <c r="I172" s="92" t="s">
        <v>261</v>
      </c>
      <c r="J172" s="92">
        <v>1202010217</v>
      </c>
      <c r="K172" s="14"/>
      <c r="L172" s="95" t="s">
        <v>551</v>
      </c>
      <c r="M172" s="69" t="s">
        <v>552</v>
      </c>
      <c r="N172" s="69"/>
      <c r="O172" s="94">
        <v>4</v>
      </c>
      <c r="P172" s="69" t="s">
        <v>50</v>
      </c>
      <c r="Q172" s="69" t="s">
        <v>51</v>
      </c>
      <c r="R172" s="69"/>
      <c r="S172" s="46">
        <v>45265</v>
      </c>
      <c r="T172" s="48">
        <v>45265</v>
      </c>
      <c r="U172" s="69"/>
      <c r="V172" s="69"/>
      <c r="W172" s="69"/>
      <c r="X172" s="69"/>
      <c r="Y172" s="69" t="s">
        <v>4129</v>
      </c>
      <c r="Z172" s="43">
        <v>298410</v>
      </c>
      <c r="AA172" s="43" t="s">
        <v>52</v>
      </c>
      <c r="AB172" s="43" t="s">
        <v>53</v>
      </c>
      <c r="AC172" s="43">
        <v>3650</v>
      </c>
      <c r="AD172" s="141">
        <v>10</v>
      </c>
      <c r="AE172" s="142">
        <v>0</v>
      </c>
      <c r="AF172" s="142"/>
      <c r="AG172" s="69" t="str">
        <f t="shared" si="92"/>
        <v>1 years 28 days</v>
      </c>
      <c r="AH172" s="69">
        <v>1</v>
      </c>
      <c r="AI172" s="69">
        <v>28</v>
      </c>
      <c r="AJ172" s="69">
        <v>0</v>
      </c>
      <c r="AK172" s="69">
        <v>0</v>
      </c>
      <c r="AL172" s="60">
        <v>298410</v>
      </c>
      <c r="AM172" s="60">
        <f t="shared" si="93"/>
        <v>298410</v>
      </c>
      <c r="AN172" s="59">
        <v>32130</v>
      </c>
      <c r="AO172" s="148">
        <f t="shared" si="94"/>
        <v>-32130</v>
      </c>
      <c r="AP172" s="58">
        <v>14798.038356164383</v>
      </c>
      <c r="AQ172" s="143">
        <f t="shared" si="95"/>
        <v>-14798.04</v>
      </c>
    </row>
    <row r="173" spans="1:43" x14ac:dyDescent="0.35">
      <c r="A173" s="69" t="s">
        <v>43</v>
      </c>
      <c r="B173" s="15" t="s">
        <v>553</v>
      </c>
      <c r="C173" s="15"/>
      <c r="D173" s="69" t="e">
        <f>_xlfn.XLOOKUP(B173,SOM!B:B,SOM!D:D,,0)</f>
        <v>#N/A</v>
      </c>
      <c r="E173" s="76">
        <v>11</v>
      </c>
      <c r="F173" s="69" t="s">
        <v>259</v>
      </c>
      <c r="G173" s="10" t="s">
        <v>260</v>
      </c>
      <c r="H173" s="15">
        <v>9007000031</v>
      </c>
      <c r="I173" s="92" t="s">
        <v>261</v>
      </c>
      <c r="J173" s="92">
        <v>1202010217</v>
      </c>
      <c r="K173" s="19"/>
      <c r="L173" s="95" t="s">
        <v>554</v>
      </c>
      <c r="M173" s="69" t="s">
        <v>555</v>
      </c>
      <c r="N173" s="69"/>
      <c r="O173" s="94">
        <v>3</v>
      </c>
      <c r="P173" s="69" t="s">
        <v>50</v>
      </c>
      <c r="Q173" s="69" t="s">
        <v>51</v>
      </c>
      <c r="R173" s="69"/>
      <c r="S173" s="46">
        <v>44638</v>
      </c>
      <c r="T173" s="48">
        <v>44638</v>
      </c>
      <c r="U173" s="69"/>
      <c r="V173" s="69"/>
      <c r="W173" s="69"/>
      <c r="X173" s="69"/>
      <c r="Y173" s="69" t="s">
        <v>4131</v>
      </c>
      <c r="Z173" s="43">
        <v>81000</v>
      </c>
      <c r="AA173" s="43" t="s">
        <v>52</v>
      </c>
      <c r="AB173" s="43" t="s">
        <v>53</v>
      </c>
      <c r="AC173" s="43">
        <v>3650</v>
      </c>
      <c r="AD173" s="141">
        <v>10</v>
      </c>
      <c r="AE173" s="142">
        <v>0</v>
      </c>
      <c r="AF173" s="142"/>
      <c r="AG173" s="69" t="str">
        <f t="shared" si="92"/>
        <v>2 years 290 days</v>
      </c>
      <c r="AH173" s="69">
        <v>2</v>
      </c>
      <c r="AI173" s="69">
        <v>290</v>
      </c>
      <c r="AJ173" s="69">
        <v>0</v>
      </c>
      <c r="AK173" s="69">
        <v>0</v>
      </c>
      <c r="AL173" s="60">
        <v>81000</v>
      </c>
      <c r="AM173" s="60">
        <f t="shared" si="93"/>
        <v>81000</v>
      </c>
      <c r="AN173" s="59">
        <v>22636</v>
      </c>
      <c r="AO173" s="148">
        <f t="shared" si="94"/>
        <v>-22636</v>
      </c>
      <c r="AP173" s="58">
        <v>4016.3287671232865</v>
      </c>
      <c r="AQ173" s="143">
        <f t="shared" si="95"/>
        <v>-4016.33</v>
      </c>
    </row>
    <row r="174" spans="1:43" x14ac:dyDescent="0.35">
      <c r="A174" s="69" t="s">
        <v>43</v>
      </c>
      <c r="B174" s="15" t="s">
        <v>556</v>
      </c>
      <c r="C174" s="15"/>
      <c r="D174" s="69" t="e">
        <f>_xlfn.XLOOKUP(B174,SOM!B:B,SOM!D:D,,0)</f>
        <v>#N/A</v>
      </c>
      <c r="E174" s="76">
        <v>12</v>
      </c>
      <c r="F174" s="69" t="s">
        <v>259</v>
      </c>
      <c r="G174" s="10" t="s">
        <v>260</v>
      </c>
      <c r="H174" s="15">
        <v>9007000031</v>
      </c>
      <c r="I174" s="92" t="s">
        <v>261</v>
      </c>
      <c r="J174" s="92">
        <v>1202010217</v>
      </c>
      <c r="K174" s="19" t="s">
        <v>557</v>
      </c>
      <c r="L174" s="95" t="s">
        <v>558</v>
      </c>
      <c r="M174" s="69" t="s">
        <v>559</v>
      </c>
      <c r="N174" s="69"/>
      <c r="O174" s="94">
        <v>1</v>
      </c>
      <c r="P174" s="69" t="s">
        <v>50</v>
      </c>
      <c r="Q174" s="69" t="s">
        <v>51</v>
      </c>
      <c r="R174" s="69"/>
      <c r="S174" s="46">
        <v>44848</v>
      </c>
      <c r="T174" s="48">
        <v>44848</v>
      </c>
      <c r="U174" s="69"/>
      <c r="V174" s="69"/>
      <c r="W174" s="69"/>
      <c r="X174" s="69"/>
      <c r="Y174" s="69" t="s">
        <v>4131</v>
      </c>
      <c r="Z174" s="43">
        <v>1400000</v>
      </c>
      <c r="AA174" s="43" t="s">
        <v>52</v>
      </c>
      <c r="AB174" s="43" t="s">
        <v>53</v>
      </c>
      <c r="AC174" s="43">
        <v>3650</v>
      </c>
      <c r="AD174" s="141">
        <v>10</v>
      </c>
      <c r="AE174" s="142">
        <v>0</v>
      </c>
      <c r="AF174" s="142"/>
      <c r="AG174" s="69" t="str">
        <f t="shared" si="92"/>
        <v>2 years 80 days</v>
      </c>
      <c r="AH174" s="69">
        <v>2</v>
      </c>
      <c r="AI174" s="69">
        <v>80</v>
      </c>
      <c r="AJ174" s="69">
        <v>0</v>
      </c>
      <c r="AK174" s="69">
        <v>0</v>
      </c>
      <c r="AL174" s="60">
        <v>1400000</v>
      </c>
      <c r="AM174" s="60">
        <f t="shared" si="93"/>
        <v>1400000</v>
      </c>
      <c r="AN174" s="59">
        <v>1146950</v>
      </c>
      <c r="AO174" s="148">
        <f t="shared" si="94"/>
        <v>-1146950</v>
      </c>
      <c r="AP174" s="58">
        <v>69424.909877433442</v>
      </c>
      <c r="AQ174" s="143">
        <f t="shared" si="95"/>
        <v>-69424.91</v>
      </c>
    </row>
    <row r="175" spans="1:43" x14ac:dyDescent="0.35">
      <c r="A175" s="69" t="s">
        <v>43</v>
      </c>
      <c r="B175" s="15" t="s">
        <v>560</v>
      </c>
      <c r="C175" s="15"/>
      <c r="D175" s="69"/>
      <c r="E175" s="76">
        <v>0</v>
      </c>
      <c r="F175" s="69" t="s">
        <v>259</v>
      </c>
      <c r="G175" s="10" t="s">
        <v>260</v>
      </c>
      <c r="H175" s="15">
        <v>9007000032</v>
      </c>
      <c r="I175" s="92" t="s">
        <v>261</v>
      </c>
      <c r="J175" s="92">
        <v>1202010217</v>
      </c>
      <c r="K175" s="109" t="s">
        <v>561</v>
      </c>
      <c r="L175" s="95" t="s">
        <v>562</v>
      </c>
      <c r="M175" s="69" t="s">
        <v>49</v>
      </c>
      <c r="N175" s="69"/>
      <c r="O175" s="94">
        <v>1</v>
      </c>
      <c r="P175" s="69" t="s">
        <v>50</v>
      </c>
      <c r="Q175" s="69" t="s">
        <v>51</v>
      </c>
      <c r="R175" s="69"/>
      <c r="S175" s="46">
        <v>44842</v>
      </c>
      <c r="T175" s="48">
        <v>44842</v>
      </c>
      <c r="U175" s="69"/>
      <c r="V175" s="69"/>
      <c r="W175" s="69"/>
      <c r="X175" s="69"/>
      <c r="Y175" s="69" t="s">
        <v>4131</v>
      </c>
      <c r="Z175" s="43">
        <v>315000</v>
      </c>
      <c r="AA175" s="43" t="s">
        <v>52</v>
      </c>
      <c r="AB175" s="43" t="s">
        <v>53</v>
      </c>
      <c r="AC175" s="43">
        <v>3650</v>
      </c>
      <c r="AD175" s="141">
        <v>10</v>
      </c>
      <c r="AE175" s="142">
        <v>0</v>
      </c>
      <c r="AF175" s="142"/>
      <c r="AG175" s="69" t="str">
        <f>_xlfn.CONCAT(AH175," years ",AI175," days")</f>
        <v>2 years 86 days</v>
      </c>
      <c r="AH175" s="69">
        <v>2</v>
      </c>
      <c r="AI175" s="69">
        <v>86</v>
      </c>
      <c r="AJ175" s="69">
        <v>0</v>
      </c>
      <c r="AK175" s="69">
        <v>0</v>
      </c>
      <c r="AL175" s="60">
        <v>315000</v>
      </c>
      <c r="AM175" s="60">
        <f>ROUND(AL175,2)</f>
        <v>315000</v>
      </c>
      <c r="AN175" s="59">
        <v>98642</v>
      </c>
      <c r="AO175" s="148">
        <f>ROUND(AN175,2)*-1</f>
        <v>-98642</v>
      </c>
      <c r="AP175" s="58">
        <v>15620.731500429349</v>
      </c>
      <c r="AQ175" s="143">
        <f>ROUND(AP175,2)*-1</f>
        <v>-15620.73</v>
      </c>
    </row>
    <row r="176" spans="1:43" x14ac:dyDescent="0.35">
      <c r="A176" s="69" t="s">
        <v>43</v>
      </c>
      <c r="B176" s="15" t="s">
        <v>563</v>
      </c>
      <c r="C176" s="15"/>
      <c r="D176" s="69"/>
      <c r="E176" s="76">
        <v>0</v>
      </c>
      <c r="F176" s="69" t="s">
        <v>259</v>
      </c>
      <c r="G176" s="10" t="s">
        <v>260</v>
      </c>
      <c r="H176" s="15">
        <v>9007000033</v>
      </c>
      <c r="I176" s="92" t="s">
        <v>261</v>
      </c>
      <c r="J176" s="92">
        <v>1202010217</v>
      </c>
      <c r="K176" s="14"/>
      <c r="L176" s="95" t="s">
        <v>564</v>
      </c>
      <c r="M176" s="69" t="s">
        <v>565</v>
      </c>
      <c r="N176" s="69"/>
      <c r="O176" s="94">
        <v>1</v>
      </c>
      <c r="P176" s="69" t="s">
        <v>50</v>
      </c>
      <c r="Q176" s="69" t="s">
        <v>51</v>
      </c>
      <c r="R176" s="69"/>
      <c r="S176" s="46">
        <v>43868</v>
      </c>
      <c r="T176" s="48">
        <v>43868</v>
      </c>
      <c r="U176" s="69"/>
      <c r="V176" s="69"/>
      <c r="W176" s="69"/>
      <c r="X176" s="69"/>
      <c r="Y176" s="69" t="s">
        <v>4127</v>
      </c>
      <c r="Z176" s="43">
        <v>257500</v>
      </c>
      <c r="AA176" s="43" t="s">
        <v>52</v>
      </c>
      <c r="AB176" s="43" t="s">
        <v>53</v>
      </c>
      <c r="AC176" s="43">
        <v>3650</v>
      </c>
      <c r="AD176" s="141">
        <v>10</v>
      </c>
      <c r="AE176" s="142">
        <v>0</v>
      </c>
      <c r="AF176" s="142"/>
      <c r="AG176" s="69" t="str">
        <f t="shared" ref="AG176:AG177" si="96">_xlfn.CONCAT(AH176," years ",AI176," days")</f>
        <v>4 years 330 days</v>
      </c>
      <c r="AH176" s="69">
        <v>4</v>
      </c>
      <c r="AI176" s="69">
        <v>330</v>
      </c>
      <c r="AJ176" s="69">
        <v>0</v>
      </c>
      <c r="AK176" s="69">
        <v>0</v>
      </c>
      <c r="AL176" s="60">
        <v>257500</v>
      </c>
      <c r="AM176" s="60">
        <f t="shared" ref="AM176:AM177" si="97">ROUND(AL176,2)</f>
        <v>257500</v>
      </c>
      <c r="AN176" s="59">
        <v>126170</v>
      </c>
      <c r="AO176" s="148">
        <f t="shared" ref="AO176:AO177" si="98">ROUND(AN176,2)*-1</f>
        <v>-126170</v>
      </c>
      <c r="AP176" s="58">
        <v>12769.041095890396</v>
      </c>
      <c r="AQ176" s="143">
        <f t="shared" ref="AQ176:AQ177" si="99">ROUND(AP176,2)*-1</f>
        <v>-12769.04</v>
      </c>
    </row>
    <row r="177" spans="1:43" x14ac:dyDescent="0.35">
      <c r="A177" s="69" t="s">
        <v>43</v>
      </c>
      <c r="B177" s="15" t="s">
        <v>566</v>
      </c>
      <c r="C177" s="15"/>
      <c r="D177" s="69" t="e">
        <f>_xlfn.XLOOKUP(B177,SOM!B:B,SOM!D:D,,0)</f>
        <v>#N/A</v>
      </c>
      <c r="E177" s="76">
        <v>1</v>
      </c>
      <c r="F177" s="69" t="s">
        <v>259</v>
      </c>
      <c r="G177" s="10" t="s">
        <v>260</v>
      </c>
      <c r="H177" s="15">
        <v>9007000033</v>
      </c>
      <c r="I177" s="92" t="s">
        <v>261</v>
      </c>
      <c r="J177" s="92">
        <v>1202010217</v>
      </c>
      <c r="K177" s="17" t="s">
        <v>567</v>
      </c>
      <c r="L177" s="95" t="s">
        <v>568</v>
      </c>
      <c r="M177" s="69" t="s">
        <v>569</v>
      </c>
      <c r="N177" s="69"/>
      <c r="O177" s="94">
        <v>1</v>
      </c>
      <c r="P177" s="69" t="s">
        <v>50</v>
      </c>
      <c r="Q177" s="69" t="s">
        <v>51</v>
      </c>
      <c r="R177" s="69"/>
      <c r="S177" s="46">
        <v>44504</v>
      </c>
      <c r="T177" s="48">
        <v>44504</v>
      </c>
      <c r="U177" s="69"/>
      <c r="V177" s="69"/>
      <c r="W177" s="69"/>
      <c r="X177" s="69"/>
      <c r="Y177" s="69" t="s">
        <v>4128</v>
      </c>
      <c r="Z177" s="43">
        <v>278100</v>
      </c>
      <c r="AA177" s="43" t="s">
        <v>52</v>
      </c>
      <c r="AB177" s="43" t="s">
        <v>53</v>
      </c>
      <c r="AC177" s="43">
        <v>3650</v>
      </c>
      <c r="AD177" s="141">
        <v>10</v>
      </c>
      <c r="AE177" s="142">
        <v>0</v>
      </c>
      <c r="AF177" s="142"/>
      <c r="AG177" s="69" t="str">
        <f t="shared" si="96"/>
        <v>3 years 59 days</v>
      </c>
      <c r="AH177" s="69">
        <v>3</v>
      </c>
      <c r="AI177" s="69">
        <v>59</v>
      </c>
      <c r="AJ177" s="69">
        <v>0</v>
      </c>
      <c r="AK177" s="69">
        <v>0</v>
      </c>
      <c r="AL177" s="60">
        <v>278100</v>
      </c>
      <c r="AM177" s="60">
        <f t="shared" si="97"/>
        <v>278100</v>
      </c>
      <c r="AN177" s="59">
        <v>87925</v>
      </c>
      <c r="AO177" s="148">
        <f t="shared" si="98"/>
        <v>-87925</v>
      </c>
      <c r="AP177" s="58">
        <v>13791.027397260274</v>
      </c>
      <c r="AQ177" s="143">
        <f t="shared" si="99"/>
        <v>-13791.03</v>
      </c>
    </row>
    <row r="178" spans="1:43" x14ac:dyDescent="0.35">
      <c r="A178" s="69" t="s">
        <v>43</v>
      </c>
      <c r="B178" s="15" t="s">
        <v>570</v>
      </c>
      <c r="C178" s="15"/>
      <c r="D178" s="69"/>
      <c r="E178" s="76">
        <v>0</v>
      </c>
      <c r="F178" s="69" t="s">
        <v>259</v>
      </c>
      <c r="G178" s="10" t="s">
        <v>260</v>
      </c>
      <c r="H178" s="15">
        <v>9007000034</v>
      </c>
      <c r="I178" s="92" t="s">
        <v>261</v>
      </c>
      <c r="J178" s="92">
        <v>1202010217</v>
      </c>
      <c r="K178" s="17" t="s">
        <v>571</v>
      </c>
      <c r="L178" s="95" t="s">
        <v>572</v>
      </c>
      <c r="M178" s="69" t="s">
        <v>573</v>
      </c>
      <c r="N178" s="69"/>
      <c r="O178" s="94">
        <v>1</v>
      </c>
      <c r="P178" s="69" t="s">
        <v>50</v>
      </c>
      <c r="Q178" s="69" t="s">
        <v>51</v>
      </c>
      <c r="R178" s="69"/>
      <c r="S178" s="46">
        <v>41881</v>
      </c>
      <c r="T178" s="48">
        <v>43191</v>
      </c>
      <c r="U178" s="69"/>
      <c r="V178" s="69"/>
      <c r="W178" s="69"/>
      <c r="X178" s="69"/>
      <c r="Y178" s="69" t="s">
        <v>4125</v>
      </c>
      <c r="Z178" s="43">
        <v>77500</v>
      </c>
      <c r="AA178" s="43" t="s">
        <v>52</v>
      </c>
      <c r="AB178" s="43" t="s">
        <v>53</v>
      </c>
      <c r="AC178" s="43">
        <v>2300</v>
      </c>
      <c r="AD178" s="141">
        <v>6</v>
      </c>
      <c r="AE178" s="142">
        <v>4</v>
      </c>
      <c r="AF178" s="142"/>
      <c r="AG178" s="69" t="str">
        <f>_xlfn.CONCAT(AH178," years ",AI178," days")</f>
        <v>6 years 110 days</v>
      </c>
      <c r="AH178" s="69">
        <v>6</v>
      </c>
      <c r="AI178" s="69">
        <v>110</v>
      </c>
      <c r="AJ178" s="69">
        <v>0</v>
      </c>
      <c r="AK178" s="69">
        <v>0</v>
      </c>
      <c r="AL178" s="60">
        <v>77500</v>
      </c>
      <c r="AM178" s="60">
        <f>ROUND(AL178,2)</f>
        <v>77500</v>
      </c>
      <c r="AN178" s="59">
        <v>77500</v>
      </c>
      <c r="AO178" s="148">
        <f>ROUND(AN178,2)*-1</f>
        <v>-77500</v>
      </c>
      <c r="AP178" s="58">
        <v>0</v>
      </c>
      <c r="AQ178" s="143">
        <f>ROUND(AP178,2)*-1</f>
        <v>0</v>
      </c>
    </row>
    <row r="179" spans="1:43" x14ac:dyDescent="0.35">
      <c r="A179" s="69" t="s">
        <v>43</v>
      </c>
      <c r="B179" s="15" t="s">
        <v>574</v>
      </c>
      <c r="C179" s="15"/>
      <c r="D179" s="69"/>
      <c r="E179" s="76">
        <v>0</v>
      </c>
      <c r="F179" s="69" t="s">
        <v>259</v>
      </c>
      <c r="G179" s="10" t="s">
        <v>260</v>
      </c>
      <c r="H179" s="15">
        <v>9007000035</v>
      </c>
      <c r="I179" s="92" t="s">
        <v>261</v>
      </c>
      <c r="J179" s="92">
        <v>1202010217</v>
      </c>
      <c r="K179" s="17" t="s">
        <v>575</v>
      </c>
      <c r="L179" s="95" t="s">
        <v>576</v>
      </c>
      <c r="M179" s="69" t="s">
        <v>577</v>
      </c>
      <c r="N179" s="69"/>
      <c r="O179" s="94">
        <v>1</v>
      </c>
      <c r="P179" s="69" t="s">
        <v>50</v>
      </c>
      <c r="Q179" s="69" t="s">
        <v>51</v>
      </c>
      <c r="R179" s="69"/>
      <c r="S179" s="46">
        <v>41830</v>
      </c>
      <c r="T179" s="48">
        <v>43191</v>
      </c>
      <c r="U179" s="69"/>
      <c r="V179" s="69"/>
      <c r="W179" s="69"/>
      <c r="X179" s="69"/>
      <c r="Y179" s="69" t="s">
        <v>4125</v>
      </c>
      <c r="Z179" s="43">
        <v>80000</v>
      </c>
      <c r="AA179" s="43" t="s">
        <v>52</v>
      </c>
      <c r="AB179" s="43" t="s">
        <v>53</v>
      </c>
      <c r="AC179" s="43">
        <v>2263</v>
      </c>
      <c r="AD179" s="141">
        <v>6</v>
      </c>
      <c r="AE179" s="142">
        <v>2</v>
      </c>
      <c r="AF179" s="142"/>
      <c r="AG179" s="69" t="str">
        <f>_xlfn.CONCAT(AH179," years ",AI179," days")</f>
        <v>6 years 73 days</v>
      </c>
      <c r="AH179" s="69">
        <v>6</v>
      </c>
      <c r="AI179" s="69">
        <v>73</v>
      </c>
      <c r="AJ179" s="69">
        <v>0</v>
      </c>
      <c r="AK179" s="69">
        <v>0</v>
      </c>
      <c r="AL179" s="60">
        <v>80000</v>
      </c>
      <c r="AM179" s="60">
        <f>ROUND(AL179,2)</f>
        <v>80000</v>
      </c>
      <c r="AN179" s="59">
        <v>80000</v>
      </c>
      <c r="AO179" s="148">
        <f>ROUND(AN179,2)*-1</f>
        <v>-80000</v>
      </c>
      <c r="AP179" s="58">
        <v>0</v>
      </c>
      <c r="AQ179" s="143">
        <f>ROUND(AP179,2)*-1</f>
        <v>0</v>
      </c>
    </row>
    <row r="180" spans="1:43" x14ac:dyDescent="0.35">
      <c r="A180" s="69" t="s">
        <v>43</v>
      </c>
      <c r="B180" s="15" t="s">
        <v>578</v>
      </c>
      <c r="C180" s="15"/>
      <c r="D180" s="69"/>
      <c r="E180" s="76">
        <v>0</v>
      </c>
      <c r="F180" s="69" t="s">
        <v>259</v>
      </c>
      <c r="G180" s="10" t="s">
        <v>260</v>
      </c>
      <c r="H180" s="15">
        <v>9007000036</v>
      </c>
      <c r="I180" s="92" t="s">
        <v>261</v>
      </c>
      <c r="J180" s="92">
        <v>1202010217</v>
      </c>
      <c r="K180" s="17" t="s">
        <v>579</v>
      </c>
      <c r="L180" s="95" t="s">
        <v>580</v>
      </c>
      <c r="M180" s="69" t="s">
        <v>581</v>
      </c>
      <c r="N180" s="69"/>
      <c r="O180" s="94">
        <v>1</v>
      </c>
      <c r="P180" s="69" t="s">
        <v>50</v>
      </c>
      <c r="Q180" s="69" t="s">
        <v>51</v>
      </c>
      <c r="R180" s="69"/>
      <c r="S180" s="46">
        <v>45016</v>
      </c>
      <c r="T180" s="48">
        <v>45016</v>
      </c>
      <c r="U180" s="69"/>
      <c r="V180" s="69"/>
      <c r="W180" s="69"/>
      <c r="X180" s="69"/>
      <c r="Y180" s="69" t="s">
        <v>4129</v>
      </c>
      <c r="Z180" s="43">
        <v>182000</v>
      </c>
      <c r="AA180" s="43" t="s">
        <v>52</v>
      </c>
      <c r="AB180" s="43" t="s">
        <v>53</v>
      </c>
      <c r="AC180" s="43">
        <v>3650</v>
      </c>
      <c r="AD180" s="141">
        <v>10</v>
      </c>
      <c r="AE180" s="142">
        <v>0</v>
      </c>
      <c r="AF180" s="142"/>
      <c r="AG180" s="69" t="str">
        <f>_xlfn.CONCAT(AH180," years ",AI180," days")</f>
        <v>1 years 277 days</v>
      </c>
      <c r="AH180" s="69">
        <v>1</v>
      </c>
      <c r="AI180" s="69">
        <v>277</v>
      </c>
      <c r="AJ180" s="69">
        <v>0</v>
      </c>
      <c r="AK180" s="69">
        <v>0</v>
      </c>
      <c r="AL180" s="60">
        <v>182000</v>
      </c>
      <c r="AM180" s="60">
        <f>ROUND(AL180,2)</f>
        <v>182000</v>
      </c>
      <c r="AN180" s="59">
        <v>32062</v>
      </c>
      <c r="AO180" s="148">
        <f>ROUND(AN180,2)*-1</f>
        <v>-32062</v>
      </c>
      <c r="AP180" s="58">
        <v>9025.1232876712311</v>
      </c>
      <c r="AQ180" s="143">
        <f>ROUND(AP180,2)*-1</f>
        <v>-9025.1200000000008</v>
      </c>
    </row>
    <row r="181" spans="1:43" x14ac:dyDescent="0.35">
      <c r="A181" s="69" t="s">
        <v>43</v>
      </c>
      <c r="B181" s="15" t="s">
        <v>582</v>
      </c>
      <c r="C181" s="15"/>
      <c r="D181" s="69"/>
      <c r="E181" s="76">
        <v>0</v>
      </c>
      <c r="F181" s="69" t="s">
        <v>259</v>
      </c>
      <c r="G181" s="10" t="s">
        <v>260</v>
      </c>
      <c r="H181" s="15">
        <v>9007000037</v>
      </c>
      <c r="I181" s="92" t="s">
        <v>261</v>
      </c>
      <c r="J181" s="92">
        <v>1202010217</v>
      </c>
      <c r="K181" s="17" t="s">
        <v>583</v>
      </c>
      <c r="L181" s="95" t="s">
        <v>584</v>
      </c>
      <c r="M181" s="69" t="s">
        <v>585</v>
      </c>
      <c r="N181" s="69"/>
      <c r="O181" s="94">
        <v>1</v>
      </c>
      <c r="P181" s="69" t="s">
        <v>50</v>
      </c>
      <c r="Q181" s="69" t="s">
        <v>51</v>
      </c>
      <c r="R181" s="69"/>
      <c r="S181" s="46">
        <v>45131</v>
      </c>
      <c r="T181" s="48">
        <v>45131</v>
      </c>
      <c r="U181" s="69"/>
      <c r="V181" s="69"/>
      <c r="W181" s="69"/>
      <c r="X181" s="69"/>
      <c r="Y181" s="69" t="s">
        <v>4129</v>
      </c>
      <c r="Z181" s="43">
        <v>275000</v>
      </c>
      <c r="AA181" s="43" t="s">
        <v>52</v>
      </c>
      <c r="AB181" s="43" t="s">
        <v>53</v>
      </c>
      <c r="AC181" s="43">
        <v>3650</v>
      </c>
      <c r="AD181" s="141">
        <v>10</v>
      </c>
      <c r="AE181" s="142">
        <v>0</v>
      </c>
      <c r="AF181" s="142"/>
      <c r="AG181" s="69" t="str">
        <f>_xlfn.CONCAT(AH181," years ",AI181," days")</f>
        <v>1 years 162 days</v>
      </c>
      <c r="AH181" s="69">
        <v>1</v>
      </c>
      <c r="AI181" s="69">
        <v>162</v>
      </c>
      <c r="AJ181" s="69">
        <v>0</v>
      </c>
      <c r="AK181" s="69">
        <v>0</v>
      </c>
      <c r="AL181" s="60">
        <v>275000</v>
      </c>
      <c r="AM181" s="60">
        <f>ROUND(AL181,2)</f>
        <v>275000</v>
      </c>
      <c r="AN181" s="59">
        <v>39705</v>
      </c>
      <c r="AO181" s="148">
        <f>ROUND(AN181,2)*-1</f>
        <v>-39705</v>
      </c>
      <c r="AP181" s="58">
        <v>13637.465753424651</v>
      </c>
      <c r="AQ181" s="143">
        <f>ROUND(AP181,2)*-1</f>
        <v>-13637.47</v>
      </c>
    </row>
    <row r="182" spans="1:43" x14ac:dyDescent="0.35">
      <c r="A182" s="69" t="s">
        <v>43</v>
      </c>
      <c r="B182" s="15" t="s">
        <v>586</v>
      </c>
      <c r="C182" s="15"/>
      <c r="D182" s="69"/>
      <c r="E182" s="76">
        <v>0</v>
      </c>
      <c r="F182" s="69" t="s">
        <v>259</v>
      </c>
      <c r="G182" s="10" t="s">
        <v>260</v>
      </c>
      <c r="H182" s="15">
        <v>9007000038</v>
      </c>
      <c r="I182" s="92" t="s">
        <v>261</v>
      </c>
      <c r="J182" s="92">
        <v>1202010217</v>
      </c>
      <c r="K182" s="17" t="s">
        <v>587</v>
      </c>
      <c r="L182" s="95" t="s">
        <v>588</v>
      </c>
      <c r="M182" s="69" t="s">
        <v>589</v>
      </c>
      <c r="N182" s="69"/>
      <c r="O182" s="94">
        <v>1</v>
      </c>
      <c r="P182" s="69" t="s">
        <v>50</v>
      </c>
      <c r="Q182" s="69" t="s">
        <v>51</v>
      </c>
      <c r="R182" s="69"/>
      <c r="S182" s="46">
        <v>44986</v>
      </c>
      <c r="T182" s="48">
        <v>44986</v>
      </c>
      <c r="U182" s="69"/>
      <c r="V182" s="69"/>
      <c r="W182" s="69"/>
      <c r="X182" s="69"/>
      <c r="Y182" s="69" t="s">
        <v>4129</v>
      </c>
      <c r="Z182" s="43">
        <v>62000</v>
      </c>
      <c r="AA182" s="43" t="s">
        <v>52</v>
      </c>
      <c r="AB182" s="43" t="s">
        <v>53</v>
      </c>
      <c r="AC182" s="43">
        <v>3650</v>
      </c>
      <c r="AD182" s="141">
        <v>10</v>
      </c>
      <c r="AE182" s="142">
        <v>0</v>
      </c>
      <c r="AF182" s="142"/>
      <c r="AG182" s="69" t="str">
        <f t="shared" ref="AG182:AG183" si="100">_xlfn.CONCAT(AH182," years ",AI182," days")</f>
        <v>1 years 307 days</v>
      </c>
      <c r="AH182" s="69">
        <v>1</v>
      </c>
      <c r="AI182" s="69">
        <v>307</v>
      </c>
      <c r="AJ182" s="69">
        <v>0</v>
      </c>
      <c r="AK182" s="69">
        <v>0</v>
      </c>
      <c r="AL182" s="60">
        <v>62000</v>
      </c>
      <c r="AM182" s="60">
        <f t="shared" ref="AM182:AM183" si="101">ROUND(AL182,2)</f>
        <v>62000</v>
      </c>
      <c r="AN182" s="59">
        <v>11415</v>
      </c>
      <c r="AO182" s="148">
        <f t="shared" ref="AO182:AO183" si="102">ROUND(AN182,2)*-1</f>
        <v>-11415</v>
      </c>
      <c r="AP182" s="58">
        <v>3074.3150684931497</v>
      </c>
      <c r="AQ182" s="143">
        <f t="shared" ref="AQ182:AQ183" si="103">ROUND(AP182,2)*-1</f>
        <v>-3074.32</v>
      </c>
    </row>
    <row r="183" spans="1:43" x14ac:dyDescent="0.35">
      <c r="A183" s="69" t="s">
        <v>43</v>
      </c>
      <c r="B183" s="15" t="s">
        <v>590</v>
      </c>
      <c r="C183" s="15"/>
      <c r="D183" s="69" t="e">
        <f>_xlfn.XLOOKUP(B183,SOM!B:B,SOM!D:D,,0)</f>
        <v>#N/A</v>
      </c>
      <c r="E183" s="76">
        <v>1</v>
      </c>
      <c r="F183" s="69" t="s">
        <v>259</v>
      </c>
      <c r="G183" s="10" t="s">
        <v>260</v>
      </c>
      <c r="H183" s="15">
        <v>9007000038</v>
      </c>
      <c r="I183" s="92" t="s">
        <v>261</v>
      </c>
      <c r="J183" s="92">
        <v>1202010217</v>
      </c>
      <c r="K183" s="14"/>
      <c r="L183" s="95" t="s">
        <v>591</v>
      </c>
      <c r="M183" s="69" t="s">
        <v>49</v>
      </c>
      <c r="N183" s="69"/>
      <c r="O183" s="94">
        <v>1</v>
      </c>
      <c r="P183" s="69" t="s">
        <v>50</v>
      </c>
      <c r="Q183" s="69" t="s">
        <v>51</v>
      </c>
      <c r="R183" s="69"/>
      <c r="S183" s="46">
        <v>40993</v>
      </c>
      <c r="T183" s="48">
        <v>43191</v>
      </c>
      <c r="U183" s="69"/>
      <c r="V183" s="69"/>
      <c r="W183" s="69"/>
      <c r="X183" s="69"/>
      <c r="Y183" s="69" t="s">
        <v>4125</v>
      </c>
      <c r="Z183" s="43">
        <v>62500</v>
      </c>
      <c r="AA183" s="43" t="s">
        <v>52</v>
      </c>
      <c r="AB183" s="43" t="s">
        <v>53</v>
      </c>
      <c r="AC183" s="43">
        <v>3285</v>
      </c>
      <c r="AD183" s="141">
        <v>9</v>
      </c>
      <c r="AE183" s="142">
        <v>0</v>
      </c>
      <c r="AF183" s="142"/>
      <c r="AG183" s="69" t="str">
        <f t="shared" si="100"/>
        <v>6 years 277 days</v>
      </c>
      <c r="AH183" s="69">
        <v>6</v>
      </c>
      <c r="AI183" s="69">
        <v>277</v>
      </c>
      <c r="AJ183" s="69">
        <v>0</v>
      </c>
      <c r="AK183" s="69">
        <v>0</v>
      </c>
      <c r="AL183" s="60">
        <v>62500</v>
      </c>
      <c r="AM183" s="60">
        <f t="shared" si="101"/>
        <v>62500</v>
      </c>
      <c r="AN183" s="59">
        <v>46937</v>
      </c>
      <c r="AO183" s="148">
        <f t="shared" si="102"/>
        <v>-46937</v>
      </c>
      <c r="AP183" s="58">
        <v>3443.5175038051821</v>
      </c>
      <c r="AQ183" s="143">
        <f t="shared" si="103"/>
        <v>-3443.52</v>
      </c>
    </row>
    <row r="184" spans="1:43" x14ac:dyDescent="0.35">
      <c r="A184" s="69" t="s">
        <v>43</v>
      </c>
      <c r="B184" s="15" t="s">
        <v>592</v>
      </c>
      <c r="C184" s="15"/>
      <c r="D184" s="69"/>
      <c r="E184" s="76">
        <v>0</v>
      </c>
      <c r="F184" s="69" t="s">
        <v>259</v>
      </c>
      <c r="G184" s="10" t="s">
        <v>260</v>
      </c>
      <c r="H184" s="15">
        <v>9007000039</v>
      </c>
      <c r="I184" s="92" t="s">
        <v>593</v>
      </c>
      <c r="J184" s="92">
        <v>1202020101</v>
      </c>
      <c r="K184" s="17" t="s">
        <v>594</v>
      </c>
      <c r="L184" s="95" t="s">
        <v>595</v>
      </c>
      <c r="M184" s="69" t="s">
        <v>49</v>
      </c>
      <c r="N184" s="69"/>
      <c r="O184" s="94">
        <v>1</v>
      </c>
      <c r="P184" s="69" t="s">
        <v>50</v>
      </c>
      <c r="Q184" s="69" t="s">
        <v>51</v>
      </c>
      <c r="R184" s="69"/>
      <c r="S184" s="46">
        <v>40564</v>
      </c>
      <c r="T184" s="48">
        <v>43191</v>
      </c>
      <c r="U184" s="69"/>
      <c r="V184" s="69"/>
      <c r="W184" s="69"/>
      <c r="X184" s="69"/>
      <c r="Y184" s="69" t="s">
        <v>4125</v>
      </c>
      <c r="Z184" s="43">
        <v>145000</v>
      </c>
      <c r="AA184" s="43" t="s">
        <v>52</v>
      </c>
      <c r="AB184" s="43" t="s">
        <v>53</v>
      </c>
      <c r="AC184" s="43">
        <v>1022</v>
      </c>
      <c r="AD184" s="141">
        <v>2</v>
      </c>
      <c r="AE184" s="142">
        <v>10</v>
      </c>
      <c r="AF184" s="142"/>
      <c r="AG184" s="69" t="str">
        <f>_xlfn.CONCAT(AH184," years ",AI184," days")</f>
        <v>2 years 292 days</v>
      </c>
      <c r="AH184" s="69">
        <v>2</v>
      </c>
      <c r="AI184" s="69">
        <v>292</v>
      </c>
      <c r="AJ184" s="69">
        <v>0</v>
      </c>
      <c r="AK184" s="69">
        <v>0</v>
      </c>
      <c r="AL184" s="60">
        <v>145000</v>
      </c>
      <c r="AM184" s="60">
        <f>ROUND(AL184,2)</f>
        <v>145000</v>
      </c>
      <c r="AN184" s="59">
        <v>145000</v>
      </c>
      <c r="AO184" s="148">
        <f>ROUND(AN184,2)*-1</f>
        <v>-145000</v>
      </c>
      <c r="AP184" s="58">
        <v>0</v>
      </c>
      <c r="AQ184" s="143">
        <f>ROUND(AP184,2)*-1</f>
        <v>0</v>
      </c>
    </row>
    <row r="185" spans="1:43" x14ac:dyDescent="0.35">
      <c r="A185" s="69" t="s">
        <v>43</v>
      </c>
      <c r="B185" s="15" t="s">
        <v>596</v>
      </c>
      <c r="C185" s="15"/>
      <c r="D185" s="69"/>
      <c r="E185" s="76">
        <v>0</v>
      </c>
      <c r="F185" s="69" t="s">
        <v>259</v>
      </c>
      <c r="G185" s="10" t="s">
        <v>260</v>
      </c>
      <c r="H185" s="15">
        <v>9007000040</v>
      </c>
      <c r="I185" s="92" t="s">
        <v>593</v>
      </c>
      <c r="J185" s="92">
        <v>1202020101</v>
      </c>
      <c r="K185" s="17" t="s">
        <v>597</v>
      </c>
      <c r="L185" s="95" t="s">
        <v>598</v>
      </c>
      <c r="M185" s="69" t="s">
        <v>49</v>
      </c>
      <c r="N185" s="69"/>
      <c r="O185" s="94">
        <v>1</v>
      </c>
      <c r="P185" s="69" t="s">
        <v>50</v>
      </c>
      <c r="Q185" s="69" t="s">
        <v>51</v>
      </c>
      <c r="R185" s="69"/>
      <c r="S185" s="46">
        <v>41393</v>
      </c>
      <c r="T185" s="48">
        <v>43191</v>
      </c>
      <c r="U185" s="69"/>
      <c r="V185" s="69"/>
      <c r="W185" s="69"/>
      <c r="X185" s="69"/>
      <c r="Y185" s="69" t="s">
        <v>4125</v>
      </c>
      <c r="Z185" s="43">
        <v>120000</v>
      </c>
      <c r="AA185" s="43" t="s">
        <v>52</v>
      </c>
      <c r="AB185" s="43" t="s">
        <v>53</v>
      </c>
      <c r="AC185" s="43">
        <v>1862</v>
      </c>
      <c r="AD185" s="141">
        <v>5</v>
      </c>
      <c r="AE185" s="142">
        <v>1</v>
      </c>
      <c r="AF185" s="142"/>
      <c r="AG185" s="69" t="str">
        <f>_xlfn.CONCAT(AH185," years ",AI185," days")</f>
        <v>5 years 37 days</v>
      </c>
      <c r="AH185" s="69">
        <v>5</v>
      </c>
      <c r="AI185" s="69">
        <v>37</v>
      </c>
      <c r="AJ185" s="69">
        <v>0</v>
      </c>
      <c r="AK185" s="69">
        <v>0</v>
      </c>
      <c r="AL185" s="60">
        <v>120000</v>
      </c>
      <c r="AM185" s="60">
        <f>ROUND(AL185,2)</f>
        <v>120000</v>
      </c>
      <c r="AN185" s="59">
        <v>120000</v>
      </c>
      <c r="AO185" s="148">
        <f>ROUND(AN185,2)*-1</f>
        <v>-120000</v>
      </c>
      <c r="AP185" s="58">
        <v>0</v>
      </c>
      <c r="AQ185" s="143">
        <f>ROUND(AP185,2)*-1</f>
        <v>0</v>
      </c>
    </row>
    <row r="186" spans="1:43" x14ac:dyDescent="0.35">
      <c r="A186" s="69" t="s">
        <v>43</v>
      </c>
      <c r="B186" s="15" t="s">
        <v>599</v>
      </c>
      <c r="C186" s="15"/>
      <c r="D186" s="69"/>
      <c r="E186" s="76">
        <v>0</v>
      </c>
      <c r="F186" s="69" t="s">
        <v>259</v>
      </c>
      <c r="G186" s="10" t="s">
        <v>260</v>
      </c>
      <c r="H186" s="15">
        <v>9007000041</v>
      </c>
      <c r="I186" s="92" t="s">
        <v>593</v>
      </c>
      <c r="J186" s="92">
        <v>1202020101</v>
      </c>
      <c r="K186" s="17" t="s">
        <v>600</v>
      </c>
      <c r="L186" s="95" t="s">
        <v>601</v>
      </c>
      <c r="M186" s="69" t="s">
        <v>602</v>
      </c>
      <c r="N186" s="69"/>
      <c r="O186" s="94">
        <v>1</v>
      </c>
      <c r="P186" s="69" t="s">
        <v>50</v>
      </c>
      <c r="Q186" s="69" t="s">
        <v>51</v>
      </c>
      <c r="R186" s="69"/>
      <c r="S186" s="46">
        <v>42109</v>
      </c>
      <c r="T186" s="48">
        <v>43191</v>
      </c>
      <c r="U186" s="69"/>
      <c r="V186" s="69"/>
      <c r="W186" s="69"/>
      <c r="X186" s="69"/>
      <c r="Y186" s="69" t="s">
        <v>4125</v>
      </c>
      <c r="Z186" s="43">
        <v>175000</v>
      </c>
      <c r="AA186" s="43" t="s">
        <v>52</v>
      </c>
      <c r="AB186" s="43" t="s">
        <v>53</v>
      </c>
      <c r="AC186" s="43">
        <v>2555</v>
      </c>
      <c r="AD186" s="141">
        <v>7</v>
      </c>
      <c r="AE186" s="142">
        <v>0</v>
      </c>
      <c r="AF186" s="142"/>
      <c r="AG186" s="69" t="str">
        <f>_xlfn.CONCAT(AH186," years ",AI186," days")</f>
        <v>6 years 277 days</v>
      </c>
      <c r="AH186" s="69">
        <v>6</v>
      </c>
      <c r="AI186" s="69">
        <v>277</v>
      </c>
      <c r="AJ186" s="69">
        <v>0</v>
      </c>
      <c r="AK186" s="69">
        <v>0</v>
      </c>
      <c r="AL186" s="60">
        <v>175000</v>
      </c>
      <c r="AM186" s="60">
        <f>ROUND(AL186,2)</f>
        <v>175000</v>
      </c>
      <c r="AN186" s="59">
        <v>168973</v>
      </c>
      <c r="AO186" s="148">
        <f>ROUND(AN186,2)*-1</f>
        <v>-168973</v>
      </c>
      <c r="AP186" s="58">
        <v>6027</v>
      </c>
      <c r="AQ186" s="143">
        <f>ROUND(AP186,2)*-1</f>
        <v>-6027</v>
      </c>
    </row>
    <row r="187" spans="1:43" x14ac:dyDescent="0.35">
      <c r="A187" s="69" t="s">
        <v>43</v>
      </c>
      <c r="B187" s="15" t="s">
        <v>603</v>
      </c>
      <c r="C187" s="15"/>
      <c r="D187" s="69"/>
      <c r="E187" s="76">
        <v>0</v>
      </c>
      <c r="F187" s="69" t="s">
        <v>259</v>
      </c>
      <c r="G187" s="10" t="s">
        <v>260</v>
      </c>
      <c r="H187" s="15">
        <v>9007000042</v>
      </c>
      <c r="I187" s="92" t="s">
        <v>261</v>
      </c>
      <c r="J187" s="92">
        <v>1202010217</v>
      </c>
      <c r="K187" s="17" t="s">
        <v>604</v>
      </c>
      <c r="L187" s="95" t="s">
        <v>605</v>
      </c>
      <c r="M187" s="69" t="s">
        <v>606</v>
      </c>
      <c r="N187" s="69"/>
      <c r="O187" s="94">
        <v>1</v>
      </c>
      <c r="P187" s="69" t="s">
        <v>50</v>
      </c>
      <c r="Q187" s="69" t="s">
        <v>51</v>
      </c>
      <c r="R187" s="69"/>
      <c r="S187" s="46">
        <v>41305</v>
      </c>
      <c r="T187" s="48">
        <v>43191</v>
      </c>
      <c r="U187" s="69"/>
      <c r="V187" s="69"/>
      <c r="W187" s="69"/>
      <c r="X187" s="69"/>
      <c r="Y187" s="69" t="s">
        <v>4125</v>
      </c>
      <c r="Z187" s="43">
        <v>35000</v>
      </c>
      <c r="AA187" s="43" t="s">
        <v>52</v>
      </c>
      <c r="AB187" s="43" t="s">
        <v>53</v>
      </c>
      <c r="AC187" s="43">
        <v>1752</v>
      </c>
      <c r="AD187" s="141">
        <v>4</v>
      </c>
      <c r="AE187" s="142">
        <v>10</v>
      </c>
      <c r="AF187" s="142"/>
      <c r="AG187" s="69" t="str">
        <f>_xlfn.CONCAT(AH187," years ",AI187," days")</f>
        <v>4 years 292 days</v>
      </c>
      <c r="AH187" s="69">
        <v>4</v>
      </c>
      <c r="AI187" s="69">
        <v>292</v>
      </c>
      <c r="AJ187" s="69">
        <v>0</v>
      </c>
      <c r="AK187" s="69">
        <v>0</v>
      </c>
      <c r="AL187" s="60">
        <v>35000</v>
      </c>
      <c r="AM187" s="60">
        <f>ROUND(AL187,2)</f>
        <v>35000</v>
      </c>
      <c r="AN187" s="59">
        <v>35000</v>
      </c>
      <c r="AO187" s="148">
        <f>ROUND(AN187,2)*-1</f>
        <v>-35000</v>
      </c>
      <c r="AP187" s="58">
        <v>0</v>
      </c>
      <c r="AQ187" s="143">
        <f>ROUND(AP187,2)*-1</f>
        <v>0</v>
      </c>
    </row>
    <row r="188" spans="1:43" x14ac:dyDescent="0.35">
      <c r="A188" s="69" t="s">
        <v>43</v>
      </c>
      <c r="B188" s="15" t="s">
        <v>607</v>
      </c>
      <c r="C188" s="15"/>
      <c r="D188" s="69"/>
      <c r="E188" s="76">
        <v>0</v>
      </c>
      <c r="F188" s="69" t="s">
        <v>259</v>
      </c>
      <c r="G188" s="10" t="s">
        <v>260</v>
      </c>
      <c r="H188" s="15">
        <v>9007000043</v>
      </c>
      <c r="I188" s="92" t="s">
        <v>261</v>
      </c>
      <c r="J188" s="92">
        <v>1202010217</v>
      </c>
      <c r="K188" s="17" t="s">
        <v>608</v>
      </c>
      <c r="L188" s="95" t="s">
        <v>609</v>
      </c>
      <c r="M188" s="69" t="s">
        <v>610</v>
      </c>
      <c r="N188" s="69"/>
      <c r="O188" s="94">
        <v>1</v>
      </c>
      <c r="P188" s="69" t="s">
        <v>50</v>
      </c>
      <c r="Q188" s="69" t="s">
        <v>51</v>
      </c>
      <c r="R188" s="69"/>
      <c r="S188" s="46">
        <v>44402</v>
      </c>
      <c r="T188" s="48">
        <v>44402</v>
      </c>
      <c r="U188" s="69"/>
      <c r="V188" s="69"/>
      <c r="W188" s="69"/>
      <c r="X188" s="69"/>
      <c r="Y188" s="69" t="s">
        <v>4128</v>
      </c>
      <c r="Z188" s="43">
        <v>385700</v>
      </c>
      <c r="AA188" s="43" t="s">
        <v>52</v>
      </c>
      <c r="AB188" s="43" t="s">
        <v>53</v>
      </c>
      <c r="AC188" s="43">
        <v>3650</v>
      </c>
      <c r="AD188" s="141">
        <v>10</v>
      </c>
      <c r="AE188" s="142">
        <v>0</v>
      </c>
      <c r="AF188" s="142"/>
      <c r="AG188" s="69" t="str">
        <f>_xlfn.CONCAT(AH188," years ",AI188," days")</f>
        <v>3 years 161 days</v>
      </c>
      <c r="AH188" s="69">
        <v>3</v>
      </c>
      <c r="AI188" s="69">
        <v>161</v>
      </c>
      <c r="AJ188" s="69">
        <v>0</v>
      </c>
      <c r="AK188" s="69">
        <v>0</v>
      </c>
      <c r="AL188" s="60">
        <v>385700</v>
      </c>
      <c r="AM188" s="60">
        <f>ROUND(AL188,2)</f>
        <v>385700</v>
      </c>
      <c r="AN188" s="59">
        <v>132723</v>
      </c>
      <c r="AO188" s="148">
        <f>ROUND(AN188,2)*-1</f>
        <v>-132723</v>
      </c>
      <c r="AP188" s="58">
        <v>19126.561643835623</v>
      </c>
      <c r="AQ188" s="143">
        <f>ROUND(AP188,2)*-1</f>
        <v>-19126.560000000001</v>
      </c>
    </row>
    <row r="189" spans="1:43" x14ac:dyDescent="0.35">
      <c r="A189" s="69" t="s">
        <v>43</v>
      </c>
      <c r="B189" s="15" t="s">
        <v>611</v>
      </c>
      <c r="C189" s="15"/>
      <c r="D189" s="69"/>
      <c r="E189" s="76">
        <v>0</v>
      </c>
      <c r="F189" s="69" t="s">
        <v>259</v>
      </c>
      <c r="G189" s="10" t="s">
        <v>260</v>
      </c>
      <c r="H189" s="15">
        <v>9007000044</v>
      </c>
      <c r="I189" s="92" t="s">
        <v>261</v>
      </c>
      <c r="J189" s="92">
        <v>1202010217</v>
      </c>
      <c r="K189" s="14"/>
      <c r="L189" s="95" t="s">
        <v>612</v>
      </c>
      <c r="M189" s="69" t="s">
        <v>613</v>
      </c>
      <c r="N189" s="69"/>
      <c r="O189" s="94">
        <v>1</v>
      </c>
      <c r="P189" s="69" t="s">
        <v>50</v>
      </c>
      <c r="Q189" s="69" t="s">
        <v>51</v>
      </c>
      <c r="R189" s="69"/>
      <c r="S189" s="46">
        <v>43577</v>
      </c>
      <c r="T189" s="48">
        <v>43577</v>
      </c>
      <c r="U189" s="69"/>
      <c r="V189" s="69"/>
      <c r="W189" s="69"/>
      <c r="X189" s="69"/>
      <c r="Y189" s="69" t="s">
        <v>4126</v>
      </c>
      <c r="Z189" s="43">
        <v>330600</v>
      </c>
      <c r="AA189" s="43" t="s">
        <v>52</v>
      </c>
      <c r="AB189" s="43" t="s">
        <v>53</v>
      </c>
      <c r="AC189" s="43">
        <v>3650</v>
      </c>
      <c r="AD189" s="141">
        <v>10</v>
      </c>
      <c r="AE189" s="142">
        <v>0</v>
      </c>
      <c r="AF189" s="142"/>
      <c r="AG189" s="69" t="str">
        <f t="shared" ref="AG189:AG193" si="104">_xlfn.CONCAT(AH189," years ",AI189," days")</f>
        <v>5 years 256 days</v>
      </c>
      <c r="AH189" s="69">
        <v>5</v>
      </c>
      <c r="AI189" s="69">
        <v>256</v>
      </c>
      <c r="AJ189" s="69">
        <v>0</v>
      </c>
      <c r="AK189" s="69">
        <v>0</v>
      </c>
      <c r="AL189" s="60">
        <v>330600</v>
      </c>
      <c r="AM189" s="60">
        <f t="shared" ref="AM189:AM193" si="105">ROUND(AL189,2)</f>
        <v>330600</v>
      </c>
      <c r="AN189" s="59">
        <v>188487</v>
      </c>
      <c r="AO189" s="148">
        <f t="shared" ref="AO189:AO193" si="106">ROUND(AN189,2)*-1</f>
        <v>-188487</v>
      </c>
      <c r="AP189" s="58">
        <v>16394.424657534226</v>
      </c>
      <c r="AQ189" s="143">
        <f t="shared" ref="AQ189:AQ193" si="107">ROUND(AP189,2)*-1</f>
        <v>-16394.419999999998</v>
      </c>
    </row>
    <row r="190" spans="1:43" x14ac:dyDescent="0.35">
      <c r="A190" s="69" t="s">
        <v>43</v>
      </c>
      <c r="B190" s="15" t="s">
        <v>614</v>
      </c>
      <c r="C190" s="15"/>
      <c r="D190" s="69" t="e">
        <f>_xlfn.XLOOKUP(B190,SOM!B:B,SOM!D:D,,0)</f>
        <v>#N/A</v>
      </c>
      <c r="E190" s="76">
        <v>1</v>
      </c>
      <c r="F190" s="69" t="s">
        <v>259</v>
      </c>
      <c r="G190" s="10" t="s">
        <v>260</v>
      </c>
      <c r="H190" s="15">
        <v>9007000044</v>
      </c>
      <c r="I190" s="92" t="s">
        <v>261</v>
      </c>
      <c r="J190" s="92">
        <v>1202010217</v>
      </c>
      <c r="K190" s="14"/>
      <c r="L190" s="95" t="s">
        <v>615</v>
      </c>
      <c r="M190" s="69" t="s">
        <v>616</v>
      </c>
      <c r="N190" s="69"/>
      <c r="O190" s="94">
        <v>2</v>
      </c>
      <c r="P190" s="69" t="s">
        <v>50</v>
      </c>
      <c r="Q190" s="69" t="s">
        <v>51</v>
      </c>
      <c r="R190" s="69"/>
      <c r="S190" s="46">
        <v>44822</v>
      </c>
      <c r="T190" s="48">
        <v>44822</v>
      </c>
      <c r="U190" s="69"/>
      <c r="V190" s="69"/>
      <c r="W190" s="69"/>
      <c r="X190" s="69"/>
      <c r="Y190" s="69" t="s">
        <v>4131</v>
      </c>
      <c r="Z190" s="43">
        <v>140000</v>
      </c>
      <c r="AA190" s="43" t="s">
        <v>52</v>
      </c>
      <c r="AB190" s="43" t="s">
        <v>53</v>
      </c>
      <c r="AC190" s="43">
        <v>3650</v>
      </c>
      <c r="AD190" s="141">
        <v>10</v>
      </c>
      <c r="AE190" s="142">
        <v>0</v>
      </c>
      <c r="AF190" s="142"/>
      <c r="AG190" s="69" t="str">
        <f t="shared" si="104"/>
        <v>2 years 106 days</v>
      </c>
      <c r="AH190" s="69">
        <v>2</v>
      </c>
      <c r="AI190" s="69">
        <v>106</v>
      </c>
      <c r="AJ190" s="69">
        <v>0</v>
      </c>
      <c r="AK190" s="69">
        <v>0</v>
      </c>
      <c r="AL190" s="60">
        <v>140000</v>
      </c>
      <c r="AM190" s="60">
        <f t="shared" si="105"/>
        <v>140000</v>
      </c>
      <c r="AN190" s="59">
        <v>32066</v>
      </c>
      <c r="AO190" s="148">
        <f t="shared" si="106"/>
        <v>-32066</v>
      </c>
      <c r="AP190" s="58">
        <v>6942.2191780821959</v>
      </c>
      <c r="AQ190" s="143">
        <f t="shared" si="107"/>
        <v>-6942.22</v>
      </c>
    </row>
    <row r="191" spans="1:43" x14ac:dyDescent="0.35">
      <c r="A191" s="69" t="s">
        <v>43</v>
      </c>
      <c r="B191" s="15" t="s">
        <v>617</v>
      </c>
      <c r="C191" s="15"/>
      <c r="D191" s="69" t="e">
        <f>_xlfn.XLOOKUP(B191,SOM!B:B,SOM!D:D,,0)</f>
        <v>#N/A</v>
      </c>
      <c r="E191" s="76">
        <v>2</v>
      </c>
      <c r="F191" s="69" t="s">
        <v>259</v>
      </c>
      <c r="G191" s="10" t="s">
        <v>260</v>
      </c>
      <c r="H191" s="15">
        <v>9007000044</v>
      </c>
      <c r="I191" s="92" t="s">
        <v>261</v>
      </c>
      <c r="J191" s="92">
        <v>1202010217</v>
      </c>
      <c r="K191" s="17" t="s">
        <v>618</v>
      </c>
      <c r="L191" s="95" t="s">
        <v>619</v>
      </c>
      <c r="M191" s="69" t="s">
        <v>620</v>
      </c>
      <c r="N191" s="69"/>
      <c r="O191" s="94">
        <v>1</v>
      </c>
      <c r="P191" s="69" t="s">
        <v>50</v>
      </c>
      <c r="Q191" s="69" t="s">
        <v>51</v>
      </c>
      <c r="R191" s="69"/>
      <c r="S191" s="46">
        <v>44910</v>
      </c>
      <c r="T191" s="48">
        <v>44910</v>
      </c>
      <c r="U191" s="69"/>
      <c r="V191" s="69"/>
      <c r="W191" s="69"/>
      <c r="X191" s="69"/>
      <c r="Y191" s="69" t="s">
        <v>4131</v>
      </c>
      <c r="Z191" s="43">
        <v>2580620</v>
      </c>
      <c r="AA191" s="43" t="s">
        <v>52</v>
      </c>
      <c r="AB191" s="43" t="s">
        <v>53</v>
      </c>
      <c r="AC191" s="43">
        <v>3650</v>
      </c>
      <c r="AD191" s="141">
        <v>10</v>
      </c>
      <c r="AE191" s="142">
        <v>0</v>
      </c>
      <c r="AF191" s="142"/>
      <c r="AG191" s="69" t="str">
        <f t="shared" si="104"/>
        <v>2 years 18 days</v>
      </c>
      <c r="AH191" s="69">
        <v>2</v>
      </c>
      <c r="AI191" s="69">
        <v>18</v>
      </c>
      <c r="AJ191" s="69">
        <v>0</v>
      </c>
      <c r="AK191" s="69">
        <v>0</v>
      </c>
      <c r="AL191" s="60">
        <v>2580620</v>
      </c>
      <c r="AM191" s="60">
        <f t="shared" si="105"/>
        <v>2580620</v>
      </c>
      <c r="AN191" s="59">
        <v>528850</v>
      </c>
      <c r="AO191" s="148">
        <f t="shared" si="106"/>
        <v>-528850</v>
      </c>
      <c r="AP191" s="58">
        <v>127970.81643835618</v>
      </c>
      <c r="AQ191" s="143">
        <f t="shared" si="107"/>
        <v>-127970.82</v>
      </c>
    </row>
    <row r="192" spans="1:43" x14ac:dyDescent="0.35">
      <c r="A192" s="69" t="s">
        <v>43</v>
      </c>
      <c r="B192" s="15" t="s">
        <v>621</v>
      </c>
      <c r="C192" s="15"/>
      <c r="D192" s="69" t="e">
        <f>_xlfn.XLOOKUP(B192,SOM!B:B,SOM!D:D,,0)</f>
        <v>#N/A</v>
      </c>
      <c r="E192" s="76">
        <v>3</v>
      </c>
      <c r="F192" s="69" t="s">
        <v>259</v>
      </c>
      <c r="G192" s="10" t="s">
        <v>260</v>
      </c>
      <c r="H192" s="15">
        <v>9007000044</v>
      </c>
      <c r="I192" s="92" t="s">
        <v>261</v>
      </c>
      <c r="J192" s="92">
        <v>1202010217</v>
      </c>
      <c r="K192" s="14" t="s">
        <v>622</v>
      </c>
      <c r="L192" s="95" t="s">
        <v>623</v>
      </c>
      <c r="M192" s="69" t="s">
        <v>624</v>
      </c>
      <c r="N192" s="69"/>
      <c r="O192" s="94">
        <v>1</v>
      </c>
      <c r="P192" s="69" t="s">
        <v>50</v>
      </c>
      <c r="Q192" s="69" t="s">
        <v>51</v>
      </c>
      <c r="R192" s="69"/>
      <c r="S192" s="46">
        <v>45064</v>
      </c>
      <c r="T192" s="48">
        <v>45064</v>
      </c>
      <c r="U192" s="69"/>
      <c r="V192" s="69"/>
      <c r="W192" s="69"/>
      <c r="X192" s="69"/>
      <c r="Y192" s="69" t="s">
        <v>4129</v>
      </c>
      <c r="Z192" s="43">
        <v>333074.90000000002</v>
      </c>
      <c r="AA192" s="43" t="s">
        <v>52</v>
      </c>
      <c r="AB192" s="43" t="s">
        <v>53</v>
      </c>
      <c r="AC192" s="43">
        <v>3650</v>
      </c>
      <c r="AD192" s="141">
        <v>10</v>
      </c>
      <c r="AE192" s="142">
        <v>0</v>
      </c>
      <c r="AF192" s="142"/>
      <c r="AG192" s="69" t="str">
        <f t="shared" si="104"/>
        <v>1 years 229 days</v>
      </c>
      <c r="AH192" s="69">
        <v>1</v>
      </c>
      <c r="AI192" s="69">
        <v>229</v>
      </c>
      <c r="AJ192" s="69">
        <v>0</v>
      </c>
      <c r="AK192" s="69">
        <v>0</v>
      </c>
      <c r="AL192" s="60">
        <v>333074.90000000002</v>
      </c>
      <c r="AM192" s="60">
        <f t="shared" si="105"/>
        <v>333074.90000000002</v>
      </c>
      <c r="AN192" s="59">
        <v>54205</v>
      </c>
      <c r="AO192" s="148">
        <f t="shared" si="106"/>
        <v>-54205</v>
      </c>
      <c r="AP192" s="58">
        <v>16516.382876712334</v>
      </c>
      <c r="AQ192" s="143">
        <f t="shared" si="107"/>
        <v>-16516.38</v>
      </c>
    </row>
    <row r="193" spans="1:43" x14ac:dyDescent="0.35">
      <c r="A193" s="69" t="s">
        <v>43</v>
      </c>
      <c r="B193" s="15" t="s">
        <v>625</v>
      </c>
      <c r="C193" s="15"/>
      <c r="D193" s="69" t="e">
        <f>_xlfn.XLOOKUP(B193,SOM!B:B,SOM!D:D,,0)</f>
        <v>#N/A</v>
      </c>
      <c r="E193" s="76">
        <v>4</v>
      </c>
      <c r="F193" s="69" t="s">
        <v>259</v>
      </c>
      <c r="G193" s="10" t="s">
        <v>260</v>
      </c>
      <c r="H193" s="15">
        <v>9007000044</v>
      </c>
      <c r="I193" s="92" t="s">
        <v>261</v>
      </c>
      <c r="J193" s="92">
        <v>1202010217</v>
      </c>
      <c r="K193" s="14"/>
      <c r="L193" s="95" t="s">
        <v>626</v>
      </c>
      <c r="M193" s="69" t="s">
        <v>627</v>
      </c>
      <c r="N193" s="69"/>
      <c r="O193" s="94">
        <v>1</v>
      </c>
      <c r="P193" s="69" t="s">
        <v>50</v>
      </c>
      <c r="Q193" s="69" t="s">
        <v>51</v>
      </c>
      <c r="R193" s="69"/>
      <c r="S193" s="46">
        <v>45108</v>
      </c>
      <c r="T193" s="48">
        <v>45108</v>
      </c>
      <c r="U193" s="69"/>
      <c r="V193" s="69"/>
      <c r="W193" s="69"/>
      <c r="X193" s="69"/>
      <c r="Y193" s="69" t="s">
        <v>4129</v>
      </c>
      <c r="Z193" s="43">
        <v>32975</v>
      </c>
      <c r="AA193" s="43" t="s">
        <v>52</v>
      </c>
      <c r="AB193" s="43" t="s">
        <v>53</v>
      </c>
      <c r="AC193" s="43">
        <v>3650</v>
      </c>
      <c r="AD193" s="141">
        <v>10</v>
      </c>
      <c r="AE193" s="142">
        <v>0</v>
      </c>
      <c r="AF193" s="142"/>
      <c r="AG193" s="69" t="str">
        <f t="shared" si="104"/>
        <v>1 years 185 days</v>
      </c>
      <c r="AH193" s="69">
        <v>1</v>
      </c>
      <c r="AI193" s="69">
        <v>185</v>
      </c>
      <c r="AJ193" s="69">
        <v>0</v>
      </c>
      <c r="AK193" s="69">
        <v>0</v>
      </c>
      <c r="AL193" s="60">
        <v>32975</v>
      </c>
      <c r="AM193" s="60">
        <f t="shared" si="105"/>
        <v>32975</v>
      </c>
      <c r="AN193" s="59">
        <v>4969</v>
      </c>
      <c r="AO193" s="148">
        <f t="shared" si="106"/>
        <v>-4969</v>
      </c>
      <c r="AP193" s="58">
        <v>1635.034246575342</v>
      </c>
      <c r="AQ193" s="143">
        <f t="shared" si="107"/>
        <v>-1635.03</v>
      </c>
    </row>
    <row r="194" spans="1:43" x14ac:dyDescent="0.35">
      <c r="A194" s="69" t="s">
        <v>43</v>
      </c>
      <c r="B194" s="15" t="s">
        <v>628</v>
      </c>
      <c r="C194" s="15"/>
      <c r="D194" s="69"/>
      <c r="E194" s="76">
        <v>0</v>
      </c>
      <c r="F194" s="69" t="s">
        <v>259</v>
      </c>
      <c r="G194" s="10" t="s">
        <v>260</v>
      </c>
      <c r="H194" s="15">
        <v>9007000045</v>
      </c>
      <c r="I194" s="92" t="s">
        <v>261</v>
      </c>
      <c r="J194" s="92">
        <v>1202010217</v>
      </c>
      <c r="K194" s="17" t="s">
        <v>629</v>
      </c>
      <c r="L194" s="95" t="s">
        <v>630</v>
      </c>
      <c r="M194" s="69" t="s">
        <v>631</v>
      </c>
      <c r="N194" s="69"/>
      <c r="O194" s="94">
        <v>1</v>
      </c>
      <c r="P194" s="69" t="s">
        <v>50</v>
      </c>
      <c r="Q194" s="69" t="s">
        <v>51</v>
      </c>
      <c r="R194" s="69"/>
      <c r="S194" s="46">
        <v>45386</v>
      </c>
      <c r="T194" s="48">
        <v>45386</v>
      </c>
      <c r="U194" s="69"/>
      <c r="V194" s="69"/>
      <c r="W194" s="69"/>
      <c r="X194" s="69"/>
      <c r="Y194" s="69" t="s">
        <v>4130</v>
      </c>
      <c r="Z194" s="43">
        <v>236430</v>
      </c>
      <c r="AA194" s="43" t="s">
        <v>52</v>
      </c>
      <c r="AB194" s="43" t="s">
        <v>53</v>
      </c>
      <c r="AC194" s="43">
        <v>3650</v>
      </c>
      <c r="AD194" s="141">
        <v>10</v>
      </c>
      <c r="AE194" s="142">
        <v>0</v>
      </c>
      <c r="AF194" s="142"/>
      <c r="AG194" s="69" t="str">
        <f>_xlfn.CONCAT(AH194," years ",AI194," days")</f>
        <v>0 years 272 days</v>
      </c>
      <c r="AH194" s="69">
        <v>0</v>
      </c>
      <c r="AI194" s="69">
        <v>272</v>
      </c>
      <c r="AJ194" s="69">
        <v>0</v>
      </c>
      <c r="AK194" s="69">
        <v>0</v>
      </c>
      <c r="AL194" s="60">
        <v>236430</v>
      </c>
      <c r="AM194" s="60">
        <f>ROUND(AL194,2)</f>
        <v>236430</v>
      </c>
      <c r="AN194" s="59">
        <v>17619</v>
      </c>
      <c r="AO194" s="148">
        <f>ROUND(AN194,2)*-1</f>
        <v>-17619</v>
      </c>
      <c r="AP194" s="58">
        <v>11724.230136986302</v>
      </c>
      <c r="AQ194" s="143">
        <f>ROUND(AP194,2)*-1</f>
        <v>-11724.23</v>
      </c>
    </row>
    <row r="195" spans="1:43" x14ac:dyDescent="0.35">
      <c r="A195" s="69" t="s">
        <v>43</v>
      </c>
      <c r="B195" s="15" t="s">
        <v>632</v>
      </c>
      <c r="C195" s="15"/>
      <c r="D195" s="69"/>
      <c r="E195" s="76">
        <v>0</v>
      </c>
      <c r="F195" s="69" t="s">
        <v>259</v>
      </c>
      <c r="G195" s="10" t="s">
        <v>260</v>
      </c>
      <c r="H195" s="15">
        <v>9007000046</v>
      </c>
      <c r="I195" s="92" t="s">
        <v>261</v>
      </c>
      <c r="J195" s="92">
        <v>1202010217</v>
      </c>
      <c r="K195" s="17" t="s">
        <v>633</v>
      </c>
      <c r="L195" s="95" t="s">
        <v>634</v>
      </c>
      <c r="M195" s="69" t="s">
        <v>635</v>
      </c>
      <c r="N195" s="69"/>
      <c r="O195" s="94">
        <v>2</v>
      </c>
      <c r="P195" s="69" t="s">
        <v>50</v>
      </c>
      <c r="Q195" s="69" t="s">
        <v>51</v>
      </c>
      <c r="R195" s="69"/>
      <c r="S195" s="46">
        <v>45389</v>
      </c>
      <c r="T195" s="48">
        <v>45389</v>
      </c>
      <c r="U195" s="69"/>
      <c r="V195" s="69"/>
      <c r="W195" s="69"/>
      <c r="X195" s="69"/>
      <c r="Y195" s="69" t="s">
        <v>4130</v>
      </c>
      <c r="Z195" s="43">
        <v>1733665</v>
      </c>
      <c r="AA195" s="43" t="s">
        <v>52</v>
      </c>
      <c r="AB195" s="43" t="s">
        <v>53</v>
      </c>
      <c r="AC195" s="43">
        <v>3650</v>
      </c>
      <c r="AD195" s="141">
        <v>10</v>
      </c>
      <c r="AE195" s="142">
        <v>0</v>
      </c>
      <c r="AF195" s="142"/>
      <c r="AG195" s="69" t="str">
        <f>_xlfn.CONCAT(AH195," years ",AI195," days")</f>
        <v>0 years 269 days</v>
      </c>
      <c r="AH195" s="69">
        <v>0</v>
      </c>
      <c r="AI195" s="69">
        <v>269</v>
      </c>
      <c r="AJ195" s="69">
        <v>0</v>
      </c>
      <c r="AK195" s="69">
        <v>0</v>
      </c>
      <c r="AL195" s="60">
        <v>1733665</v>
      </c>
      <c r="AM195" s="60">
        <f>ROUND(AL195,2)</f>
        <v>1733665</v>
      </c>
      <c r="AN195" s="59">
        <v>127769</v>
      </c>
      <c r="AO195" s="148">
        <f>ROUND(AN195,2)*-1</f>
        <v>-127769</v>
      </c>
      <c r="AP195" s="58">
        <v>85970.520547945227</v>
      </c>
      <c r="AQ195" s="143">
        <f>ROUND(AP195,2)*-1</f>
        <v>-85970.52</v>
      </c>
    </row>
    <row r="196" spans="1:43" x14ac:dyDescent="0.35">
      <c r="A196" s="69" t="s">
        <v>43</v>
      </c>
      <c r="B196" s="15" t="s">
        <v>636</v>
      </c>
      <c r="C196" s="15"/>
      <c r="D196" s="69"/>
      <c r="E196" s="76">
        <v>0</v>
      </c>
      <c r="F196" s="69" t="s">
        <v>259</v>
      </c>
      <c r="G196" s="110" t="s">
        <v>260</v>
      </c>
      <c r="H196" s="15">
        <v>9007000047</v>
      </c>
      <c r="I196" s="92" t="s">
        <v>261</v>
      </c>
      <c r="J196" s="92">
        <v>1202010217</v>
      </c>
      <c r="K196" s="22" t="s">
        <v>637</v>
      </c>
      <c r="L196" s="95" t="s">
        <v>638</v>
      </c>
      <c r="M196" s="69" t="s">
        <v>49</v>
      </c>
      <c r="N196" s="69"/>
      <c r="O196" s="94">
        <v>1</v>
      </c>
      <c r="P196" s="69" t="s">
        <v>50</v>
      </c>
      <c r="Q196" s="69" t="s">
        <v>51</v>
      </c>
      <c r="R196" s="69"/>
      <c r="S196" s="46">
        <v>43346</v>
      </c>
      <c r="T196" s="48">
        <v>43346</v>
      </c>
      <c r="U196" s="69"/>
      <c r="V196" s="69"/>
      <c r="W196" s="69"/>
      <c r="X196" s="69"/>
      <c r="Y196" s="69" t="s">
        <v>4125</v>
      </c>
      <c r="Z196" s="43">
        <v>353050</v>
      </c>
      <c r="AA196" s="43" t="s">
        <v>52</v>
      </c>
      <c r="AB196" s="43" t="s">
        <v>53</v>
      </c>
      <c r="AC196" s="43">
        <v>3650</v>
      </c>
      <c r="AD196" s="141">
        <v>10</v>
      </c>
      <c r="AE196" s="142">
        <v>0</v>
      </c>
      <c r="AF196" s="142"/>
      <c r="AG196" s="69" t="str">
        <f>_xlfn.CONCAT(AH196," years ",AI196," days")</f>
        <v>6 years 122 days</v>
      </c>
      <c r="AH196" s="69">
        <v>6</v>
      </c>
      <c r="AI196" s="69">
        <v>122</v>
      </c>
      <c r="AJ196" s="69">
        <v>0</v>
      </c>
      <c r="AK196" s="69">
        <v>0</v>
      </c>
      <c r="AL196" s="60">
        <v>353050</v>
      </c>
      <c r="AM196" s="60">
        <f>ROUND(AL196,2)</f>
        <v>353050</v>
      </c>
      <c r="AN196" s="59">
        <v>223534</v>
      </c>
      <c r="AO196" s="148">
        <f>ROUND(AN196,2)*-1</f>
        <v>-223534</v>
      </c>
      <c r="AP196" s="58">
        <v>17507.260273972614</v>
      </c>
      <c r="AQ196" s="143">
        <f>ROUND(AP196,2)*-1</f>
        <v>-17507.259999999998</v>
      </c>
    </row>
    <row r="197" spans="1:43" x14ac:dyDescent="0.35">
      <c r="A197" s="69" t="s">
        <v>43</v>
      </c>
      <c r="B197" s="15" t="s">
        <v>639</v>
      </c>
      <c r="C197" s="15"/>
      <c r="D197" s="69"/>
      <c r="E197" s="76">
        <v>0</v>
      </c>
      <c r="F197" s="69" t="s">
        <v>259</v>
      </c>
      <c r="G197" s="110" t="s">
        <v>260</v>
      </c>
      <c r="H197" s="19">
        <v>9007000048</v>
      </c>
      <c r="I197" s="92" t="s">
        <v>261</v>
      </c>
      <c r="J197" s="92">
        <v>1202010217</v>
      </c>
      <c r="K197" s="22" t="s">
        <v>640</v>
      </c>
      <c r="L197" s="95" t="s">
        <v>641</v>
      </c>
      <c r="M197" s="69" t="s">
        <v>642</v>
      </c>
      <c r="N197" s="69"/>
      <c r="O197" s="94">
        <v>1</v>
      </c>
      <c r="P197" s="69" t="s">
        <v>50</v>
      </c>
      <c r="Q197" s="69" t="s">
        <v>51</v>
      </c>
      <c r="R197" s="69"/>
      <c r="S197" s="46">
        <v>43723</v>
      </c>
      <c r="T197" s="48">
        <v>43723</v>
      </c>
      <c r="U197" s="69"/>
      <c r="V197" s="69"/>
      <c r="W197" s="69"/>
      <c r="X197" s="69"/>
      <c r="Y197" s="69" t="s">
        <v>4126</v>
      </c>
      <c r="Z197" s="43">
        <v>4954362</v>
      </c>
      <c r="AA197" s="43" t="s">
        <v>52</v>
      </c>
      <c r="AB197" s="43" t="s">
        <v>53</v>
      </c>
      <c r="AC197" s="43">
        <v>3650</v>
      </c>
      <c r="AD197" s="141">
        <v>10</v>
      </c>
      <c r="AE197" s="142">
        <v>0</v>
      </c>
      <c r="AF197" s="142"/>
      <c r="AG197" s="69" t="str">
        <f t="shared" ref="AG197:AG199" si="108">_xlfn.CONCAT(AH197," years ",AI197," days")</f>
        <v>5 years 110 days</v>
      </c>
      <c r="AH197" s="69">
        <v>5</v>
      </c>
      <c r="AI197" s="69">
        <v>110</v>
      </c>
      <c r="AJ197" s="69">
        <v>0</v>
      </c>
      <c r="AK197" s="69">
        <v>0</v>
      </c>
      <c r="AL197" s="60">
        <v>4954362</v>
      </c>
      <c r="AM197" s="60">
        <f t="shared" ref="AM197:AM199" si="109">ROUND(AL197,2)</f>
        <v>4954362</v>
      </c>
      <c r="AN197" s="59">
        <v>2626491</v>
      </c>
      <c r="AO197" s="148">
        <f t="shared" ref="AO197:AO199" si="110">ROUND(AN197,2)*-1</f>
        <v>-2626491</v>
      </c>
      <c r="AP197" s="58">
        <v>245681.60054794513</v>
      </c>
      <c r="AQ197" s="143">
        <f t="shared" ref="AQ197:AQ199" si="111">ROUND(AP197,2)*-1</f>
        <v>-245681.6</v>
      </c>
    </row>
    <row r="198" spans="1:43" x14ac:dyDescent="0.35">
      <c r="A198" s="69" t="s">
        <v>43</v>
      </c>
      <c r="B198" s="15" t="s">
        <v>643</v>
      </c>
      <c r="C198" s="15"/>
      <c r="D198" s="69" t="e">
        <f>_xlfn.XLOOKUP(B198,SOM!B:B,SOM!D:D,,0)</f>
        <v>#N/A</v>
      </c>
      <c r="E198" s="76">
        <v>1</v>
      </c>
      <c r="F198" s="69" t="s">
        <v>259</v>
      </c>
      <c r="G198" s="10" t="s">
        <v>260</v>
      </c>
      <c r="H198" s="15">
        <v>9007000048</v>
      </c>
      <c r="I198" s="92" t="s">
        <v>261</v>
      </c>
      <c r="J198" s="92">
        <v>1202010217</v>
      </c>
      <c r="K198" s="14"/>
      <c r="L198" s="95" t="s">
        <v>644</v>
      </c>
      <c r="M198" s="69" t="s">
        <v>645</v>
      </c>
      <c r="N198" s="69"/>
      <c r="O198" s="94">
        <v>3</v>
      </c>
      <c r="P198" s="69" t="s">
        <v>50</v>
      </c>
      <c r="Q198" s="69" t="s">
        <v>51</v>
      </c>
      <c r="R198" s="69"/>
      <c r="S198" s="46">
        <v>44828</v>
      </c>
      <c r="T198" s="48">
        <v>44828</v>
      </c>
      <c r="U198" s="69"/>
      <c r="V198" s="69"/>
      <c r="W198" s="69"/>
      <c r="X198" s="69"/>
      <c r="Y198" s="69" t="s">
        <v>4131</v>
      </c>
      <c r="Z198" s="43">
        <v>189240</v>
      </c>
      <c r="AA198" s="43" t="s">
        <v>52</v>
      </c>
      <c r="AB198" s="43" t="s">
        <v>53</v>
      </c>
      <c r="AC198" s="43">
        <v>3650</v>
      </c>
      <c r="AD198" s="141">
        <v>10</v>
      </c>
      <c r="AE198" s="142">
        <v>0</v>
      </c>
      <c r="AF198" s="142"/>
      <c r="AG198" s="69" t="str">
        <f t="shared" si="108"/>
        <v>2 years 100 days</v>
      </c>
      <c r="AH198" s="69">
        <v>2</v>
      </c>
      <c r="AI198" s="69">
        <v>100</v>
      </c>
      <c r="AJ198" s="69">
        <v>0</v>
      </c>
      <c r="AK198" s="69">
        <v>0</v>
      </c>
      <c r="AL198" s="60">
        <v>189240</v>
      </c>
      <c r="AM198" s="60">
        <f t="shared" si="109"/>
        <v>189240</v>
      </c>
      <c r="AN198" s="59">
        <v>43033</v>
      </c>
      <c r="AO198" s="148">
        <f t="shared" si="110"/>
        <v>-43033</v>
      </c>
      <c r="AP198" s="58">
        <v>9383.8876712328783</v>
      </c>
      <c r="AQ198" s="143">
        <f t="shared" si="111"/>
        <v>-9383.89</v>
      </c>
    </row>
    <row r="199" spans="1:43" x14ac:dyDescent="0.35">
      <c r="A199" s="69" t="s">
        <v>43</v>
      </c>
      <c r="B199" s="15" t="s">
        <v>646</v>
      </c>
      <c r="C199" s="15"/>
      <c r="D199" s="69" t="e">
        <f>_xlfn.XLOOKUP(B199,SOM!B:B,SOM!D:D,,0)</f>
        <v>#N/A</v>
      </c>
      <c r="E199" s="76">
        <v>2</v>
      </c>
      <c r="F199" s="69" t="s">
        <v>259</v>
      </c>
      <c r="G199" s="10" t="s">
        <v>260</v>
      </c>
      <c r="H199" s="15">
        <v>9007000048</v>
      </c>
      <c r="I199" s="92" t="s">
        <v>261</v>
      </c>
      <c r="J199" s="92">
        <v>1202010217</v>
      </c>
      <c r="K199" s="14"/>
      <c r="L199" s="95" t="s">
        <v>647</v>
      </c>
      <c r="M199" s="69" t="s">
        <v>648</v>
      </c>
      <c r="N199" s="69"/>
      <c r="O199" s="94">
        <v>1</v>
      </c>
      <c r="P199" s="69" t="s">
        <v>50</v>
      </c>
      <c r="Q199" s="69" t="s">
        <v>51</v>
      </c>
      <c r="R199" s="69"/>
      <c r="S199" s="46">
        <v>44828</v>
      </c>
      <c r="T199" s="48">
        <v>44828</v>
      </c>
      <c r="U199" s="69"/>
      <c r="V199" s="69"/>
      <c r="W199" s="69"/>
      <c r="X199" s="69"/>
      <c r="Y199" s="69" t="s">
        <v>4131</v>
      </c>
      <c r="Z199" s="43">
        <v>24320</v>
      </c>
      <c r="AA199" s="43" t="s">
        <v>52</v>
      </c>
      <c r="AB199" s="43" t="s">
        <v>53</v>
      </c>
      <c r="AC199" s="43">
        <v>3650</v>
      </c>
      <c r="AD199" s="141">
        <v>10</v>
      </c>
      <c r="AE199" s="142">
        <v>0</v>
      </c>
      <c r="AF199" s="142"/>
      <c r="AG199" s="69" t="str">
        <f t="shared" si="108"/>
        <v>2 years 100 days</v>
      </c>
      <c r="AH199" s="69">
        <v>2</v>
      </c>
      <c r="AI199" s="69">
        <v>100</v>
      </c>
      <c r="AJ199" s="69">
        <v>0</v>
      </c>
      <c r="AK199" s="69">
        <v>0</v>
      </c>
      <c r="AL199" s="60">
        <v>24320</v>
      </c>
      <c r="AM199" s="60">
        <f t="shared" si="109"/>
        <v>24320</v>
      </c>
      <c r="AN199" s="59">
        <v>5530</v>
      </c>
      <c r="AO199" s="148">
        <f t="shared" si="110"/>
        <v>-5530</v>
      </c>
      <c r="AP199" s="58">
        <v>1206.3068493150686</v>
      </c>
      <c r="AQ199" s="143">
        <f t="shared" si="111"/>
        <v>-1206.31</v>
      </c>
    </row>
    <row r="200" spans="1:43" x14ac:dyDescent="0.35">
      <c r="A200" s="69" t="s">
        <v>43</v>
      </c>
      <c r="B200" s="15" t="s">
        <v>649</v>
      </c>
      <c r="C200" s="15"/>
      <c r="D200" s="69"/>
      <c r="E200" s="76">
        <v>0</v>
      </c>
      <c r="F200" s="69" t="s">
        <v>259</v>
      </c>
      <c r="G200" s="10" t="s">
        <v>260</v>
      </c>
      <c r="H200" s="15">
        <v>9007000049</v>
      </c>
      <c r="I200" s="92" t="s">
        <v>261</v>
      </c>
      <c r="J200" s="92">
        <v>1202010217</v>
      </c>
      <c r="K200" s="23" t="s">
        <v>650</v>
      </c>
      <c r="L200" s="95" t="s">
        <v>651</v>
      </c>
      <c r="M200" s="69" t="s">
        <v>652</v>
      </c>
      <c r="N200" s="69"/>
      <c r="O200" s="94">
        <v>1</v>
      </c>
      <c r="P200" s="69" t="s">
        <v>50</v>
      </c>
      <c r="Q200" s="69" t="s">
        <v>51</v>
      </c>
      <c r="R200" s="69"/>
      <c r="S200" s="46">
        <v>41298</v>
      </c>
      <c r="T200" s="48">
        <v>43191</v>
      </c>
      <c r="U200" s="69"/>
      <c r="V200" s="69"/>
      <c r="W200" s="69"/>
      <c r="X200" s="69"/>
      <c r="Y200" s="69" t="s">
        <v>4125</v>
      </c>
      <c r="Z200" s="43">
        <v>770000</v>
      </c>
      <c r="AA200" s="43" t="s">
        <v>52</v>
      </c>
      <c r="AB200" s="43" t="s">
        <v>53</v>
      </c>
      <c r="AC200" s="43">
        <v>1752</v>
      </c>
      <c r="AD200" s="141">
        <v>4</v>
      </c>
      <c r="AE200" s="142">
        <v>10</v>
      </c>
      <c r="AF200" s="142"/>
      <c r="AG200" s="69" t="str">
        <f>_xlfn.CONCAT(AH200," years ",AI200," days")</f>
        <v>4 years 292 days</v>
      </c>
      <c r="AH200" s="69">
        <v>4</v>
      </c>
      <c r="AI200" s="69">
        <v>292</v>
      </c>
      <c r="AJ200" s="69">
        <v>0</v>
      </c>
      <c r="AK200" s="69">
        <v>0</v>
      </c>
      <c r="AL200" s="60">
        <v>770000</v>
      </c>
      <c r="AM200" s="60">
        <f>ROUND(AL200,2)</f>
        <v>770000</v>
      </c>
      <c r="AN200" s="59">
        <v>770000</v>
      </c>
      <c r="AO200" s="148">
        <f>ROUND(AN200,2)*-1</f>
        <v>-770000</v>
      </c>
      <c r="AP200" s="58">
        <v>0</v>
      </c>
      <c r="AQ200" s="143">
        <f>ROUND(AP200,2)*-1</f>
        <v>0</v>
      </c>
    </row>
    <row r="201" spans="1:43" x14ac:dyDescent="0.35">
      <c r="A201" s="69" t="s">
        <v>43</v>
      </c>
      <c r="B201" s="15" t="s">
        <v>653</v>
      </c>
      <c r="C201" s="15"/>
      <c r="D201" s="69"/>
      <c r="E201" s="76">
        <v>0</v>
      </c>
      <c r="F201" s="69" t="s">
        <v>259</v>
      </c>
      <c r="G201" s="10" t="s">
        <v>260</v>
      </c>
      <c r="H201" s="15">
        <v>9007000050</v>
      </c>
      <c r="I201" s="92" t="s">
        <v>261</v>
      </c>
      <c r="J201" s="92">
        <v>1202010217</v>
      </c>
      <c r="K201" s="23" t="s">
        <v>654</v>
      </c>
      <c r="L201" s="95" t="s">
        <v>655</v>
      </c>
      <c r="M201" s="69" t="s">
        <v>49</v>
      </c>
      <c r="N201" s="69"/>
      <c r="O201" s="94">
        <v>1</v>
      </c>
      <c r="P201" s="69" t="s">
        <v>50</v>
      </c>
      <c r="Q201" s="69" t="s">
        <v>51</v>
      </c>
      <c r="R201" s="69"/>
      <c r="S201" s="46">
        <v>40268</v>
      </c>
      <c r="T201" s="48">
        <v>43191</v>
      </c>
      <c r="U201" s="69"/>
      <c r="V201" s="69"/>
      <c r="W201" s="69"/>
      <c r="X201" s="69"/>
      <c r="Y201" s="69" t="s">
        <v>4125</v>
      </c>
      <c r="Z201" s="43">
        <v>120000</v>
      </c>
      <c r="AA201" s="43" t="s">
        <v>52</v>
      </c>
      <c r="AB201" s="43" t="s">
        <v>53</v>
      </c>
      <c r="AC201" s="43">
        <v>730</v>
      </c>
      <c r="AD201" s="141">
        <v>2</v>
      </c>
      <c r="AE201" s="142">
        <v>0</v>
      </c>
      <c r="AF201" s="142"/>
      <c r="AG201" s="69" t="str">
        <f>_xlfn.CONCAT(AH201," years ",AI201," days")</f>
        <v>2 years 0 days</v>
      </c>
      <c r="AH201" s="69">
        <v>2</v>
      </c>
      <c r="AI201" s="69">
        <v>0</v>
      </c>
      <c r="AJ201" s="69">
        <v>0</v>
      </c>
      <c r="AK201" s="69">
        <v>0</v>
      </c>
      <c r="AL201" s="60">
        <v>120000</v>
      </c>
      <c r="AM201" s="60">
        <f>ROUND(AL201,2)</f>
        <v>120000</v>
      </c>
      <c r="AN201" s="59">
        <v>120000</v>
      </c>
      <c r="AO201" s="148">
        <f>ROUND(AN201,2)*-1</f>
        <v>-120000</v>
      </c>
      <c r="AP201" s="58">
        <v>0</v>
      </c>
      <c r="AQ201" s="143">
        <f>ROUND(AP201,2)*-1</f>
        <v>0</v>
      </c>
    </row>
    <row r="202" spans="1:43" x14ac:dyDescent="0.35">
      <c r="A202" s="69" t="s">
        <v>43</v>
      </c>
      <c r="B202" s="15" t="s">
        <v>656</v>
      </c>
      <c r="C202" s="15"/>
      <c r="D202" s="69"/>
      <c r="E202" s="76">
        <v>0</v>
      </c>
      <c r="F202" s="69" t="s">
        <v>259</v>
      </c>
      <c r="G202" s="10" t="s">
        <v>260</v>
      </c>
      <c r="H202" s="15">
        <v>9007000051</v>
      </c>
      <c r="I202" s="92" t="s">
        <v>261</v>
      </c>
      <c r="J202" s="92">
        <v>1202010217</v>
      </c>
      <c r="K202" s="23" t="s">
        <v>657</v>
      </c>
      <c r="L202" s="95" t="s">
        <v>658</v>
      </c>
      <c r="M202" s="69" t="s">
        <v>49</v>
      </c>
      <c r="N202" s="69"/>
      <c r="O202" s="94">
        <v>1</v>
      </c>
      <c r="P202" s="69" t="s">
        <v>50</v>
      </c>
      <c r="Q202" s="69" t="s">
        <v>51</v>
      </c>
      <c r="R202" s="69"/>
      <c r="S202" s="46">
        <v>40268</v>
      </c>
      <c r="T202" s="48">
        <v>43191</v>
      </c>
      <c r="U202" s="69"/>
      <c r="V202" s="69"/>
      <c r="W202" s="69"/>
      <c r="X202" s="69"/>
      <c r="Y202" s="69" t="s">
        <v>4125</v>
      </c>
      <c r="Z202" s="43">
        <v>80000</v>
      </c>
      <c r="AA202" s="43" t="s">
        <v>52</v>
      </c>
      <c r="AB202" s="43" t="s">
        <v>53</v>
      </c>
      <c r="AC202" s="43">
        <v>730</v>
      </c>
      <c r="AD202" s="141">
        <v>2</v>
      </c>
      <c r="AE202" s="142">
        <v>0</v>
      </c>
      <c r="AF202" s="142"/>
      <c r="AG202" s="69" t="str">
        <f>_xlfn.CONCAT(AH202," years ",AI202," days")</f>
        <v>2 years 0 days</v>
      </c>
      <c r="AH202" s="69">
        <v>2</v>
      </c>
      <c r="AI202" s="69">
        <v>0</v>
      </c>
      <c r="AJ202" s="69">
        <v>0</v>
      </c>
      <c r="AK202" s="69">
        <v>0</v>
      </c>
      <c r="AL202" s="60">
        <v>80000</v>
      </c>
      <c r="AM202" s="60">
        <f>ROUND(AL202,2)</f>
        <v>80000</v>
      </c>
      <c r="AN202" s="59">
        <v>80000</v>
      </c>
      <c r="AO202" s="148">
        <f>ROUND(AN202,2)*-1</f>
        <v>-80000</v>
      </c>
      <c r="AP202" s="58">
        <v>0</v>
      </c>
      <c r="AQ202" s="143">
        <f>ROUND(AP202,2)*-1</f>
        <v>0</v>
      </c>
    </row>
    <row r="203" spans="1:43" x14ac:dyDescent="0.35">
      <c r="A203" s="69" t="s">
        <v>43</v>
      </c>
      <c r="B203" s="15" t="s">
        <v>659</v>
      </c>
      <c r="C203" s="15"/>
      <c r="D203" s="69"/>
      <c r="E203" s="76">
        <v>0</v>
      </c>
      <c r="F203" s="69" t="s">
        <v>259</v>
      </c>
      <c r="G203" s="10" t="s">
        <v>260</v>
      </c>
      <c r="H203" s="15">
        <v>9007000052</v>
      </c>
      <c r="I203" s="92" t="s">
        <v>261</v>
      </c>
      <c r="J203" s="92">
        <v>1202010217</v>
      </c>
      <c r="K203" s="23" t="s">
        <v>660</v>
      </c>
      <c r="L203" s="95" t="s">
        <v>661</v>
      </c>
      <c r="M203" s="69" t="s">
        <v>49</v>
      </c>
      <c r="N203" s="69"/>
      <c r="O203" s="94">
        <v>1</v>
      </c>
      <c r="P203" s="69" t="s">
        <v>50</v>
      </c>
      <c r="Q203" s="69" t="s">
        <v>51</v>
      </c>
      <c r="R203" s="69"/>
      <c r="S203" s="46">
        <v>40485</v>
      </c>
      <c r="T203" s="48">
        <v>43191</v>
      </c>
      <c r="U203" s="69"/>
      <c r="V203" s="69"/>
      <c r="W203" s="69"/>
      <c r="X203" s="69"/>
      <c r="Y203" s="69" t="s">
        <v>4125</v>
      </c>
      <c r="Z203" s="43">
        <v>650000</v>
      </c>
      <c r="AA203" s="43" t="s">
        <v>52</v>
      </c>
      <c r="AB203" s="43" t="s">
        <v>53</v>
      </c>
      <c r="AC203" s="43">
        <v>949</v>
      </c>
      <c r="AD203" s="141">
        <v>2</v>
      </c>
      <c r="AE203" s="142">
        <v>7</v>
      </c>
      <c r="AF203" s="142"/>
      <c r="AG203" s="69" t="str">
        <f>_xlfn.CONCAT(AH203," years ",AI203," days")</f>
        <v>2 years 219 days</v>
      </c>
      <c r="AH203" s="69">
        <v>2</v>
      </c>
      <c r="AI203" s="69">
        <v>219</v>
      </c>
      <c r="AJ203" s="69">
        <v>0</v>
      </c>
      <c r="AK203" s="69">
        <v>0</v>
      </c>
      <c r="AL203" s="60">
        <v>650000</v>
      </c>
      <c r="AM203" s="60">
        <f>ROUND(AL203,2)</f>
        <v>650000</v>
      </c>
      <c r="AN203" s="59">
        <v>650000</v>
      </c>
      <c r="AO203" s="148">
        <f>ROUND(AN203,2)*-1</f>
        <v>-650000</v>
      </c>
      <c r="AP203" s="58">
        <v>0</v>
      </c>
      <c r="AQ203" s="143">
        <f>ROUND(AP203,2)*-1</f>
        <v>0</v>
      </c>
    </row>
    <row r="204" spans="1:43" x14ac:dyDescent="0.35">
      <c r="A204" s="69" t="s">
        <v>43</v>
      </c>
      <c r="B204" s="15" t="s">
        <v>662</v>
      </c>
      <c r="C204" s="15"/>
      <c r="D204" s="69"/>
      <c r="E204" s="76">
        <v>0</v>
      </c>
      <c r="F204" s="69" t="s">
        <v>259</v>
      </c>
      <c r="G204" s="110" t="s">
        <v>260</v>
      </c>
      <c r="H204" s="19">
        <v>9007000053</v>
      </c>
      <c r="I204" s="92" t="s">
        <v>261</v>
      </c>
      <c r="J204" s="92">
        <v>1202010217</v>
      </c>
      <c r="K204" s="20" t="s">
        <v>663</v>
      </c>
      <c r="L204" s="95" t="s">
        <v>664</v>
      </c>
      <c r="M204" s="69" t="s">
        <v>665</v>
      </c>
      <c r="N204" s="69"/>
      <c r="O204" s="94">
        <v>1</v>
      </c>
      <c r="P204" s="69" t="s">
        <v>50</v>
      </c>
      <c r="Q204" s="69" t="s">
        <v>51</v>
      </c>
      <c r="R204" s="69"/>
      <c r="S204" s="46">
        <v>44910</v>
      </c>
      <c r="T204" s="48">
        <v>44910</v>
      </c>
      <c r="U204" s="69"/>
      <c r="V204" s="69"/>
      <c r="W204" s="69"/>
      <c r="X204" s="69"/>
      <c r="Y204" s="69" t="s">
        <v>4131</v>
      </c>
      <c r="Z204" s="43">
        <v>9581286.6699999701</v>
      </c>
      <c r="AA204" s="43" t="s">
        <v>52</v>
      </c>
      <c r="AB204" s="43" t="s">
        <v>53</v>
      </c>
      <c r="AC204" s="43">
        <v>3650</v>
      </c>
      <c r="AD204" s="141">
        <v>10</v>
      </c>
      <c r="AE204" s="142">
        <v>0</v>
      </c>
      <c r="AF204" s="142"/>
      <c r="AG204" s="69" t="str">
        <f t="shared" ref="AG204:AG210" si="112">_xlfn.CONCAT(AH204," years ",AI204," days")</f>
        <v>2 years 18 days</v>
      </c>
      <c r="AH204" s="69">
        <v>2</v>
      </c>
      <c r="AI204" s="69">
        <v>18</v>
      </c>
      <c r="AJ204" s="69">
        <v>0</v>
      </c>
      <c r="AK204" s="69">
        <v>0</v>
      </c>
      <c r="AL204" s="60">
        <v>9581286.6699999701</v>
      </c>
      <c r="AM204" s="60">
        <f t="shared" ref="AM204:AM210" si="113">ROUND(AL204,2)</f>
        <v>9581286.6699999999</v>
      </c>
      <c r="AN204" s="59">
        <v>1963508</v>
      </c>
      <c r="AO204" s="148">
        <f t="shared" ref="AO204:AO210" si="114">ROUND(AN204,2)*-1</f>
        <v>-1963508</v>
      </c>
      <c r="AP204" s="58">
        <v>475126.34294245951</v>
      </c>
      <c r="AQ204" s="143">
        <f t="shared" ref="AQ204:AQ210" si="115">ROUND(AP204,2)*-1</f>
        <v>-475126.34</v>
      </c>
    </row>
    <row r="205" spans="1:43" x14ac:dyDescent="0.35">
      <c r="A205" s="69" t="s">
        <v>43</v>
      </c>
      <c r="B205" s="15" t="s">
        <v>666</v>
      </c>
      <c r="C205" s="15"/>
      <c r="D205" s="69" t="e">
        <f>_xlfn.XLOOKUP(B205,SOM!B:B,SOM!D:D,,0)</f>
        <v>#N/A</v>
      </c>
      <c r="E205" s="76">
        <v>1</v>
      </c>
      <c r="F205" s="69" t="s">
        <v>259</v>
      </c>
      <c r="G205" s="10" t="s">
        <v>260</v>
      </c>
      <c r="H205" s="15">
        <v>9007000053</v>
      </c>
      <c r="I205" s="92" t="s">
        <v>261</v>
      </c>
      <c r="J205" s="92">
        <v>1202010217</v>
      </c>
      <c r="K205" s="14"/>
      <c r="L205" s="95" t="s">
        <v>667</v>
      </c>
      <c r="M205" s="69" t="s">
        <v>668</v>
      </c>
      <c r="N205" s="69"/>
      <c r="O205" s="94">
        <v>1</v>
      </c>
      <c r="P205" s="69" t="s">
        <v>50</v>
      </c>
      <c r="Q205" s="69" t="s">
        <v>51</v>
      </c>
      <c r="R205" s="69"/>
      <c r="S205" s="46">
        <v>45016</v>
      </c>
      <c r="T205" s="48">
        <v>45016</v>
      </c>
      <c r="U205" s="69"/>
      <c r="V205" s="69"/>
      <c r="W205" s="69"/>
      <c r="X205" s="69"/>
      <c r="Y205" s="69" t="s">
        <v>4129</v>
      </c>
      <c r="Z205" s="43">
        <v>90250</v>
      </c>
      <c r="AA205" s="43" t="s">
        <v>52</v>
      </c>
      <c r="AB205" s="43" t="s">
        <v>53</v>
      </c>
      <c r="AC205" s="43">
        <v>3650</v>
      </c>
      <c r="AD205" s="141">
        <v>10</v>
      </c>
      <c r="AE205" s="142">
        <v>0</v>
      </c>
      <c r="AF205" s="142"/>
      <c r="AG205" s="69" t="str">
        <f t="shared" si="112"/>
        <v>1 years 277 days</v>
      </c>
      <c r="AH205" s="69">
        <v>1</v>
      </c>
      <c r="AI205" s="69">
        <v>277</v>
      </c>
      <c r="AJ205" s="69">
        <v>0</v>
      </c>
      <c r="AK205" s="69">
        <v>0</v>
      </c>
      <c r="AL205" s="60">
        <v>90250</v>
      </c>
      <c r="AM205" s="60">
        <f t="shared" si="113"/>
        <v>90250</v>
      </c>
      <c r="AN205" s="59">
        <v>15899</v>
      </c>
      <c r="AO205" s="148">
        <f t="shared" si="114"/>
        <v>-15899</v>
      </c>
      <c r="AP205" s="58">
        <v>4475.2465753424658</v>
      </c>
      <c r="AQ205" s="143">
        <f t="shared" si="115"/>
        <v>-4475.25</v>
      </c>
    </row>
    <row r="206" spans="1:43" x14ac:dyDescent="0.35">
      <c r="A206" s="69" t="s">
        <v>43</v>
      </c>
      <c r="B206" s="15" t="s">
        <v>669</v>
      </c>
      <c r="C206" s="15"/>
      <c r="D206" s="69" t="e">
        <f>_xlfn.XLOOKUP(B206,SOM!B:B,SOM!D:D,,0)</f>
        <v>#N/A</v>
      </c>
      <c r="E206" s="76">
        <v>2</v>
      </c>
      <c r="F206" s="69" t="s">
        <v>259</v>
      </c>
      <c r="G206" s="10" t="s">
        <v>260</v>
      </c>
      <c r="H206" s="15">
        <v>9007000053</v>
      </c>
      <c r="I206" s="92" t="s">
        <v>261</v>
      </c>
      <c r="J206" s="92">
        <v>1202010217</v>
      </c>
      <c r="K206" s="14"/>
      <c r="L206" s="95" t="s">
        <v>670</v>
      </c>
      <c r="M206" s="69" t="s">
        <v>671</v>
      </c>
      <c r="N206" s="69"/>
      <c r="O206" s="94">
        <v>1</v>
      </c>
      <c r="P206" s="69" t="s">
        <v>50</v>
      </c>
      <c r="Q206" s="69" t="s">
        <v>51</v>
      </c>
      <c r="R206" s="69"/>
      <c r="S206" s="46">
        <v>45138</v>
      </c>
      <c r="T206" s="48">
        <v>45138</v>
      </c>
      <c r="U206" s="69"/>
      <c r="V206" s="69"/>
      <c r="W206" s="69"/>
      <c r="X206" s="69"/>
      <c r="Y206" s="69" t="s">
        <v>4129</v>
      </c>
      <c r="Z206" s="43">
        <v>61884</v>
      </c>
      <c r="AA206" s="43" t="s">
        <v>52</v>
      </c>
      <c r="AB206" s="43" t="s">
        <v>53</v>
      </c>
      <c r="AC206" s="43">
        <v>3650</v>
      </c>
      <c r="AD206" s="141">
        <v>10</v>
      </c>
      <c r="AE206" s="142">
        <v>0</v>
      </c>
      <c r="AF206" s="142"/>
      <c r="AG206" s="69" t="str">
        <f t="shared" si="112"/>
        <v>1 years 155 days</v>
      </c>
      <c r="AH206" s="69">
        <v>1</v>
      </c>
      <c r="AI206" s="69">
        <v>155</v>
      </c>
      <c r="AJ206" s="69">
        <v>0</v>
      </c>
      <c r="AK206" s="69">
        <v>0</v>
      </c>
      <c r="AL206" s="60">
        <v>61884</v>
      </c>
      <c r="AM206" s="60">
        <f t="shared" si="113"/>
        <v>61884</v>
      </c>
      <c r="AN206" s="59">
        <v>8816</v>
      </c>
      <c r="AO206" s="148">
        <f t="shared" si="114"/>
        <v>-8816</v>
      </c>
      <c r="AP206" s="58">
        <v>3069.1189041095895</v>
      </c>
      <c r="AQ206" s="143">
        <f t="shared" si="115"/>
        <v>-3069.12</v>
      </c>
    </row>
    <row r="207" spans="1:43" x14ac:dyDescent="0.35">
      <c r="A207" s="69" t="s">
        <v>43</v>
      </c>
      <c r="B207" s="15" t="s">
        <v>672</v>
      </c>
      <c r="C207" s="15"/>
      <c r="D207" s="69" t="e">
        <f>_xlfn.XLOOKUP(B207,SOM!B:B,SOM!D:D,,0)</f>
        <v>#N/A</v>
      </c>
      <c r="E207" s="76">
        <v>3</v>
      </c>
      <c r="F207" s="69" t="s">
        <v>259</v>
      </c>
      <c r="G207" s="10" t="s">
        <v>260</v>
      </c>
      <c r="H207" s="15">
        <v>9007000053</v>
      </c>
      <c r="I207" s="92" t="s">
        <v>261</v>
      </c>
      <c r="J207" s="92">
        <v>1202010217</v>
      </c>
      <c r="K207" s="14"/>
      <c r="L207" s="95" t="s">
        <v>673</v>
      </c>
      <c r="M207" s="69" t="s">
        <v>674</v>
      </c>
      <c r="N207" s="69"/>
      <c r="O207" s="94">
        <v>216</v>
      </c>
      <c r="P207" s="69" t="s">
        <v>50</v>
      </c>
      <c r="Q207" s="69" t="s">
        <v>51</v>
      </c>
      <c r="R207" s="69"/>
      <c r="S207" s="46">
        <v>45139</v>
      </c>
      <c r="T207" s="48">
        <v>45139</v>
      </c>
      <c r="U207" s="69"/>
      <c r="V207" s="69"/>
      <c r="W207" s="69"/>
      <c r="X207" s="69"/>
      <c r="Y207" s="69" t="s">
        <v>4129</v>
      </c>
      <c r="Z207" s="43">
        <v>58043.75</v>
      </c>
      <c r="AA207" s="43" t="s">
        <v>52</v>
      </c>
      <c r="AB207" s="43" t="s">
        <v>53</v>
      </c>
      <c r="AC207" s="43">
        <v>3650</v>
      </c>
      <c r="AD207" s="141">
        <v>10</v>
      </c>
      <c r="AE207" s="142">
        <v>0</v>
      </c>
      <c r="AF207" s="142"/>
      <c r="AG207" s="69" t="str">
        <f t="shared" si="112"/>
        <v>1 years 154 days</v>
      </c>
      <c r="AH207" s="69">
        <v>1</v>
      </c>
      <c r="AI207" s="69">
        <v>154</v>
      </c>
      <c r="AJ207" s="69">
        <v>0</v>
      </c>
      <c r="AK207" s="69">
        <v>0</v>
      </c>
      <c r="AL207" s="60">
        <v>58043.75</v>
      </c>
      <c r="AM207" s="60">
        <f t="shared" si="113"/>
        <v>58043.75</v>
      </c>
      <c r="AN207" s="59">
        <v>8253</v>
      </c>
      <c r="AO207" s="148">
        <f t="shared" si="114"/>
        <v>-8253</v>
      </c>
      <c r="AP207" s="58">
        <v>2878.6780821917819</v>
      </c>
      <c r="AQ207" s="143">
        <f t="shared" si="115"/>
        <v>-2878.68</v>
      </c>
    </row>
    <row r="208" spans="1:43" x14ac:dyDescent="0.35">
      <c r="A208" s="69" t="s">
        <v>43</v>
      </c>
      <c r="B208" s="15" t="s">
        <v>675</v>
      </c>
      <c r="C208" s="15"/>
      <c r="D208" s="69" t="e">
        <f>_xlfn.XLOOKUP(B208,SOM!B:B,SOM!D:D,,0)</f>
        <v>#N/A</v>
      </c>
      <c r="E208" s="76">
        <v>4</v>
      </c>
      <c r="F208" s="69" t="s">
        <v>259</v>
      </c>
      <c r="G208" s="10" t="s">
        <v>260</v>
      </c>
      <c r="H208" s="15">
        <v>9007000053</v>
      </c>
      <c r="I208" s="92" t="s">
        <v>261</v>
      </c>
      <c r="J208" s="92">
        <v>1202010217</v>
      </c>
      <c r="K208" s="14"/>
      <c r="L208" s="95" t="s">
        <v>676</v>
      </c>
      <c r="M208" s="69" t="s">
        <v>677</v>
      </c>
      <c r="N208" s="69"/>
      <c r="O208" s="94">
        <v>1</v>
      </c>
      <c r="P208" s="69" t="s">
        <v>50</v>
      </c>
      <c r="Q208" s="69" t="s">
        <v>51</v>
      </c>
      <c r="R208" s="69"/>
      <c r="S208" s="46">
        <v>45150</v>
      </c>
      <c r="T208" s="48">
        <v>45150</v>
      </c>
      <c r="U208" s="69"/>
      <c r="V208" s="69"/>
      <c r="W208" s="69"/>
      <c r="X208" s="69"/>
      <c r="Y208" s="69" t="s">
        <v>4129</v>
      </c>
      <c r="Z208" s="43">
        <v>16500</v>
      </c>
      <c r="AA208" s="43" t="s">
        <v>52</v>
      </c>
      <c r="AB208" s="43" t="s">
        <v>53</v>
      </c>
      <c r="AC208" s="43">
        <v>3650</v>
      </c>
      <c r="AD208" s="141">
        <v>10</v>
      </c>
      <c r="AE208" s="142">
        <v>0</v>
      </c>
      <c r="AF208" s="142"/>
      <c r="AG208" s="69" t="str">
        <f t="shared" si="112"/>
        <v>1 years 143 days</v>
      </c>
      <c r="AH208" s="69">
        <v>1</v>
      </c>
      <c r="AI208" s="69">
        <v>143</v>
      </c>
      <c r="AJ208" s="69">
        <v>0</v>
      </c>
      <c r="AK208" s="69">
        <v>0</v>
      </c>
      <c r="AL208" s="60">
        <v>16500</v>
      </c>
      <c r="AM208" s="60">
        <f t="shared" si="113"/>
        <v>16500</v>
      </c>
      <c r="AN208" s="59">
        <v>2296</v>
      </c>
      <c r="AO208" s="148">
        <f t="shared" si="114"/>
        <v>-2296</v>
      </c>
      <c r="AP208" s="58">
        <v>818.65753424657532</v>
      </c>
      <c r="AQ208" s="143">
        <f t="shared" si="115"/>
        <v>-818.66</v>
      </c>
    </row>
    <row r="209" spans="1:43" x14ac:dyDescent="0.35">
      <c r="A209" s="69" t="s">
        <v>43</v>
      </c>
      <c r="B209" s="15" t="s">
        <v>678</v>
      </c>
      <c r="C209" s="15"/>
      <c r="D209" s="69" t="e">
        <f>_xlfn.XLOOKUP(B209,SOM!B:B,SOM!D:D,,0)</f>
        <v>#N/A</v>
      </c>
      <c r="E209" s="76">
        <v>5</v>
      </c>
      <c r="F209" s="69" t="s">
        <v>259</v>
      </c>
      <c r="G209" s="10" t="s">
        <v>260</v>
      </c>
      <c r="H209" s="15">
        <v>9007000053</v>
      </c>
      <c r="I209" s="92" t="s">
        <v>261</v>
      </c>
      <c r="J209" s="92">
        <v>1202010217</v>
      </c>
      <c r="K209" s="19"/>
      <c r="L209" s="95" t="s">
        <v>679</v>
      </c>
      <c r="M209" s="69" t="s">
        <v>680</v>
      </c>
      <c r="N209" s="69"/>
      <c r="O209" s="94">
        <v>1</v>
      </c>
      <c r="P209" s="69" t="s">
        <v>50</v>
      </c>
      <c r="Q209" s="69" t="s">
        <v>51</v>
      </c>
      <c r="R209" s="69"/>
      <c r="S209" s="46">
        <v>44382</v>
      </c>
      <c r="T209" s="48">
        <v>44382</v>
      </c>
      <c r="U209" s="69"/>
      <c r="V209" s="69"/>
      <c r="W209" s="69"/>
      <c r="X209" s="69"/>
      <c r="Y209" s="69" t="s">
        <v>4128</v>
      </c>
      <c r="Z209" s="43">
        <v>15949</v>
      </c>
      <c r="AA209" s="43" t="s">
        <v>52</v>
      </c>
      <c r="AB209" s="43" t="s">
        <v>53</v>
      </c>
      <c r="AC209" s="43">
        <v>3650</v>
      </c>
      <c r="AD209" s="141">
        <v>10</v>
      </c>
      <c r="AE209" s="142">
        <v>0</v>
      </c>
      <c r="AF209" s="142"/>
      <c r="AG209" s="69" t="str">
        <f t="shared" si="112"/>
        <v>3 years 181 days</v>
      </c>
      <c r="AH209" s="69">
        <v>3</v>
      </c>
      <c r="AI209" s="69">
        <v>181</v>
      </c>
      <c r="AJ209" s="69">
        <v>0</v>
      </c>
      <c r="AK209" s="69">
        <v>0</v>
      </c>
      <c r="AL209" s="60">
        <v>15949</v>
      </c>
      <c r="AM209" s="60">
        <f t="shared" si="113"/>
        <v>15949</v>
      </c>
      <c r="AN209" s="59">
        <v>5576</v>
      </c>
      <c r="AO209" s="148">
        <f t="shared" si="114"/>
        <v>-5576</v>
      </c>
      <c r="AP209" s="58">
        <v>790.49123287671318</v>
      </c>
      <c r="AQ209" s="143">
        <f t="shared" si="115"/>
        <v>-790.49</v>
      </c>
    </row>
    <row r="210" spans="1:43" x14ac:dyDescent="0.35">
      <c r="A210" s="69" t="s">
        <v>43</v>
      </c>
      <c r="B210" s="15" t="s">
        <v>681</v>
      </c>
      <c r="C210" s="15"/>
      <c r="D210" s="69" t="e">
        <f>_xlfn.XLOOKUP(B210,SOM!B:B,SOM!D:D,,0)</f>
        <v>#N/A</v>
      </c>
      <c r="E210" s="76">
        <v>6</v>
      </c>
      <c r="F210" s="69" t="s">
        <v>259</v>
      </c>
      <c r="G210" s="10" t="s">
        <v>260</v>
      </c>
      <c r="H210" s="15">
        <v>9007000053</v>
      </c>
      <c r="I210" s="92" t="s">
        <v>261</v>
      </c>
      <c r="J210" s="92">
        <v>1202010217</v>
      </c>
      <c r="K210" s="19"/>
      <c r="L210" s="95" t="s">
        <v>682</v>
      </c>
      <c r="M210" s="69" t="s">
        <v>683</v>
      </c>
      <c r="N210" s="69"/>
      <c r="O210" s="94">
        <v>13</v>
      </c>
      <c r="P210" s="69" t="s">
        <v>50</v>
      </c>
      <c r="Q210" s="69" t="s">
        <v>51</v>
      </c>
      <c r="R210" s="69"/>
      <c r="S210" s="46">
        <v>44624</v>
      </c>
      <c r="T210" s="48">
        <v>44624</v>
      </c>
      <c r="U210" s="69"/>
      <c r="V210" s="69"/>
      <c r="W210" s="69"/>
      <c r="X210" s="69"/>
      <c r="Y210" s="69" t="s">
        <v>4131</v>
      </c>
      <c r="Z210" s="43">
        <v>81000</v>
      </c>
      <c r="AA210" s="43" t="s">
        <v>52</v>
      </c>
      <c r="AB210" s="43" t="s">
        <v>53</v>
      </c>
      <c r="AC210" s="43">
        <v>3650</v>
      </c>
      <c r="AD210" s="141">
        <v>10</v>
      </c>
      <c r="AE210" s="142">
        <v>0</v>
      </c>
      <c r="AF210" s="142"/>
      <c r="AG210" s="69" t="str">
        <f t="shared" si="112"/>
        <v>2 years 304 days</v>
      </c>
      <c r="AH210" s="69">
        <v>2</v>
      </c>
      <c r="AI210" s="69">
        <v>304</v>
      </c>
      <c r="AJ210" s="69">
        <v>0</v>
      </c>
      <c r="AK210" s="69">
        <v>0</v>
      </c>
      <c r="AL210" s="60">
        <v>81000</v>
      </c>
      <c r="AM210" s="60">
        <f t="shared" si="113"/>
        <v>81000</v>
      </c>
      <c r="AN210" s="59">
        <v>22946</v>
      </c>
      <c r="AO210" s="148">
        <f t="shared" si="114"/>
        <v>-22946</v>
      </c>
      <c r="AP210" s="58">
        <v>4017.0136986301368</v>
      </c>
      <c r="AQ210" s="143">
        <f t="shared" si="115"/>
        <v>-4017.01</v>
      </c>
    </row>
    <row r="211" spans="1:43" x14ac:dyDescent="0.35">
      <c r="A211" s="69" t="s">
        <v>43</v>
      </c>
      <c r="B211" s="15" t="s">
        <v>684</v>
      </c>
      <c r="C211" s="15"/>
      <c r="D211" s="69"/>
      <c r="E211" s="76">
        <v>0</v>
      </c>
      <c r="F211" s="69" t="s">
        <v>259</v>
      </c>
      <c r="G211" s="110" t="s">
        <v>260</v>
      </c>
      <c r="H211" s="19">
        <v>9007000054</v>
      </c>
      <c r="I211" s="92" t="s">
        <v>261</v>
      </c>
      <c r="J211" s="92">
        <v>1202010217</v>
      </c>
      <c r="K211" s="111" t="s">
        <v>685</v>
      </c>
      <c r="L211" s="95" t="s">
        <v>686</v>
      </c>
      <c r="M211" s="69" t="s">
        <v>687</v>
      </c>
      <c r="N211" s="69"/>
      <c r="O211" s="94">
        <v>1</v>
      </c>
      <c r="P211" s="69" t="s">
        <v>50</v>
      </c>
      <c r="Q211" s="69" t="s">
        <v>51</v>
      </c>
      <c r="R211" s="69"/>
      <c r="S211" s="46">
        <v>45000</v>
      </c>
      <c r="T211" s="48">
        <v>45000</v>
      </c>
      <c r="U211" s="69"/>
      <c r="V211" s="69"/>
      <c r="W211" s="69"/>
      <c r="X211" s="69"/>
      <c r="Y211" s="69" t="s">
        <v>4129</v>
      </c>
      <c r="Z211" s="43">
        <v>9436684.7700000014</v>
      </c>
      <c r="AA211" s="43" t="s">
        <v>52</v>
      </c>
      <c r="AB211" s="43" t="s">
        <v>53</v>
      </c>
      <c r="AC211" s="43">
        <v>3650</v>
      </c>
      <c r="AD211" s="141">
        <v>10</v>
      </c>
      <c r="AE211" s="142">
        <v>0</v>
      </c>
      <c r="AF211" s="142"/>
      <c r="AG211" s="69" t="str">
        <f>_xlfn.CONCAT(AH211," years ",AI211," days")</f>
        <v>1 years 293 days</v>
      </c>
      <c r="AH211" s="69">
        <v>1</v>
      </c>
      <c r="AI211" s="69">
        <v>293</v>
      </c>
      <c r="AJ211" s="69">
        <v>0</v>
      </c>
      <c r="AK211" s="69">
        <v>0</v>
      </c>
      <c r="AL211" s="60">
        <v>9436684.7700000014</v>
      </c>
      <c r="AM211" s="60">
        <f>ROUND(AL211,2)</f>
        <v>9436684.7699999996</v>
      </c>
      <c r="AN211" s="59">
        <v>1701189</v>
      </c>
      <c r="AO211" s="148">
        <f>ROUND(AN211,2)*-1</f>
        <v>-1701189</v>
      </c>
      <c r="AP211" s="58">
        <v>467955.801627398</v>
      </c>
      <c r="AQ211" s="143">
        <f>ROUND(AP211,2)*-1</f>
        <v>-467955.8</v>
      </c>
    </row>
    <row r="212" spans="1:43" x14ac:dyDescent="0.35">
      <c r="A212" s="69" t="s">
        <v>43</v>
      </c>
      <c r="B212" s="15" t="s">
        <v>688</v>
      </c>
      <c r="C212" s="15"/>
      <c r="D212" s="69"/>
      <c r="E212" s="76">
        <v>0</v>
      </c>
      <c r="F212" s="69" t="s">
        <v>259</v>
      </c>
      <c r="G212" s="10" t="s">
        <v>260</v>
      </c>
      <c r="H212" s="15">
        <v>9007000055</v>
      </c>
      <c r="I212" s="97" t="s">
        <v>689</v>
      </c>
      <c r="J212" s="97" t="s">
        <v>690</v>
      </c>
      <c r="K212" s="23" t="s">
        <v>691</v>
      </c>
      <c r="L212" s="95" t="s">
        <v>692</v>
      </c>
      <c r="M212" s="69" t="s">
        <v>693</v>
      </c>
      <c r="N212" s="69"/>
      <c r="O212" s="94">
        <v>1</v>
      </c>
      <c r="P212" s="69" t="s">
        <v>50</v>
      </c>
      <c r="Q212" s="69" t="s">
        <v>51</v>
      </c>
      <c r="R212" s="69"/>
      <c r="S212" s="46">
        <v>40756</v>
      </c>
      <c r="T212" s="48">
        <v>43191</v>
      </c>
      <c r="U212" s="69"/>
      <c r="V212" s="69"/>
      <c r="W212" s="69"/>
      <c r="X212" s="69"/>
      <c r="Y212" s="69" t="s">
        <v>4125</v>
      </c>
      <c r="Z212" s="43">
        <v>410000</v>
      </c>
      <c r="AA212" s="43" t="s">
        <v>52</v>
      </c>
      <c r="AB212" s="43" t="s">
        <v>53</v>
      </c>
      <c r="AC212" s="43">
        <v>1205</v>
      </c>
      <c r="AD212" s="141">
        <v>3</v>
      </c>
      <c r="AE212" s="142">
        <v>4</v>
      </c>
      <c r="AF212" s="142"/>
      <c r="AG212" s="69" t="str">
        <f>_xlfn.CONCAT(AH212," years ",AI212," days")</f>
        <v>3 years 110 days</v>
      </c>
      <c r="AH212" s="69">
        <v>3</v>
      </c>
      <c r="AI212" s="69">
        <v>110</v>
      </c>
      <c r="AJ212" s="69">
        <v>0</v>
      </c>
      <c r="AK212" s="69">
        <v>0</v>
      </c>
      <c r="AL212" s="60">
        <v>410000</v>
      </c>
      <c r="AM212" s="60">
        <f>ROUND(AL212,2)</f>
        <v>410000</v>
      </c>
      <c r="AN212" s="59">
        <v>410000</v>
      </c>
      <c r="AO212" s="148">
        <f>ROUND(AN212,2)*-1</f>
        <v>-410000</v>
      </c>
      <c r="AP212" s="58">
        <v>0</v>
      </c>
      <c r="AQ212" s="143">
        <f>ROUND(AP212,2)*-1</f>
        <v>0</v>
      </c>
    </row>
    <row r="213" spans="1:43" x14ac:dyDescent="0.35">
      <c r="A213" s="69" t="s">
        <v>43</v>
      </c>
      <c r="B213" s="15" t="s">
        <v>694</v>
      </c>
      <c r="C213" s="15"/>
      <c r="D213" s="69"/>
      <c r="E213" s="76">
        <v>0</v>
      </c>
      <c r="F213" s="69" t="s">
        <v>259</v>
      </c>
      <c r="G213" s="10" t="s">
        <v>260</v>
      </c>
      <c r="H213" s="15">
        <v>9007000056</v>
      </c>
      <c r="I213" s="97" t="s">
        <v>689</v>
      </c>
      <c r="J213" s="97" t="s">
        <v>690</v>
      </c>
      <c r="K213" s="23" t="s">
        <v>695</v>
      </c>
      <c r="L213" s="95" t="s">
        <v>696</v>
      </c>
      <c r="M213" s="69" t="s">
        <v>697</v>
      </c>
      <c r="N213" s="69"/>
      <c r="O213" s="94">
        <v>1</v>
      </c>
      <c r="P213" s="69" t="s">
        <v>50</v>
      </c>
      <c r="Q213" s="69" t="s">
        <v>51</v>
      </c>
      <c r="R213" s="69"/>
      <c r="S213" s="46">
        <v>45016</v>
      </c>
      <c r="T213" s="48">
        <v>45016</v>
      </c>
      <c r="U213" s="69"/>
      <c r="V213" s="69"/>
      <c r="W213" s="69"/>
      <c r="X213" s="69"/>
      <c r="Y213" s="69" t="s">
        <v>4129</v>
      </c>
      <c r="Z213" s="43">
        <v>1382500</v>
      </c>
      <c r="AA213" s="43" t="s">
        <v>52</v>
      </c>
      <c r="AB213" s="43" t="s">
        <v>53</v>
      </c>
      <c r="AC213" s="43">
        <v>3650</v>
      </c>
      <c r="AD213" s="141">
        <v>10</v>
      </c>
      <c r="AE213" s="142">
        <v>0</v>
      </c>
      <c r="AF213" s="142"/>
      <c r="AG213" s="69" t="str">
        <f>_xlfn.CONCAT(AH213," years ",AI213," days")</f>
        <v>1 years 277 days</v>
      </c>
      <c r="AH213" s="69">
        <v>1</v>
      </c>
      <c r="AI213" s="69">
        <v>277</v>
      </c>
      <c r="AJ213" s="69">
        <v>0</v>
      </c>
      <c r="AK213" s="69">
        <v>0</v>
      </c>
      <c r="AL213" s="60">
        <v>1382500</v>
      </c>
      <c r="AM213" s="60">
        <f>ROUND(AL213,2)</f>
        <v>1382500</v>
      </c>
      <c r="AN213" s="59">
        <v>243547</v>
      </c>
      <c r="AO213" s="148">
        <f>ROUND(AN213,2)*-1</f>
        <v>-243547</v>
      </c>
      <c r="AP213" s="58">
        <v>68557.109589041094</v>
      </c>
      <c r="AQ213" s="143">
        <f>ROUND(AP213,2)*-1</f>
        <v>-68557.11</v>
      </c>
    </row>
    <row r="214" spans="1:43" x14ac:dyDescent="0.35">
      <c r="A214" s="69" t="s">
        <v>43</v>
      </c>
      <c r="B214" s="15" t="s">
        <v>698</v>
      </c>
      <c r="C214" s="15"/>
      <c r="D214" s="69"/>
      <c r="E214" s="76">
        <v>0</v>
      </c>
      <c r="F214" s="69" t="s">
        <v>259</v>
      </c>
      <c r="G214" s="10" t="s">
        <v>260</v>
      </c>
      <c r="H214" s="15">
        <v>9007000057</v>
      </c>
      <c r="I214" s="92" t="s">
        <v>261</v>
      </c>
      <c r="J214" s="92">
        <v>1202010217</v>
      </c>
      <c r="K214" s="23" t="s">
        <v>699</v>
      </c>
      <c r="L214" s="95" t="s">
        <v>700</v>
      </c>
      <c r="M214" s="69" t="s">
        <v>49</v>
      </c>
      <c r="N214" s="69"/>
      <c r="O214" s="94">
        <v>1</v>
      </c>
      <c r="P214" s="69" t="s">
        <v>50</v>
      </c>
      <c r="Q214" s="69" t="s">
        <v>51</v>
      </c>
      <c r="R214" s="69"/>
      <c r="S214" s="46">
        <v>43703</v>
      </c>
      <c r="T214" s="48">
        <v>43703</v>
      </c>
      <c r="U214" s="69"/>
      <c r="V214" s="69"/>
      <c r="W214" s="69"/>
      <c r="X214" s="69"/>
      <c r="Y214" s="69" t="s">
        <v>4126</v>
      </c>
      <c r="Z214" s="43">
        <v>3472162</v>
      </c>
      <c r="AA214" s="43" t="s">
        <v>52</v>
      </c>
      <c r="AB214" s="43" t="s">
        <v>53</v>
      </c>
      <c r="AC214" s="43">
        <v>3650</v>
      </c>
      <c r="AD214" s="141">
        <v>10</v>
      </c>
      <c r="AE214" s="142">
        <v>0</v>
      </c>
      <c r="AF214" s="142"/>
      <c r="AG214" s="69" t="str">
        <f t="shared" ref="AG214:AG215" si="116">_xlfn.CONCAT(AH214," years ",AI214," days")</f>
        <v>5 years 130 days</v>
      </c>
      <c r="AH214" s="69">
        <v>5</v>
      </c>
      <c r="AI214" s="69">
        <v>130</v>
      </c>
      <c r="AJ214" s="69">
        <v>0</v>
      </c>
      <c r="AK214" s="69">
        <v>0</v>
      </c>
      <c r="AL214" s="60">
        <v>3472162</v>
      </c>
      <c r="AM214" s="60">
        <f t="shared" ref="AM214:AM215" si="117">ROUND(AL214,2)</f>
        <v>3472162</v>
      </c>
      <c r="AN214" s="59">
        <v>1859747</v>
      </c>
      <c r="AO214" s="148">
        <f t="shared" ref="AO214:AO215" si="118">ROUND(AN214,2)*-1</f>
        <v>-1859747</v>
      </c>
      <c r="AP214" s="58">
        <v>172181.22794520576</v>
      </c>
      <c r="AQ214" s="143">
        <f t="shared" ref="AQ214:AQ215" si="119">ROUND(AP214,2)*-1</f>
        <v>-172181.23</v>
      </c>
    </row>
    <row r="215" spans="1:43" x14ac:dyDescent="0.35">
      <c r="A215" s="69" t="s">
        <v>43</v>
      </c>
      <c r="B215" s="104" t="s">
        <v>701</v>
      </c>
      <c r="C215" s="104"/>
      <c r="D215" s="69" t="e">
        <f>_xlfn.XLOOKUP(B215,SOM!B:B,SOM!D:D,,0)</f>
        <v>#N/A</v>
      </c>
      <c r="E215" s="76">
        <v>1</v>
      </c>
      <c r="F215" s="69" t="s">
        <v>259</v>
      </c>
      <c r="G215" s="11" t="s">
        <v>260</v>
      </c>
      <c r="H215" s="104">
        <v>9007000057</v>
      </c>
      <c r="I215" s="92" t="s">
        <v>261</v>
      </c>
      <c r="J215" s="92">
        <v>1202010217</v>
      </c>
      <c r="K215" s="24" t="s">
        <v>702</v>
      </c>
      <c r="L215" s="95" t="s">
        <v>703</v>
      </c>
      <c r="M215" s="69" t="s">
        <v>49</v>
      </c>
      <c r="N215" s="69"/>
      <c r="O215" s="94">
        <v>1</v>
      </c>
      <c r="P215" s="69" t="s">
        <v>50</v>
      </c>
      <c r="Q215" s="69" t="s">
        <v>51</v>
      </c>
      <c r="R215" s="69"/>
      <c r="S215" s="46">
        <v>45444</v>
      </c>
      <c r="T215" s="48">
        <v>45444</v>
      </c>
      <c r="U215" s="69"/>
      <c r="V215" s="69"/>
      <c r="W215" s="69"/>
      <c r="X215" s="69"/>
      <c r="Y215" s="69" t="s">
        <v>4130</v>
      </c>
      <c r="Z215" s="51">
        <v>253120</v>
      </c>
      <c r="AA215" s="43" t="s">
        <v>52</v>
      </c>
      <c r="AB215" s="43" t="s">
        <v>53</v>
      </c>
      <c r="AC215" s="43">
        <v>3650</v>
      </c>
      <c r="AD215" s="141">
        <v>10</v>
      </c>
      <c r="AE215" s="142">
        <v>0</v>
      </c>
      <c r="AF215" s="142"/>
      <c r="AG215" s="69" t="str">
        <f t="shared" si="116"/>
        <v>0 years 214 days</v>
      </c>
      <c r="AH215" s="69">
        <v>0</v>
      </c>
      <c r="AI215" s="69">
        <v>214</v>
      </c>
      <c r="AJ215" s="69">
        <v>0</v>
      </c>
      <c r="AK215" s="69">
        <v>0</v>
      </c>
      <c r="AL215" s="65">
        <v>253120</v>
      </c>
      <c r="AM215" s="60">
        <f t="shared" si="117"/>
        <v>253120</v>
      </c>
      <c r="AN215" s="59">
        <v>14840</v>
      </c>
      <c r="AO215" s="148">
        <f t="shared" si="118"/>
        <v>-14840</v>
      </c>
      <c r="AP215" s="58">
        <v>12552.438356164384</v>
      </c>
      <c r="AQ215" s="143">
        <f t="shared" si="119"/>
        <v>-12552.44</v>
      </c>
    </row>
    <row r="216" spans="1:43" x14ac:dyDescent="0.35">
      <c r="A216" s="69" t="s">
        <v>43</v>
      </c>
      <c r="B216" s="15" t="s">
        <v>704</v>
      </c>
      <c r="C216" s="15"/>
      <c r="D216" s="69"/>
      <c r="E216" s="76">
        <v>0</v>
      </c>
      <c r="F216" s="69" t="s">
        <v>259</v>
      </c>
      <c r="G216" s="10" t="s">
        <v>260</v>
      </c>
      <c r="H216" s="15">
        <v>9007000058</v>
      </c>
      <c r="I216" s="92" t="s">
        <v>261</v>
      </c>
      <c r="J216" s="92">
        <v>1202010217</v>
      </c>
      <c r="K216" s="23" t="s">
        <v>705</v>
      </c>
      <c r="L216" s="95" t="s">
        <v>706</v>
      </c>
      <c r="M216" s="69" t="s">
        <v>707</v>
      </c>
      <c r="N216" s="69"/>
      <c r="O216" s="94">
        <v>1</v>
      </c>
      <c r="P216" s="69" t="s">
        <v>50</v>
      </c>
      <c r="Q216" s="69" t="s">
        <v>51</v>
      </c>
      <c r="R216" s="69"/>
      <c r="S216" s="46">
        <v>44163</v>
      </c>
      <c r="T216" s="48">
        <v>44163</v>
      </c>
      <c r="U216" s="69"/>
      <c r="V216" s="69"/>
      <c r="W216" s="69"/>
      <c r="X216" s="69"/>
      <c r="Y216" s="69" t="s">
        <v>4127</v>
      </c>
      <c r="Z216" s="43">
        <v>1094970</v>
      </c>
      <c r="AA216" s="43" t="s">
        <v>52</v>
      </c>
      <c r="AB216" s="43" t="s">
        <v>53</v>
      </c>
      <c r="AC216" s="43">
        <v>3650</v>
      </c>
      <c r="AD216" s="141">
        <v>10</v>
      </c>
      <c r="AE216" s="142">
        <v>0</v>
      </c>
      <c r="AF216" s="142"/>
      <c r="AG216" s="69" t="str">
        <f>_xlfn.CONCAT(AH216," years ",AI216," days")</f>
        <v>4 years 35 days</v>
      </c>
      <c r="AH216" s="69">
        <v>4</v>
      </c>
      <c r="AI216" s="69">
        <v>35</v>
      </c>
      <c r="AJ216" s="69">
        <v>0</v>
      </c>
      <c r="AK216" s="69">
        <v>0</v>
      </c>
      <c r="AL216" s="60">
        <v>1094970</v>
      </c>
      <c r="AM216" s="60">
        <f>ROUND(AL216,2)</f>
        <v>1094970</v>
      </c>
      <c r="AN216" s="59">
        <v>448488</v>
      </c>
      <c r="AO216" s="148">
        <f>ROUND(AN216,2)*-1</f>
        <v>-448488</v>
      </c>
      <c r="AP216" s="58">
        <v>54298.224657534272</v>
      </c>
      <c r="AQ216" s="143">
        <f>ROUND(AP216,2)*-1</f>
        <v>-54298.22</v>
      </c>
    </row>
    <row r="217" spans="1:43" x14ac:dyDescent="0.35">
      <c r="A217" s="69" t="s">
        <v>43</v>
      </c>
      <c r="B217" s="15" t="s">
        <v>708</v>
      </c>
      <c r="C217" s="15"/>
      <c r="D217" s="69"/>
      <c r="E217" s="76">
        <v>0</v>
      </c>
      <c r="F217" s="69" t="s">
        <v>259</v>
      </c>
      <c r="G217" s="10" t="s">
        <v>260</v>
      </c>
      <c r="H217" s="15">
        <v>9007000059</v>
      </c>
      <c r="I217" s="92" t="s">
        <v>261</v>
      </c>
      <c r="J217" s="92">
        <v>1202010217</v>
      </c>
      <c r="K217" s="17" t="s">
        <v>709</v>
      </c>
      <c r="L217" s="95" t="s">
        <v>710</v>
      </c>
      <c r="M217" s="69" t="s">
        <v>711</v>
      </c>
      <c r="N217" s="69"/>
      <c r="O217" s="94">
        <v>1</v>
      </c>
      <c r="P217" s="69" t="s">
        <v>50</v>
      </c>
      <c r="Q217" s="69" t="s">
        <v>51</v>
      </c>
      <c r="R217" s="69"/>
      <c r="S217" s="46">
        <v>45000</v>
      </c>
      <c r="T217" s="48">
        <v>45000</v>
      </c>
      <c r="U217" s="69"/>
      <c r="V217" s="69"/>
      <c r="W217" s="69"/>
      <c r="X217" s="69"/>
      <c r="Y217" s="69" t="s">
        <v>4129</v>
      </c>
      <c r="Z217" s="43">
        <v>12465845.199999999</v>
      </c>
      <c r="AA217" s="43" t="s">
        <v>52</v>
      </c>
      <c r="AB217" s="43" t="s">
        <v>53</v>
      </c>
      <c r="AC217" s="43">
        <v>3650</v>
      </c>
      <c r="AD217" s="141">
        <v>10</v>
      </c>
      <c r="AE217" s="142">
        <v>0</v>
      </c>
      <c r="AF217" s="142"/>
      <c r="AG217" s="69" t="str">
        <f t="shared" ref="AG217:AG227" si="120">_xlfn.CONCAT(AH217," years ",AI217," days")</f>
        <v>1 years 293 days</v>
      </c>
      <c r="AH217" s="69">
        <v>1</v>
      </c>
      <c r="AI217" s="69">
        <v>293</v>
      </c>
      <c r="AJ217" s="69">
        <v>0</v>
      </c>
      <c r="AK217" s="69">
        <v>0</v>
      </c>
      <c r="AL217" s="60">
        <v>12465845.199999999</v>
      </c>
      <c r="AM217" s="60">
        <f t="shared" ref="AM217:AM227" si="121">ROUND(AL217,2)</f>
        <v>12465845.199999999</v>
      </c>
      <c r="AN217" s="59">
        <v>2247267</v>
      </c>
      <c r="AO217" s="148">
        <f t="shared" ref="AO217:AO227" si="122">ROUND(AN217,2)*-1</f>
        <v>-2247267</v>
      </c>
      <c r="AP217" s="58">
        <v>618169.74504109612</v>
      </c>
      <c r="AQ217" s="143">
        <f t="shared" ref="AQ217:AQ227" si="123">ROUND(AP217,2)*-1</f>
        <v>-618169.75</v>
      </c>
    </row>
    <row r="218" spans="1:43" x14ac:dyDescent="0.35">
      <c r="A218" s="69" t="s">
        <v>43</v>
      </c>
      <c r="B218" s="15" t="s">
        <v>712</v>
      </c>
      <c r="C218" s="15"/>
      <c r="D218" s="69" t="e">
        <f>_xlfn.XLOOKUP(B218,SOM!B:B,SOM!D:D,,0)</f>
        <v>#N/A</v>
      </c>
      <c r="E218" s="76">
        <v>1</v>
      </c>
      <c r="F218" s="69" t="s">
        <v>259</v>
      </c>
      <c r="G218" s="10" t="s">
        <v>260</v>
      </c>
      <c r="H218" s="15">
        <v>9007000059</v>
      </c>
      <c r="I218" s="92" t="s">
        <v>261</v>
      </c>
      <c r="J218" s="92">
        <v>1202010217</v>
      </c>
      <c r="K218" s="14"/>
      <c r="L218" s="95" t="s">
        <v>713</v>
      </c>
      <c r="M218" s="69" t="s">
        <v>714</v>
      </c>
      <c r="N218" s="69"/>
      <c r="O218" s="94">
        <v>1</v>
      </c>
      <c r="P218" s="69" t="s">
        <v>50</v>
      </c>
      <c r="Q218" s="69" t="s">
        <v>51</v>
      </c>
      <c r="R218" s="69"/>
      <c r="S218" s="46">
        <v>43867</v>
      </c>
      <c r="T218" s="48">
        <v>43867</v>
      </c>
      <c r="U218" s="69"/>
      <c r="V218" s="69"/>
      <c r="W218" s="69"/>
      <c r="X218" s="69"/>
      <c r="Y218" s="69" t="s">
        <v>4127</v>
      </c>
      <c r="Z218" s="43">
        <v>230050</v>
      </c>
      <c r="AA218" s="43" t="s">
        <v>52</v>
      </c>
      <c r="AB218" s="43" t="s">
        <v>53</v>
      </c>
      <c r="AC218" s="43">
        <v>3650</v>
      </c>
      <c r="AD218" s="141">
        <v>10</v>
      </c>
      <c r="AE218" s="142">
        <v>0</v>
      </c>
      <c r="AF218" s="142"/>
      <c r="AG218" s="69" t="str">
        <f t="shared" si="120"/>
        <v>4 years 331 days</v>
      </c>
      <c r="AH218" s="69">
        <v>4</v>
      </c>
      <c r="AI218" s="69">
        <v>331</v>
      </c>
      <c r="AJ218" s="69">
        <v>0</v>
      </c>
      <c r="AK218" s="69">
        <v>0</v>
      </c>
      <c r="AL218" s="60">
        <v>230050</v>
      </c>
      <c r="AM218" s="60">
        <f t="shared" si="121"/>
        <v>230050</v>
      </c>
      <c r="AN218" s="59">
        <v>112882</v>
      </c>
      <c r="AO218" s="148">
        <f t="shared" si="122"/>
        <v>-112882</v>
      </c>
      <c r="AP218" s="58">
        <v>11408.027397260274</v>
      </c>
      <c r="AQ218" s="143">
        <f t="shared" si="123"/>
        <v>-11408.03</v>
      </c>
    </row>
    <row r="219" spans="1:43" x14ac:dyDescent="0.35">
      <c r="A219" s="69" t="s">
        <v>43</v>
      </c>
      <c r="B219" s="15" t="s">
        <v>715</v>
      </c>
      <c r="C219" s="15"/>
      <c r="D219" s="69" t="e">
        <f>_xlfn.XLOOKUP(B219,SOM!B:B,SOM!D:D,,0)</f>
        <v>#N/A</v>
      </c>
      <c r="E219" s="76">
        <v>2</v>
      </c>
      <c r="F219" s="69" t="s">
        <v>259</v>
      </c>
      <c r="G219" s="10" t="s">
        <v>260</v>
      </c>
      <c r="H219" s="15">
        <v>9007000059</v>
      </c>
      <c r="I219" s="92" t="s">
        <v>261</v>
      </c>
      <c r="J219" s="92">
        <v>1202010217</v>
      </c>
      <c r="K219" s="14"/>
      <c r="L219" s="95" t="s">
        <v>716</v>
      </c>
      <c r="M219" s="69" t="s">
        <v>717</v>
      </c>
      <c r="N219" s="69"/>
      <c r="O219" s="94">
        <v>1</v>
      </c>
      <c r="P219" s="69" t="s">
        <v>50</v>
      </c>
      <c r="Q219" s="69" t="s">
        <v>51</v>
      </c>
      <c r="R219" s="69"/>
      <c r="S219" s="46">
        <v>43931</v>
      </c>
      <c r="T219" s="48">
        <v>43931</v>
      </c>
      <c r="U219" s="69"/>
      <c r="V219" s="69"/>
      <c r="W219" s="69"/>
      <c r="X219" s="69"/>
      <c r="Y219" s="69" t="s">
        <v>4127</v>
      </c>
      <c r="Z219" s="43">
        <v>314176</v>
      </c>
      <c r="AA219" s="43" t="s">
        <v>52</v>
      </c>
      <c r="AB219" s="43" t="s">
        <v>53</v>
      </c>
      <c r="AC219" s="43">
        <v>3650</v>
      </c>
      <c r="AD219" s="141">
        <v>10</v>
      </c>
      <c r="AE219" s="142">
        <v>0</v>
      </c>
      <c r="AF219" s="142"/>
      <c r="AG219" s="69" t="str">
        <f t="shared" si="120"/>
        <v>4 years 267 days</v>
      </c>
      <c r="AH219" s="69">
        <v>4</v>
      </c>
      <c r="AI219" s="69">
        <v>267</v>
      </c>
      <c r="AJ219" s="69">
        <v>0</v>
      </c>
      <c r="AK219" s="69">
        <v>0</v>
      </c>
      <c r="AL219" s="60">
        <v>314176</v>
      </c>
      <c r="AM219" s="60">
        <f t="shared" si="121"/>
        <v>314176</v>
      </c>
      <c r="AN219" s="59">
        <v>148653</v>
      </c>
      <c r="AO219" s="148">
        <f t="shared" si="122"/>
        <v>-148653</v>
      </c>
      <c r="AP219" s="58">
        <v>15579.276164383569</v>
      </c>
      <c r="AQ219" s="143">
        <f t="shared" si="123"/>
        <v>-15579.28</v>
      </c>
    </row>
    <row r="220" spans="1:43" x14ac:dyDescent="0.35">
      <c r="A220" s="69" t="s">
        <v>43</v>
      </c>
      <c r="B220" s="15" t="s">
        <v>718</v>
      </c>
      <c r="C220" s="15"/>
      <c r="D220" s="69" t="e">
        <f>_xlfn.XLOOKUP(B220,SOM!B:B,SOM!D:D,,0)</f>
        <v>#N/A</v>
      </c>
      <c r="E220" s="76">
        <v>3</v>
      </c>
      <c r="F220" s="69" t="s">
        <v>259</v>
      </c>
      <c r="G220" s="10" t="s">
        <v>260</v>
      </c>
      <c r="H220" s="15">
        <v>9007000059</v>
      </c>
      <c r="I220" s="92" t="s">
        <v>261</v>
      </c>
      <c r="J220" s="92">
        <v>1202010217</v>
      </c>
      <c r="K220" s="14"/>
      <c r="L220" s="95" t="s">
        <v>719</v>
      </c>
      <c r="M220" s="69" t="s">
        <v>720</v>
      </c>
      <c r="N220" s="69"/>
      <c r="O220" s="94">
        <v>1</v>
      </c>
      <c r="P220" s="69" t="s">
        <v>50</v>
      </c>
      <c r="Q220" s="69" t="s">
        <v>51</v>
      </c>
      <c r="R220" s="69"/>
      <c r="S220" s="46">
        <v>44252</v>
      </c>
      <c r="T220" s="48">
        <v>44252</v>
      </c>
      <c r="U220" s="69"/>
      <c r="V220" s="69"/>
      <c r="W220" s="69"/>
      <c r="X220" s="69"/>
      <c r="Y220" s="69" t="s">
        <v>4128</v>
      </c>
      <c r="Z220" s="43">
        <v>203248</v>
      </c>
      <c r="AA220" s="43" t="s">
        <v>52</v>
      </c>
      <c r="AB220" s="43" t="s">
        <v>53</v>
      </c>
      <c r="AC220" s="43">
        <v>3650</v>
      </c>
      <c r="AD220" s="141">
        <v>10</v>
      </c>
      <c r="AE220" s="142">
        <v>0</v>
      </c>
      <c r="AF220" s="142"/>
      <c r="AG220" s="69" t="str">
        <f t="shared" si="120"/>
        <v>3 years 311 days</v>
      </c>
      <c r="AH220" s="69">
        <v>3</v>
      </c>
      <c r="AI220" s="69">
        <v>311</v>
      </c>
      <c r="AJ220" s="69">
        <v>0</v>
      </c>
      <c r="AK220" s="69">
        <v>0</v>
      </c>
      <c r="AL220" s="60">
        <v>203248</v>
      </c>
      <c r="AM220" s="60">
        <f t="shared" si="121"/>
        <v>203248</v>
      </c>
      <c r="AN220" s="59">
        <v>78292</v>
      </c>
      <c r="AO220" s="148">
        <f t="shared" si="122"/>
        <v>-78292</v>
      </c>
      <c r="AP220" s="58">
        <v>10079.116712328774</v>
      </c>
      <c r="AQ220" s="143">
        <f t="shared" si="123"/>
        <v>-10079.120000000001</v>
      </c>
    </row>
    <row r="221" spans="1:43" x14ac:dyDescent="0.35">
      <c r="A221" s="69" t="s">
        <v>43</v>
      </c>
      <c r="B221" s="15" t="s">
        <v>721</v>
      </c>
      <c r="C221" s="15"/>
      <c r="D221" s="69" t="e">
        <f>_xlfn.XLOOKUP(B221,SOM!B:B,SOM!D:D,,0)</f>
        <v>#N/A</v>
      </c>
      <c r="E221" s="76">
        <v>4</v>
      </c>
      <c r="F221" s="69" t="s">
        <v>259</v>
      </c>
      <c r="G221" s="10" t="s">
        <v>260</v>
      </c>
      <c r="H221" s="15">
        <v>9007000059</v>
      </c>
      <c r="I221" s="92" t="s">
        <v>261</v>
      </c>
      <c r="J221" s="92">
        <v>1202010217</v>
      </c>
      <c r="K221" s="14"/>
      <c r="L221" s="95" t="s">
        <v>722</v>
      </c>
      <c r="M221" s="69" t="s">
        <v>723</v>
      </c>
      <c r="N221" s="69"/>
      <c r="O221" s="94">
        <v>1</v>
      </c>
      <c r="P221" s="69" t="s">
        <v>50</v>
      </c>
      <c r="Q221" s="69" t="s">
        <v>51</v>
      </c>
      <c r="R221" s="69"/>
      <c r="S221" s="46">
        <v>44413</v>
      </c>
      <c r="T221" s="48">
        <v>44413</v>
      </c>
      <c r="U221" s="69"/>
      <c r="V221" s="69"/>
      <c r="W221" s="69"/>
      <c r="X221" s="69"/>
      <c r="Y221" s="69" t="s">
        <v>4128</v>
      </c>
      <c r="Z221" s="43">
        <v>27990</v>
      </c>
      <c r="AA221" s="43" t="s">
        <v>52</v>
      </c>
      <c r="AB221" s="43" t="s">
        <v>53</v>
      </c>
      <c r="AC221" s="43">
        <v>3650</v>
      </c>
      <c r="AD221" s="141">
        <v>10</v>
      </c>
      <c r="AE221" s="142">
        <v>0</v>
      </c>
      <c r="AF221" s="142"/>
      <c r="AG221" s="69" t="str">
        <f t="shared" si="120"/>
        <v>3 years 150 days</v>
      </c>
      <c r="AH221" s="69">
        <v>3</v>
      </c>
      <c r="AI221" s="69">
        <v>150</v>
      </c>
      <c r="AJ221" s="69">
        <v>0</v>
      </c>
      <c r="AK221" s="69">
        <v>0</v>
      </c>
      <c r="AL221" s="60">
        <v>27990</v>
      </c>
      <c r="AM221" s="60">
        <f t="shared" si="121"/>
        <v>27990</v>
      </c>
      <c r="AN221" s="59">
        <v>9547</v>
      </c>
      <c r="AO221" s="148">
        <f t="shared" si="122"/>
        <v>-9547</v>
      </c>
      <c r="AP221" s="58">
        <v>1388.271232876712</v>
      </c>
      <c r="AQ221" s="143">
        <f t="shared" si="123"/>
        <v>-1388.27</v>
      </c>
    </row>
    <row r="222" spans="1:43" x14ac:dyDescent="0.35">
      <c r="A222" s="69" t="s">
        <v>43</v>
      </c>
      <c r="B222" s="15" t="s">
        <v>724</v>
      </c>
      <c r="C222" s="15"/>
      <c r="D222" s="69" t="e">
        <f>_xlfn.XLOOKUP(B222,SOM!B:B,SOM!D:D,,0)</f>
        <v>#N/A</v>
      </c>
      <c r="E222" s="76">
        <v>5</v>
      </c>
      <c r="F222" s="69" t="s">
        <v>259</v>
      </c>
      <c r="G222" s="10" t="s">
        <v>260</v>
      </c>
      <c r="H222" s="15">
        <v>9007000059</v>
      </c>
      <c r="I222" s="92" t="s">
        <v>261</v>
      </c>
      <c r="J222" s="92">
        <v>1202010217</v>
      </c>
      <c r="K222" s="14"/>
      <c r="L222" s="95" t="s">
        <v>725</v>
      </c>
      <c r="M222" s="69" t="s">
        <v>726</v>
      </c>
      <c r="N222" s="69"/>
      <c r="O222" s="94">
        <v>1</v>
      </c>
      <c r="P222" s="69" t="s">
        <v>50</v>
      </c>
      <c r="Q222" s="69" t="s">
        <v>51</v>
      </c>
      <c r="R222" s="69"/>
      <c r="S222" s="46">
        <v>44910</v>
      </c>
      <c r="T222" s="48">
        <v>44910</v>
      </c>
      <c r="U222" s="69"/>
      <c r="V222" s="69"/>
      <c r="W222" s="69"/>
      <c r="X222" s="69"/>
      <c r="Y222" s="69" t="s">
        <v>4131</v>
      </c>
      <c r="Z222" s="43">
        <v>143664</v>
      </c>
      <c r="AA222" s="43" t="s">
        <v>52</v>
      </c>
      <c r="AB222" s="43" t="s">
        <v>53</v>
      </c>
      <c r="AC222" s="43">
        <v>3650</v>
      </c>
      <c r="AD222" s="141">
        <v>10</v>
      </c>
      <c r="AE222" s="142">
        <v>0</v>
      </c>
      <c r="AF222" s="142"/>
      <c r="AG222" s="69" t="str">
        <f t="shared" si="120"/>
        <v>2 years 18 days</v>
      </c>
      <c r="AH222" s="69">
        <v>2</v>
      </c>
      <c r="AI222" s="69">
        <v>18</v>
      </c>
      <c r="AJ222" s="69">
        <v>0</v>
      </c>
      <c r="AK222" s="69">
        <v>0</v>
      </c>
      <c r="AL222" s="60">
        <v>143664</v>
      </c>
      <c r="AM222" s="60">
        <f t="shared" si="121"/>
        <v>143664</v>
      </c>
      <c r="AN222" s="59">
        <v>29441</v>
      </c>
      <c r="AO222" s="148">
        <f t="shared" si="122"/>
        <v>-29441</v>
      </c>
      <c r="AP222" s="58">
        <v>7124.4400000000023</v>
      </c>
      <c r="AQ222" s="143">
        <f t="shared" si="123"/>
        <v>-7124.44</v>
      </c>
    </row>
    <row r="223" spans="1:43" x14ac:dyDescent="0.35">
      <c r="A223" s="69" t="s">
        <v>43</v>
      </c>
      <c r="B223" s="15" t="s">
        <v>727</v>
      </c>
      <c r="C223" s="15"/>
      <c r="D223" s="69" t="e">
        <f>_xlfn.XLOOKUP(B223,SOM!B:B,SOM!D:D,,0)</f>
        <v>#N/A</v>
      </c>
      <c r="E223" s="76">
        <v>6</v>
      </c>
      <c r="F223" s="69" t="s">
        <v>259</v>
      </c>
      <c r="G223" s="10" t="s">
        <v>260</v>
      </c>
      <c r="H223" s="15">
        <v>9007000059</v>
      </c>
      <c r="I223" s="92" t="s">
        <v>261</v>
      </c>
      <c r="J223" s="92">
        <v>1202010217</v>
      </c>
      <c r="K223" s="14"/>
      <c r="L223" s="95" t="s">
        <v>728</v>
      </c>
      <c r="M223" s="69" t="s">
        <v>729</v>
      </c>
      <c r="N223" s="69"/>
      <c r="O223" s="94">
        <v>1</v>
      </c>
      <c r="P223" s="69" t="s">
        <v>50</v>
      </c>
      <c r="Q223" s="69" t="s">
        <v>51</v>
      </c>
      <c r="R223" s="69"/>
      <c r="S223" s="46">
        <v>45108</v>
      </c>
      <c r="T223" s="48">
        <v>45108</v>
      </c>
      <c r="U223" s="69"/>
      <c r="V223" s="69"/>
      <c r="W223" s="69"/>
      <c r="X223" s="69"/>
      <c r="Y223" s="69" t="s">
        <v>4129</v>
      </c>
      <c r="Z223" s="43">
        <v>165540</v>
      </c>
      <c r="AA223" s="43" t="s">
        <v>52</v>
      </c>
      <c r="AB223" s="43" t="s">
        <v>53</v>
      </c>
      <c r="AC223" s="43">
        <v>3650</v>
      </c>
      <c r="AD223" s="141">
        <v>10</v>
      </c>
      <c r="AE223" s="142">
        <v>0</v>
      </c>
      <c r="AF223" s="142"/>
      <c r="AG223" s="69" t="str">
        <f t="shared" si="120"/>
        <v>1 years 185 days</v>
      </c>
      <c r="AH223" s="69">
        <v>1</v>
      </c>
      <c r="AI223" s="69">
        <v>185</v>
      </c>
      <c r="AJ223" s="69">
        <v>0</v>
      </c>
      <c r="AK223" s="69">
        <v>0</v>
      </c>
      <c r="AL223" s="60">
        <v>165540</v>
      </c>
      <c r="AM223" s="60">
        <f t="shared" si="121"/>
        <v>165540</v>
      </c>
      <c r="AN223" s="59">
        <v>24944</v>
      </c>
      <c r="AO223" s="148">
        <f t="shared" si="122"/>
        <v>-24944</v>
      </c>
      <c r="AP223" s="58">
        <v>8209.3534246575364</v>
      </c>
      <c r="AQ223" s="143">
        <f t="shared" si="123"/>
        <v>-8209.35</v>
      </c>
    </row>
    <row r="224" spans="1:43" x14ac:dyDescent="0.35">
      <c r="A224" s="69" t="s">
        <v>43</v>
      </c>
      <c r="B224" s="15" t="s">
        <v>730</v>
      </c>
      <c r="C224" s="15"/>
      <c r="D224" s="69" t="e">
        <f>_xlfn.XLOOKUP(B224,SOM!B:B,SOM!D:D,,0)</f>
        <v>#N/A</v>
      </c>
      <c r="E224" s="76">
        <v>7</v>
      </c>
      <c r="F224" s="69" t="s">
        <v>259</v>
      </c>
      <c r="G224" s="10" t="s">
        <v>260</v>
      </c>
      <c r="H224" s="15">
        <v>9007000059</v>
      </c>
      <c r="I224" s="92" t="s">
        <v>261</v>
      </c>
      <c r="J224" s="92">
        <v>1202010217</v>
      </c>
      <c r="K224" s="14"/>
      <c r="L224" s="95" t="s">
        <v>731</v>
      </c>
      <c r="M224" s="69" t="s">
        <v>732</v>
      </c>
      <c r="N224" s="69"/>
      <c r="O224" s="94">
        <v>1</v>
      </c>
      <c r="P224" s="69" t="s">
        <v>50</v>
      </c>
      <c r="Q224" s="69" t="s">
        <v>51</v>
      </c>
      <c r="R224" s="69"/>
      <c r="S224" s="46">
        <v>45112</v>
      </c>
      <c r="T224" s="48">
        <v>45112</v>
      </c>
      <c r="U224" s="69"/>
      <c r="V224" s="69"/>
      <c r="W224" s="69"/>
      <c r="X224" s="69"/>
      <c r="Y224" s="69" t="s">
        <v>4129</v>
      </c>
      <c r="Z224" s="43">
        <v>175731</v>
      </c>
      <c r="AA224" s="43" t="s">
        <v>52</v>
      </c>
      <c r="AB224" s="43" t="s">
        <v>53</v>
      </c>
      <c r="AC224" s="43">
        <v>3650</v>
      </c>
      <c r="AD224" s="141">
        <v>10</v>
      </c>
      <c r="AE224" s="142">
        <v>0</v>
      </c>
      <c r="AF224" s="142"/>
      <c r="AG224" s="69" t="str">
        <f t="shared" si="120"/>
        <v>1 years 181 days</v>
      </c>
      <c r="AH224" s="69">
        <v>1</v>
      </c>
      <c r="AI224" s="69">
        <v>181</v>
      </c>
      <c r="AJ224" s="69">
        <v>0</v>
      </c>
      <c r="AK224" s="69">
        <v>0</v>
      </c>
      <c r="AL224" s="60">
        <v>175731</v>
      </c>
      <c r="AM224" s="60">
        <f t="shared" si="121"/>
        <v>175731</v>
      </c>
      <c r="AN224" s="59">
        <v>26287</v>
      </c>
      <c r="AO224" s="148">
        <f t="shared" si="122"/>
        <v>-26287</v>
      </c>
      <c r="AP224" s="58">
        <v>8714.7635616438347</v>
      </c>
      <c r="AQ224" s="143">
        <f t="shared" si="123"/>
        <v>-8714.76</v>
      </c>
    </row>
    <row r="225" spans="1:43" x14ac:dyDescent="0.35">
      <c r="A225" s="69" t="s">
        <v>43</v>
      </c>
      <c r="B225" s="15" t="s">
        <v>733</v>
      </c>
      <c r="C225" s="15"/>
      <c r="D225" s="69" t="e">
        <f>_xlfn.XLOOKUP(B225,SOM!B:B,SOM!D:D,,0)</f>
        <v>#N/A</v>
      </c>
      <c r="E225" s="76">
        <v>8</v>
      </c>
      <c r="F225" s="69" t="s">
        <v>259</v>
      </c>
      <c r="G225" s="10" t="s">
        <v>260</v>
      </c>
      <c r="H225" s="15">
        <v>9007000059</v>
      </c>
      <c r="I225" s="92" t="s">
        <v>261</v>
      </c>
      <c r="J225" s="92">
        <v>1202010217</v>
      </c>
      <c r="K225" s="14" t="s">
        <v>734</v>
      </c>
      <c r="L225" s="95" t="s">
        <v>735</v>
      </c>
      <c r="M225" s="69" t="s">
        <v>49</v>
      </c>
      <c r="N225" s="69"/>
      <c r="O225" s="94">
        <v>1</v>
      </c>
      <c r="P225" s="69" t="s">
        <v>50</v>
      </c>
      <c r="Q225" s="69" t="s">
        <v>51</v>
      </c>
      <c r="R225" s="69"/>
      <c r="S225" s="46">
        <v>45161</v>
      </c>
      <c r="T225" s="48">
        <v>45161</v>
      </c>
      <c r="U225" s="69"/>
      <c r="V225" s="69"/>
      <c r="W225" s="69"/>
      <c r="X225" s="69"/>
      <c r="Y225" s="69" t="s">
        <v>4129</v>
      </c>
      <c r="Z225" s="43">
        <v>275305</v>
      </c>
      <c r="AA225" s="43" t="s">
        <v>52</v>
      </c>
      <c r="AB225" s="43" t="s">
        <v>53</v>
      </c>
      <c r="AC225" s="43">
        <v>3650</v>
      </c>
      <c r="AD225" s="141">
        <v>10</v>
      </c>
      <c r="AE225" s="142">
        <v>0</v>
      </c>
      <c r="AF225" s="142"/>
      <c r="AG225" s="69" t="str">
        <f t="shared" si="120"/>
        <v>1 years 132 days</v>
      </c>
      <c r="AH225" s="69">
        <v>1</v>
      </c>
      <c r="AI225" s="69">
        <v>132</v>
      </c>
      <c r="AJ225" s="69">
        <v>0</v>
      </c>
      <c r="AK225" s="69">
        <v>0</v>
      </c>
      <c r="AL225" s="60">
        <v>275305</v>
      </c>
      <c r="AM225" s="60">
        <f t="shared" si="121"/>
        <v>275305</v>
      </c>
      <c r="AN225" s="59">
        <v>37487</v>
      </c>
      <c r="AO225" s="148">
        <f t="shared" si="122"/>
        <v>-37487</v>
      </c>
      <c r="AP225" s="58">
        <v>13651.846575342468</v>
      </c>
      <c r="AQ225" s="143">
        <f t="shared" si="123"/>
        <v>-13651.85</v>
      </c>
    </row>
    <row r="226" spans="1:43" x14ac:dyDescent="0.35">
      <c r="A226" s="69" t="s">
        <v>43</v>
      </c>
      <c r="B226" s="15" t="s">
        <v>736</v>
      </c>
      <c r="C226" s="15"/>
      <c r="D226" s="69" t="e">
        <f>_xlfn.XLOOKUP(B226,SOM!B:B,SOM!D:D,,0)</f>
        <v>#N/A</v>
      </c>
      <c r="E226" s="76">
        <v>9</v>
      </c>
      <c r="F226" s="69" t="s">
        <v>259</v>
      </c>
      <c r="G226" s="10" t="s">
        <v>260</v>
      </c>
      <c r="H226" s="15">
        <v>9007000059</v>
      </c>
      <c r="I226" s="92" t="s">
        <v>261</v>
      </c>
      <c r="J226" s="92">
        <v>1202010217</v>
      </c>
      <c r="K226" s="19"/>
      <c r="L226" s="95" t="s">
        <v>737</v>
      </c>
      <c r="M226" s="69" t="s">
        <v>738</v>
      </c>
      <c r="N226" s="69"/>
      <c r="O226" s="94">
        <v>1</v>
      </c>
      <c r="P226" s="69" t="s">
        <v>50</v>
      </c>
      <c r="Q226" s="69" t="s">
        <v>51</v>
      </c>
      <c r="R226" s="69"/>
      <c r="S226" s="46">
        <v>44865</v>
      </c>
      <c r="T226" s="48">
        <v>44865</v>
      </c>
      <c r="U226" s="69"/>
      <c r="V226" s="69"/>
      <c r="W226" s="69"/>
      <c r="X226" s="69"/>
      <c r="Y226" s="69" t="s">
        <v>4131</v>
      </c>
      <c r="Z226" s="43">
        <v>240000</v>
      </c>
      <c r="AA226" s="43" t="s">
        <v>52</v>
      </c>
      <c r="AB226" s="43" t="s">
        <v>53</v>
      </c>
      <c r="AC226" s="43">
        <v>3650</v>
      </c>
      <c r="AD226" s="141">
        <v>10</v>
      </c>
      <c r="AE226" s="142">
        <v>0</v>
      </c>
      <c r="AF226" s="142"/>
      <c r="AG226" s="69" t="str">
        <f t="shared" si="120"/>
        <v>2 years 63 days</v>
      </c>
      <c r="AH226" s="69">
        <v>2</v>
      </c>
      <c r="AI226" s="69">
        <v>63</v>
      </c>
      <c r="AJ226" s="69">
        <v>0</v>
      </c>
      <c r="AK226" s="69">
        <v>0</v>
      </c>
      <c r="AL226" s="60">
        <v>240000</v>
      </c>
      <c r="AM226" s="60">
        <f t="shared" si="121"/>
        <v>240000</v>
      </c>
      <c r="AN226" s="59">
        <v>163244</v>
      </c>
      <c r="AO226" s="148">
        <f t="shared" si="122"/>
        <v>-163244</v>
      </c>
      <c r="AP226" s="58">
        <v>11901.108444329875</v>
      </c>
      <c r="AQ226" s="143">
        <f t="shared" si="123"/>
        <v>-11901.11</v>
      </c>
    </row>
    <row r="227" spans="1:43" x14ac:dyDescent="0.35">
      <c r="A227" s="69" t="s">
        <v>43</v>
      </c>
      <c r="B227" s="15" t="s">
        <v>739</v>
      </c>
      <c r="C227" s="15"/>
      <c r="D227" s="69" t="e">
        <f>_xlfn.XLOOKUP(B227,SOM!B:B,SOM!D:D,,0)</f>
        <v>#N/A</v>
      </c>
      <c r="E227" s="76">
        <v>10</v>
      </c>
      <c r="F227" s="69" t="s">
        <v>259</v>
      </c>
      <c r="G227" s="10" t="s">
        <v>260</v>
      </c>
      <c r="H227" s="15">
        <v>9007000059</v>
      </c>
      <c r="I227" s="92" t="s">
        <v>261</v>
      </c>
      <c r="J227" s="92">
        <v>1202010217</v>
      </c>
      <c r="K227" s="19"/>
      <c r="L227" s="95" t="s">
        <v>740</v>
      </c>
      <c r="M227" s="69" t="s">
        <v>741</v>
      </c>
      <c r="N227" s="69"/>
      <c r="O227" s="94">
        <v>1</v>
      </c>
      <c r="P227" s="69" t="s">
        <v>50</v>
      </c>
      <c r="Q227" s="69" t="s">
        <v>51</v>
      </c>
      <c r="R227" s="69"/>
      <c r="S227" s="46">
        <v>44865</v>
      </c>
      <c r="T227" s="48">
        <v>44865</v>
      </c>
      <c r="U227" s="69"/>
      <c r="V227" s="69"/>
      <c r="W227" s="69"/>
      <c r="X227" s="69"/>
      <c r="Y227" s="69" t="s">
        <v>4131</v>
      </c>
      <c r="Z227" s="43">
        <v>58440</v>
      </c>
      <c r="AA227" s="43" t="s">
        <v>52</v>
      </c>
      <c r="AB227" s="43" t="s">
        <v>53</v>
      </c>
      <c r="AC227" s="43">
        <v>3650</v>
      </c>
      <c r="AD227" s="141">
        <v>10</v>
      </c>
      <c r="AE227" s="142">
        <v>0</v>
      </c>
      <c r="AF227" s="142"/>
      <c r="AG227" s="69" t="str">
        <f t="shared" si="120"/>
        <v>2 years 63 days</v>
      </c>
      <c r="AH227" s="69">
        <v>2</v>
      </c>
      <c r="AI227" s="69">
        <v>63</v>
      </c>
      <c r="AJ227" s="69">
        <v>0</v>
      </c>
      <c r="AK227" s="69">
        <v>0</v>
      </c>
      <c r="AL227" s="60">
        <v>58440</v>
      </c>
      <c r="AM227" s="60">
        <f t="shared" si="121"/>
        <v>58440</v>
      </c>
      <c r="AN227" s="59">
        <v>33223</v>
      </c>
      <c r="AO227" s="148">
        <f t="shared" si="122"/>
        <v>-33223</v>
      </c>
      <c r="AP227" s="58">
        <v>2897.7232876712369</v>
      </c>
      <c r="AQ227" s="143">
        <f t="shared" si="123"/>
        <v>-2897.72</v>
      </c>
    </row>
    <row r="228" spans="1:43" x14ac:dyDescent="0.35">
      <c r="A228" s="69" t="s">
        <v>43</v>
      </c>
      <c r="B228" s="15" t="s">
        <v>742</v>
      </c>
      <c r="C228" s="15"/>
      <c r="D228" s="69"/>
      <c r="E228" s="76">
        <v>0</v>
      </c>
      <c r="F228" s="69" t="s">
        <v>259</v>
      </c>
      <c r="G228" s="10" t="s">
        <v>260</v>
      </c>
      <c r="H228" s="15">
        <v>9007000060</v>
      </c>
      <c r="I228" s="92" t="s">
        <v>743</v>
      </c>
      <c r="J228" s="92">
        <v>1202010218</v>
      </c>
      <c r="K228" s="112" t="s">
        <v>744</v>
      </c>
      <c r="L228" s="95" t="s">
        <v>745</v>
      </c>
      <c r="M228" s="69" t="s">
        <v>746</v>
      </c>
      <c r="N228" s="69"/>
      <c r="O228" s="94">
        <v>1</v>
      </c>
      <c r="P228" s="69" t="s">
        <v>50</v>
      </c>
      <c r="Q228" s="69" t="s">
        <v>51</v>
      </c>
      <c r="R228" s="69"/>
      <c r="S228" s="46">
        <v>41913</v>
      </c>
      <c r="T228" s="48">
        <v>43191</v>
      </c>
      <c r="U228" s="69"/>
      <c r="V228" s="69"/>
      <c r="W228" s="69"/>
      <c r="X228" s="69"/>
      <c r="Y228" s="69" t="s">
        <v>4125</v>
      </c>
      <c r="Z228" s="43">
        <v>43000</v>
      </c>
      <c r="AA228" s="43" t="s">
        <v>52</v>
      </c>
      <c r="AB228" s="43" t="s">
        <v>53</v>
      </c>
      <c r="AC228" s="43">
        <v>2373</v>
      </c>
      <c r="AD228" s="141">
        <v>6</v>
      </c>
      <c r="AE228" s="142">
        <v>6</v>
      </c>
      <c r="AF228" s="142"/>
      <c r="AG228" s="69" t="str">
        <f>_xlfn.CONCAT(AH228," years ",AI228," days")</f>
        <v>6 years 183 days</v>
      </c>
      <c r="AH228" s="69">
        <v>6</v>
      </c>
      <c r="AI228" s="69">
        <v>183</v>
      </c>
      <c r="AJ228" s="69">
        <v>0</v>
      </c>
      <c r="AK228" s="69">
        <v>0</v>
      </c>
      <c r="AL228" s="60">
        <v>43000</v>
      </c>
      <c r="AM228" s="60">
        <f>ROUND(AL228,2)</f>
        <v>43000</v>
      </c>
      <c r="AN228" s="59">
        <v>43000</v>
      </c>
      <c r="AO228" s="148">
        <f>ROUND(AN228,2)*-1</f>
        <v>-43000</v>
      </c>
      <c r="AP228" s="58">
        <v>0</v>
      </c>
      <c r="AQ228" s="143">
        <f>ROUND(AP228,2)*-1</f>
        <v>0</v>
      </c>
    </row>
    <row r="229" spans="1:43" x14ac:dyDescent="0.35">
      <c r="A229" s="69" t="s">
        <v>43</v>
      </c>
      <c r="B229" s="15" t="s">
        <v>747</v>
      </c>
      <c r="C229" s="15"/>
      <c r="D229" s="69"/>
      <c r="E229" s="76">
        <v>0</v>
      </c>
      <c r="F229" s="69" t="s">
        <v>259</v>
      </c>
      <c r="G229" s="10" t="s">
        <v>260</v>
      </c>
      <c r="H229" s="15">
        <v>9007000061</v>
      </c>
      <c r="I229" s="92" t="s">
        <v>743</v>
      </c>
      <c r="J229" s="92">
        <v>1202010218</v>
      </c>
      <c r="K229" s="112" t="s">
        <v>748</v>
      </c>
      <c r="L229" s="95" t="s">
        <v>749</v>
      </c>
      <c r="M229" s="69" t="s">
        <v>49</v>
      </c>
      <c r="N229" s="69"/>
      <c r="O229" s="94">
        <v>1</v>
      </c>
      <c r="P229" s="69" t="s">
        <v>50</v>
      </c>
      <c r="Q229" s="69" t="s">
        <v>51</v>
      </c>
      <c r="R229" s="69"/>
      <c r="S229" s="46">
        <v>41958</v>
      </c>
      <c r="T229" s="48">
        <v>43191</v>
      </c>
      <c r="U229" s="69"/>
      <c r="V229" s="69"/>
      <c r="W229" s="69"/>
      <c r="X229" s="69"/>
      <c r="Y229" s="69" t="s">
        <v>4125</v>
      </c>
      <c r="Z229" s="43">
        <v>4600</v>
      </c>
      <c r="AA229" s="43" t="s">
        <v>52</v>
      </c>
      <c r="AB229" s="43" t="s">
        <v>53</v>
      </c>
      <c r="AC229" s="43">
        <v>584</v>
      </c>
      <c r="AD229" s="141">
        <v>1</v>
      </c>
      <c r="AE229" s="142">
        <v>7</v>
      </c>
      <c r="AF229" s="142"/>
      <c r="AG229" s="69" t="str">
        <f>_xlfn.CONCAT(AH229," years ",AI229," days")</f>
        <v>1 years 219 days</v>
      </c>
      <c r="AH229" s="69">
        <v>1</v>
      </c>
      <c r="AI229" s="69">
        <v>219</v>
      </c>
      <c r="AJ229" s="69">
        <v>0</v>
      </c>
      <c r="AK229" s="69">
        <v>0</v>
      </c>
      <c r="AL229" s="60">
        <v>4600</v>
      </c>
      <c r="AM229" s="60">
        <f>ROUND(AL229,2)</f>
        <v>4600</v>
      </c>
      <c r="AN229" s="59">
        <v>4600</v>
      </c>
      <c r="AO229" s="148">
        <f>ROUND(AN229,2)*-1</f>
        <v>-4600</v>
      </c>
      <c r="AP229" s="58">
        <v>0</v>
      </c>
      <c r="AQ229" s="143">
        <f>ROUND(AP229,2)*-1</f>
        <v>0</v>
      </c>
    </row>
    <row r="230" spans="1:43" x14ac:dyDescent="0.35">
      <c r="A230" s="69" t="s">
        <v>43</v>
      </c>
      <c r="B230" s="15" t="s">
        <v>750</v>
      </c>
      <c r="C230" s="15"/>
      <c r="D230" s="69"/>
      <c r="E230" s="76">
        <v>0</v>
      </c>
      <c r="F230" s="69" t="s">
        <v>259</v>
      </c>
      <c r="G230" s="10" t="s">
        <v>260</v>
      </c>
      <c r="H230" s="15">
        <v>9007000062</v>
      </c>
      <c r="I230" s="92" t="s">
        <v>743</v>
      </c>
      <c r="J230" s="92">
        <v>1202010218</v>
      </c>
      <c r="K230" s="112" t="s">
        <v>751</v>
      </c>
      <c r="L230" s="95" t="s">
        <v>752</v>
      </c>
      <c r="M230" s="69" t="s">
        <v>753</v>
      </c>
      <c r="N230" s="69"/>
      <c r="O230" s="94">
        <v>1</v>
      </c>
      <c r="P230" s="69" t="s">
        <v>50</v>
      </c>
      <c r="Q230" s="69" t="s">
        <v>51</v>
      </c>
      <c r="R230" s="69"/>
      <c r="S230" s="46">
        <v>44263</v>
      </c>
      <c r="T230" s="48">
        <v>44263</v>
      </c>
      <c r="U230" s="69"/>
      <c r="V230" s="69"/>
      <c r="W230" s="69"/>
      <c r="X230" s="69"/>
      <c r="Y230" s="69" t="s">
        <v>4128</v>
      </c>
      <c r="Z230" s="43">
        <v>11475</v>
      </c>
      <c r="AA230" s="43" t="s">
        <v>52</v>
      </c>
      <c r="AB230" s="43" t="s">
        <v>53</v>
      </c>
      <c r="AC230" s="43">
        <v>3650</v>
      </c>
      <c r="AD230" s="141">
        <v>10</v>
      </c>
      <c r="AE230" s="142">
        <v>0</v>
      </c>
      <c r="AF230" s="142"/>
      <c r="AG230" s="69" t="str">
        <f>_xlfn.CONCAT(AH230," years ",AI230," days")</f>
        <v>3 years 300 days</v>
      </c>
      <c r="AH230" s="69">
        <v>3</v>
      </c>
      <c r="AI230" s="69">
        <v>300</v>
      </c>
      <c r="AJ230" s="69">
        <v>0</v>
      </c>
      <c r="AK230" s="69">
        <v>0</v>
      </c>
      <c r="AL230" s="60">
        <v>11475</v>
      </c>
      <c r="AM230" s="60">
        <f>ROUND(AL230,2)</f>
        <v>11475</v>
      </c>
      <c r="AN230" s="59">
        <v>4386</v>
      </c>
      <c r="AO230" s="148">
        <f>ROUND(AN230,2)*-1</f>
        <v>-4386</v>
      </c>
      <c r="AP230" s="58">
        <v>568.68493150684844</v>
      </c>
      <c r="AQ230" s="143">
        <f>ROUND(AP230,2)*-1</f>
        <v>-568.67999999999995</v>
      </c>
    </row>
    <row r="231" spans="1:43" x14ac:dyDescent="0.35">
      <c r="A231" s="69" t="s">
        <v>43</v>
      </c>
      <c r="B231" s="15" t="s">
        <v>754</v>
      </c>
      <c r="C231" s="15"/>
      <c r="D231" s="69"/>
      <c r="E231" s="76">
        <v>0</v>
      </c>
      <c r="F231" s="69" t="s">
        <v>259</v>
      </c>
      <c r="G231" s="10" t="s">
        <v>260</v>
      </c>
      <c r="H231" s="15">
        <v>9007000063</v>
      </c>
      <c r="I231" s="92" t="s">
        <v>743</v>
      </c>
      <c r="J231" s="92">
        <v>1202010218</v>
      </c>
      <c r="K231" s="112" t="s">
        <v>755</v>
      </c>
      <c r="L231" s="95" t="s">
        <v>756</v>
      </c>
      <c r="M231" s="69" t="s">
        <v>757</v>
      </c>
      <c r="N231" s="69"/>
      <c r="O231" s="94">
        <v>1</v>
      </c>
      <c r="P231" s="69" t="s">
        <v>50</v>
      </c>
      <c r="Q231" s="69" t="s">
        <v>51</v>
      </c>
      <c r="R231" s="69"/>
      <c r="S231" s="46">
        <v>41958</v>
      </c>
      <c r="T231" s="48">
        <v>43191</v>
      </c>
      <c r="U231" s="69"/>
      <c r="V231" s="69"/>
      <c r="W231" s="69"/>
      <c r="X231" s="69"/>
      <c r="Y231" s="69" t="s">
        <v>4125</v>
      </c>
      <c r="Z231" s="43">
        <v>16000</v>
      </c>
      <c r="AA231" s="43" t="s">
        <v>52</v>
      </c>
      <c r="AB231" s="43" t="s">
        <v>53</v>
      </c>
      <c r="AC231" s="43">
        <v>2409</v>
      </c>
      <c r="AD231" s="141">
        <v>6</v>
      </c>
      <c r="AE231" s="142">
        <v>7</v>
      </c>
      <c r="AF231" s="142"/>
      <c r="AG231" s="69" t="str">
        <f>_xlfn.CONCAT(AH231," years ",AI231," days")</f>
        <v>6 years 219 days</v>
      </c>
      <c r="AH231" s="69">
        <v>6</v>
      </c>
      <c r="AI231" s="69">
        <v>219</v>
      </c>
      <c r="AJ231" s="69">
        <v>0</v>
      </c>
      <c r="AK231" s="69">
        <v>0</v>
      </c>
      <c r="AL231" s="60">
        <v>16000</v>
      </c>
      <c r="AM231" s="60">
        <f>ROUND(AL231,2)</f>
        <v>16000</v>
      </c>
      <c r="AN231" s="59">
        <v>16000</v>
      </c>
      <c r="AO231" s="148">
        <f>ROUND(AN231,2)*-1</f>
        <v>-16000</v>
      </c>
      <c r="AP231" s="58">
        <v>0</v>
      </c>
      <c r="AQ231" s="143">
        <f>ROUND(AP231,2)*-1</f>
        <v>0</v>
      </c>
    </row>
    <row r="232" spans="1:43" x14ac:dyDescent="0.35">
      <c r="A232" s="69" t="s">
        <v>43</v>
      </c>
      <c r="B232" s="15" t="s">
        <v>758</v>
      </c>
      <c r="C232" s="15"/>
      <c r="D232" s="69"/>
      <c r="E232" s="76">
        <v>0</v>
      </c>
      <c r="F232" s="69" t="s">
        <v>259</v>
      </c>
      <c r="G232" s="10" t="s">
        <v>260</v>
      </c>
      <c r="H232" s="15">
        <v>9007000064</v>
      </c>
      <c r="I232" s="92" t="s">
        <v>743</v>
      </c>
      <c r="J232" s="92">
        <v>1202010218</v>
      </c>
      <c r="K232" s="112" t="s">
        <v>759</v>
      </c>
      <c r="L232" s="95" t="s">
        <v>760</v>
      </c>
      <c r="M232" s="69" t="s">
        <v>761</v>
      </c>
      <c r="N232" s="69"/>
      <c r="O232" s="94">
        <v>2</v>
      </c>
      <c r="P232" s="69" t="s">
        <v>50</v>
      </c>
      <c r="Q232" s="69" t="s">
        <v>51</v>
      </c>
      <c r="R232" s="69"/>
      <c r="S232" s="46">
        <v>45199</v>
      </c>
      <c r="T232" s="48">
        <v>45199</v>
      </c>
      <c r="U232" s="69"/>
      <c r="V232" s="69"/>
      <c r="W232" s="69"/>
      <c r="X232" s="69"/>
      <c r="Y232" s="69" t="s">
        <v>4129</v>
      </c>
      <c r="Z232" s="43">
        <v>52871</v>
      </c>
      <c r="AA232" s="43" t="s">
        <v>52</v>
      </c>
      <c r="AB232" s="43" t="s">
        <v>53</v>
      </c>
      <c r="AC232" s="43">
        <v>3650</v>
      </c>
      <c r="AD232" s="141">
        <v>10</v>
      </c>
      <c r="AE232" s="142">
        <v>0</v>
      </c>
      <c r="AF232" s="142"/>
      <c r="AG232" s="69" t="str">
        <f t="shared" ref="AG232:AG233" si="124">_xlfn.CONCAT(AH232," years ",AI232," days")</f>
        <v>1 years 94 days</v>
      </c>
      <c r="AH232" s="69">
        <v>1</v>
      </c>
      <c r="AI232" s="69">
        <v>94</v>
      </c>
      <c r="AJ232" s="69">
        <v>0</v>
      </c>
      <c r="AK232" s="69">
        <v>0</v>
      </c>
      <c r="AL232" s="60">
        <v>52871</v>
      </c>
      <c r="AM232" s="60">
        <f t="shared" ref="AM232:AM233" si="125">ROUND(AL232,2)</f>
        <v>52871</v>
      </c>
      <c r="AN232" s="59">
        <v>6649</v>
      </c>
      <c r="AO232" s="148">
        <f t="shared" ref="AO232:AO233" si="126">ROUND(AN232,2)*-1</f>
        <v>-6649</v>
      </c>
      <c r="AP232" s="58">
        <v>2621.5315068493146</v>
      </c>
      <c r="AQ232" s="143">
        <f t="shared" ref="AQ232:AQ233" si="127">ROUND(AP232,2)*-1</f>
        <v>-2621.53</v>
      </c>
    </row>
    <row r="233" spans="1:43" x14ac:dyDescent="0.35">
      <c r="A233" s="69" t="s">
        <v>43</v>
      </c>
      <c r="B233" s="15" t="s">
        <v>762</v>
      </c>
      <c r="C233" s="15"/>
      <c r="D233" s="69" t="e">
        <f>_xlfn.XLOOKUP(B233,SOM!B:B,SOM!D:D,,0)</f>
        <v>#N/A</v>
      </c>
      <c r="E233" s="76">
        <v>1</v>
      </c>
      <c r="F233" s="69" t="s">
        <v>259</v>
      </c>
      <c r="G233" s="10" t="s">
        <v>260</v>
      </c>
      <c r="H233" s="15">
        <v>9007000064</v>
      </c>
      <c r="I233" s="92" t="s">
        <v>743</v>
      </c>
      <c r="J233" s="92">
        <v>1202010218</v>
      </c>
      <c r="K233" s="14"/>
      <c r="L233" s="95" t="s">
        <v>763</v>
      </c>
      <c r="M233" s="69" t="s">
        <v>764</v>
      </c>
      <c r="N233" s="69"/>
      <c r="O233" s="94">
        <v>2</v>
      </c>
      <c r="P233" s="69" t="s">
        <v>50</v>
      </c>
      <c r="Q233" s="69" t="s">
        <v>51</v>
      </c>
      <c r="R233" s="69"/>
      <c r="S233" s="46">
        <v>44651</v>
      </c>
      <c r="T233" s="48">
        <v>44651</v>
      </c>
      <c r="U233" s="69"/>
      <c r="V233" s="69"/>
      <c r="W233" s="69"/>
      <c r="X233" s="69"/>
      <c r="Y233" s="69" t="s">
        <v>4131</v>
      </c>
      <c r="Z233" s="43">
        <v>70500</v>
      </c>
      <c r="AA233" s="43" t="s">
        <v>52</v>
      </c>
      <c r="AB233" s="43" t="s">
        <v>53</v>
      </c>
      <c r="AC233" s="43">
        <v>3650</v>
      </c>
      <c r="AD233" s="141">
        <v>10</v>
      </c>
      <c r="AE233" s="142">
        <v>0</v>
      </c>
      <c r="AF233" s="142"/>
      <c r="AG233" s="69" t="str">
        <f t="shared" si="124"/>
        <v>2 years 277 days</v>
      </c>
      <c r="AH233" s="69">
        <v>2</v>
      </c>
      <c r="AI233" s="69">
        <v>277</v>
      </c>
      <c r="AJ233" s="69">
        <v>0</v>
      </c>
      <c r="AK233" s="69">
        <v>0</v>
      </c>
      <c r="AL233" s="60">
        <v>70500</v>
      </c>
      <c r="AM233" s="60">
        <f t="shared" si="125"/>
        <v>70500</v>
      </c>
      <c r="AN233" s="59">
        <v>19470</v>
      </c>
      <c r="AO233" s="148">
        <f t="shared" si="126"/>
        <v>-19470</v>
      </c>
      <c r="AP233" s="58">
        <v>3495.6164383561663</v>
      </c>
      <c r="AQ233" s="143">
        <f t="shared" si="127"/>
        <v>-3495.62</v>
      </c>
    </row>
    <row r="234" spans="1:43" x14ac:dyDescent="0.35">
      <c r="A234" s="69" t="s">
        <v>43</v>
      </c>
      <c r="B234" s="15" t="s">
        <v>765</v>
      </c>
      <c r="C234" s="15"/>
      <c r="D234" s="69"/>
      <c r="E234" s="76">
        <v>0</v>
      </c>
      <c r="F234" s="69" t="s">
        <v>259</v>
      </c>
      <c r="G234" s="10" t="s">
        <v>260</v>
      </c>
      <c r="H234" s="15">
        <v>9007000065</v>
      </c>
      <c r="I234" s="92" t="s">
        <v>743</v>
      </c>
      <c r="J234" s="92">
        <v>1202010218</v>
      </c>
      <c r="K234" s="113" t="s">
        <v>766</v>
      </c>
      <c r="L234" s="95" t="s">
        <v>767</v>
      </c>
      <c r="M234" s="69" t="s">
        <v>768</v>
      </c>
      <c r="N234" s="69"/>
      <c r="O234" s="94">
        <v>2</v>
      </c>
      <c r="P234" s="69" t="s">
        <v>50</v>
      </c>
      <c r="Q234" s="69" t="s">
        <v>51</v>
      </c>
      <c r="R234" s="69"/>
      <c r="S234" s="46">
        <v>44713</v>
      </c>
      <c r="T234" s="48">
        <v>44713</v>
      </c>
      <c r="U234" s="69"/>
      <c r="V234" s="69"/>
      <c r="W234" s="69"/>
      <c r="X234" s="69"/>
      <c r="Y234" s="69" t="s">
        <v>4131</v>
      </c>
      <c r="Z234" s="43">
        <v>415500</v>
      </c>
      <c r="AA234" s="43" t="s">
        <v>52</v>
      </c>
      <c r="AB234" s="43" t="s">
        <v>53</v>
      </c>
      <c r="AC234" s="43">
        <v>3650</v>
      </c>
      <c r="AD234" s="141">
        <v>10</v>
      </c>
      <c r="AE234" s="142">
        <v>0</v>
      </c>
      <c r="AF234" s="142"/>
      <c r="AG234" s="69" t="str">
        <f>_xlfn.CONCAT(AH234," years ",AI234," days")</f>
        <v>2 years 215 days</v>
      </c>
      <c r="AH234" s="69">
        <v>2</v>
      </c>
      <c r="AI234" s="69">
        <v>215</v>
      </c>
      <c r="AJ234" s="69">
        <v>0</v>
      </c>
      <c r="AK234" s="69">
        <v>0</v>
      </c>
      <c r="AL234" s="60">
        <v>415500</v>
      </c>
      <c r="AM234" s="60">
        <f>ROUND(AL234,2)</f>
        <v>415500</v>
      </c>
      <c r="AN234" s="59">
        <v>107575</v>
      </c>
      <c r="AO234" s="148">
        <f>ROUND(AN234,2)*-1</f>
        <v>-107575</v>
      </c>
      <c r="AP234" s="58">
        <v>20603.904109589042</v>
      </c>
      <c r="AQ234" s="143">
        <f>ROUND(AP234,2)*-1</f>
        <v>-20603.900000000001</v>
      </c>
    </row>
    <row r="235" spans="1:43" x14ac:dyDescent="0.35">
      <c r="A235" s="69" t="s">
        <v>43</v>
      </c>
      <c r="B235" s="15" t="s">
        <v>769</v>
      </c>
      <c r="C235" s="15"/>
      <c r="D235" s="69"/>
      <c r="E235" s="76">
        <v>0</v>
      </c>
      <c r="F235" s="69" t="s">
        <v>259</v>
      </c>
      <c r="G235" s="10" t="s">
        <v>260</v>
      </c>
      <c r="H235" s="15">
        <v>9007000066</v>
      </c>
      <c r="I235" s="92" t="s">
        <v>743</v>
      </c>
      <c r="J235" s="92">
        <v>1202010218</v>
      </c>
      <c r="K235" s="25" t="s">
        <v>770</v>
      </c>
      <c r="L235" s="95" t="s">
        <v>771</v>
      </c>
      <c r="M235" s="69" t="s">
        <v>772</v>
      </c>
      <c r="N235" s="69"/>
      <c r="O235" s="94">
        <v>1</v>
      </c>
      <c r="P235" s="69" t="s">
        <v>50</v>
      </c>
      <c r="Q235" s="69" t="s">
        <v>51</v>
      </c>
      <c r="R235" s="69"/>
      <c r="S235" s="46">
        <v>45012</v>
      </c>
      <c r="T235" s="48">
        <v>45012</v>
      </c>
      <c r="U235" s="69"/>
      <c r="V235" s="69"/>
      <c r="W235" s="69"/>
      <c r="X235" s="69"/>
      <c r="Y235" s="69" t="s">
        <v>4129</v>
      </c>
      <c r="Z235" s="43">
        <v>190000</v>
      </c>
      <c r="AA235" s="43" t="s">
        <v>52</v>
      </c>
      <c r="AB235" s="43" t="s">
        <v>53</v>
      </c>
      <c r="AC235" s="43">
        <v>3650</v>
      </c>
      <c r="AD235" s="141">
        <v>10</v>
      </c>
      <c r="AE235" s="142">
        <v>0</v>
      </c>
      <c r="AF235" s="142"/>
      <c r="AG235" s="69" t="str">
        <f>_xlfn.CONCAT(AH235," years ",AI235," days")</f>
        <v>1 years 281 days</v>
      </c>
      <c r="AH235" s="69">
        <v>1</v>
      </c>
      <c r="AI235" s="69">
        <v>281</v>
      </c>
      <c r="AJ235" s="69">
        <v>0</v>
      </c>
      <c r="AK235" s="69">
        <v>0</v>
      </c>
      <c r="AL235" s="60">
        <v>190000</v>
      </c>
      <c r="AM235" s="60">
        <f>ROUND(AL235,2)</f>
        <v>190000</v>
      </c>
      <c r="AN235" s="59">
        <v>33627</v>
      </c>
      <c r="AO235" s="148">
        <f>ROUND(AN235,2)*-1</f>
        <v>-33627</v>
      </c>
      <c r="AP235" s="58">
        <v>9422.3150684931461</v>
      </c>
      <c r="AQ235" s="143">
        <f>ROUND(AP235,2)*-1</f>
        <v>-9422.32</v>
      </c>
    </row>
    <row r="236" spans="1:43" x14ac:dyDescent="0.35">
      <c r="A236" s="69" t="s">
        <v>43</v>
      </c>
      <c r="B236" s="15" t="s">
        <v>773</v>
      </c>
      <c r="C236" s="15"/>
      <c r="D236" s="69"/>
      <c r="E236" s="76">
        <v>0</v>
      </c>
      <c r="F236" s="69" t="s">
        <v>259</v>
      </c>
      <c r="G236" s="10" t="s">
        <v>260</v>
      </c>
      <c r="H236" s="15">
        <v>9007000067</v>
      </c>
      <c r="I236" s="92" t="s">
        <v>743</v>
      </c>
      <c r="J236" s="92">
        <v>1202010218</v>
      </c>
      <c r="K236" s="26" t="s">
        <v>774</v>
      </c>
      <c r="L236" s="95" t="s">
        <v>775</v>
      </c>
      <c r="M236" s="69" t="s">
        <v>776</v>
      </c>
      <c r="N236" s="69"/>
      <c r="O236" s="94">
        <v>1</v>
      </c>
      <c r="P236" s="69" t="s">
        <v>50</v>
      </c>
      <c r="Q236" s="69" t="s">
        <v>51</v>
      </c>
      <c r="R236" s="69"/>
      <c r="S236" s="46">
        <v>44883</v>
      </c>
      <c r="T236" s="48">
        <v>44883</v>
      </c>
      <c r="U236" s="69"/>
      <c r="V236" s="69"/>
      <c r="W236" s="69"/>
      <c r="X236" s="69"/>
      <c r="Y236" s="69" t="s">
        <v>4131</v>
      </c>
      <c r="Z236" s="43">
        <v>66000</v>
      </c>
      <c r="AA236" s="43" t="s">
        <v>52</v>
      </c>
      <c r="AB236" s="43" t="s">
        <v>53</v>
      </c>
      <c r="AC236" s="43">
        <v>3650</v>
      </c>
      <c r="AD236" s="141">
        <v>10</v>
      </c>
      <c r="AE236" s="142">
        <v>0</v>
      </c>
      <c r="AF236" s="142"/>
      <c r="AG236" s="69" t="str">
        <f>_xlfn.CONCAT(AH236," years ",AI236," days")</f>
        <v>2 years 45 days</v>
      </c>
      <c r="AH236" s="69">
        <v>2</v>
      </c>
      <c r="AI236" s="69">
        <v>45</v>
      </c>
      <c r="AJ236" s="69">
        <v>0</v>
      </c>
      <c r="AK236" s="69">
        <v>0</v>
      </c>
      <c r="AL236" s="60">
        <v>66000</v>
      </c>
      <c r="AM236" s="60">
        <f>ROUND(AL236,2)</f>
        <v>66000</v>
      </c>
      <c r="AN236" s="59">
        <v>14864</v>
      </c>
      <c r="AO236" s="148">
        <f>ROUND(AN236,2)*-1</f>
        <v>-14864</v>
      </c>
      <c r="AP236" s="58">
        <v>3272.4383561643845</v>
      </c>
      <c r="AQ236" s="143">
        <f>ROUND(AP236,2)*-1</f>
        <v>-3272.44</v>
      </c>
    </row>
    <row r="237" spans="1:43" x14ac:dyDescent="0.35">
      <c r="A237" s="69" t="s">
        <v>43</v>
      </c>
      <c r="B237" s="15" t="s">
        <v>777</v>
      </c>
      <c r="C237" s="15"/>
      <c r="D237" s="69"/>
      <c r="E237" s="76">
        <v>0</v>
      </c>
      <c r="F237" s="69" t="s">
        <v>259</v>
      </c>
      <c r="G237" s="10" t="s">
        <v>260</v>
      </c>
      <c r="H237" s="15">
        <v>9007000068</v>
      </c>
      <c r="I237" s="92" t="s">
        <v>743</v>
      </c>
      <c r="J237" s="92">
        <v>1202010218</v>
      </c>
      <c r="K237" s="114" t="s">
        <v>778</v>
      </c>
      <c r="L237" s="95" t="s">
        <v>779</v>
      </c>
      <c r="M237" s="69" t="s">
        <v>780</v>
      </c>
      <c r="N237" s="69"/>
      <c r="O237" s="94">
        <v>2</v>
      </c>
      <c r="P237" s="69" t="s">
        <v>50</v>
      </c>
      <c r="Q237" s="69" t="s">
        <v>51</v>
      </c>
      <c r="R237" s="69"/>
      <c r="S237" s="46">
        <v>45501</v>
      </c>
      <c r="T237" s="48">
        <v>45501</v>
      </c>
      <c r="U237" s="69"/>
      <c r="V237" s="69"/>
      <c r="W237" s="69"/>
      <c r="X237" s="69"/>
      <c r="Y237" s="69" t="s">
        <v>4130</v>
      </c>
      <c r="Z237" s="43">
        <v>92000</v>
      </c>
      <c r="AA237" s="43" t="s">
        <v>52</v>
      </c>
      <c r="AB237" s="43" t="s">
        <v>53</v>
      </c>
      <c r="AC237" s="43">
        <v>3650</v>
      </c>
      <c r="AD237" s="141">
        <v>10</v>
      </c>
      <c r="AE237" s="142">
        <v>0</v>
      </c>
      <c r="AF237" s="142"/>
      <c r="AG237" s="69" t="str">
        <f>_xlfn.CONCAT(AH237," years ",AI237," days")</f>
        <v>0 years 157 days</v>
      </c>
      <c r="AH237" s="69">
        <v>0</v>
      </c>
      <c r="AI237" s="69">
        <v>157</v>
      </c>
      <c r="AJ237" s="69">
        <v>0</v>
      </c>
      <c r="AK237" s="69">
        <v>0</v>
      </c>
      <c r="AL237" s="60">
        <v>92000</v>
      </c>
      <c r="AM237" s="60">
        <f>ROUND(AL237,2)</f>
        <v>92000</v>
      </c>
      <c r="AN237" s="59">
        <v>3957</v>
      </c>
      <c r="AO237" s="148">
        <f>ROUND(AN237,2)*-1</f>
        <v>-3957</v>
      </c>
      <c r="AP237" s="58">
        <v>4562.4520547945212</v>
      </c>
      <c r="AQ237" s="143">
        <f>ROUND(AP237,2)*-1</f>
        <v>-4562.45</v>
      </c>
    </row>
    <row r="238" spans="1:43" x14ac:dyDescent="0.35">
      <c r="A238" s="69" t="s">
        <v>43</v>
      </c>
      <c r="B238" s="15" t="s">
        <v>781</v>
      </c>
      <c r="C238" s="15"/>
      <c r="D238" s="69"/>
      <c r="E238" s="76">
        <v>0</v>
      </c>
      <c r="F238" s="69" t="s">
        <v>259</v>
      </c>
      <c r="G238" s="10" t="s">
        <v>260</v>
      </c>
      <c r="H238" s="15">
        <v>9007000069</v>
      </c>
      <c r="I238" s="92" t="s">
        <v>261</v>
      </c>
      <c r="J238" s="92">
        <v>1202010217</v>
      </c>
      <c r="K238" s="21" t="s">
        <v>782</v>
      </c>
      <c r="L238" s="95" t="s">
        <v>783</v>
      </c>
      <c r="M238" s="69" t="s">
        <v>784</v>
      </c>
      <c r="N238" s="69"/>
      <c r="O238" s="94">
        <v>2</v>
      </c>
      <c r="P238" s="69" t="s">
        <v>50</v>
      </c>
      <c r="Q238" s="69" t="s">
        <v>51</v>
      </c>
      <c r="R238" s="69"/>
      <c r="S238" s="46">
        <v>44296</v>
      </c>
      <c r="T238" s="48">
        <v>44296</v>
      </c>
      <c r="U238" s="69"/>
      <c r="V238" s="69"/>
      <c r="W238" s="69"/>
      <c r="X238" s="69"/>
      <c r="Y238" s="69" t="s">
        <v>4128</v>
      </c>
      <c r="Z238" s="43">
        <v>116000</v>
      </c>
      <c r="AA238" s="43" t="s">
        <v>52</v>
      </c>
      <c r="AB238" s="43" t="s">
        <v>53</v>
      </c>
      <c r="AC238" s="43">
        <v>3650</v>
      </c>
      <c r="AD238" s="141">
        <v>10</v>
      </c>
      <c r="AE238" s="142">
        <v>0</v>
      </c>
      <c r="AF238" s="142"/>
      <c r="AG238" s="69" t="str">
        <f t="shared" ref="AG238:AG240" si="128">_xlfn.CONCAT(AH238," years ",AI238," days")</f>
        <v>3 years 267 days</v>
      </c>
      <c r="AH238" s="69">
        <v>3</v>
      </c>
      <c r="AI238" s="69">
        <v>267</v>
      </c>
      <c r="AJ238" s="69">
        <v>0</v>
      </c>
      <c r="AK238" s="69">
        <v>0</v>
      </c>
      <c r="AL238" s="60">
        <v>116000</v>
      </c>
      <c r="AM238" s="60">
        <f t="shared" ref="AM238:AM240" si="129">ROUND(AL238,2)</f>
        <v>116000</v>
      </c>
      <c r="AN238" s="59">
        <v>43285</v>
      </c>
      <c r="AO238" s="148">
        <f t="shared" ref="AO238:AO240" si="130">ROUND(AN238,2)*-1</f>
        <v>-43285</v>
      </c>
      <c r="AP238" s="58">
        <v>5752.808219178085</v>
      </c>
      <c r="AQ238" s="143">
        <f t="shared" ref="AQ238:AQ240" si="131">ROUND(AP238,2)*-1</f>
        <v>-5752.81</v>
      </c>
    </row>
    <row r="239" spans="1:43" x14ac:dyDescent="0.35">
      <c r="A239" s="69" t="s">
        <v>43</v>
      </c>
      <c r="B239" s="15" t="s">
        <v>785</v>
      </c>
      <c r="C239" s="15"/>
      <c r="D239" s="69" t="e">
        <f>_xlfn.XLOOKUP(B239,SOM!B:B,SOM!D:D,,0)</f>
        <v>#N/A</v>
      </c>
      <c r="E239" s="76">
        <v>1</v>
      </c>
      <c r="F239" s="69" t="s">
        <v>259</v>
      </c>
      <c r="G239" s="10" t="s">
        <v>260</v>
      </c>
      <c r="H239" s="15">
        <v>9007000069</v>
      </c>
      <c r="I239" s="92" t="s">
        <v>261</v>
      </c>
      <c r="J239" s="92">
        <v>1202010217</v>
      </c>
      <c r="K239" s="19"/>
      <c r="L239" s="95" t="s">
        <v>786</v>
      </c>
      <c r="M239" s="69" t="s">
        <v>787</v>
      </c>
      <c r="N239" s="69"/>
      <c r="O239" s="94">
        <v>1</v>
      </c>
      <c r="P239" s="69" t="s">
        <v>50</v>
      </c>
      <c r="Q239" s="69" t="s">
        <v>51</v>
      </c>
      <c r="R239" s="69"/>
      <c r="S239" s="46">
        <v>43493</v>
      </c>
      <c r="T239" s="48">
        <v>43493</v>
      </c>
      <c r="U239" s="69"/>
      <c r="V239" s="69"/>
      <c r="W239" s="69"/>
      <c r="X239" s="69"/>
      <c r="Y239" s="69" t="s">
        <v>4126</v>
      </c>
      <c r="Z239" s="43">
        <v>13960</v>
      </c>
      <c r="AA239" s="43" t="s">
        <v>52</v>
      </c>
      <c r="AB239" s="43" t="s">
        <v>53</v>
      </c>
      <c r="AC239" s="43">
        <v>3650</v>
      </c>
      <c r="AD239" s="141">
        <v>10</v>
      </c>
      <c r="AE239" s="142">
        <v>0</v>
      </c>
      <c r="AF239" s="142"/>
      <c r="AG239" s="69" t="str">
        <f t="shared" si="128"/>
        <v>5 years 340 days</v>
      </c>
      <c r="AH239" s="69">
        <v>5</v>
      </c>
      <c r="AI239" s="69">
        <v>340</v>
      </c>
      <c r="AJ239" s="69">
        <v>0</v>
      </c>
      <c r="AK239" s="69">
        <v>0</v>
      </c>
      <c r="AL239" s="60">
        <v>13960</v>
      </c>
      <c r="AM239" s="60">
        <f t="shared" si="129"/>
        <v>13960</v>
      </c>
      <c r="AN239" s="59">
        <v>8277</v>
      </c>
      <c r="AO239" s="148">
        <f t="shared" si="130"/>
        <v>-8277</v>
      </c>
      <c r="AP239" s="58">
        <v>691.82191780821813</v>
      </c>
      <c r="AQ239" s="143">
        <f t="shared" si="131"/>
        <v>-691.82</v>
      </c>
    </row>
    <row r="240" spans="1:43" x14ac:dyDescent="0.35">
      <c r="A240" s="69" t="s">
        <v>43</v>
      </c>
      <c r="B240" s="15" t="s">
        <v>788</v>
      </c>
      <c r="C240" s="15"/>
      <c r="D240" s="69" t="e">
        <f>_xlfn.XLOOKUP(B240,SOM!B:B,SOM!D:D,,0)</f>
        <v>#N/A</v>
      </c>
      <c r="E240" s="76">
        <v>2</v>
      </c>
      <c r="F240" s="69" t="s">
        <v>259</v>
      </c>
      <c r="G240" s="10" t="s">
        <v>260</v>
      </c>
      <c r="H240" s="15">
        <v>9007000069</v>
      </c>
      <c r="I240" s="92" t="s">
        <v>261</v>
      </c>
      <c r="J240" s="92">
        <v>1202010217</v>
      </c>
      <c r="K240" s="19"/>
      <c r="L240" s="95" t="s">
        <v>789</v>
      </c>
      <c r="M240" s="69" t="s">
        <v>790</v>
      </c>
      <c r="N240" s="69"/>
      <c r="O240" s="94">
        <v>2</v>
      </c>
      <c r="P240" s="69" t="s">
        <v>50</v>
      </c>
      <c r="Q240" s="69" t="s">
        <v>51</v>
      </c>
      <c r="R240" s="69"/>
      <c r="S240" s="46">
        <v>44288</v>
      </c>
      <c r="T240" s="48">
        <v>44288</v>
      </c>
      <c r="U240" s="69"/>
      <c r="V240" s="69"/>
      <c r="W240" s="69"/>
      <c r="X240" s="69"/>
      <c r="Y240" s="69" t="s">
        <v>4128</v>
      </c>
      <c r="Z240" s="43">
        <v>116000</v>
      </c>
      <c r="AA240" s="43" t="s">
        <v>52</v>
      </c>
      <c r="AB240" s="43" t="s">
        <v>53</v>
      </c>
      <c r="AC240" s="43">
        <v>3650</v>
      </c>
      <c r="AD240" s="141">
        <v>10</v>
      </c>
      <c r="AE240" s="142">
        <v>0</v>
      </c>
      <c r="AF240" s="142"/>
      <c r="AG240" s="69" t="str">
        <f t="shared" si="128"/>
        <v>3 years 275 days</v>
      </c>
      <c r="AH240" s="69">
        <v>3</v>
      </c>
      <c r="AI240" s="69">
        <v>275</v>
      </c>
      <c r="AJ240" s="69">
        <v>0</v>
      </c>
      <c r="AK240" s="69">
        <v>0</v>
      </c>
      <c r="AL240" s="60">
        <v>116000</v>
      </c>
      <c r="AM240" s="60">
        <f t="shared" si="129"/>
        <v>116000</v>
      </c>
      <c r="AN240" s="59">
        <v>43540</v>
      </c>
      <c r="AO240" s="148">
        <f t="shared" si="130"/>
        <v>-43540</v>
      </c>
      <c r="AP240" s="58">
        <v>5752.0547945205471</v>
      </c>
      <c r="AQ240" s="143">
        <f t="shared" si="131"/>
        <v>-5752.05</v>
      </c>
    </row>
    <row r="241" spans="1:43" x14ac:dyDescent="0.35">
      <c r="A241" s="69" t="s">
        <v>43</v>
      </c>
      <c r="B241" s="15" t="s">
        <v>791</v>
      </c>
      <c r="C241" s="15"/>
      <c r="D241" s="69"/>
      <c r="E241" s="76">
        <v>0</v>
      </c>
      <c r="F241" s="69" t="s">
        <v>259</v>
      </c>
      <c r="G241" s="10" t="s">
        <v>260</v>
      </c>
      <c r="H241" s="14">
        <v>9007000070</v>
      </c>
      <c r="I241" s="92" t="s">
        <v>261</v>
      </c>
      <c r="J241" s="92">
        <v>1202010217</v>
      </c>
      <c r="K241" s="14" t="s">
        <v>792</v>
      </c>
      <c r="L241" s="95" t="s">
        <v>793</v>
      </c>
      <c r="M241" s="69" t="s">
        <v>794</v>
      </c>
      <c r="N241" s="69"/>
      <c r="O241" s="94">
        <v>1</v>
      </c>
      <c r="P241" s="69" t="s">
        <v>50</v>
      </c>
      <c r="Q241" s="69" t="s">
        <v>51</v>
      </c>
      <c r="R241" s="69"/>
      <c r="S241" s="46">
        <v>44053</v>
      </c>
      <c r="T241" s="48">
        <v>44053</v>
      </c>
      <c r="U241" s="69"/>
      <c r="V241" s="69"/>
      <c r="W241" s="69"/>
      <c r="X241" s="69"/>
      <c r="Y241" s="69" t="s">
        <v>4127</v>
      </c>
      <c r="Z241" s="43">
        <v>16000</v>
      </c>
      <c r="AA241" s="43" t="s">
        <v>52</v>
      </c>
      <c r="AB241" s="43" t="s">
        <v>53</v>
      </c>
      <c r="AC241" s="43">
        <v>3650</v>
      </c>
      <c r="AD241" s="141">
        <v>10</v>
      </c>
      <c r="AE241" s="142">
        <v>0</v>
      </c>
      <c r="AF241" s="142"/>
      <c r="AG241" s="69" t="str">
        <f>_xlfn.CONCAT(AH241," years ",AI241," days")</f>
        <v>4 years 145 days</v>
      </c>
      <c r="AH241" s="69">
        <v>4</v>
      </c>
      <c r="AI241" s="69">
        <v>145</v>
      </c>
      <c r="AJ241" s="69">
        <v>0</v>
      </c>
      <c r="AK241" s="69">
        <v>0</v>
      </c>
      <c r="AL241" s="60">
        <v>16000</v>
      </c>
      <c r="AM241" s="60">
        <f>ROUND(AL241,2)</f>
        <v>16000</v>
      </c>
      <c r="AN241" s="59">
        <v>7036</v>
      </c>
      <c r="AO241" s="148">
        <f>ROUND(AN241,2)*-1</f>
        <v>-7036</v>
      </c>
      <c r="AP241" s="58">
        <v>793.04109589041036</v>
      </c>
      <c r="AQ241" s="143">
        <f>ROUND(AP241,2)*-1</f>
        <v>-793.04</v>
      </c>
    </row>
    <row r="242" spans="1:43" x14ac:dyDescent="0.35">
      <c r="A242" s="69" t="s">
        <v>43</v>
      </c>
      <c r="B242" s="15" t="s">
        <v>795</v>
      </c>
      <c r="C242" s="15"/>
      <c r="D242" s="69"/>
      <c r="E242" s="76">
        <v>0</v>
      </c>
      <c r="F242" s="69" t="s">
        <v>259</v>
      </c>
      <c r="G242" s="10" t="s">
        <v>260</v>
      </c>
      <c r="H242" s="14">
        <v>9007000071</v>
      </c>
      <c r="I242" s="92" t="s">
        <v>261</v>
      </c>
      <c r="J242" s="92">
        <v>1202010217</v>
      </c>
      <c r="K242" s="14" t="s">
        <v>796</v>
      </c>
      <c r="L242" s="95" t="s">
        <v>797</v>
      </c>
      <c r="M242" s="69" t="s">
        <v>798</v>
      </c>
      <c r="N242" s="69"/>
      <c r="O242" s="94">
        <v>1</v>
      </c>
      <c r="P242" s="69" t="s">
        <v>50</v>
      </c>
      <c r="Q242" s="69" t="s">
        <v>51</v>
      </c>
      <c r="R242" s="69"/>
      <c r="S242" s="46">
        <v>44344</v>
      </c>
      <c r="T242" s="48">
        <v>44344</v>
      </c>
      <c r="U242" s="69"/>
      <c r="V242" s="69"/>
      <c r="W242" s="69"/>
      <c r="X242" s="69"/>
      <c r="Y242" s="69" t="s">
        <v>4128</v>
      </c>
      <c r="Z242" s="43">
        <v>16500</v>
      </c>
      <c r="AA242" s="43" t="s">
        <v>52</v>
      </c>
      <c r="AB242" s="43" t="s">
        <v>53</v>
      </c>
      <c r="AC242" s="43">
        <v>3650</v>
      </c>
      <c r="AD242" s="141">
        <v>10</v>
      </c>
      <c r="AE242" s="142">
        <v>0</v>
      </c>
      <c r="AF242" s="142"/>
      <c r="AG242" s="69" t="str">
        <f>_xlfn.CONCAT(AH242," years ",AI242," days")</f>
        <v>3 years 219 days</v>
      </c>
      <c r="AH242" s="69">
        <v>3</v>
      </c>
      <c r="AI242" s="69">
        <v>219</v>
      </c>
      <c r="AJ242" s="69">
        <v>0</v>
      </c>
      <c r="AK242" s="69">
        <v>0</v>
      </c>
      <c r="AL242" s="60">
        <v>16500</v>
      </c>
      <c r="AM242" s="60">
        <f>ROUND(AL242,2)</f>
        <v>16500</v>
      </c>
      <c r="AN242" s="59">
        <v>5940</v>
      </c>
      <c r="AO242" s="148">
        <f>ROUND(AN242,2)*-1</f>
        <v>-5940</v>
      </c>
      <c r="AP242" s="58">
        <v>818.21917808219132</v>
      </c>
      <c r="AQ242" s="143">
        <f>ROUND(AP242,2)*-1</f>
        <v>-818.22</v>
      </c>
    </row>
    <row r="243" spans="1:43" x14ac:dyDescent="0.35">
      <c r="A243" s="69" t="s">
        <v>43</v>
      </c>
      <c r="B243" s="15" t="s">
        <v>799</v>
      </c>
      <c r="C243" s="15"/>
      <c r="D243" s="69"/>
      <c r="E243" s="76">
        <v>0</v>
      </c>
      <c r="F243" s="69" t="s">
        <v>259</v>
      </c>
      <c r="G243" s="10" t="s">
        <v>260</v>
      </c>
      <c r="H243" s="14">
        <v>9007000072</v>
      </c>
      <c r="I243" s="92" t="s">
        <v>261</v>
      </c>
      <c r="J243" s="92">
        <v>1202010217</v>
      </c>
      <c r="K243" s="14" t="s">
        <v>800</v>
      </c>
      <c r="L243" s="95" t="s">
        <v>801</v>
      </c>
      <c r="M243" s="69" t="s">
        <v>802</v>
      </c>
      <c r="N243" s="69"/>
      <c r="O243" s="94">
        <v>2</v>
      </c>
      <c r="P243" s="69" t="s">
        <v>50</v>
      </c>
      <c r="Q243" s="69" t="s">
        <v>51</v>
      </c>
      <c r="R243" s="69"/>
      <c r="S243" s="46">
        <v>44459</v>
      </c>
      <c r="T243" s="48">
        <v>44459</v>
      </c>
      <c r="U243" s="69"/>
      <c r="V243" s="69"/>
      <c r="W243" s="69"/>
      <c r="X243" s="69"/>
      <c r="Y243" s="69" t="s">
        <v>4128</v>
      </c>
      <c r="Z243" s="43">
        <v>37000</v>
      </c>
      <c r="AA243" s="43" t="s">
        <v>52</v>
      </c>
      <c r="AB243" s="43" t="s">
        <v>53</v>
      </c>
      <c r="AC243" s="43">
        <v>3650</v>
      </c>
      <c r="AD243" s="141">
        <v>10</v>
      </c>
      <c r="AE243" s="142">
        <v>0</v>
      </c>
      <c r="AF243" s="142"/>
      <c r="AG243" s="69" t="str">
        <f>_xlfn.CONCAT(AH243," years ",AI243," days")</f>
        <v>3 years 104 days</v>
      </c>
      <c r="AH243" s="69">
        <v>3</v>
      </c>
      <c r="AI243" s="69">
        <v>104</v>
      </c>
      <c r="AJ243" s="69">
        <v>0</v>
      </c>
      <c r="AK243" s="69">
        <v>0</v>
      </c>
      <c r="AL243" s="60">
        <v>37000</v>
      </c>
      <c r="AM243" s="60">
        <f>ROUND(AL243,2)</f>
        <v>37000</v>
      </c>
      <c r="AN243" s="59">
        <v>12154</v>
      </c>
      <c r="AO243" s="148">
        <f>ROUND(AN243,2)*-1</f>
        <v>-12154</v>
      </c>
      <c r="AP243" s="58">
        <v>1835.0410958904104</v>
      </c>
      <c r="AQ243" s="143">
        <f>ROUND(AP243,2)*-1</f>
        <v>-1835.04</v>
      </c>
    </row>
    <row r="244" spans="1:43" x14ac:dyDescent="0.35">
      <c r="A244" s="69" t="s">
        <v>43</v>
      </c>
      <c r="B244" s="15" t="s">
        <v>803</v>
      </c>
      <c r="C244" s="15"/>
      <c r="D244" s="69"/>
      <c r="E244" s="76">
        <v>0</v>
      </c>
      <c r="F244" s="69" t="s">
        <v>259</v>
      </c>
      <c r="G244" s="10" t="s">
        <v>260</v>
      </c>
      <c r="H244" s="15">
        <v>9007000073</v>
      </c>
      <c r="I244" s="92" t="s">
        <v>261</v>
      </c>
      <c r="J244" s="92">
        <v>1202010217</v>
      </c>
      <c r="K244" s="14" t="s">
        <v>804</v>
      </c>
      <c r="L244" s="95" t="s">
        <v>805</v>
      </c>
      <c r="M244" s="69" t="s">
        <v>49</v>
      </c>
      <c r="N244" s="69"/>
      <c r="O244" s="94">
        <v>1</v>
      </c>
      <c r="P244" s="69" t="s">
        <v>50</v>
      </c>
      <c r="Q244" s="69" t="s">
        <v>51</v>
      </c>
      <c r="R244" s="69"/>
      <c r="S244" s="46">
        <v>39577</v>
      </c>
      <c r="T244" s="48">
        <v>43191</v>
      </c>
      <c r="U244" s="69"/>
      <c r="V244" s="69"/>
      <c r="W244" s="69"/>
      <c r="X244" s="69"/>
      <c r="Y244" s="69" t="s">
        <v>4125</v>
      </c>
      <c r="Z244" s="43">
        <v>6250</v>
      </c>
      <c r="AA244" s="43" t="s">
        <v>52</v>
      </c>
      <c r="AB244" s="43" t="s">
        <v>53</v>
      </c>
      <c r="AC244" s="43">
        <v>365</v>
      </c>
      <c r="AD244" s="141">
        <v>1</v>
      </c>
      <c r="AE244" s="142">
        <v>0</v>
      </c>
      <c r="AF244" s="142"/>
      <c r="AG244" s="69" t="str">
        <f>_xlfn.CONCAT(AH244," years ",AI244," days")</f>
        <v>1 years 0 days</v>
      </c>
      <c r="AH244" s="69">
        <v>1</v>
      </c>
      <c r="AI244" s="69">
        <v>0</v>
      </c>
      <c r="AJ244" s="69">
        <v>0</v>
      </c>
      <c r="AK244" s="69">
        <v>0</v>
      </c>
      <c r="AL244" s="60">
        <v>6250</v>
      </c>
      <c r="AM244" s="60">
        <f>ROUND(AL244,2)</f>
        <v>6250</v>
      </c>
      <c r="AN244" s="59">
        <v>6250</v>
      </c>
      <c r="AO244" s="148">
        <f>ROUND(AN244,2)*-1</f>
        <v>-6250</v>
      </c>
      <c r="AP244" s="58">
        <v>0</v>
      </c>
      <c r="AQ244" s="143">
        <f>ROUND(AP244,2)*-1</f>
        <v>0</v>
      </c>
    </row>
    <row r="245" spans="1:43" x14ac:dyDescent="0.35">
      <c r="A245" s="69" t="s">
        <v>43</v>
      </c>
      <c r="B245" s="15" t="s">
        <v>806</v>
      </c>
      <c r="C245" s="15"/>
      <c r="D245" s="69"/>
      <c r="E245" s="76">
        <v>0</v>
      </c>
      <c r="F245" s="69" t="s">
        <v>259</v>
      </c>
      <c r="G245" s="10" t="s">
        <v>260</v>
      </c>
      <c r="H245" s="14">
        <v>9007000074</v>
      </c>
      <c r="I245" s="92" t="s">
        <v>261</v>
      </c>
      <c r="J245" s="92">
        <v>1202010217</v>
      </c>
      <c r="K245" s="14" t="s">
        <v>807</v>
      </c>
      <c r="L245" s="95" t="s">
        <v>808</v>
      </c>
      <c r="M245" s="69" t="s">
        <v>809</v>
      </c>
      <c r="N245" s="69"/>
      <c r="O245" s="94">
        <v>1</v>
      </c>
      <c r="P245" s="69" t="s">
        <v>50</v>
      </c>
      <c r="Q245" s="69" t="s">
        <v>51</v>
      </c>
      <c r="R245" s="69"/>
      <c r="S245" s="46">
        <v>41076</v>
      </c>
      <c r="T245" s="48">
        <v>43191</v>
      </c>
      <c r="U245" s="69"/>
      <c r="V245" s="69"/>
      <c r="W245" s="69"/>
      <c r="X245" s="69"/>
      <c r="Y245" s="69" t="s">
        <v>4125</v>
      </c>
      <c r="Z245" s="43">
        <v>13000</v>
      </c>
      <c r="AA245" s="43" t="s">
        <v>52</v>
      </c>
      <c r="AB245" s="43" t="s">
        <v>53</v>
      </c>
      <c r="AC245" s="43">
        <v>1533</v>
      </c>
      <c r="AD245" s="141">
        <v>4</v>
      </c>
      <c r="AE245" s="142">
        <v>2</v>
      </c>
      <c r="AF245" s="142"/>
      <c r="AG245" s="69" t="str">
        <f t="shared" ref="AG245:AG246" si="132">_xlfn.CONCAT(AH245," years ",AI245," days")</f>
        <v>4 years 73 days</v>
      </c>
      <c r="AH245" s="69">
        <v>4</v>
      </c>
      <c r="AI245" s="69">
        <v>73</v>
      </c>
      <c r="AJ245" s="69">
        <v>0</v>
      </c>
      <c r="AK245" s="69">
        <v>0</v>
      </c>
      <c r="AL245" s="60">
        <v>13000</v>
      </c>
      <c r="AM245" s="60">
        <f t="shared" ref="AM245:AM246" si="133">ROUND(AL245,2)</f>
        <v>13000</v>
      </c>
      <c r="AN245" s="59">
        <v>13000</v>
      </c>
      <c r="AO245" s="148">
        <f t="shared" ref="AO245:AO246" si="134">ROUND(AN245,2)*-1</f>
        <v>-13000</v>
      </c>
      <c r="AP245" s="58">
        <v>0</v>
      </c>
      <c r="AQ245" s="143">
        <f t="shared" ref="AQ245:AQ246" si="135">ROUND(AP245,2)*-1</f>
        <v>0</v>
      </c>
    </row>
    <row r="246" spans="1:43" x14ac:dyDescent="0.35">
      <c r="A246" s="69" t="s">
        <v>43</v>
      </c>
      <c r="B246" s="15" t="s">
        <v>810</v>
      </c>
      <c r="C246" s="15"/>
      <c r="D246" s="69" t="e">
        <f>_xlfn.XLOOKUP(B246,SOM!B:B,SOM!D:D,,0)</f>
        <v>#N/A</v>
      </c>
      <c r="E246" s="76">
        <v>1</v>
      </c>
      <c r="F246" s="69" t="s">
        <v>259</v>
      </c>
      <c r="G246" s="10" t="s">
        <v>260</v>
      </c>
      <c r="H246" s="15">
        <v>9007000074</v>
      </c>
      <c r="I246" s="92" t="s">
        <v>261</v>
      </c>
      <c r="J246" s="92">
        <v>1202010217</v>
      </c>
      <c r="K246" s="19"/>
      <c r="L246" s="95" t="s">
        <v>811</v>
      </c>
      <c r="M246" s="69" t="s">
        <v>812</v>
      </c>
      <c r="N246" s="69"/>
      <c r="O246" s="94">
        <v>1</v>
      </c>
      <c r="P246" s="69" t="s">
        <v>50</v>
      </c>
      <c r="Q246" s="69" t="s">
        <v>51</v>
      </c>
      <c r="R246" s="69"/>
      <c r="S246" s="46">
        <v>44638</v>
      </c>
      <c r="T246" s="48">
        <v>44638</v>
      </c>
      <c r="U246" s="69"/>
      <c r="V246" s="69"/>
      <c r="W246" s="69"/>
      <c r="X246" s="69"/>
      <c r="Y246" s="69" t="s">
        <v>4131</v>
      </c>
      <c r="Z246" s="43">
        <v>40000</v>
      </c>
      <c r="AA246" s="43" t="s">
        <v>52</v>
      </c>
      <c r="AB246" s="43" t="s">
        <v>53</v>
      </c>
      <c r="AC246" s="43">
        <v>3650</v>
      </c>
      <c r="AD246" s="141">
        <v>10</v>
      </c>
      <c r="AE246" s="142">
        <v>0</v>
      </c>
      <c r="AF246" s="142"/>
      <c r="AG246" s="69" t="str">
        <f t="shared" si="132"/>
        <v>2 years 290 days</v>
      </c>
      <c r="AH246" s="69">
        <v>2</v>
      </c>
      <c r="AI246" s="69">
        <v>290</v>
      </c>
      <c r="AJ246" s="69">
        <v>0</v>
      </c>
      <c r="AK246" s="69">
        <v>0</v>
      </c>
      <c r="AL246" s="60">
        <v>40000</v>
      </c>
      <c r="AM246" s="60">
        <f t="shared" si="133"/>
        <v>40000</v>
      </c>
      <c r="AN246" s="59">
        <v>11178</v>
      </c>
      <c r="AO246" s="148">
        <f t="shared" si="134"/>
        <v>-11178</v>
      </c>
      <c r="AP246" s="58">
        <v>1983.6438356164381</v>
      </c>
      <c r="AQ246" s="143">
        <f t="shared" si="135"/>
        <v>-1983.64</v>
      </c>
    </row>
    <row r="247" spans="1:43" x14ac:dyDescent="0.35">
      <c r="A247" s="69" t="s">
        <v>43</v>
      </c>
      <c r="B247" s="15" t="s">
        <v>813</v>
      </c>
      <c r="C247" s="15"/>
      <c r="D247" s="69"/>
      <c r="E247" s="76">
        <v>0</v>
      </c>
      <c r="F247" s="69" t="s">
        <v>259</v>
      </c>
      <c r="G247" s="10" t="s">
        <v>260</v>
      </c>
      <c r="H247" s="14">
        <v>9007000075</v>
      </c>
      <c r="I247" s="92" t="s">
        <v>261</v>
      </c>
      <c r="J247" s="92">
        <v>1202010217</v>
      </c>
      <c r="K247" s="14" t="s">
        <v>814</v>
      </c>
      <c r="L247" s="95" t="s">
        <v>815</v>
      </c>
      <c r="M247" s="69" t="s">
        <v>816</v>
      </c>
      <c r="N247" s="69"/>
      <c r="O247" s="94">
        <v>1</v>
      </c>
      <c r="P247" s="69" t="s">
        <v>50</v>
      </c>
      <c r="Q247" s="69" t="s">
        <v>51</v>
      </c>
      <c r="R247" s="69"/>
      <c r="S247" s="46">
        <v>43450</v>
      </c>
      <c r="T247" s="48">
        <v>43450</v>
      </c>
      <c r="U247" s="69"/>
      <c r="V247" s="69"/>
      <c r="W247" s="69"/>
      <c r="X247" s="69"/>
      <c r="Y247" s="69" t="s">
        <v>4125</v>
      </c>
      <c r="Z247" s="43">
        <v>31000</v>
      </c>
      <c r="AA247" s="43" t="s">
        <v>52</v>
      </c>
      <c r="AB247" s="43" t="s">
        <v>53</v>
      </c>
      <c r="AC247" s="43">
        <v>3650</v>
      </c>
      <c r="AD247" s="141">
        <v>10</v>
      </c>
      <c r="AE247" s="142">
        <v>0</v>
      </c>
      <c r="AF247" s="142"/>
      <c r="AG247" s="69" t="str">
        <f t="shared" ref="AG247:AG248" si="136">_xlfn.CONCAT(AH247," years ",AI247," days")</f>
        <v>6 years 18 days</v>
      </c>
      <c r="AH247" s="69">
        <v>6</v>
      </c>
      <c r="AI247" s="69">
        <v>18</v>
      </c>
      <c r="AJ247" s="69">
        <v>0</v>
      </c>
      <c r="AK247" s="69">
        <v>0</v>
      </c>
      <c r="AL247" s="60">
        <v>31000</v>
      </c>
      <c r="AM247" s="60">
        <f t="shared" ref="AM247:AM248" si="137">ROUND(AL247,2)</f>
        <v>31000</v>
      </c>
      <c r="AN247" s="59">
        <v>18744</v>
      </c>
      <c r="AO247" s="148">
        <f t="shared" ref="AO247:AO248" si="138">ROUND(AN247,2)*-1</f>
        <v>-18744</v>
      </c>
      <c r="AP247" s="58">
        <v>1537.6438356164363</v>
      </c>
      <c r="AQ247" s="143">
        <f t="shared" ref="AQ247:AQ248" si="139">ROUND(AP247,2)*-1</f>
        <v>-1537.64</v>
      </c>
    </row>
    <row r="248" spans="1:43" x14ac:dyDescent="0.35">
      <c r="A248" s="69" t="s">
        <v>43</v>
      </c>
      <c r="B248" s="15" t="s">
        <v>817</v>
      </c>
      <c r="C248" s="15"/>
      <c r="D248" s="69" t="e">
        <f>_xlfn.XLOOKUP(B248,SOM!B:B,SOM!D:D,,0)</f>
        <v>#N/A</v>
      </c>
      <c r="E248" s="76">
        <v>1</v>
      </c>
      <c r="F248" s="69" t="s">
        <v>259</v>
      </c>
      <c r="G248" s="10" t="s">
        <v>260</v>
      </c>
      <c r="H248" s="15">
        <v>9007000075</v>
      </c>
      <c r="I248" s="92" t="s">
        <v>261</v>
      </c>
      <c r="J248" s="92">
        <v>1202010217</v>
      </c>
      <c r="K248" s="14" t="s">
        <v>818</v>
      </c>
      <c r="L248" s="95" t="s">
        <v>819</v>
      </c>
      <c r="M248" s="69" t="s">
        <v>820</v>
      </c>
      <c r="N248" s="69"/>
      <c r="O248" s="94">
        <v>1</v>
      </c>
      <c r="P248" s="69" t="s">
        <v>50</v>
      </c>
      <c r="Q248" s="69" t="s">
        <v>51</v>
      </c>
      <c r="R248" s="69"/>
      <c r="S248" s="46">
        <v>45000</v>
      </c>
      <c r="T248" s="48">
        <v>45000</v>
      </c>
      <c r="U248" s="69"/>
      <c r="V248" s="69"/>
      <c r="W248" s="69"/>
      <c r="X248" s="69"/>
      <c r="Y248" s="69" t="s">
        <v>4129</v>
      </c>
      <c r="Z248" s="43">
        <v>10215108.869999997</v>
      </c>
      <c r="AA248" s="43" t="s">
        <v>52</v>
      </c>
      <c r="AB248" s="43" t="s">
        <v>53</v>
      </c>
      <c r="AC248" s="43">
        <v>3650</v>
      </c>
      <c r="AD248" s="141">
        <v>10</v>
      </c>
      <c r="AE248" s="142">
        <v>0</v>
      </c>
      <c r="AF248" s="142"/>
      <c r="AG248" s="69" t="str">
        <f t="shared" si="136"/>
        <v>1 years 293 days</v>
      </c>
      <c r="AH248" s="69">
        <v>1</v>
      </c>
      <c r="AI248" s="69">
        <v>293</v>
      </c>
      <c r="AJ248" s="69">
        <v>0</v>
      </c>
      <c r="AK248" s="69">
        <v>0</v>
      </c>
      <c r="AL248" s="60">
        <v>10215108.869999997</v>
      </c>
      <c r="AM248" s="60">
        <f t="shared" si="137"/>
        <v>10215108.869999999</v>
      </c>
      <c r="AN248" s="59">
        <v>1841518</v>
      </c>
      <c r="AO248" s="148">
        <f t="shared" si="138"/>
        <v>-1841518</v>
      </c>
      <c r="AP248" s="58">
        <v>506557.71072328696</v>
      </c>
      <c r="AQ248" s="143">
        <f t="shared" si="139"/>
        <v>-506557.71</v>
      </c>
    </row>
    <row r="249" spans="1:43" x14ac:dyDescent="0.35">
      <c r="A249" s="69" t="s">
        <v>43</v>
      </c>
      <c r="B249" s="15" t="s">
        <v>821</v>
      </c>
      <c r="C249" s="15"/>
      <c r="D249" s="69"/>
      <c r="E249" s="76">
        <v>0</v>
      </c>
      <c r="F249" s="69" t="s">
        <v>259</v>
      </c>
      <c r="G249" s="10" t="s">
        <v>260</v>
      </c>
      <c r="H249" s="14">
        <v>9007000076</v>
      </c>
      <c r="I249" s="92" t="s">
        <v>261</v>
      </c>
      <c r="J249" s="92">
        <v>1202010217</v>
      </c>
      <c r="K249" s="14" t="s">
        <v>822</v>
      </c>
      <c r="L249" s="95" t="s">
        <v>823</v>
      </c>
      <c r="M249" s="69" t="s">
        <v>824</v>
      </c>
      <c r="N249" s="69"/>
      <c r="O249" s="94">
        <v>1</v>
      </c>
      <c r="P249" s="69" t="s">
        <v>50</v>
      </c>
      <c r="Q249" s="69" t="s">
        <v>51</v>
      </c>
      <c r="R249" s="69"/>
      <c r="S249" s="46">
        <v>44682</v>
      </c>
      <c r="T249" s="48">
        <v>44682</v>
      </c>
      <c r="U249" s="69"/>
      <c r="V249" s="69"/>
      <c r="W249" s="69"/>
      <c r="X249" s="69"/>
      <c r="Y249" s="69" t="s">
        <v>4131</v>
      </c>
      <c r="Z249" s="43">
        <v>21500</v>
      </c>
      <c r="AA249" s="43" t="s">
        <v>52</v>
      </c>
      <c r="AB249" s="43" t="s">
        <v>53</v>
      </c>
      <c r="AC249" s="43">
        <v>3650</v>
      </c>
      <c r="AD249" s="141">
        <v>10</v>
      </c>
      <c r="AE249" s="142">
        <v>0</v>
      </c>
      <c r="AF249" s="142"/>
      <c r="AG249" s="69" t="str">
        <f t="shared" ref="AG249:AG250" si="140">_xlfn.CONCAT(AH249," years ",AI249," days")</f>
        <v>2 years 246 days</v>
      </c>
      <c r="AH249" s="69">
        <v>2</v>
      </c>
      <c r="AI249" s="69">
        <v>246</v>
      </c>
      <c r="AJ249" s="69">
        <v>0</v>
      </c>
      <c r="AK249" s="69">
        <v>0</v>
      </c>
      <c r="AL249" s="60">
        <v>21500</v>
      </c>
      <c r="AM249" s="60">
        <f t="shared" ref="AM249:AM250" si="141">ROUND(AL249,2)</f>
        <v>21500</v>
      </c>
      <c r="AN249" s="59">
        <v>5749</v>
      </c>
      <c r="AO249" s="148">
        <f t="shared" ref="AO249:AO250" si="142">ROUND(AN249,2)*-1</f>
        <v>-5749</v>
      </c>
      <c r="AP249" s="58">
        <v>1066.2054794520536</v>
      </c>
      <c r="AQ249" s="143">
        <f t="shared" ref="AQ249:AQ250" si="143">ROUND(AP249,2)*-1</f>
        <v>-1066.21</v>
      </c>
    </row>
    <row r="250" spans="1:43" x14ac:dyDescent="0.35">
      <c r="A250" s="69" t="s">
        <v>43</v>
      </c>
      <c r="B250" s="115" t="s">
        <v>825</v>
      </c>
      <c r="C250" s="115"/>
      <c r="D250" s="69" t="e">
        <f>_xlfn.XLOOKUP(B250,SOM!B:B,SOM!D:D,,0)</f>
        <v>#N/A</v>
      </c>
      <c r="E250" s="76">
        <v>1</v>
      </c>
      <c r="F250" s="69" t="s">
        <v>259</v>
      </c>
      <c r="G250" s="10" t="s">
        <v>260</v>
      </c>
      <c r="H250" s="116">
        <v>9007000076</v>
      </c>
      <c r="I250" s="92" t="s">
        <v>261</v>
      </c>
      <c r="J250" s="92">
        <v>1202010217</v>
      </c>
      <c r="K250" s="14" t="s">
        <v>826</v>
      </c>
      <c r="L250" s="95" t="s">
        <v>827</v>
      </c>
      <c r="M250" s="69" t="s">
        <v>828</v>
      </c>
      <c r="N250" s="69"/>
      <c r="O250" s="94">
        <v>1</v>
      </c>
      <c r="P250" s="69" t="s">
        <v>50</v>
      </c>
      <c r="Q250" s="69" t="s">
        <v>51</v>
      </c>
      <c r="R250" s="69"/>
      <c r="S250" s="46">
        <v>45000</v>
      </c>
      <c r="T250" s="48">
        <v>45000</v>
      </c>
      <c r="U250" s="69"/>
      <c r="V250" s="69"/>
      <c r="W250" s="69"/>
      <c r="X250" s="69"/>
      <c r="Y250" s="69" t="s">
        <v>4129</v>
      </c>
      <c r="Z250" s="54">
        <v>7223083</v>
      </c>
      <c r="AA250" s="43" t="s">
        <v>52</v>
      </c>
      <c r="AB250" s="43" t="s">
        <v>53</v>
      </c>
      <c r="AC250" s="43">
        <v>3650</v>
      </c>
      <c r="AD250" s="141">
        <v>10</v>
      </c>
      <c r="AE250" s="142">
        <v>0</v>
      </c>
      <c r="AF250" s="142"/>
      <c r="AG250" s="69" t="str">
        <f t="shared" si="140"/>
        <v>1 years 293 days</v>
      </c>
      <c r="AH250" s="69">
        <v>1</v>
      </c>
      <c r="AI250" s="69">
        <v>293</v>
      </c>
      <c r="AJ250" s="69">
        <v>0</v>
      </c>
      <c r="AK250" s="69">
        <v>0</v>
      </c>
      <c r="AL250" s="62">
        <v>7223083</v>
      </c>
      <c r="AM250" s="60">
        <f t="shared" si="141"/>
        <v>7223083</v>
      </c>
      <c r="AN250" s="59">
        <v>1302134</v>
      </c>
      <c r="AO250" s="148">
        <f t="shared" si="142"/>
        <v>-1302134</v>
      </c>
      <c r="AP250" s="58">
        <v>358185.62657534261</v>
      </c>
      <c r="AQ250" s="143">
        <f t="shared" si="143"/>
        <v>-358185.63</v>
      </c>
    </row>
    <row r="251" spans="1:43" x14ac:dyDescent="0.35">
      <c r="A251" s="69" t="s">
        <v>43</v>
      </c>
      <c r="B251" s="15" t="s">
        <v>829</v>
      </c>
      <c r="C251" s="15"/>
      <c r="D251" s="69"/>
      <c r="E251" s="76">
        <v>0</v>
      </c>
      <c r="F251" s="69" t="s">
        <v>259</v>
      </c>
      <c r="G251" s="10" t="s">
        <v>260</v>
      </c>
      <c r="H251" s="15">
        <v>9007000077</v>
      </c>
      <c r="I251" s="92" t="s">
        <v>261</v>
      </c>
      <c r="J251" s="92">
        <v>1202010217</v>
      </c>
      <c r="K251" s="14" t="s">
        <v>830</v>
      </c>
      <c r="L251" s="95" t="s">
        <v>831</v>
      </c>
      <c r="M251" s="69" t="s">
        <v>832</v>
      </c>
      <c r="N251" s="69"/>
      <c r="O251" s="94">
        <v>2</v>
      </c>
      <c r="P251" s="69" t="s">
        <v>50</v>
      </c>
      <c r="Q251" s="69" t="s">
        <v>51</v>
      </c>
      <c r="R251" s="69"/>
      <c r="S251" s="46">
        <v>41699</v>
      </c>
      <c r="T251" s="48">
        <v>43191</v>
      </c>
      <c r="U251" s="69"/>
      <c r="V251" s="69"/>
      <c r="W251" s="69"/>
      <c r="X251" s="69"/>
      <c r="Y251" s="69" t="s">
        <v>4125</v>
      </c>
      <c r="Z251" s="43">
        <v>1225000</v>
      </c>
      <c r="AA251" s="43" t="s">
        <v>52</v>
      </c>
      <c r="AB251" s="43" t="s">
        <v>53</v>
      </c>
      <c r="AC251" s="43">
        <v>3869</v>
      </c>
      <c r="AD251" s="141">
        <v>10</v>
      </c>
      <c r="AE251" s="142">
        <v>7</v>
      </c>
      <c r="AF251" s="142"/>
      <c r="AG251" s="69" t="str">
        <f t="shared" ref="AG251:AG255" si="144">_xlfn.CONCAT(AH251," years ",AI251," days")</f>
        <v>6 years 277 days</v>
      </c>
      <c r="AH251" s="69">
        <v>6</v>
      </c>
      <c r="AI251" s="69">
        <v>277</v>
      </c>
      <c r="AJ251" s="69">
        <v>0</v>
      </c>
      <c r="AK251" s="69">
        <v>0</v>
      </c>
      <c r="AL251" s="60">
        <v>1225000</v>
      </c>
      <c r="AM251" s="60">
        <f t="shared" ref="AM251:AM255" si="145">ROUND(AL251,2)</f>
        <v>1225000</v>
      </c>
      <c r="AN251" s="59">
        <v>781100</v>
      </c>
      <c r="AO251" s="148">
        <f t="shared" ref="AO251:AO255" si="146">ROUND(AN251,2)*-1</f>
        <v>-781100</v>
      </c>
      <c r="AP251" s="58">
        <v>57307.857327474747</v>
      </c>
      <c r="AQ251" s="143">
        <f t="shared" ref="AQ251:AQ255" si="147">ROUND(AP251,2)*-1</f>
        <v>-57307.86</v>
      </c>
    </row>
    <row r="252" spans="1:43" x14ac:dyDescent="0.35">
      <c r="A252" s="69" t="s">
        <v>43</v>
      </c>
      <c r="B252" s="15" t="s">
        <v>833</v>
      </c>
      <c r="C252" s="15"/>
      <c r="D252" s="69" t="e">
        <f>_xlfn.XLOOKUP(B252,SOM!B:B,SOM!D:D,,0)</f>
        <v>#N/A</v>
      </c>
      <c r="E252" s="76">
        <v>1</v>
      </c>
      <c r="F252" s="69" t="s">
        <v>259</v>
      </c>
      <c r="G252" s="10" t="s">
        <v>260</v>
      </c>
      <c r="H252" s="15">
        <v>9007000077</v>
      </c>
      <c r="I252" s="92" t="s">
        <v>261</v>
      </c>
      <c r="J252" s="92">
        <v>1202010217</v>
      </c>
      <c r="K252" s="14"/>
      <c r="L252" s="95" t="s">
        <v>834</v>
      </c>
      <c r="M252" s="69" t="s">
        <v>835</v>
      </c>
      <c r="N252" s="69"/>
      <c r="O252" s="94">
        <v>1</v>
      </c>
      <c r="P252" s="69" t="s">
        <v>50</v>
      </c>
      <c r="Q252" s="69" t="s">
        <v>51</v>
      </c>
      <c r="R252" s="69"/>
      <c r="S252" s="46">
        <v>41302</v>
      </c>
      <c r="T252" s="48">
        <v>43191</v>
      </c>
      <c r="U252" s="69"/>
      <c r="V252" s="69"/>
      <c r="W252" s="69"/>
      <c r="X252" s="69"/>
      <c r="Y252" s="69" t="s">
        <v>4125</v>
      </c>
      <c r="Z252" s="43">
        <v>270000</v>
      </c>
      <c r="AA252" s="43" t="s">
        <v>52</v>
      </c>
      <c r="AB252" s="43" t="s">
        <v>53</v>
      </c>
      <c r="AC252" s="43">
        <v>3577</v>
      </c>
      <c r="AD252" s="141">
        <v>9</v>
      </c>
      <c r="AE252" s="142">
        <v>10</v>
      </c>
      <c r="AF252" s="142"/>
      <c r="AG252" s="69" t="str">
        <f t="shared" si="144"/>
        <v>6 years 277 days</v>
      </c>
      <c r="AH252" s="69">
        <v>6</v>
      </c>
      <c r="AI252" s="69">
        <v>277</v>
      </c>
      <c r="AJ252" s="69">
        <v>0</v>
      </c>
      <c r="AK252" s="69">
        <v>0</v>
      </c>
      <c r="AL252" s="60">
        <v>270000</v>
      </c>
      <c r="AM252" s="60">
        <f t="shared" si="145"/>
        <v>270000</v>
      </c>
      <c r="AN252" s="59">
        <v>186215</v>
      </c>
      <c r="AO252" s="148">
        <f t="shared" si="146"/>
        <v>-186215</v>
      </c>
      <c r="AP252" s="58">
        <v>13661.991892647464</v>
      </c>
      <c r="AQ252" s="143">
        <f t="shared" si="147"/>
        <v>-13661.99</v>
      </c>
    </row>
    <row r="253" spans="1:43" x14ac:dyDescent="0.35">
      <c r="A253" s="69" t="s">
        <v>43</v>
      </c>
      <c r="B253" s="15" t="s">
        <v>836</v>
      </c>
      <c r="C253" s="15"/>
      <c r="D253" s="69" t="e">
        <f>_xlfn.XLOOKUP(B253,SOM!B:B,SOM!D:D,,0)</f>
        <v>#N/A</v>
      </c>
      <c r="E253" s="76">
        <v>2</v>
      </c>
      <c r="F253" s="69" t="s">
        <v>259</v>
      </c>
      <c r="G253" s="10" t="s">
        <v>260</v>
      </c>
      <c r="H253" s="116">
        <v>9007000077</v>
      </c>
      <c r="I253" s="92" t="s">
        <v>261</v>
      </c>
      <c r="J253" s="92">
        <v>1202010217</v>
      </c>
      <c r="K253" s="14"/>
      <c r="L253" s="95" t="s">
        <v>837</v>
      </c>
      <c r="M253" s="69" t="s">
        <v>838</v>
      </c>
      <c r="N253" s="69"/>
      <c r="O253" s="94">
        <v>1</v>
      </c>
      <c r="P253" s="69" t="s">
        <v>50</v>
      </c>
      <c r="Q253" s="69" t="s">
        <v>51</v>
      </c>
      <c r="R253" s="69"/>
      <c r="S253" s="46">
        <v>43497</v>
      </c>
      <c r="T253" s="48">
        <v>43497</v>
      </c>
      <c r="U253" s="69"/>
      <c r="V253" s="69"/>
      <c r="W253" s="69"/>
      <c r="X253" s="69"/>
      <c r="Y253" s="69" t="s">
        <v>4126</v>
      </c>
      <c r="Z253" s="43">
        <v>143163</v>
      </c>
      <c r="AA253" s="43" t="s">
        <v>52</v>
      </c>
      <c r="AB253" s="43" t="s">
        <v>53</v>
      </c>
      <c r="AC253" s="43">
        <v>3650</v>
      </c>
      <c r="AD253" s="141">
        <v>10</v>
      </c>
      <c r="AE253" s="142">
        <v>0</v>
      </c>
      <c r="AF253" s="142"/>
      <c r="AG253" s="69" t="str">
        <f t="shared" si="144"/>
        <v>5 years 336 days</v>
      </c>
      <c r="AH253" s="69">
        <v>5</v>
      </c>
      <c r="AI253" s="69">
        <v>336</v>
      </c>
      <c r="AJ253" s="69">
        <v>0</v>
      </c>
      <c r="AK253" s="69">
        <v>0</v>
      </c>
      <c r="AL253" s="60">
        <v>143163</v>
      </c>
      <c r="AM253" s="60">
        <f t="shared" si="145"/>
        <v>143163</v>
      </c>
      <c r="AN253" s="59">
        <v>84721</v>
      </c>
      <c r="AO253" s="148">
        <f t="shared" si="146"/>
        <v>-84721</v>
      </c>
      <c r="AP253" s="58">
        <v>7099.4336986301496</v>
      </c>
      <c r="AQ253" s="143">
        <f t="shared" si="147"/>
        <v>-7099.43</v>
      </c>
    </row>
    <row r="254" spans="1:43" x14ac:dyDescent="0.35">
      <c r="A254" s="69" t="s">
        <v>43</v>
      </c>
      <c r="B254" s="15" t="s">
        <v>839</v>
      </c>
      <c r="C254" s="15"/>
      <c r="D254" s="69" t="e">
        <f>_xlfn.XLOOKUP(B254,SOM!B:B,SOM!D:D,,0)</f>
        <v>#N/A</v>
      </c>
      <c r="E254" s="76">
        <v>3</v>
      </c>
      <c r="F254" s="69" t="s">
        <v>259</v>
      </c>
      <c r="G254" s="10" t="s">
        <v>260</v>
      </c>
      <c r="H254" s="15">
        <v>9007000077</v>
      </c>
      <c r="I254" s="92" t="s">
        <v>261</v>
      </c>
      <c r="J254" s="92">
        <v>1202010217</v>
      </c>
      <c r="K254" s="14"/>
      <c r="L254" s="95" t="s">
        <v>840</v>
      </c>
      <c r="M254" s="69" t="s">
        <v>841</v>
      </c>
      <c r="N254" s="69"/>
      <c r="O254" s="94">
        <v>1</v>
      </c>
      <c r="P254" s="69" t="s">
        <v>50</v>
      </c>
      <c r="Q254" s="69" t="s">
        <v>51</v>
      </c>
      <c r="R254" s="69"/>
      <c r="S254" s="46">
        <v>43599</v>
      </c>
      <c r="T254" s="48">
        <v>43599</v>
      </c>
      <c r="U254" s="69"/>
      <c r="V254" s="69"/>
      <c r="W254" s="69"/>
      <c r="X254" s="69"/>
      <c r="Y254" s="69" t="s">
        <v>4126</v>
      </c>
      <c r="Z254" s="43">
        <v>143163</v>
      </c>
      <c r="AA254" s="43" t="s">
        <v>52</v>
      </c>
      <c r="AB254" s="43" t="s">
        <v>53</v>
      </c>
      <c r="AC254" s="43">
        <v>3650</v>
      </c>
      <c r="AD254" s="141">
        <v>10</v>
      </c>
      <c r="AE254" s="142">
        <v>0</v>
      </c>
      <c r="AF254" s="142"/>
      <c r="AG254" s="69" t="str">
        <f t="shared" si="144"/>
        <v>5 years 234 days</v>
      </c>
      <c r="AH254" s="69">
        <v>5</v>
      </c>
      <c r="AI254" s="69">
        <v>234</v>
      </c>
      <c r="AJ254" s="69">
        <v>0</v>
      </c>
      <c r="AK254" s="69">
        <v>0</v>
      </c>
      <c r="AL254" s="60">
        <v>143163</v>
      </c>
      <c r="AM254" s="60">
        <f t="shared" si="145"/>
        <v>143163</v>
      </c>
      <c r="AN254" s="59">
        <v>80760</v>
      </c>
      <c r="AO254" s="148">
        <f t="shared" si="146"/>
        <v>-80760</v>
      </c>
      <c r="AP254" s="58">
        <v>7098.9369863013708</v>
      </c>
      <c r="AQ254" s="143">
        <f t="shared" si="147"/>
        <v>-7098.94</v>
      </c>
    </row>
    <row r="255" spans="1:43" x14ac:dyDescent="0.35">
      <c r="A255" s="69" t="s">
        <v>43</v>
      </c>
      <c r="B255" s="15" t="s">
        <v>842</v>
      </c>
      <c r="C255" s="15"/>
      <c r="D255" s="69" t="e">
        <f>_xlfn.XLOOKUP(B255,SOM!B:B,SOM!D:D,,0)</f>
        <v>#N/A</v>
      </c>
      <c r="E255" s="76">
        <v>4</v>
      </c>
      <c r="F255" s="69" t="s">
        <v>259</v>
      </c>
      <c r="G255" s="10" t="s">
        <v>260</v>
      </c>
      <c r="H255" s="14">
        <v>9007000077</v>
      </c>
      <c r="I255" s="92" t="s">
        <v>261</v>
      </c>
      <c r="J255" s="92">
        <v>1202010217</v>
      </c>
      <c r="K255" s="14" t="s">
        <v>843</v>
      </c>
      <c r="L255" s="95" t="s">
        <v>844</v>
      </c>
      <c r="M255" s="69" t="s">
        <v>49</v>
      </c>
      <c r="N255" s="69"/>
      <c r="O255" s="94">
        <v>1</v>
      </c>
      <c r="P255" s="69" t="s">
        <v>50</v>
      </c>
      <c r="Q255" s="69" t="s">
        <v>51</v>
      </c>
      <c r="R255" s="69"/>
      <c r="S255" s="46">
        <v>37835</v>
      </c>
      <c r="T255" s="48">
        <v>43191</v>
      </c>
      <c r="U255" s="69"/>
      <c r="V255" s="69"/>
      <c r="W255" s="69"/>
      <c r="X255" s="69"/>
      <c r="Y255" s="69" t="s">
        <v>4125</v>
      </c>
      <c r="Z255" s="43">
        <v>1800</v>
      </c>
      <c r="AA255" s="43" t="s">
        <v>52</v>
      </c>
      <c r="AB255" s="43" t="s">
        <v>53</v>
      </c>
      <c r="AC255" s="43">
        <v>365</v>
      </c>
      <c r="AD255" s="141">
        <v>1</v>
      </c>
      <c r="AE255" s="142">
        <v>0</v>
      </c>
      <c r="AF255" s="142"/>
      <c r="AG255" s="69" t="str">
        <f t="shared" si="144"/>
        <v>1 years 0 days</v>
      </c>
      <c r="AH255" s="69">
        <v>1</v>
      </c>
      <c r="AI255" s="69">
        <v>0</v>
      </c>
      <c r="AJ255" s="69">
        <v>0</v>
      </c>
      <c r="AK255" s="69">
        <v>0</v>
      </c>
      <c r="AL255" s="60">
        <v>1800</v>
      </c>
      <c r="AM255" s="60">
        <f t="shared" si="145"/>
        <v>1800</v>
      </c>
      <c r="AN255" s="59">
        <v>1800</v>
      </c>
      <c r="AO255" s="148">
        <f t="shared" si="146"/>
        <v>-1800</v>
      </c>
      <c r="AP255" s="58">
        <v>0</v>
      </c>
      <c r="AQ255" s="143">
        <f t="shared" si="147"/>
        <v>0</v>
      </c>
    </row>
    <row r="256" spans="1:43" x14ac:dyDescent="0.35">
      <c r="A256" s="69" t="s">
        <v>43</v>
      </c>
      <c r="B256" s="15" t="s">
        <v>845</v>
      </c>
      <c r="C256" s="15"/>
      <c r="D256" s="69"/>
      <c r="E256" s="76">
        <v>0</v>
      </c>
      <c r="F256" s="69" t="s">
        <v>259</v>
      </c>
      <c r="G256" s="10" t="s">
        <v>260</v>
      </c>
      <c r="H256" s="15">
        <v>9007000078</v>
      </c>
      <c r="I256" s="92" t="s">
        <v>261</v>
      </c>
      <c r="J256" s="92">
        <v>1202010217</v>
      </c>
      <c r="K256" s="14" t="s">
        <v>846</v>
      </c>
      <c r="L256" s="95" t="s">
        <v>847</v>
      </c>
      <c r="M256" s="69" t="s">
        <v>49</v>
      </c>
      <c r="N256" s="69"/>
      <c r="O256" s="94">
        <v>1</v>
      </c>
      <c r="P256" s="69" t="s">
        <v>50</v>
      </c>
      <c r="Q256" s="69" t="s">
        <v>51</v>
      </c>
      <c r="R256" s="69"/>
      <c r="S256" s="46">
        <v>40122</v>
      </c>
      <c r="T256" s="48">
        <v>43191</v>
      </c>
      <c r="U256" s="69"/>
      <c r="V256" s="69"/>
      <c r="W256" s="69"/>
      <c r="X256" s="69"/>
      <c r="Y256" s="69" t="s">
        <v>4125</v>
      </c>
      <c r="Z256" s="43">
        <v>28000</v>
      </c>
      <c r="AA256" s="43" t="s">
        <v>52</v>
      </c>
      <c r="AB256" s="43" t="s">
        <v>53</v>
      </c>
      <c r="AC256" s="43">
        <v>584</v>
      </c>
      <c r="AD256" s="141">
        <v>1</v>
      </c>
      <c r="AE256" s="142">
        <v>7</v>
      </c>
      <c r="AF256" s="142"/>
      <c r="AG256" s="69" t="str">
        <f t="shared" ref="AG256:AG282" si="148">_xlfn.CONCAT(AH256," years ",AI256," days")</f>
        <v>1 years 219 days</v>
      </c>
      <c r="AH256" s="69">
        <v>1</v>
      </c>
      <c r="AI256" s="69">
        <v>219</v>
      </c>
      <c r="AJ256" s="69">
        <v>0</v>
      </c>
      <c r="AK256" s="69">
        <v>0</v>
      </c>
      <c r="AL256" s="60">
        <v>28000</v>
      </c>
      <c r="AM256" s="60">
        <f t="shared" ref="AM256:AM282" si="149">ROUND(AL256,2)</f>
        <v>28000</v>
      </c>
      <c r="AN256" s="59">
        <v>28000</v>
      </c>
      <c r="AO256" s="148">
        <f t="shared" ref="AO256:AO282" si="150">ROUND(AN256,2)*-1</f>
        <v>-28000</v>
      </c>
      <c r="AP256" s="58">
        <v>0</v>
      </c>
      <c r="AQ256" s="143">
        <f t="shared" ref="AQ256:AQ282" si="151">ROUND(AP256,2)*-1</f>
        <v>0</v>
      </c>
    </row>
    <row r="257" spans="1:43" x14ac:dyDescent="0.35">
      <c r="A257" s="69" t="s">
        <v>43</v>
      </c>
      <c r="B257" s="15" t="s">
        <v>848</v>
      </c>
      <c r="C257" s="15"/>
      <c r="D257" s="69" t="e">
        <f>_xlfn.XLOOKUP(B257,SOM!B:B,SOM!D:D,,0)</f>
        <v>#N/A</v>
      </c>
      <c r="E257" s="76">
        <v>1</v>
      </c>
      <c r="F257" s="69" t="s">
        <v>259</v>
      </c>
      <c r="G257" s="10" t="s">
        <v>260</v>
      </c>
      <c r="H257" s="15">
        <v>9007000078</v>
      </c>
      <c r="I257" s="92" t="s">
        <v>261</v>
      </c>
      <c r="J257" s="92">
        <v>1202010217</v>
      </c>
      <c r="K257" s="14" t="s">
        <v>846</v>
      </c>
      <c r="L257" s="95" t="s">
        <v>849</v>
      </c>
      <c r="M257" s="69" t="s">
        <v>850</v>
      </c>
      <c r="N257" s="69"/>
      <c r="O257" s="94">
        <v>1</v>
      </c>
      <c r="P257" s="69" t="s">
        <v>50</v>
      </c>
      <c r="Q257" s="69" t="s">
        <v>51</v>
      </c>
      <c r="R257" s="69"/>
      <c r="S257" s="46">
        <v>41118</v>
      </c>
      <c r="T257" s="48">
        <v>43191</v>
      </c>
      <c r="U257" s="69"/>
      <c r="V257" s="69"/>
      <c r="W257" s="69"/>
      <c r="X257" s="69"/>
      <c r="Y257" s="69" t="s">
        <v>4125</v>
      </c>
      <c r="Z257" s="43">
        <v>80000</v>
      </c>
      <c r="AA257" s="43" t="s">
        <v>52</v>
      </c>
      <c r="AB257" s="43" t="s">
        <v>53</v>
      </c>
      <c r="AC257" s="43">
        <v>1570</v>
      </c>
      <c r="AD257" s="141">
        <v>4</v>
      </c>
      <c r="AE257" s="142">
        <v>4</v>
      </c>
      <c r="AF257" s="142"/>
      <c r="AG257" s="69" t="str">
        <f t="shared" si="148"/>
        <v>4 years 110 days</v>
      </c>
      <c r="AH257" s="69">
        <v>4</v>
      </c>
      <c r="AI257" s="69">
        <v>110</v>
      </c>
      <c r="AJ257" s="69">
        <v>0</v>
      </c>
      <c r="AK257" s="69">
        <v>0</v>
      </c>
      <c r="AL257" s="60">
        <v>80000</v>
      </c>
      <c r="AM257" s="60">
        <f t="shared" si="149"/>
        <v>80000</v>
      </c>
      <c r="AN257" s="59">
        <v>80000</v>
      </c>
      <c r="AO257" s="148">
        <f t="shared" si="150"/>
        <v>-80000</v>
      </c>
      <c r="AP257" s="58">
        <v>0</v>
      </c>
      <c r="AQ257" s="143">
        <f t="shared" si="151"/>
        <v>0</v>
      </c>
    </row>
    <row r="258" spans="1:43" x14ac:dyDescent="0.35">
      <c r="A258" s="69" t="s">
        <v>43</v>
      </c>
      <c r="B258" s="15" t="s">
        <v>851</v>
      </c>
      <c r="C258" s="15"/>
      <c r="D258" s="69" t="e">
        <f>_xlfn.XLOOKUP(B258,SOM!B:B,SOM!D:D,,0)</f>
        <v>#N/A</v>
      </c>
      <c r="E258" s="76">
        <v>2</v>
      </c>
      <c r="F258" s="69" t="s">
        <v>259</v>
      </c>
      <c r="G258" s="10" t="s">
        <v>260</v>
      </c>
      <c r="H258" s="15">
        <v>9007000078</v>
      </c>
      <c r="I258" s="92" t="s">
        <v>261</v>
      </c>
      <c r="J258" s="92">
        <v>1202010217</v>
      </c>
      <c r="K258" s="14" t="s">
        <v>846</v>
      </c>
      <c r="L258" s="95" t="s">
        <v>852</v>
      </c>
      <c r="M258" s="69" t="s">
        <v>853</v>
      </c>
      <c r="N258" s="69"/>
      <c r="O258" s="94">
        <v>1</v>
      </c>
      <c r="P258" s="69" t="s">
        <v>50</v>
      </c>
      <c r="Q258" s="69" t="s">
        <v>51</v>
      </c>
      <c r="R258" s="69"/>
      <c r="S258" s="46">
        <v>41183</v>
      </c>
      <c r="T258" s="48">
        <v>43191</v>
      </c>
      <c r="U258" s="69"/>
      <c r="V258" s="69"/>
      <c r="W258" s="69"/>
      <c r="X258" s="69"/>
      <c r="Y258" s="69" t="s">
        <v>4125</v>
      </c>
      <c r="Z258" s="43">
        <v>165000</v>
      </c>
      <c r="AA258" s="43" t="s">
        <v>52</v>
      </c>
      <c r="AB258" s="43" t="s">
        <v>53</v>
      </c>
      <c r="AC258" s="43">
        <v>1643</v>
      </c>
      <c r="AD258" s="141">
        <v>4</v>
      </c>
      <c r="AE258" s="142">
        <v>6</v>
      </c>
      <c r="AF258" s="142"/>
      <c r="AG258" s="69" t="str">
        <f t="shared" si="148"/>
        <v>4 years 183 days</v>
      </c>
      <c r="AH258" s="69">
        <v>4</v>
      </c>
      <c r="AI258" s="69">
        <v>183</v>
      </c>
      <c r="AJ258" s="69">
        <v>0</v>
      </c>
      <c r="AK258" s="69">
        <v>0</v>
      </c>
      <c r="AL258" s="60">
        <v>165000</v>
      </c>
      <c r="AM258" s="60">
        <f t="shared" si="149"/>
        <v>165000</v>
      </c>
      <c r="AN258" s="59">
        <v>165000</v>
      </c>
      <c r="AO258" s="148">
        <f t="shared" si="150"/>
        <v>-165000</v>
      </c>
      <c r="AP258" s="58">
        <v>0</v>
      </c>
      <c r="AQ258" s="143">
        <f t="shared" si="151"/>
        <v>0</v>
      </c>
    </row>
    <row r="259" spans="1:43" x14ac:dyDescent="0.35">
      <c r="A259" s="69" t="s">
        <v>43</v>
      </c>
      <c r="B259" s="15" t="s">
        <v>854</v>
      </c>
      <c r="C259" s="15"/>
      <c r="D259" s="69" t="e">
        <f>_xlfn.XLOOKUP(B259,SOM!B:B,SOM!D:D,,0)</f>
        <v>#N/A</v>
      </c>
      <c r="E259" s="76">
        <v>3</v>
      </c>
      <c r="F259" s="69" t="s">
        <v>259</v>
      </c>
      <c r="G259" s="10" t="s">
        <v>260</v>
      </c>
      <c r="H259" s="15">
        <v>9007000078</v>
      </c>
      <c r="I259" s="92" t="s">
        <v>261</v>
      </c>
      <c r="J259" s="92">
        <v>1202010217</v>
      </c>
      <c r="K259" s="14" t="s">
        <v>846</v>
      </c>
      <c r="L259" s="95" t="s">
        <v>855</v>
      </c>
      <c r="M259" s="69" t="s">
        <v>856</v>
      </c>
      <c r="N259" s="69"/>
      <c r="O259" s="94">
        <v>100</v>
      </c>
      <c r="P259" s="69" t="s">
        <v>50</v>
      </c>
      <c r="Q259" s="69" t="s">
        <v>51</v>
      </c>
      <c r="R259" s="69"/>
      <c r="S259" s="46">
        <v>44114</v>
      </c>
      <c r="T259" s="48">
        <v>44114</v>
      </c>
      <c r="U259" s="69"/>
      <c r="V259" s="69"/>
      <c r="W259" s="69"/>
      <c r="X259" s="69"/>
      <c r="Y259" s="69" t="s">
        <v>4127</v>
      </c>
      <c r="Z259" s="43">
        <v>164500</v>
      </c>
      <c r="AA259" s="43" t="s">
        <v>52</v>
      </c>
      <c r="AB259" s="43" t="s">
        <v>53</v>
      </c>
      <c r="AC259" s="43">
        <v>3650</v>
      </c>
      <c r="AD259" s="141">
        <v>10</v>
      </c>
      <c r="AE259" s="142">
        <v>0</v>
      </c>
      <c r="AF259" s="142"/>
      <c r="AG259" s="69" t="str">
        <f t="shared" si="148"/>
        <v>4 years 84 days</v>
      </c>
      <c r="AH259" s="69">
        <v>4</v>
      </c>
      <c r="AI259" s="69">
        <v>84</v>
      </c>
      <c r="AJ259" s="69">
        <v>0</v>
      </c>
      <c r="AK259" s="69">
        <v>0</v>
      </c>
      <c r="AL259" s="60">
        <v>164500</v>
      </c>
      <c r="AM259" s="60">
        <f t="shared" si="149"/>
        <v>164500</v>
      </c>
      <c r="AN259" s="59">
        <v>69586</v>
      </c>
      <c r="AO259" s="148">
        <f t="shared" si="150"/>
        <v>-69586</v>
      </c>
      <c r="AP259" s="58">
        <v>8157.1506849315047</v>
      </c>
      <c r="AQ259" s="143">
        <f t="shared" si="151"/>
        <v>-8157.15</v>
      </c>
    </row>
    <row r="260" spans="1:43" x14ac:dyDescent="0.35">
      <c r="A260" s="69" t="s">
        <v>43</v>
      </c>
      <c r="B260" s="15" t="s">
        <v>857</v>
      </c>
      <c r="C260" s="15"/>
      <c r="D260" s="69" t="e">
        <f>_xlfn.XLOOKUP(B260,SOM!B:B,SOM!D:D,,0)</f>
        <v>#N/A</v>
      </c>
      <c r="E260" s="76">
        <v>4</v>
      </c>
      <c r="F260" s="69" t="s">
        <v>259</v>
      </c>
      <c r="G260" s="10" t="s">
        <v>260</v>
      </c>
      <c r="H260" s="15">
        <v>9007000078</v>
      </c>
      <c r="I260" s="92" t="s">
        <v>261</v>
      </c>
      <c r="J260" s="92">
        <v>1202010217</v>
      </c>
      <c r="K260" s="14" t="s">
        <v>846</v>
      </c>
      <c r="L260" s="95" t="s">
        <v>858</v>
      </c>
      <c r="M260" s="69" t="s">
        <v>859</v>
      </c>
      <c r="N260" s="69"/>
      <c r="O260" s="94">
        <v>10</v>
      </c>
      <c r="P260" s="69" t="s">
        <v>50</v>
      </c>
      <c r="Q260" s="69" t="s">
        <v>51</v>
      </c>
      <c r="R260" s="69"/>
      <c r="S260" s="46">
        <v>44621</v>
      </c>
      <c r="T260" s="48">
        <v>44621</v>
      </c>
      <c r="U260" s="69"/>
      <c r="V260" s="69"/>
      <c r="W260" s="69"/>
      <c r="X260" s="69"/>
      <c r="Y260" s="69" t="s">
        <v>4131</v>
      </c>
      <c r="Z260" s="43">
        <v>109450</v>
      </c>
      <c r="AA260" s="43" t="s">
        <v>52</v>
      </c>
      <c r="AB260" s="43" t="s">
        <v>53</v>
      </c>
      <c r="AC260" s="43">
        <v>3650</v>
      </c>
      <c r="AD260" s="141">
        <v>10</v>
      </c>
      <c r="AE260" s="142">
        <v>0</v>
      </c>
      <c r="AF260" s="142"/>
      <c r="AG260" s="69" t="str">
        <f t="shared" si="148"/>
        <v>2 years 307 days</v>
      </c>
      <c r="AH260" s="69">
        <v>2</v>
      </c>
      <c r="AI260" s="69">
        <v>307</v>
      </c>
      <c r="AJ260" s="69">
        <v>0</v>
      </c>
      <c r="AK260" s="69">
        <v>0</v>
      </c>
      <c r="AL260" s="60">
        <v>109450</v>
      </c>
      <c r="AM260" s="60">
        <f t="shared" si="149"/>
        <v>109450</v>
      </c>
      <c r="AN260" s="59">
        <v>31096</v>
      </c>
      <c r="AO260" s="148">
        <f t="shared" si="150"/>
        <v>-31096</v>
      </c>
      <c r="AP260" s="58">
        <v>5427.3150684931461</v>
      </c>
      <c r="AQ260" s="143">
        <f t="shared" si="151"/>
        <v>-5427.32</v>
      </c>
    </row>
    <row r="261" spans="1:43" x14ac:dyDescent="0.35">
      <c r="A261" s="69" t="s">
        <v>43</v>
      </c>
      <c r="B261" s="15" t="s">
        <v>860</v>
      </c>
      <c r="C261" s="15"/>
      <c r="D261" s="69" t="e">
        <f>_xlfn.XLOOKUP(B261,SOM!B:B,SOM!D:D,,0)</f>
        <v>#N/A</v>
      </c>
      <c r="E261" s="76">
        <v>5</v>
      </c>
      <c r="F261" s="69" t="s">
        <v>259</v>
      </c>
      <c r="G261" s="10" t="s">
        <v>260</v>
      </c>
      <c r="H261" s="15">
        <v>9007000078</v>
      </c>
      <c r="I261" s="92" t="s">
        <v>261</v>
      </c>
      <c r="J261" s="92">
        <v>1202010217</v>
      </c>
      <c r="K261" s="14" t="s">
        <v>846</v>
      </c>
      <c r="L261" s="95" t="s">
        <v>861</v>
      </c>
      <c r="M261" s="69" t="s">
        <v>862</v>
      </c>
      <c r="N261" s="69"/>
      <c r="O261" s="94">
        <v>215</v>
      </c>
      <c r="P261" s="69" t="s">
        <v>50</v>
      </c>
      <c r="Q261" s="69" t="s">
        <v>51</v>
      </c>
      <c r="R261" s="69"/>
      <c r="S261" s="46">
        <v>44693</v>
      </c>
      <c r="T261" s="48">
        <v>44693</v>
      </c>
      <c r="U261" s="69"/>
      <c r="V261" s="69"/>
      <c r="W261" s="69"/>
      <c r="X261" s="69"/>
      <c r="Y261" s="69" t="s">
        <v>4131</v>
      </c>
      <c r="Z261" s="43">
        <v>80600</v>
      </c>
      <c r="AA261" s="43" t="s">
        <v>52</v>
      </c>
      <c r="AB261" s="43" t="s">
        <v>53</v>
      </c>
      <c r="AC261" s="43">
        <v>1825</v>
      </c>
      <c r="AD261" s="141">
        <v>5</v>
      </c>
      <c r="AE261" s="142">
        <v>0</v>
      </c>
      <c r="AF261" s="142"/>
      <c r="AG261" s="69" t="str">
        <f t="shared" si="148"/>
        <v>2 years 235 days</v>
      </c>
      <c r="AH261" s="69">
        <v>2</v>
      </c>
      <c r="AI261" s="69">
        <v>235</v>
      </c>
      <c r="AJ261" s="69">
        <v>0</v>
      </c>
      <c r="AK261" s="69">
        <v>0</v>
      </c>
      <c r="AL261" s="60">
        <v>80600</v>
      </c>
      <c r="AM261" s="60">
        <f t="shared" si="149"/>
        <v>80600</v>
      </c>
      <c r="AN261" s="59">
        <v>42619</v>
      </c>
      <c r="AO261" s="148">
        <f t="shared" si="150"/>
        <v>-42619</v>
      </c>
      <c r="AP261" s="58">
        <v>7993.3835616438373</v>
      </c>
      <c r="AQ261" s="143">
        <f t="shared" si="151"/>
        <v>-7993.38</v>
      </c>
    </row>
    <row r="262" spans="1:43" x14ac:dyDescent="0.35">
      <c r="A262" s="69" t="s">
        <v>43</v>
      </c>
      <c r="B262" s="15" t="s">
        <v>863</v>
      </c>
      <c r="C262" s="15"/>
      <c r="D262" s="69" t="e">
        <f>_xlfn.XLOOKUP(B262,SOM!B:B,SOM!D:D,,0)</f>
        <v>#N/A</v>
      </c>
      <c r="E262" s="76">
        <v>6</v>
      </c>
      <c r="F262" s="69" t="s">
        <v>259</v>
      </c>
      <c r="G262" s="10" t="s">
        <v>260</v>
      </c>
      <c r="H262" s="15">
        <v>9007000078</v>
      </c>
      <c r="I262" s="92" t="s">
        <v>261</v>
      </c>
      <c r="J262" s="92">
        <v>1202010217</v>
      </c>
      <c r="K262" s="14" t="s">
        <v>846</v>
      </c>
      <c r="L262" s="95" t="s">
        <v>864</v>
      </c>
      <c r="M262" s="69" t="s">
        <v>865</v>
      </c>
      <c r="N262" s="69"/>
      <c r="O262" s="94">
        <v>400</v>
      </c>
      <c r="P262" s="69" t="s">
        <v>50</v>
      </c>
      <c r="Q262" s="69" t="s">
        <v>51</v>
      </c>
      <c r="R262" s="69"/>
      <c r="S262" s="46">
        <v>44828</v>
      </c>
      <c r="T262" s="48">
        <v>44828</v>
      </c>
      <c r="U262" s="69"/>
      <c r="V262" s="69"/>
      <c r="W262" s="69"/>
      <c r="X262" s="69"/>
      <c r="Y262" s="69" t="s">
        <v>4131</v>
      </c>
      <c r="Z262" s="43">
        <v>880000</v>
      </c>
      <c r="AA262" s="43" t="s">
        <v>52</v>
      </c>
      <c r="AB262" s="43" t="s">
        <v>53</v>
      </c>
      <c r="AC262" s="43">
        <v>3650</v>
      </c>
      <c r="AD262" s="141">
        <v>10</v>
      </c>
      <c r="AE262" s="142">
        <v>0</v>
      </c>
      <c r="AF262" s="142"/>
      <c r="AG262" s="69" t="str">
        <f t="shared" si="148"/>
        <v>2 years 100 days</v>
      </c>
      <c r="AH262" s="69">
        <v>2</v>
      </c>
      <c r="AI262" s="69">
        <v>100</v>
      </c>
      <c r="AJ262" s="69">
        <v>0</v>
      </c>
      <c r="AK262" s="69">
        <v>0</v>
      </c>
      <c r="AL262" s="60">
        <v>880000</v>
      </c>
      <c r="AM262" s="60">
        <f t="shared" si="149"/>
        <v>880000</v>
      </c>
      <c r="AN262" s="59">
        <v>200110</v>
      </c>
      <c r="AO262" s="148">
        <f t="shared" si="150"/>
        <v>-200110</v>
      </c>
      <c r="AP262" s="58">
        <v>43637.945205479453</v>
      </c>
      <c r="AQ262" s="143">
        <f t="shared" si="151"/>
        <v>-43637.95</v>
      </c>
    </row>
    <row r="263" spans="1:43" x14ac:dyDescent="0.35">
      <c r="A263" s="69" t="s">
        <v>43</v>
      </c>
      <c r="B263" s="15" t="s">
        <v>866</v>
      </c>
      <c r="C263" s="15"/>
      <c r="D263" s="69" t="e">
        <f>_xlfn.XLOOKUP(B263,SOM!B:B,SOM!D:D,,0)</f>
        <v>#N/A</v>
      </c>
      <c r="E263" s="76">
        <v>7</v>
      </c>
      <c r="F263" s="69" t="s">
        <v>259</v>
      </c>
      <c r="G263" s="10" t="s">
        <v>260</v>
      </c>
      <c r="H263" s="15">
        <v>9007000078</v>
      </c>
      <c r="I263" s="92" t="s">
        <v>261</v>
      </c>
      <c r="J263" s="92">
        <v>1202010217</v>
      </c>
      <c r="K263" s="14" t="s">
        <v>846</v>
      </c>
      <c r="L263" s="95" t="s">
        <v>867</v>
      </c>
      <c r="M263" s="69" t="s">
        <v>49</v>
      </c>
      <c r="N263" s="69"/>
      <c r="O263" s="94">
        <v>1</v>
      </c>
      <c r="P263" s="69" t="s">
        <v>50</v>
      </c>
      <c r="Q263" s="69" t="s">
        <v>51</v>
      </c>
      <c r="R263" s="69"/>
      <c r="S263" s="46">
        <v>44910</v>
      </c>
      <c r="T263" s="48">
        <v>44910</v>
      </c>
      <c r="U263" s="69"/>
      <c r="V263" s="69"/>
      <c r="W263" s="69"/>
      <c r="X263" s="69"/>
      <c r="Y263" s="69" t="s">
        <v>4131</v>
      </c>
      <c r="Z263" s="43">
        <v>884800</v>
      </c>
      <c r="AA263" s="43" t="s">
        <v>52</v>
      </c>
      <c r="AB263" s="43" t="s">
        <v>53</v>
      </c>
      <c r="AC263" s="43">
        <v>3650</v>
      </c>
      <c r="AD263" s="141">
        <v>10</v>
      </c>
      <c r="AE263" s="142">
        <v>0</v>
      </c>
      <c r="AF263" s="142"/>
      <c r="AG263" s="69" t="str">
        <f t="shared" si="148"/>
        <v>2 years 18 days</v>
      </c>
      <c r="AH263" s="69">
        <v>2</v>
      </c>
      <c r="AI263" s="69">
        <v>18</v>
      </c>
      <c r="AJ263" s="69">
        <v>0</v>
      </c>
      <c r="AK263" s="69">
        <v>0</v>
      </c>
      <c r="AL263" s="60">
        <v>884800</v>
      </c>
      <c r="AM263" s="60">
        <f t="shared" si="149"/>
        <v>884800</v>
      </c>
      <c r="AN263" s="59">
        <v>181323</v>
      </c>
      <c r="AO263" s="148">
        <f t="shared" si="150"/>
        <v>-181323</v>
      </c>
      <c r="AP263" s="58">
        <v>43876.780821917811</v>
      </c>
      <c r="AQ263" s="143">
        <f t="shared" si="151"/>
        <v>-43876.78</v>
      </c>
    </row>
    <row r="264" spans="1:43" x14ac:dyDescent="0.35">
      <c r="A264" s="69" t="s">
        <v>43</v>
      </c>
      <c r="B264" s="15" t="s">
        <v>868</v>
      </c>
      <c r="C264" s="15"/>
      <c r="D264" s="69" t="e">
        <f>_xlfn.XLOOKUP(B264,SOM!B:B,SOM!D:D,,0)</f>
        <v>#N/A</v>
      </c>
      <c r="E264" s="76">
        <v>8</v>
      </c>
      <c r="F264" s="69" t="s">
        <v>259</v>
      </c>
      <c r="G264" s="10" t="s">
        <v>260</v>
      </c>
      <c r="H264" s="15">
        <v>9007000078</v>
      </c>
      <c r="I264" s="92" t="s">
        <v>261</v>
      </c>
      <c r="J264" s="92">
        <v>1202010217</v>
      </c>
      <c r="K264" s="14" t="s">
        <v>846</v>
      </c>
      <c r="L264" s="95" t="s">
        <v>869</v>
      </c>
      <c r="M264" s="69" t="s">
        <v>870</v>
      </c>
      <c r="N264" s="69"/>
      <c r="O264" s="94">
        <v>1</v>
      </c>
      <c r="P264" s="69" t="s">
        <v>50</v>
      </c>
      <c r="Q264" s="69" t="s">
        <v>51</v>
      </c>
      <c r="R264" s="69"/>
      <c r="S264" s="46">
        <v>45016</v>
      </c>
      <c r="T264" s="48">
        <v>45016</v>
      </c>
      <c r="U264" s="69"/>
      <c r="V264" s="69"/>
      <c r="W264" s="69"/>
      <c r="X264" s="69"/>
      <c r="Y264" s="69" t="s">
        <v>4129</v>
      </c>
      <c r="Z264" s="43">
        <v>674400</v>
      </c>
      <c r="AA264" s="43" t="s">
        <v>52</v>
      </c>
      <c r="AB264" s="43" t="s">
        <v>53</v>
      </c>
      <c r="AC264" s="43">
        <v>3650</v>
      </c>
      <c r="AD264" s="141">
        <v>10</v>
      </c>
      <c r="AE264" s="142">
        <v>0</v>
      </c>
      <c r="AF264" s="142"/>
      <c r="AG264" s="69" t="str">
        <f t="shared" si="148"/>
        <v>1 years 277 days</v>
      </c>
      <c r="AH264" s="69">
        <v>1</v>
      </c>
      <c r="AI264" s="69">
        <v>277</v>
      </c>
      <c r="AJ264" s="69">
        <v>0</v>
      </c>
      <c r="AK264" s="69">
        <v>0</v>
      </c>
      <c r="AL264" s="60">
        <v>674400</v>
      </c>
      <c r="AM264" s="60">
        <f t="shared" si="149"/>
        <v>674400</v>
      </c>
      <c r="AN264" s="59">
        <v>118805</v>
      </c>
      <c r="AO264" s="148">
        <f t="shared" si="150"/>
        <v>-118805</v>
      </c>
      <c r="AP264" s="58">
        <v>33443.109589041123</v>
      </c>
      <c r="AQ264" s="143">
        <f t="shared" si="151"/>
        <v>-33443.11</v>
      </c>
    </row>
    <row r="265" spans="1:43" x14ac:dyDescent="0.35">
      <c r="A265" s="69" t="s">
        <v>43</v>
      </c>
      <c r="B265" s="15" t="s">
        <v>871</v>
      </c>
      <c r="C265" s="15"/>
      <c r="D265" s="69" t="e">
        <f>_xlfn.XLOOKUP(B265,SOM!B:B,SOM!D:D,,0)</f>
        <v>#N/A</v>
      </c>
      <c r="E265" s="76">
        <v>9</v>
      </c>
      <c r="F265" s="69" t="s">
        <v>259</v>
      </c>
      <c r="G265" s="10" t="s">
        <v>260</v>
      </c>
      <c r="H265" s="15">
        <v>9007000078</v>
      </c>
      <c r="I265" s="92" t="s">
        <v>261</v>
      </c>
      <c r="J265" s="92">
        <v>1202010217</v>
      </c>
      <c r="K265" s="14" t="s">
        <v>846</v>
      </c>
      <c r="L265" s="95" t="s">
        <v>872</v>
      </c>
      <c r="M265" s="69" t="s">
        <v>873</v>
      </c>
      <c r="N265" s="69"/>
      <c r="O265" s="94">
        <v>1</v>
      </c>
      <c r="P265" s="69" t="s">
        <v>50</v>
      </c>
      <c r="Q265" s="69" t="s">
        <v>51</v>
      </c>
      <c r="R265" s="69"/>
      <c r="S265" s="46">
        <v>45000</v>
      </c>
      <c r="T265" s="48">
        <v>45000</v>
      </c>
      <c r="U265" s="69"/>
      <c r="V265" s="69"/>
      <c r="W265" s="69"/>
      <c r="X265" s="69"/>
      <c r="Y265" s="69" t="s">
        <v>4129</v>
      </c>
      <c r="Z265" s="43">
        <v>1114300</v>
      </c>
      <c r="AA265" s="43" t="s">
        <v>52</v>
      </c>
      <c r="AB265" s="43" t="s">
        <v>53</v>
      </c>
      <c r="AC265" s="43">
        <v>3650</v>
      </c>
      <c r="AD265" s="141">
        <v>10</v>
      </c>
      <c r="AE265" s="142">
        <v>0</v>
      </c>
      <c r="AF265" s="142"/>
      <c r="AG265" s="69" t="str">
        <f t="shared" si="148"/>
        <v>1 years 293 days</v>
      </c>
      <c r="AH265" s="69">
        <v>1</v>
      </c>
      <c r="AI265" s="69">
        <v>293</v>
      </c>
      <c r="AJ265" s="69">
        <v>0</v>
      </c>
      <c r="AK265" s="69">
        <v>0</v>
      </c>
      <c r="AL265" s="60">
        <v>1114300</v>
      </c>
      <c r="AM265" s="60">
        <f t="shared" si="149"/>
        <v>1114300</v>
      </c>
      <c r="AN265" s="59">
        <v>200879</v>
      </c>
      <c r="AO265" s="148">
        <f t="shared" si="150"/>
        <v>-200879</v>
      </c>
      <c r="AP265" s="58">
        <v>55257.356164383586</v>
      </c>
      <c r="AQ265" s="143">
        <f t="shared" si="151"/>
        <v>-55257.36</v>
      </c>
    </row>
    <row r="266" spans="1:43" x14ac:dyDescent="0.35">
      <c r="A266" s="69" t="s">
        <v>43</v>
      </c>
      <c r="B266" s="15" t="s">
        <v>874</v>
      </c>
      <c r="C266" s="15"/>
      <c r="D266" s="69" t="e">
        <f>_xlfn.XLOOKUP(B266,SOM!B:B,SOM!D:D,,0)</f>
        <v>#N/A</v>
      </c>
      <c r="E266" s="76">
        <v>10</v>
      </c>
      <c r="F266" s="69" t="s">
        <v>259</v>
      </c>
      <c r="G266" s="10" t="s">
        <v>260</v>
      </c>
      <c r="H266" s="15">
        <v>9007000078</v>
      </c>
      <c r="I266" s="92" t="s">
        <v>261</v>
      </c>
      <c r="J266" s="92">
        <v>1202010217</v>
      </c>
      <c r="K266" s="14" t="s">
        <v>846</v>
      </c>
      <c r="L266" s="95" t="s">
        <v>875</v>
      </c>
      <c r="M266" s="69" t="s">
        <v>876</v>
      </c>
      <c r="N266" s="69"/>
      <c r="O266" s="94">
        <v>250</v>
      </c>
      <c r="P266" s="69" t="s">
        <v>50</v>
      </c>
      <c r="Q266" s="69" t="s">
        <v>51</v>
      </c>
      <c r="R266" s="69"/>
      <c r="S266" s="46">
        <v>45040</v>
      </c>
      <c r="T266" s="48">
        <v>45040</v>
      </c>
      <c r="U266" s="69"/>
      <c r="V266" s="69"/>
      <c r="W266" s="69"/>
      <c r="X266" s="69"/>
      <c r="Y266" s="69" t="s">
        <v>4129</v>
      </c>
      <c r="Z266" s="43">
        <v>64350</v>
      </c>
      <c r="AA266" s="43" t="s">
        <v>52</v>
      </c>
      <c r="AB266" s="43" t="s">
        <v>53</v>
      </c>
      <c r="AC266" s="43">
        <v>3650</v>
      </c>
      <c r="AD266" s="141">
        <v>10</v>
      </c>
      <c r="AE266" s="142">
        <v>0</v>
      </c>
      <c r="AF266" s="142"/>
      <c r="AG266" s="69" t="str">
        <f t="shared" si="148"/>
        <v>1 years 253 days</v>
      </c>
      <c r="AH266" s="69">
        <v>1</v>
      </c>
      <c r="AI266" s="69">
        <v>253</v>
      </c>
      <c r="AJ266" s="69">
        <v>0</v>
      </c>
      <c r="AK266" s="69">
        <v>0</v>
      </c>
      <c r="AL266" s="60">
        <v>64350</v>
      </c>
      <c r="AM266" s="60">
        <f t="shared" si="149"/>
        <v>64350</v>
      </c>
      <c r="AN266" s="59">
        <v>18371</v>
      </c>
      <c r="AO266" s="148">
        <f t="shared" si="150"/>
        <v>-18371</v>
      </c>
      <c r="AP266" s="58">
        <v>3190.6575342465767</v>
      </c>
      <c r="AQ266" s="143">
        <f t="shared" si="151"/>
        <v>-3190.66</v>
      </c>
    </row>
    <row r="267" spans="1:43" x14ac:dyDescent="0.35">
      <c r="A267" s="69" t="s">
        <v>43</v>
      </c>
      <c r="B267" s="15" t="s">
        <v>877</v>
      </c>
      <c r="C267" s="15"/>
      <c r="D267" s="69" t="e">
        <f>_xlfn.XLOOKUP(B267,SOM!B:B,SOM!D:D,,0)</f>
        <v>#N/A</v>
      </c>
      <c r="E267" s="76">
        <v>11</v>
      </c>
      <c r="F267" s="69" t="s">
        <v>259</v>
      </c>
      <c r="G267" s="10" t="s">
        <v>260</v>
      </c>
      <c r="H267" s="15">
        <v>9007000078</v>
      </c>
      <c r="I267" s="92" t="s">
        <v>261</v>
      </c>
      <c r="J267" s="92">
        <v>1202010217</v>
      </c>
      <c r="K267" s="14" t="s">
        <v>846</v>
      </c>
      <c r="L267" s="95" t="s">
        <v>878</v>
      </c>
      <c r="M267" s="69" t="s">
        <v>879</v>
      </c>
      <c r="N267" s="69"/>
      <c r="O267" s="94">
        <v>1</v>
      </c>
      <c r="P267" s="69" t="s">
        <v>50</v>
      </c>
      <c r="Q267" s="69" t="s">
        <v>51</v>
      </c>
      <c r="R267" s="69"/>
      <c r="S267" s="46">
        <v>45108</v>
      </c>
      <c r="T267" s="48">
        <v>45108</v>
      </c>
      <c r="U267" s="69"/>
      <c r="V267" s="69"/>
      <c r="W267" s="69"/>
      <c r="X267" s="69"/>
      <c r="Y267" s="69" t="s">
        <v>4129</v>
      </c>
      <c r="Z267" s="43">
        <v>257280</v>
      </c>
      <c r="AA267" s="43" t="s">
        <v>52</v>
      </c>
      <c r="AB267" s="43" t="s">
        <v>53</v>
      </c>
      <c r="AC267" s="43">
        <v>3650</v>
      </c>
      <c r="AD267" s="141">
        <v>10</v>
      </c>
      <c r="AE267" s="142">
        <v>0</v>
      </c>
      <c r="AF267" s="142"/>
      <c r="AG267" s="69" t="str">
        <f t="shared" si="148"/>
        <v>1 years 185 days</v>
      </c>
      <c r="AH267" s="69">
        <v>1</v>
      </c>
      <c r="AI267" s="69">
        <v>185</v>
      </c>
      <c r="AJ267" s="69">
        <v>0</v>
      </c>
      <c r="AK267" s="69">
        <v>0</v>
      </c>
      <c r="AL267" s="60">
        <v>257280</v>
      </c>
      <c r="AM267" s="60">
        <f t="shared" si="149"/>
        <v>257280</v>
      </c>
      <c r="AN267" s="59">
        <v>38768</v>
      </c>
      <c r="AO267" s="148">
        <f t="shared" si="150"/>
        <v>-38768</v>
      </c>
      <c r="AP267" s="58">
        <v>12758.487671232877</v>
      </c>
      <c r="AQ267" s="143">
        <f t="shared" si="151"/>
        <v>-12758.49</v>
      </c>
    </row>
    <row r="268" spans="1:43" x14ac:dyDescent="0.35">
      <c r="A268" s="69" t="s">
        <v>43</v>
      </c>
      <c r="B268" s="15" t="s">
        <v>880</v>
      </c>
      <c r="C268" s="15"/>
      <c r="D268" s="69" t="e">
        <f>_xlfn.XLOOKUP(B268,SOM!B:B,SOM!D:D,,0)</f>
        <v>#N/A</v>
      </c>
      <c r="E268" s="76">
        <v>12</v>
      </c>
      <c r="F268" s="69" t="s">
        <v>259</v>
      </c>
      <c r="G268" s="10" t="s">
        <v>260</v>
      </c>
      <c r="H268" s="15">
        <v>9007000078</v>
      </c>
      <c r="I268" s="92" t="s">
        <v>261</v>
      </c>
      <c r="J268" s="92">
        <v>1202010217</v>
      </c>
      <c r="K268" s="14" t="s">
        <v>846</v>
      </c>
      <c r="L268" s="95" t="s">
        <v>881</v>
      </c>
      <c r="M268" s="69" t="s">
        <v>882</v>
      </c>
      <c r="N268" s="69"/>
      <c r="O268" s="94">
        <v>1</v>
      </c>
      <c r="P268" s="69" t="s">
        <v>50</v>
      </c>
      <c r="Q268" s="69" t="s">
        <v>51</v>
      </c>
      <c r="R268" s="69"/>
      <c r="S268" s="46">
        <v>45112</v>
      </c>
      <c r="T268" s="48">
        <v>45112</v>
      </c>
      <c r="U268" s="69"/>
      <c r="V268" s="69"/>
      <c r="W268" s="69"/>
      <c r="X268" s="69"/>
      <c r="Y268" s="69" t="s">
        <v>4129</v>
      </c>
      <c r="Z268" s="43">
        <v>44220</v>
      </c>
      <c r="AA268" s="43" t="s">
        <v>52</v>
      </c>
      <c r="AB268" s="43" t="s">
        <v>53</v>
      </c>
      <c r="AC268" s="43">
        <v>3650</v>
      </c>
      <c r="AD268" s="141">
        <v>10</v>
      </c>
      <c r="AE268" s="142">
        <v>0</v>
      </c>
      <c r="AF268" s="142"/>
      <c r="AG268" s="69" t="str">
        <f t="shared" si="148"/>
        <v>1 years 181 days</v>
      </c>
      <c r="AH268" s="69">
        <v>1</v>
      </c>
      <c r="AI268" s="69">
        <v>181</v>
      </c>
      <c r="AJ268" s="69">
        <v>0</v>
      </c>
      <c r="AK268" s="69">
        <v>0</v>
      </c>
      <c r="AL268" s="60">
        <v>44220</v>
      </c>
      <c r="AM268" s="60">
        <f t="shared" si="149"/>
        <v>44220</v>
      </c>
      <c r="AN268" s="59">
        <v>6615</v>
      </c>
      <c r="AO268" s="148">
        <f t="shared" si="150"/>
        <v>-6615</v>
      </c>
      <c r="AP268" s="58">
        <v>2192.6547945205475</v>
      </c>
      <c r="AQ268" s="143">
        <f t="shared" si="151"/>
        <v>-2192.65</v>
      </c>
    </row>
    <row r="269" spans="1:43" x14ac:dyDescent="0.35">
      <c r="A269" s="69" t="s">
        <v>43</v>
      </c>
      <c r="B269" s="15" t="s">
        <v>883</v>
      </c>
      <c r="C269" s="15"/>
      <c r="D269" s="69" t="e">
        <f>_xlfn.XLOOKUP(B269,SOM!B:B,SOM!D:D,,0)</f>
        <v>#N/A</v>
      </c>
      <c r="E269" s="76">
        <v>13</v>
      </c>
      <c r="F269" s="69" t="s">
        <v>259</v>
      </c>
      <c r="G269" s="10" t="s">
        <v>260</v>
      </c>
      <c r="H269" s="15">
        <v>9007000078</v>
      </c>
      <c r="I269" s="92" t="s">
        <v>261</v>
      </c>
      <c r="J269" s="92">
        <v>1202010217</v>
      </c>
      <c r="K269" s="14" t="s">
        <v>846</v>
      </c>
      <c r="L269" s="95" t="s">
        <v>884</v>
      </c>
      <c r="M269" s="69" t="s">
        <v>885</v>
      </c>
      <c r="N269" s="69"/>
      <c r="O269" s="94">
        <v>100</v>
      </c>
      <c r="P269" s="69" t="s">
        <v>50</v>
      </c>
      <c r="Q269" s="69" t="s">
        <v>51</v>
      </c>
      <c r="R269" s="69"/>
      <c r="S269" s="46">
        <v>45162</v>
      </c>
      <c r="T269" s="48">
        <v>45162</v>
      </c>
      <c r="U269" s="69"/>
      <c r="V269" s="69"/>
      <c r="W269" s="69"/>
      <c r="X269" s="69"/>
      <c r="Y269" s="69" t="s">
        <v>4129</v>
      </c>
      <c r="Z269" s="43">
        <v>201000</v>
      </c>
      <c r="AA269" s="43" t="s">
        <v>52</v>
      </c>
      <c r="AB269" s="43" t="s">
        <v>53</v>
      </c>
      <c r="AC269" s="43">
        <v>3650</v>
      </c>
      <c r="AD269" s="141">
        <v>10</v>
      </c>
      <c r="AE269" s="142">
        <v>0</v>
      </c>
      <c r="AF269" s="142"/>
      <c r="AG269" s="69" t="str">
        <f t="shared" si="148"/>
        <v>1 years 131 days</v>
      </c>
      <c r="AH269" s="69">
        <v>1</v>
      </c>
      <c r="AI269" s="69">
        <v>131</v>
      </c>
      <c r="AJ269" s="69">
        <v>0</v>
      </c>
      <c r="AK269" s="69">
        <v>0</v>
      </c>
      <c r="AL269" s="60">
        <v>201000</v>
      </c>
      <c r="AM269" s="60">
        <f t="shared" si="149"/>
        <v>201000</v>
      </c>
      <c r="AN269" s="59">
        <v>27314</v>
      </c>
      <c r="AO269" s="148">
        <f t="shared" si="150"/>
        <v>-27314</v>
      </c>
      <c r="AP269" s="58">
        <v>9967.3698630136932</v>
      </c>
      <c r="AQ269" s="143">
        <f t="shared" si="151"/>
        <v>-9967.3700000000008</v>
      </c>
    </row>
    <row r="270" spans="1:43" x14ac:dyDescent="0.35">
      <c r="A270" s="69" t="s">
        <v>43</v>
      </c>
      <c r="B270" s="15" t="s">
        <v>886</v>
      </c>
      <c r="C270" s="15"/>
      <c r="D270" s="69" t="e">
        <f>_xlfn.XLOOKUP(B270,SOM!B:B,SOM!D:D,,0)</f>
        <v>#N/A</v>
      </c>
      <c r="E270" s="76">
        <v>14</v>
      </c>
      <c r="F270" s="69" t="s">
        <v>259</v>
      </c>
      <c r="G270" s="10" t="s">
        <v>260</v>
      </c>
      <c r="H270" s="15">
        <v>9007000078</v>
      </c>
      <c r="I270" s="92" t="s">
        <v>261</v>
      </c>
      <c r="J270" s="92">
        <v>1202010217</v>
      </c>
      <c r="K270" s="14" t="s">
        <v>846</v>
      </c>
      <c r="L270" s="95" t="s">
        <v>887</v>
      </c>
      <c r="M270" s="69" t="s">
        <v>888</v>
      </c>
      <c r="N270" s="69"/>
      <c r="O270" s="94">
        <v>100</v>
      </c>
      <c r="P270" s="69" t="s">
        <v>50</v>
      </c>
      <c r="Q270" s="69" t="s">
        <v>51</v>
      </c>
      <c r="R270" s="69"/>
      <c r="S270" s="46">
        <v>45199</v>
      </c>
      <c r="T270" s="48">
        <v>45199</v>
      </c>
      <c r="U270" s="69"/>
      <c r="V270" s="69"/>
      <c r="W270" s="69"/>
      <c r="X270" s="69"/>
      <c r="Y270" s="69" t="s">
        <v>4129</v>
      </c>
      <c r="Z270" s="43">
        <v>201000</v>
      </c>
      <c r="AA270" s="43" t="s">
        <v>52</v>
      </c>
      <c r="AB270" s="43" t="s">
        <v>53</v>
      </c>
      <c r="AC270" s="43">
        <v>3650</v>
      </c>
      <c r="AD270" s="141">
        <v>10</v>
      </c>
      <c r="AE270" s="142">
        <v>0</v>
      </c>
      <c r="AF270" s="142"/>
      <c r="AG270" s="69" t="str">
        <f t="shared" si="148"/>
        <v>1 years 94 days</v>
      </c>
      <c r="AH270" s="69">
        <v>1</v>
      </c>
      <c r="AI270" s="69">
        <v>94</v>
      </c>
      <c r="AJ270" s="69">
        <v>0</v>
      </c>
      <c r="AK270" s="69">
        <v>0</v>
      </c>
      <c r="AL270" s="60">
        <v>201000</v>
      </c>
      <c r="AM270" s="60">
        <f t="shared" si="149"/>
        <v>201000</v>
      </c>
      <c r="AN270" s="59">
        <v>25276</v>
      </c>
      <c r="AO270" s="148">
        <f t="shared" si="150"/>
        <v>-25276</v>
      </c>
      <c r="AP270" s="58">
        <v>9967.8356164383586</v>
      </c>
      <c r="AQ270" s="143">
        <f t="shared" si="151"/>
        <v>-9967.84</v>
      </c>
    </row>
    <row r="271" spans="1:43" x14ac:dyDescent="0.35">
      <c r="A271" s="69" t="s">
        <v>43</v>
      </c>
      <c r="B271" s="15" t="s">
        <v>889</v>
      </c>
      <c r="C271" s="15"/>
      <c r="D271" s="69" t="e">
        <f>_xlfn.XLOOKUP(B271,SOM!B:B,SOM!D:D,,0)</f>
        <v>#N/A</v>
      </c>
      <c r="E271" s="76">
        <v>15</v>
      </c>
      <c r="F271" s="69" t="s">
        <v>259</v>
      </c>
      <c r="G271" s="10" t="s">
        <v>260</v>
      </c>
      <c r="H271" s="15">
        <v>9007000078</v>
      </c>
      <c r="I271" s="92" t="s">
        <v>261</v>
      </c>
      <c r="J271" s="92">
        <v>1202010217</v>
      </c>
      <c r="K271" s="14" t="s">
        <v>846</v>
      </c>
      <c r="L271" s="95" t="s">
        <v>890</v>
      </c>
      <c r="M271" s="69" t="s">
        <v>891</v>
      </c>
      <c r="N271" s="69"/>
      <c r="O271" s="94">
        <v>50</v>
      </c>
      <c r="P271" s="69" t="s">
        <v>50</v>
      </c>
      <c r="Q271" s="69" t="s">
        <v>51</v>
      </c>
      <c r="R271" s="69"/>
      <c r="S271" s="46">
        <v>45231</v>
      </c>
      <c r="T271" s="48">
        <v>45231</v>
      </c>
      <c r="U271" s="69"/>
      <c r="V271" s="69"/>
      <c r="W271" s="69"/>
      <c r="X271" s="69"/>
      <c r="Y271" s="69" t="s">
        <v>4129</v>
      </c>
      <c r="Z271" s="43">
        <v>100500</v>
      </c>
      <c r="AA271" s="43" t="s">
        <v>52</v>
      </c>
      <c r="AB271" s="43" t="s">
        <v>53</v>
      </c>
      <c r="AC271" s="43">
        <v>3650</v>
      </c>
      <c r="AD271" s="141">
        <v>10</v>
      </c>
      <c r="AE271" s="142">
        <v>0</v>
      </c>
      <c r="AF271" s="142"/>
      <c r="AG271" s="69" t="str">
        <f t="shared" si="148"/>
        <v>1 years 62 days</v>
      </c>
      <c r="AH271" s="69">
        <v>1</v>
      </c>
      <c r="AI271" s="69">
        <v>62</v>
      </c>
      <c r="AJ271" s="69">
        <v>0</v>
      </c>
      <c r="AK271" s="69">
        <v>0</v>
      </c>
      <c r="AL271" s="60">
        <v>100500</v>
      </c>
      <c r="AM271" s="60">
        <f t="shared" si="149"/>
        <v>100500</v>
      </c>
      <c r="AN271" s="59">
        <v>11757</v>
      </c>
      <c r="AO271" s="148">
        <f t="shared" si="150"/>
        <v>-11757</v>
      </c>
      <c r="AP271" s="58">
        <v>4983.8219178082218</v>
      </c>
      <c r="AQ271" s="143">
        <f t="shared" si="151"/>
        <v>-4983.82</v>
      </c>
    </row>
    <row r="272" spans="1:43" x14ac:dyDescent="0.35">
      <c r="A272" s="69" t="s">
        <v>43</v>
      </c>
      <c r="B272" s="15" t="s">
        <v>892</v>
      </c>
      <c r="C272" s="15"/>
      <c r="D272" s="69" t="e">
        <f>_xlfn.XLOOKUP(B272,SOM!B:B,SOM!D:D,,0)</f>
        <v>#N/A</v>
      </c>
      <c r="E272" s="76">
        <v>16</v>
      </c>
      <c r="F272" s="69" t="s">
        <v>259</v>
      </c>
      <c r="G272" s="10" t="s">
        <v>260</v>
      </c>
      <c r="H272" s="15">
        <v>9007000078</v>
      </c>
      <c r="I272" s="92" t="s">
        <v>261</v>
      </c>
      <c r="J272" s="92">
        <v>1202010217</v>
      </c>
      <c r="K272" s="14" t="s">
        <v>846</v>
      </c>
      <c r="L272" s="95" t="s">
        <v>893</v>
      </c>
      <c r="M272" s="69" t="s">
        <v>894</v>
      </c>
      <c r="N272" s="69"/>
      <c r="O272" s="94">
        <v>150</v>
      </c>
      <c r="P272" s="69" t="s">
        <v>50</v>
      </c>
      <c r="Q272" s="69" t="s">
        <v>51</v>
      </c>
      <c r="R272" s="69"/>
      <c r="S272" s="46">
        <v>45266</v>
      </c>
      <c r="T272" s="48">
        <v>45266</v>
      </c>
      <c r="U272" s="69"/>
      <c r="V272" s="69"/>
      <c r="W272" s="69"/>
      <c r="X272" s="69"/>
      <c r="Y272" s="69" t="s">
        <v>4129</v>
      </c>
      <c r="Z272" s="43">
        <v>293460</v>
      </c>
      <c r="AA272" s="43" t="s">
        <v>52</v>
      </c>
      <c r="AB272" s="43" t="s">
        <v>53</v>
      </c>
      <c r="AC272" s="43">
        <v>3650</v>
      </c>
      <c r="AD272" s="141">
        <v>10</v>
      </c>
      <c r="AE272" s="142">
        <v>0</v>
      </c>
      <c r="AF272" s="142"/>
      <c r="AG272" s="69" t="str">
        <f t="shared" si="148"/>
        <v>1 years 27 days</v>
      </c>
      <c r="AH272" s="69">
        <v>1</v>
      </c>
      <c r="AI272" s="69">
        <v>27</v>
      </c>
      <c r="AJ272" s="69">
        <v>0</v>
      </c>
      <c r="AK272" s="69">
        <v>0</v>
      </c>
      <c r="AL272" s="60">
        <v>293460</v>
      </c>
      <c r="AM272" s="60">
        <f t="shared" si="149"/>
        <v>293460</v>
      </c>
      <c r="AN272" s="59">
        <v>31516</v>
      </c>
      <c r="AO272" s="148">
        <f t="shared" si="150"/>
        <v>-31516</v>
      </c>
      <c r="AP272" s="58">
        <v>14552.866666666669</v>
      </c>
      <c r="AQ272" s="143">
        <f t="shared" si="151"/>
        <v>-14552.87</v>
      </c>
    </row>
    <row r="273" spans="1:43" x14ac:dyDescent="0.35">
      <c r="A273" s="69" t="s">
        <v>43</v>
      </c>
      <c r="B273" s="15" t="s">
        <v>895</v>
      </c>
      <c r="C273" s="15"/>
      <c r="D273" s="69" t="e">
        <f>_xlfn.XLOOKUP(B273,SOM!B:B,SOM!D:D,,0)</f>
        <v>#N/A</v>
      </c>
      <c r="E273" s="76">
        <v>17</v>
      </c>
      <c r="F273" s="69" t="s">
        <v>259</v>
      </c>
      <c r="G273" s="10" t="s">
        <v>260</v>
      </c>
      <c r="H273" s="14">
        <v>9007000078</v>
      </c>
      <c r="I273" s="92" t="s">
        <v>261</v>
      </c>
      <c r="J273" s="92">
        <v>1202010217</v>
      </c>
      <c r="K273" s="14" t="s">
        <v>896</v>
      </c>
      <c r="L273" s="95" t="s">
        <v>897</v>
      </c>
      <c r="M273" s="69" t="s">
        <v>49</v>
      </c>
      <c r="N273" s="69"/>
      <c r="O273" s="94">
        <v>1</v>
      </c>
      <c r="P273" s="69" t="s">
        <v>50</v>
      </c>
      <c r="Q273" s="69" t="s">
        <v>51</v>
      </c>
      <c r="R273" s="69"/>
      <c r="S273" s="46">
        <v>38484</v>
      </c>
      <c r="T273" s="48">
        <v>43191</v>
      </c>
      <c r="U273" s="69"/>
      <c r="V273" s="69"/>
      <c r="W273" s="69"/>
      <c r="X273" s="69"/>
      <c r="Y273" s="69" t="s">
        <v>4125</v>
      </c>
      <c r="Z273" s="43">
        <v>3800</v>
      </c>
      <c r="AA273" s="43" t="s">
        <v>52</v>
      </c>
      <c r="AB273" s="43" t="s">
        <v>53</v>
      </c>
      <c r="AC273" s="43">
        <v>365</v>
      </c>
      <c r="AD273" s="141">
        <v>1</v>
      </c>
      <c r="AE273" s="142">
        <v>0</v>
      </c>
      <c r="AF273" s="142"/>
      <c r="AG273" s="69" t="str">
        <f t="shared" si="148"/>
        <v>1 years 0 days</v>
      </c>
      <c r="AH273" s="69">
        <v>1</v>
      </c>
      <c r="AI273" s="69">
        <v>0</v>
      </c>
      <c r="AJ273" s="69">
        <v>0</v>
      </c>
      <c r="AK273" s="69">
        <v>0</v>
      </c>
      <c r="AL273" s="60">
        <v>3800</v>
      </c>
      <c r="AM273" s="60">
        <f t="shared" si="149"/>
        <v>3800</v>
      </c>
      <c r="AN273" s="59">
        <v>3800</v>
      </c>
      <c r="AO273" s="148">
        <f t="shared" si="150"/>
        <v>-3800</v>
      </c>
      <c r="AP273" s="58">
        <v>0</v>
      </c>
      <c r="AQ273" s="143">
        <f t="shared" si="151"/>
        <v>0</v>
      </c>
    </row>
    <row r="274" spans="1:43" x14ac:dyDescent="0.35">
      <c r="A274" s="69" t="s">
        <v>43</v>
      </c>
      <c r="B274" s="15" t="s">
        <v>898</v>
      </c>
      <c r="C274" s="15"/>
      <c r="D274" s="69" t="e">
        <f>_xlfn.XLOOKUP(B274,SOM!B:B,SOM!D:D,,0)</f>
        <v>#N/A</v>
      </c>
      <c r="E274" s="76">
        <v>18</v>
      </c>
      <c r="F274" s="69" t="s">
        <v>259</v>
      </c>
      <c r="G274" s="10" t="s">
        <v>260</v>
      </c>
      <c r="H274" s="15">
        <v>9007000078</v>
      </c>
      <c r="I274" s="92" t="s">
        <v>261</v>
      </c>
      <c r="J274" s="92">
        <v>1202010217</v>
      </c>
      <c r="K274" s="14" t="s">
        <v>846</v>
      </c>
      <c r="L274" s="95" t="s">
        <v>899</v>
      </c>
      <c r="M274" s="69" t="s">
        <v>900</v>
      </c>
      <c r="N274" s="69"/>
      <c r="O274" s="94">
        <v>100</v>
      </c>
      <c r="P274" s="69" t="s">
        <v>50</v>
      </c>
      <c r="Q274" s="69" t="s">
        <v>51</v>
      </c>
      <c r="R274" s="69"/>
      <c r="S274" s="46">
        <v>44869</v>
      </c>
      <c r="T274" s="48">
        <v>44869</v>
      </c>
      <c r="U274" s="69"/>
      <c r="V274" s="69"/>
      <c r="W274" s="69"/>
      <c r="X274" s="69"/>
      <c r="Y274" s="69" t="s">
        <v>4131</v>
      </c>
      <c r="Z274" s="43">
        <v>160000</v>
      </c>
      <c r="AA274" s="43" t="s">
        <v>52</v>
      </c>
      <c r="AB274" s="43" t="s">
        <v>53</v>
      </c>
      <c r="AC274" s="43">
        <v>3650</v>
      </c>
      <c r="AD274" s="141">
        <v>10</v>
      </c>
      <c r="AE274" s="142">
        <v>0</v>
      </c>
      <c r="AF274" s="142"/>
      <c r="AG274" s="69" t="str">
        <f t="shared" si="148"/>
        <v>2 years 59 days</v>
      </c>
      <c r="AH274" s="69">
        <v>2</v>
      </c>
      <c r="AI274" s="69">
        <v>59</v>
      </c>
      <c r="AJ274" s="69">
        <v>0</v>
      </c>
      <c r="AK274" s="69">
        <v>0</v>
      </c>
      <c r="AL274" s="60">
        <v>160000</v>
      </c>
      <c r="AM274" s="60">
        <f t="shared" si="149"/>
        <v>160000</v>
      </c>
      <c r="AN274" s="59">
        <v>56022</v>
      </c>
      <c r="AO274" s="148">
        <f t="shared" si="150"/>
        <v>-56022</v>
      </c>
      <c r="AP274" s="58">
        <v>7934.1643835616414</v>
      </c>
      <c r="AQ274" s="143">
        <f t="shared" si="151"/>
        <v>-7934.16</v>
      </c>
    </row>
    <row r="275" spans="1:43" x14ac:dyDescent="0.35">
      <c r="A275" s="69" t="s">
        <v>43</v>
      </c>
      <c r="B275" s="15" t="s">
        <v>901</v>
      </c>
      <c r="C275" s="15"/>
      <c r="D275" s="69" t="e">
        <f>_xlfn.XLOOKUP(B275,SOM!B:B,SOM!D:D,,0)</f>
        <v>#N/A</v>
      </c>
      <c r="E275" s="76">
        <v>19</v>
      </c>
      <c r="F275" s="69" t="s">
        <v>259</v>
      </c>
      <c r="G275" s="10" t="s">
        <v>260</v>
      </c>
      <c r="H275" s="15">
        <v>9007000078</v>
      </c>
      <c r="I275" s="92" t="s">
        <v>261</v>
      </c>
      <c r="J275" s="92">
        <v>1202010217</v>
      </c>
      <c r="K275" s="14" t="s">
        <v>846</v>
      </c>
      <c r="L275" s="95" t="s">
        <v>902</v>
      </c>
      <c r="M275" s="69" t="s">
        <v>876</v>
      </c>
      <c r="N275" s="69"/>
      <c r="O275" s="94">
        <v>75</v>
      </c>
      <c r="P275" s="69" t="s">
        <v>50</v>
      </c>
      <c r="Q275" s="69" t="s">
        <v>51</v>
      </c>
      <c r="R275" s="69"/>
      <c r="S275" s="46">
        <v>44898</v>
      </c>
      <c r="T275" s="48">
        <v>44898</v>
      </c>
      <c r="U275" s="69"/>
      <c r="V275" s="69"/>
      <c r="W275" s="69"/>
      <c r="X275" s="69"/>
      <c r="Y275" s="69" t="s">
        <v>4131</v>
      </c>
      <c r="Z275" s="43">
        <v>123750</v>
      </c>
      <c r="AA275" s="43" t="s">
        <v>52</v>
      </c>
      <c r="AB275" s="43" t="s">
        <v>53</v>
      </c>
      <c r="AC275" s="43">
        <v>3650</v>
      </c>
      <c r="AD275" s="141">
        <v>10</v>
      </c>
      <c r="AE275" s="142">
        <v>0</v>
      </c>
      <c r="AF275" s="142"/>
      <c r="AG275" s="69" t="str">
        <f t="shared" si="148"/>
        <v>2 years 30 days</v>
      </c>
      <c r="AH275" s="69">
        <v>2</v>
      </c>
      <c r="AI275" s="69">
        <v>30</v>
      </c>
      <c r="AJ275" s="69">
        <v>0</v>
      </c>
      <c r="AK275" s="69">
        <v>0</v>
      </c>
      <c r="AL275" s="60">
        <v>123750</v>
      </c>
      <c r="AM275" s="60">
        <f t="shared" si="149"/>
        <v>123750</v>
      </c>
      <c r="AN275" s="59">
        <v>35260</v>
      </c>
      <c r="AO275" s="148">
        <f t="shared" si="150"/>
        <v>-35260</v>
      </c>
      <c r="AP275" s="58">
        <v>6137.1095890411016</v>
      </c>
      <c r="AQ275" s="143">
        <f t="shared" si="151"/>
        <v>-6137.11</v>
      </c>
    </row>
    <row r="276" spans="1:43" x14ac:dyDescent="0.35">
      <c r="A276" s="69" t="s">
        <v>43</v>
      </c>
      <c r="B276" s="15" t="s">
        <v>903</v>
      </c>
      <c r="C276" s="15"/>
      <c r="D276" s="69" t="e">
        <f>_xlfn.XLOOKUP(B276,SOM!B:B,SOM!D:D,,0)</f>
        <v>#N/A</v>
      </c>
      <c r="E276" s="76">
        <v>20</v>
      </c>
      <c r="F276" s="69" t="s">
        <v>259</v>
      </c>
      <c r="G276" s="10" t="s">
        <v>260</v>
      </c>
      <c r="H276" s="15">
        <v>9007000078</v>
      </c>
      <c r="I276" s="92" t="s">
        <v>261</v>
      </c>
      <c r="J276" s="92">
        <v>1202010217</v>
      </c>
      <c r="K276" s="14" t="s">
        <v>846</v>
      </c>
      <c r="L276" s="95" t="s">
        <v>904</v>
      </c>
      <c r="M276" s="69" t="s">
        <v>905</v>
      </c>
      <c r="N276" s="69"/>
      <c r="O276" s="94">
        <v>35</v>
      </c>
      <c r="P276" s="69" t="s">
        <v>50</v>
      </c>
      <c r="Q276" s="69" t="s">
        <v>51</v>
      </c>
      <c r="R276" s="69"/>
      <c r="S276" s="46">
        <v>44872</v>
      </c>
      <c r="T276" s="48">
        <v>44872</v>
      </c>
      <c r="U276" s="69"/>
      <c r="V276" s="69"/>
      <c r="W276" s="69"/>
      <c r="X276" s="69"/>
      <c r="Y276" s="69" t="s">
        <v>4131</v>
      </c>
      <c r="Z276" s="43">
        <v>59500</v>
      </c>
      <c r="AA276" s="43" t="s">
        <v>52</v>
      </c>
      <c r="AB276" s="43" t="s">
        <v>53</v>
      </c>
      <c r="AC276" s="43">
        <v>3650</v>
      </c>
      <c r="AD276" s="141">
        <v>10</v>
      </c>
      <c r="AE276" s="142">
        <v>0</v>
      </c>
      <c r="AF276" s="142"/>
      <c r="AG276" s="69" t="str">
        <f t="shared" si="148"/>
        <v>2 years 56 days</v>
      </c>
      <c r="AH276" s="69">
        <v>2</v>
      </c>
      <c r="AI276" s="69">
        <v>56</v>
      </c>
      <c r="AJ276" s="69">
        <v>0</v>
      </c>
      <c r="AK276" s="69">
        <v>0</v>
      </c>
      <c r="AL276" s="60">
        <v>59500</v>
      </c>
      <c r="AM276" s="60">
        <f t="shared" si="149"/>
        <v>59500</v>
      </c>
      <c r="AN276" s="59">
        <v>18078</v>
      </c>
      <c r="AO276" s="148">
        <f t="shared" si="150"/>
        <v>-18078</v>
      </c>
      <c r="AP276" s="58">
        <v>2950.8246575342491</v>
      </c>
      <c r="AQ276" s="143">
        <f t="shared" si="151"/>
        <v>-2950.82</v>
      </c>
    </row>
    <row r="277" spans="1:43" x14ac:dyDescent="0.35">
      <c r="A277" s="69" t="s">
        <v>43</v>
      </c>
      <c r="B277" s="15" t="s">
        <v>906</v>
      </c>
      <c r="C277" s="15"/>
      <c r="D277" s="69" t="e">
        <f>_xlfn.XLOOKUP(B277,SOM!B:B,SOM!D:D,,0)</f>
        <v>#N/A</v>
      </c>
      <c r="E277" s="76">
        <v>21</v>
      </c>
      <c r="F277" s="69" t="s">
        <v>259</v>
      </c>
      <c r="G277" s="10" t="s">
        <v>260</v>
      </c>
      <c r="H277" s="15">
        <v>9007000078</v>
      </c>
      <c r="I277" s="92" t="s">
        <v>261</v>
      </c>
      <c r="J277" s="92">
        <v>1202010217</v>
      </c>
      <c r="K277" s="14" t="s">
        <v>846</v>
      </c>
      <c r="L277" s="95" t="s">
        <v>907</v>
      </c>
      <c r="M277" s="69" t="s">
        <v>905</v>
      </c>
      <c r="N277" s="69"/>
      <c r="O277" s="94">
        <v>35</v>
      </c>
      <c r="P277" s="69" t="s">
        <v>50</v>
      </c>
      <c r="Q277" s="69" t="s">
        <v>51</v>
      </c>
      <c r="R277" s="69"/>
      <c r="S277" s="46">
        <v>44872</v>
      </c>
      <c r="T277" s="48">
        <v>44872</v>
      </c>
      <c r="U277" s="69"/>
      <c r="V277" s="69"/>
      <c r="W277" s="69"/>
      <c r="X277" s="69"/>
      <c r="Y277" s="69" t="s">
        <v>4131</v>
      </c>
      <c r="Z277" s="43">
        <v>59500</v>
      </c>
      <c r="AA277" s="43" t="s">
        <v>52</v>
      </c>
      <c r="AB277" s="43" t="s">
        <v>53</v>
      </c>
      <c r="AC277" s="43">
        <v>3650</v>
      </c>
      <c r="AD277" s="141">
        <v>10</v>
      </c>
      <c r="AE277" s="142">
        <v>0</v>
      </c>
      <c r="AF277" s="142"/>
      <c r="AG277" s="69" t="str">
        <f t="shared" si="148"/>
        <v>2 years 56 days</v>
      </c>
      <c r="AH277" s="69">
        <v>2</v>
      </c>
      <c r="AI277" s="69">
        <v>56</v>
      </c>
      <c r="AJ277" s="69">
        <v>0</v>
      </c>
      <c r="AK277" s="69">
        <v>0</v>
      </c>
      <c r="AL277" s="60">
        <v>59500</v>
      </c>
      <c r="AM277" s="60">
        <f t="shared" si="149"/>
        <v>59500</v>
      </c>
      <c r="AN277" s="59">
        <v>18078</v>
      </c>
      <c r="AO277" s="148">
        <f t="shared" si="150"/>
        <v>-18078</v>
      </c>
      <c r="AP277" s="58">
        <v>2950.8246575342491</v>
      </c>
      <c r="AQ277" s="143">
        <f t="shared" si="151"/>
        <v>-2950.82</v>
      </c>
    </row>
    <row r="278" spans="1:43" x14ac:dyDescent="0.35">
      <c r="A278" s="69" t="s">
        <v>43</v>
      </c>
      <c r="B278" s="15" t="s">
        <v>908</v>
      </c>
      <c r="C278" s="15"/>
      <c r="D278" s="69" t="e">
        <f>_xlfn.XLOOKUP(B278,SOM!B:B,SOM!D:D,,0)</f>
        <v>#N/A</v>
      </c>
      <c r="E278" s="76">
        <v>22</v>
      </c>
      <c r="F278" s="69" t="s">
        <v>259</v>
      </c>
      <c r="G278" s="10" t="s">
        <v>260</v>
      </c>
      <c r="H278" s="15">
        <v>9007000078</v>
      </c>
      <c r="I278" s="92" t="s">
        <v>261</v>
      </c>
      <c r="J278" s="92">
        <v>1202010217</v>
      </c>
      <c r="K278" s="14" t="s">
        <v>846</v>
      </c>
      <c r="L278" s="95" t="s">
        <v>909</v>
      </c>
      <c r="M278" s="69" t="s">
        <v>876</v>
      </c>
      <c r="N278" s="69"/>
      <c r="O278" s="94">
        <v>32</v>
      </c>
      <c r="P278" s="69" t="s">
        <v>50</v>
      </c>
      <c r="Q278" s="69" t="s">
        <v>51</v>
      </c>
      <c r="R278" s="69"/>
      <c r="S278" s="46">
        <v>44873</v>
      </c>
      <c r="T278" s="48">
        <v>44873</v>
      </c>
      <c r="U278" s="69"/>
      <c r="V278" s="69"/>
      <c r="W278" s="69"/>
      <c r="X278" s="69"/>
      <c r="Y278" s="69" t="s">
        <v>4131</v>
      </c>
      <c r="Z278" s="43">
        <v>52800</v>
      </c>
      <c r="AA278" s="43" t="s">
        <v>52</v>
      </c>
      <c r="AB278" s="43" t="s">
        <v>53</v>
      </c>
      <c r="AC278" s="43">
        <v>3650</v>
      </c>
      <c r="AD278" s="141">
        <v>10</v>
      </c>
      <c r="AE278" s="142">
        <v>0</v>
      </c>
      <c r="AF278" s="142"/>
      <c r="AG278" s="69" t="str">
        <f t="shared" si="148"/>
        <v>2 years 55 days</v>
      </c>
      <c r="AH278" s="69">
        <v>2</v>
      </c>
      <c r="AI278" s="69">
        <v>55</v>
      </c>
      <c r="AJ278" s="69">
        <v>0</v>
      </c>
      <c r="AK278" s="69">
        <v>0</v>
      </c>
      <c r="AL278" s="60">
        <v>52800</v>
      </c>
      <c r="AM278" s="60">
        <f t="shared" si="149"/>
        <v>52800</v>
      </c>
      <c r="AN278" s="59">
        <v>15406</v>
      </c>
      <c r="AO278" s="148">
        <f t="shared" si="150"/>
        <v>-15406</v>
      </c>
      <c r="AP278" s="58">
        <v>2618.3972602739741</v>
      </c>
      <c r="AQ278" s="143">
        <f t="shared" si="151"/>
        <v>-2618.4</v>
      </c>
    </row>
    <row r="279" spans="1:43" x14ac:dyDescent="0.35">
      <c r="A279" s="69" t="s">
        <v>43</v>
      </c>
      <c r="B279" s="15" t="s">
        <v>910</v>
      </c>
      <c r="C279" s="15"/>
      <c r="D279" s="69" t="e">
        <f>_xlfn.XLOOKUP(B279,SOM!B:B,SOM!D:D,,0)</f>
        <v>#N/A</v>
      </c>
      <c r="E279" s="76">
        <v>23</v>
      </c>
      <c r="F279" s="69" t="s">
        <v>259</v>
      </c>
      <c r="G279" s="10" t="s">
        <v>260</v>
      </c>
      <c r="H279" s="15">
        <v>9007000078</v>
      </c>
      <c r="I279" s="92" t="s">
        <v>261</v>
      </c>
      <c r="J279" s="92">
        <v>1202010217</v>
      </c>
      <c r="K279" s="14" t="s">
        <v>846</v>
      </c>
      <c r="L279" s="95" t="s">
        <v>911</v>
      </c>
      <c r="M279" s="69" t="s">
        <v>905</v>
      </c>
      <c r="N279" s="69"/>
      <c r="O279" s="94">
        <v>30</v>
      </c>
      <c r="P279" s="69" t="s">
        <v>50</v>
      </c>
      <c r="Q279" s="69" t="s">
        <v>51</v>
      </c>
      <c r="R279" s="69"/>
      <c r="S279" s="46">
        <v>44872</v>
      </c>
      <c r="T279" s="48">
        <v>44872</v>
      </c>
      <c r="U279" s="69"/>
      <c r="V279" s="69"/>
      <c r="W279" s="69"/>
      <c r="X279" s="69"/>
      <c r="Y279" s="69" t="s">
        <v>4131</v>
      </c>
      <c r="Z279" s="43">
        <v>51000</v>
      </c>
      <c r="AA279" s="43" t="s">
        <v>52</v>
      </c>
      <c r="AB279" s="43" t="s">
        <v>53</v>
      </c>
      <c r="AC279" s="43">
        <v>3650</v>
      </c>
      <c r="AD279" s="141">
        <v>10</v>
      </c>
      <c r="AE279" s="142">
        <v>0</v>
      </c>
      <c r="AF279" s="142"/>
      <c r="AG279" s="69" t="str">
        <f t="shared" si="148"/>
        <v>2 years 56 days</v>
      </c>
      <c r="AH279" s="69">
        <v>2</v>
      </c>
      <c r="AI279" s="69">
        <v>56</v>
      </c>
      <c r="AJ279" s="69">
        <v>0</v>
      </c>
      <c r="AK279" s="69">
        <v>0</v>
      </c>
      <c r="AL279" s="60">
        <v>51000</v>
      </c>
      <c r="AM279" s="60">
        <f t="shared" si="149"/>
        <v>51000</v>
      </c>
      <c r="AN279" s="59">
        <v>15752</v>
      </c>
      <c r="AO279" s="148">
        <f t="shared" si="150"/>
        <v>-15752</v>
      </c>
      <c r="AP279" s="58">
        <v>2528.9068493150698</v>
      </c>
      <c r="AQ279" s="143">
        <f t="shared" si="151"/>
        <v>-2528.91</v>
      </c>
    </row>
    <row r="280" spans="1:43" x14ac:dyDescent="0.35">
      <c r="A280" s="69" t="s">
        <v>43</v>
      </c>
      <c r="B280" s="15" t="s">
        <v>912</v>
      </c>
      <c r="C280" s="15"/>
      <c r="D280" s="69" t="e">
        <f>_xlfn.XLOOKUP(B280,SOM!B:B,SOM!D:D,,0)</f>
        <v>#N/A</v>
      </c>
      <c r="E280" s="76">
        <v>24</v>
      </c>
      <c r="F280" s="69" t="s">
        <v>259</v>
      </c>
      <c r="G280" s="10" t="s">
        <v>260</v>
      </c>
      <c r="H280" s="15">
        <v>9007000078</v>
      </c>
      <c r="I280" s="92" t="s">
        <v>261</v>
      </c>
      <c r="J280" s="92">
        <v>1202010217</v>
      </c>
      <c r="K280" s="14" t="s">
        <v>846</v>
      </c>
      <c r="L280" s="95" t="s">
        <v>913</v>
      </c>
      <c r="M280" s="69" t="s">
        <v>876</v>
      </c>
      <c r="N280" s="69"/>
      <c r="O280" s="94">
        <v>36</v>
      </c>
      <c r="P280" s="69" t="s">
        <v>50</v>
      </c>
      <c r="Q280" s="69" t="s">
        <v>51</v>
      </c>
      <c r="R280" s="69"/>
      <c r="S280" s="46">
        <v>44886</v>
      </c>
      <c r="T280" s="48">
        <v>44886</v>
      </c>
      <c r="U280" s="69"/>
      <c r="V280" s="69"/>
      <c r="W280" s="69"/>
      <c r="X280" s="69"/>
      <c r="Y280" s="69" t="s">
        <v>4131</v>
      </c>
      <c r="Z280" s="43">
        <v>59400</v>
      </c>
      <c r="AA280" s="43" t="s">
        <v>52</v>
      </c>
      <c r="AB280" s="43" t="s">
        <v>53</v>
      </c>
      <c r="AC280" s="43">
        <v>3650</v>
      </c>
      <c r="AD280" s="141">
        <v>10</v>
      </c>
      <c r="AE280" s="142">
        <v>0</v>
      </c>
      <c r="AF280" s="142"/>
      <c r="AG280" s="69" t="str">
        <f t="shared" si="148"/>
        <v>2 years 42 days</v>
      </c>
      <c r="AH280" s="69">
        <v>2</v>
      </c>
      <c r="AI280" s="69">
        <v>42</v>
      </c>
      <c r="AJ280" s="69">
        <v>0</v>
      </c>
      <c r="AK280" s="69">
        <v>0</v>
      </c>
      <c r="AL280" s="60">
        <v>59400</v>
      </c>
      <c r="AM280" s="60">
        <f t="shared" si="149"/>
        <v>59400</v>
      </c>
      <c r="AN280" s="59">
        <v>17267</v>
      </c>
      <c r="AO280" s="148">
        <f t="shared" si="150"/>
        <v>-17267</v>
      </c>
      <c r="AP280" s="58">
        <v>2945.2602739726026</v>
      </c>
      <c r="AQ280" s="143">
        <f t="shared" si="151"/>
        <v>-2945.26</v>
      </c>
    </row>
    <row r="281" spans="1:43" x14ac:dyDescent="0.35">
      <c r="A281" s="69" t="s">
        <v>43</v>
      </c>
      <c r="B281" s="15" t="s">
        <v>914</v>
      </c>
      <c r="C281" s="15"/>
      <c r="D281" s="69" t="e">
        <f>_xlfn.XLOOKUP(B281,SOM!B:B,SOM!D:D,,0)</f>
        <v>#N/A</v>
      </c>
      <c r="E281" s="76">
        <v>25</v>
      </c>
      <c r="F281" s="69" t="s">
        <v>259</v>
      </c>
      <c r="G281" s="10" t="s">
        <v>260</v>
      </c>
      <c r="H281" s="15">
        <v>9007000078</v>
      </c>
      <c r="I281" s="92" t="s">
        <v>261</v>
      </c>
      <c r="J281" s="92">
        <v>1202010217</v>
      </c>
      <c r="K281" s="14" t="s">
        <v>846</v>
      </c>
      <c r="L281" s="95" t="s">
        <v>915</v>
      </c>
      <c r="M281" s="69" t="s">
        <v>876</v>
      </c>
      <c r="N281" s="69"/>
      <c r="O281" s="94">
        <v>30</v>
      </c>
      <c r="P281" s="69" t="s">
        <v>50</v>
      </c>
      <c r="Q281" s="69" t="s">
        <v>51</v>
      </c>
      <c r="R281" s="69"/>
      <c r="S281" s="46">
        <v>44882</v>
      </c>
      <c r="T281" s="48">
        <v>44882</v>
      </c>
      <c r="U281" s="69"/>
      <c r="V281" s="69"/>
      <c r="W281" s="69"/>
      <c r="X281" s="69"/>
      <c r="Y281" s="69" t="s">
        <v>4131</v>
      </c>
      <c r="Z281" s="43">
        <v>49500</v>
      </c>
      <c r="AA281" s="43" t="s">
        <v>52</v>
      </c>
      <c r="AB281" s="43" t="s">
        <v>53</v>
      </c>
      <c r="AC281" s="43">
        <v>3650</v>
      </c>
      <c r="AD281" s="141">
        <v>10</v>
      </c>
      <c r="AE281" s="142">
        <v>0</v>
      </c>
      <c r="AF281" s="142"/>
      <c r="AG281" s="69" t="str">
        <f t="shared" si="148"/>
        <v>2 years 46 days</v>
      </c>
      <c r="AH281" s="69">
        <v>2</v>
      </c>
      <c r="AI281" s="69">
        <v>46</v>
      </c>
      <c r="AJ281" s="69">
        <v>0</v>
      </c>
      <c r="AK281" s="69">
        <v>0</v>
      </c>
      <c r="AL281" s="60">
        <v>49500</v>
      </c>
      <c r="AM281" s="60">
        <f t="shared" si="149"/>
        <v>49500</v>
      </c>
      <c r="AN281" s="59">
        <v>14430</v>
      </c>
      <c r="AO281" s="148">
        <f t="shared" si="150"/>
        <v>-14430</v>
      </c>
      <c r="AP281" s="58">
        <v>2454.6301369862995</v>
      </c>
      <c r="AQ281" s="143">
        <f t="shared" si="151"/>
        <v>-2454.63</v>
      </c>
    </row>
    <row r="282" spans="1:43" x14ac:dyDescent="0.35">
      <c r="A282" s="69" t="s">
        <v>43</v>
      </c>
      <c r="B282" s="15" t="s">
        <v>916</v>
      </c>
      <c r="C282" s="15"/>
      <c r="D282" s="69" t="e">
        <f>_xlfn.XLOOKUP(B282,SOM!B:B,SOM!D:D,,0)</f>
        <v>#N/A</v>
      </c>
      <c r="E282" s="76">
        <v>26</v>
      </c>
      <c r="F282" s="69" t="s">
        <v>259</v>
      </c>
      <c r="G282" s="10" t="s">
        <v>260</v>
      </c>
      <c r="H282" s="15">
        <v>9007000078</v>
      </c>
      <c r="I282" s="92" t="s">
        <v>261</v>
      </c>
      <c r="J282" s="92">
        <v>1202010217</v>
      </c>
      <c r="K282" s="14" t="s">
        <v>846</v>
      </c>
      <c r="L282" s="95" t="s">
        <v>917</v>
      </c>
      <c r="M282" s="69" t="s">
        <v>876</v>
      </c>
      <c r="N282" s="69"/>
      <c r="O282" s="94">
        <v>38</v>
      </c>
      <c r="P282" s="69" t="s">
        <v>50</v>
      </c>
      <c r="Q282" s="69" t="s">
        <v>51</v>
      </c>
      <c r="R282" s="69"/>
      <c r="S282" s="46">
        <v>44910</v>
      </c>
      <c r="T282" s="48">
        <v>44910</v>
      </c>
      <c r="U282" s="69"/>
      <c r="V282" s="69"/>
      <c r="W282" s="69"/>
      <c r="X282" s="69"/>
      <c r="Y282" s="69" t="s">
        <v>4131</v>
      </c>
      <c r="Z282" s="43">
        <v>62700</v>
      </c>
      <c r="AA282" s="43" t="s">
        <v>52</v>
      </c>
      <c r="AB282" s="43" t="s">
        <v>53</v>
      </c>
      <c r="AC282" s="43">
        <v>3650</v>
      </c>
      <c r="AD282" s="141">
        <v>10</v>
      </c>
      <c r="AE282" s="142">
        <v>0</v>
      </c>
      <c r="AF282" s="142"/>
      <c r="AG282" s="69" t="str">
        <f t="shared" si="148"/>
        <v>2 years 18 days</v>
      </c>
      <c r="AH282" s="69">
        <v>2</v>
      </c>
      <c r="AI282" s="69">
        <v>18</v>
      </c>
      <c r="AJ282" s="69">
        <v>0</v>
      </c>
      <c r="AK282" s="69">
        <v>0</v>
      </c>
      <c r="AL282" s="60">
        <v>62700</v>
      </c>
      <c r="AM282" s="60">
        <f t="shared" si="149"/>
        <v>62700</v>
      </c>
      <c r="AN282" s="59">
        <v>17659</v>
      </c>
      <c r="AO282" s="148">
        <f t="shared" si="150"/>
        <v>-17659</v>
      </c>
      <c r="AP282" s="58">
        <v>3108.9452054794529</v>
      </c>
      <c r="AQ282" s="143">
        <f t="shared" si="151"/>
        <v>-3108.95</v>
      </c>
    </row>
    <row r="283" spans="1:43" x14ac:dyDescent="0.35">
      <c r="A283" s="69" t="s">
        <v>43</v>
      </c>
      <c r="B283" s="15" t="s">
        <v>918</v>
      </c>
      <c r="C283" s="15"/>
      <c r="D283" s="69"/>
      <c r="E283" s="76">
        <v>0</v>
      </c>
      <c r="F283" s="69" t="s">
        <v>259</v>
      </c>
      <c r="G283" s="10" t="s">
        <v>260</v>
      </c>
      <c r="H283" s="14">
        <v>9007000079</v>
      </c>
      <c r="I283" s="92" t="s">
        <v>261</v>
      </c>
      <c r="J283" s="92">
        <v>1202010217</v>
      </c>
      <c r="K283" s="14" t="s">
        <v>919</v>
      </c>
      <c r="L283" s="95" t="s">
        <v>920</v>
      </c>
      <c r="M283" s="69" t="s">
        <v>49</v>
      </c>
      <c r="N283" s="69"/>
      <c r="O283" s="94">
        <v>1</v>
      </c>
      <c r="P283" s="69" t="s">
        <v>50</v>
      </c>
      <c r="Q283" s="69" t="s">
        <v>51</v>
      </c>
      <c r="R283" s="69"/>
      <c r="S283" s="46">
        <v>40014</v>
      </c>
      <c r="T283" s="48">
        <v>43191</v>
      </c>
      <c r="U283" s="69"/>
      <c r="V283" s="69"/>
      <c r="W283" s="69"/>
      <c r="X283" s="69"/>
      <c r="Y283" s="69" t="s">
        <v>4125</v>
      </c>
      <c r="Z283" s="43">
        <v>3200</v>
      </c>
      <c r="AA283" s="43" t="s">
        <v>52</v>
      </c>
      <c r="AB283" s="43" t="s">
        <v>53</v>
      </c>
      <c r="AC283" s="43">
        <v>475</v>
      </c>
      <c r="AD283" s="141">
        <v>1</v>
      </c>
      <c r="AE283" s="142">
        <v>4</v>
      </c>
      <c r="AF283" s="142"/>
      <c r="AG283" s="69" t="str">
        <f t="shared" ref="AG283:AG285" si="152">_xlfn.CONCAT(AH283," years ",AI283," days")</f>
        <v>1 years 110 days</v>
      </c>
      <c r="AH283" s="69">
        <v>1</v>
      </c>
      <c r="AI283" s="69">
        <v>110</v>
      </c>
      <c r="AJ283" s="69">
        <v>0</v>
      </c>
      <c r="AK283" s="69">
        <v>0</v>
      </c>
      <c r="AL283" s="60">
        <v>3200</v>
      </c>
      <c r="AM283" s="60">
        <f t="shared" ref="AM283:AM285" si="153">ROUND(AL283,2)</f>
        <v>3200</v>
      </c>
      <c r="AN283" s="59">
        <v>3200</v>
      </c>
      <c r="AO283" s="148">
        <f t="shared" ref="AO283:AO285" si="154">ROUND(AN283,2)*-1</f>
        <v>-3200</v>
      </c>
      <c r="AP283" s="58">
        <v>0</v>
      </c>
      <c r="AQ283" s="143">
        <f t="shared" ref="AQ283:AQ285" si="155">ROUND(AP283,2)*-1</f>
        <v>0</v>
      </c>
    </row>
    <row r="284" spans="1:43" x14ac:dyDescent="0.35">
      <c r="A284" s="69" t="s">
        <v>43</v>
      </c>
      <c r="B284" s="15" t="s">
        <v>921</v>
      </c>
      <c r="C284" s="15"/>
      <c r="D284" s="69" t="e">
        <f>_xlfn.XLOOKUP(B284,SOM!B:B,SOM!D:D,,0)</f>
        <v>#N/A</v>
      </c>
      <c r="E284" s="76">
        <v>1</v>
      </c>
      <c r="F284" s="69" t="s">
        <v>259</v>
      </c>
      <c r="G284" s="10" t="s">
        <v>260</v>
      </c>
      <c r="H284" s="15">
        <v>9007000079</v>
      </c>
      <c r="I284" s="92" t="s">
        <v>261</v>
      </c>
      <c r="J284" s="92">
        <v>1202010217</v>
      </c>
      <c r="K284" s="14" t="s">
        <v>818</v>
      </c>
      <c r="L284" s="95" t="s">
        <v>922</v>
      </c>
      <c r="M284" s="69" t="s">
        <v>923</v>
      </c>
      <c r="N284" s="69"/>
      <c r="O284" s="94">
        <v>3</v>
      </c>
      <c r="P284" s="69" t="s">
        <v>50</v>
      </c>
      <c r="Q284" s="69" t="s">
        <v>51</v>
      </c>
      <c r="R284" s="69"/>
      <c r="S284" s="46">
        <v>45231</v>
      </c>
      <c r="T284" s="48">
        <v>45231</v>
      </c>
      <c r="U284" s="69"/>
      <c r="V284" s="69"/>
      <c r="W284" s="69"/>
      <c r="X284" s="69"/>
      <c r="Y284" s="69" t="s">
        <v>4129</v>
      </c>
      <c r="Z284" s="43">
        <v>500070</v>
      </c>
      <c r="AA284" s="43" t="s">
        <v>52</v>
      </c>
      <c r="AB284" s="43" t="s">
        <v>53</v>
      </c>
      <c r="AC284" s="43">
        <v>3650</v>
      </c>
      <c r="AD284" s="141">
        <v>10</v>
      </c>
      <c r="AE284" s="142">
        <v>0</v>
      </c>
      <c r="AF284" s="142"/>
      <c r="AG284" s="69" t="str">
        <f t="shared" si="152"/>
        <v>1 years 62 days</v>
      </c>
      <c r="AH284" s="69">
        <v>1</v>
      </c>
      <c r="AI284" s="69">
        <v>62</v>
      </c>
      <c r="AJ284" s="69">
        <v>0</v>
      </c>
      <c r="AK284" s="69">
        <v>0</v>
      </c>
      <c r="AL284" s="60">
        <v>500070</v>
      </c>
      <c r="AM284" s="60">
        <f t="shared" si="153"/>
        <v>500070</v>
      </c>
      <c r="AN284" s="59">
        <v>58501</v>
      </c>
      <c r="AO284" s="148">
        <f t="shared" si="154"/>
        <v>-58501</v>
      </c>
      <c r="AP284" s="58">
        <v>24798.331506849325</v>
      </c>
      <c r="AQ284" s="143">
        <f t="shared" si="155"/>
        <v>-24798.33</v>
      </c>
    </row>
    <row r="285" spans="1:43" x14ac:dyDescent="0.35">
      <c r="A285" s="69" t="s">
        <v>43</v>
      </c>
      <c r="B285" s="15" t="s">
        <v>924</v>
      </c>
      <c r="C285" s="15"/>
      <c r="D285" s="69" t="e">
        <f>_xlfn.XLOOKUP(B285,SOM!B:B,SOM!D:D,,0)</f>
        <v>#N/A</v>
      </c>
      <c r="E285" s="76">
        <v>2</v>
      </c>
      <c r="F285" s="69" t="s">
        <v>259</v>
      </c>
      <c r="G285" s="10" t="s">
        <v>260</v>
      </c>
      <c r="H285" s="15">
        <v>9007000079</v>
      </c>
      <c r="I285" s="92" t="s">
        <v>261</v>
      </c>
      <c r="J285" s="92">
        <v>1202010217</v>
      </c>
      <c r="K285" s="14"/>
      <c r="L285" s="95" t="s">
        <v>925</v>
      </c>
      <c r="M285" s="69" t="s">
        <v>926</v>
      </c>
      <c r="N285" s="69"/>
      <c r="O285" s="94">
        <v>1</v>
      </c>
      <c r="P285" s="69" t="s">
        <v>50</v>
      </c>
      <c r="Q285" s="69" t="s">
        <v>51</v>
      </c>
      <c r="R285" s="69"/>
      <c r="S285" s="46">
        <v>43480</v>
      </c>
      <c r="T285" s="48">
        <v>43480</v>
      </c>
      <c r="U285" s="69"/>
      <c r="V285" s="69"/>
      <c r="W285" s="69"/>
      <c r="X285" s="69"/>
      <c r="Y285" s="69" t="s">
        <v>4126</v>
      </c>
      <c r="Z285" s="43">
        <v>9000</v>
      </c>
      <c r="AA285" s="43" t="s">
        <v>52</v>
      </c>
      <c r="AB285" s="43" t="s">
        <v>53</v>
      </c>
      <c r="AC285" s="43">
        <v>3650</v>
      </c>
      <c r="AD285" s="141">
        <v>10</v>
      </c>
      <c r="AE285" s="142">
        <v>0</v>
      </c>
      <c r="AF285" s="142"/>
      <c r="AG285" s="69" t="str">
        <f t="shared" si="152"/>
        <v>5 years 353 days</v>
      </c>
      <c r="AH285" s="69">
        <v>5</v>
      </c>
      <c r="AI285" s="69">
        <v>353</v>
      </c>
      <c r="AJ285" s="69">
        <v>0</v>
      </c>
      <c r="AK285" s="69">
        <v>0</v>
      </c>
      <c r="AL285" s="60">
        <v>9000</v>
      </c>
      <c r="AM285" s="60">
        <f t="shared" si="153"/>
        <v>9000</v>
      </c>
      <c r="AN285" s="59">
        <v>9000</v>
      </c>
      <c r="AO285" s="148">
        <f t="shared" si="154"/>
        <v>-9000</v>
      </c>
      <c r="AP285" s="58">
        <v>0.39726027397227881</v>
      </c>
      <c r="AQ285" s="143">
        <f t="shared" si="155"/>
        <v>-0.4</v>
      </c>
    </row>
    <row r="286" spans="1:43" x14ac:dyDescent="0.35">
      <c r="A286" s="69" t="s">
        <v>43</v>
      </c>
      <c r="B286" s="15" t="s">
        <v>927</v>
      </c>
      <c r="C286" s="15"/>
      <c r="D286" s="69"/>
      <c r="E286" s="76">
        <v>0</v>
      </c>
      <c r="F286" s="69" t="s">
        <v>259</v>
      </c>
      <c r="G286" s="10" t="s">
        <v>260</v>
      </c>
      <c r="H286" s="14">
        <v>9007000080</v>
      </c>
      <c r="I286" s="92" t="s">
        <v>261</v>
      </c>
      <c r="J286" s="92">
        <v>1202010217</v>
      </c>
      <c r="K286" s="14" t="s">
        <v>928</v>
      </c>
      <c r="L286" s="95" t="s">
        <v>929</v>
      </c>
      <c r="M286" s="69" t="s">
        <v>49</v>
      </c>
      <c r="N286" s="69"/>
      <c r="O286" s="94">
        <v>1</v>
      </c>
      <c r="P286" s="69" t="s">
        <v>50</v>
      </c>
      <c r="Q286" s="69" t="s">
        <v>51</v>
      </c>
      <c r="R286" s="69"/>
      <c r="S286" s="46">
        <v>41329</v>
      </c>
      <c r="T286" s="48">
        <v>43191</v>
      </c>
      <c r="U286" s="69"/>
      <c r="V286" s="69"/>
      <c r="W286" s="69"/>
      <c r="X286" s="69"/>
      <c r="Y286" s="69" t="s">
        <v>4125</v>
      </c>
      <c r="Z286" s="43">
        <v>26000</v>
      </c>
      <c r="AA286" s="43" t="s">
        <v>52</v>
      </c>
      <c r="AB286" s="43" t="s">
        <v>53</v>
      </c>
      <c r="AC286" s="43">
        <v>1789</v>
      </c>
      <c r="AD286" s="141">
        <v>4</v>
      </c>
      <c r="AE286" s="142">
        <v>11</v>
      </c>
      <c r="AF286" s="142"/>
      <c r="AG286" s="69" t="str">
        <f t="shared" ref="AG286:AG287" si="156">_xlfn.CONCAT(AH286," years ",AI286," days")</f>
        <v>4 years 329 days</v>
      </c>
      <c r="AH286" s="69">
        <v>4</v>
      </c>
      <c r="AI286" s="69">
        <v>329</v>
      </c>
      <c r="AJ286" s="69">
        <v>0</v>
      </c>
      <c r="AK286" s="69">
        <v>0</v>
      </c>
      <c r="AL286" s="60">
        <v>26000</v>
      </c>
      <c r="AM286" s="60">
        <f t="shared" ref="AM286:AM287" si="157">ROUND(AL286,2)</f>
        <v>26000</v>
      </c>
      <c r="AN286" s="59">
        <v>26000</v>
      </c>
      <c r="AO286" s="148">
        <f t="shared" ref="AO286:AO287" si="158">ROUND(AN286,2)*-1</f>
        <v>-26000</v>
      </c>
      <c r="AP286" s="58">
        <v>0</v>
      </c>
      <c r="AQ286" s="143">
        <f t="shared" ref="AQ286:AQ287" si="159">ROUND(AP286,2)*-1</f>
        <v>0</v>
      </c>
    </row>
    <row r="287" spans="1:43" x14ac:dyDescent="0.35">
      <c r="A287" s="69" t="s">
        <v>43</v>
      </c>
      <c r="B287" s="15" t="s">
        <v>930</v>
      </c>
      <c r="C287" s="15"/>
      <c r="D287" s="69" t="e">
        <f>_xlfn.XLOOKUP(B287,SOM!B:B,SOM!D:D,,0)</f>
        <v>#N/A</v>
      </c>
      <c r="E287" s="76">
        <v>1</v>
      </c>
      <c r="F287" s="69" t="s">
        <v>259</v>
      </c>
      <c r="G287" s="10" t="s">
        <v>260</v>
      </c>
      <c r="H287" s="15">
        <v>9007000080</v>
      </c>
      <c r="I287" s="92" t="s">
        <v>261</v>
      </c>
      <c r="J287" s="92">
        <v>1202010217</v>
      </c>
      <c r="K287" s="14" t="s">
        <v>818</v>
      </c>
      <c r="L287" s="95" t="s">
        <v>931</v>
      </c>
      <c r="M287" s="69" t="s">
        <v>932</v>
      </c>
      <c r="N287" s="69"/>
      <c r="O287" s="94">
        <v>1</v>
      </c>
      <c r="P287" s="69" t="s">
        <v>50</v>
      </c>
      <c r="Q287" s="69" t="s">
        <v>51</v>
      </c>
      <c r="R287" s="69"/>
      <c r="S287" s="46">
        <v>44986</v>
      </c>
      <c r="T287" s="48">
        <v>44986</v>
      </c>
      <c r="U287" s="69"/>
      <c r="V287" s="69"/>
      <c r="W287" s="69"/>
      <c r="X287" s="69"/>
      <c r="Y287" s="69" t="s">
        <v>4129</v>
      </c>
      <c r="Z287" s="43">
        <v>485012</v>
      </c>
      <c r="AA287" s="43" t="s">
        <v>52</v>
      </c>
      <c r="AB287" s="43" t="s">
        <v>53</v>
      </c>
      <c r="AC287" s="43">
        <v>3650</v>
      </c>
      <c r="AD287" s="141">
        <v>10</v>
      </c>
      <c r="AE287" s="142">
        <v>0</v>
      </c>
      <c r="AF287" s="142"/>
      <c r="AG287" s="69" t="str">
        <f t="shared" si="156"/>
        <v>1 years 307 days</v>
      </c>
      <c r="AH287" s="69">
        <v>1</v>
      </c>
      <c r="AI287" s="69">
        <v>307</v>
      </c>
      <c r="AJ287" s="69">
        <v>0</v>
      </c>
      <c r="AK287" s="69">
        <v>0</v>
      </c>
      <c r="AL287" s="60">
        <v>485012</v>
      </c>
      <c r="AM287" s="60">
        <f t="shared" si="157"/>
        <v>485012</v>
      </c>
      <c r="AN287" s="59">
        <v>89295</v>
      </c>
      <c r="AO287" s="148">
        <f t="shared" si="158"/>
        <v>-89295</v>
      </c>
      <c r="AP287" s="58">
        <v>24051.64</v>
      </c>
      <c r="AQ287" s="143">
        <f t="shared" si="159"/>
        <v>-24051.64</v>
      </c>
    </row>
    <row r="288" spans="1:43" x14ac:dyDescent="0.35">
      <c r="A288" s="69" t="s">
        <v>43</v>
      </c>
      <c r="B288" s="15" t="s">
        <v>933</v>
      </c>
      <c r="C288" s="15"/>
      <c r="D288" s="69"/>
      <c r="E288" s="76">
        <v>0</v>
      </c>
      <c r="F288" s="69" t="s">
        <v>259</v>
      </c>
      <c r="G288" s="10" t="s">
        <v>260</v>
      </c>
      <c r="H288" s="15">
        <v>9007000081</v>
      </c>
      <c r="I288" s="92" t="s">
        <v>261</v>
      </c>
      <c r="J288" s="92">
        <v>1202010217</v>
      </c>
      <c r="K288" s="14" t="s">
        <v>934</v>
      </c>
      <c r="L288" s="95" t="s">
        <v>935</v>
      </c>
      <c r="M288" s="69" t="s">
        <v>936</v>
      </c>
      <c r="N288" s="69"/>
      <c r="O288" s="94">
        <v>2</v>
      </c>
      <c r="P288" s="69" t="s">
        <v>50</v>
      </c>
      <c r="Q288" s="69" t="s">
        <v>51</v>
      </c>
      <c r="R288" s="69"/>
      <c r="S288" s="46">
        <v>44101</v>
      </c>
      <c r="T288" s="48">
        <v>44101</v>
      </c>
      <c r="U288" s="69"/>
      <c r="V288" s="69"/>
      <c r="W288" s="69"/>
      <c r="X288" s="69"/>
      <c r="Y288" s="69" t="s">
        <v>4127</v>
      </c>
      <c r="Z288" s="43">
        <v>581200</v>
      </c>
      <c r="AA288" s="43" t="s">
        <v>52</v>
      </c>
      <c r="AB288" s="43" t="s">
        <v>53</v>
      </c>
      <c r="AC288" s="43">
        <v>3650</v>
      </c>
      <c r="AD288" s="141">
        <v>10</v>
      </c>
      <c r="AE288" s="142">
        <v>0</v>
      </c>
      <c r="AF288" s="142"/>
      <c r="AG288" s="69" t="str">
        <f t="shared" ref="AG288:AG291" si="160">_xlfn.CONCAT(AH288," years ",AI288," days")</f>
        <v>4 years 97 days</v>
      </c>
      <c r="AH288" s="69">
        <v>4</v>
      </c>
      <c r="AI288" s="69">
        <v>97</v>
      </c>
      <c r="AJ288" s="69">
        <v>0</v>
      </c>
      <c r="AK288" s="69">
        <v>0</v>
      </c>
      <c r="AL288" s="60">
        <v>581200</v>
      </c>
      <c r="AM288" s="60">
        <f t="shared" ref="AM288:AM291" si="161">ROUND(AL288,2)</f>
        <v>581200</v>
      </c>
      <c r="AN288" s="59">
        <v>247926</v>
      </c>
      <c r="AO288" s="148">
        <f t="shared" ref="AO288:AO291" si="162">ROUND(AN288,2)*-1</f>
        <v>-247926</v>
      </c>
      <c r="AP288" s="58">
        <v>28820.739726027416</v>
      </c>
      <c r="AQ288" s="143">
        <f t="shared" ref="AQ288:AQ291" si="163">ROUND(AP288,2)*-1</f>
        <v>-28820.74</v>
      </c>
    </row>
    <row r="289" spans="1:43" x14ac:dyDescent="0.35">
      <c r="A289" s="69" t="s">
        <v>43</v>
      </c>
      <c r="B289" s="15" t="s">
        <v>937</v>
      </c>
      <c r="C289" s="15"/>
      <c r="D289" s="69" t="e">
        <f>_xlfn.XLOOKUP(B289,SOM!B:B,SOM!D:D,,0)</f>
        <v>#N/A</v>
      </c>
      <c r="E289" s="76">
        <v>1</v>
      </c>
      <c r="F289" s="69" t="s">
        <v>259</v>
      </c>
      <c r="G289" s="10" t="s">
        <v>260</v>
      </c>
      <c r="H289" s="15">
        <v>9007000081</v>
      </c>
      <c r="I289" s="92" t="s">
        <v>261</v>
      </c>
      <c r="J289" s="92">
        <v>1202010217</v>
      </c>
      <c r="K289" s="14" t="s">
        <v>934</v>
      </c>
      <c r="L289" s="95" t="s">
        <v>938</v>
      </c>
      <c r="M289" s="69" t="s">
        <v>939</v>
      </c>
      <c r="N289" s="69"/>
      <c r="O289" s="94">
        <v>1</v>
      </c>
      <c r="P289" s="69" t="s">
        <v>50</v>
      </c>
      <c r="Q289" s="69" t="s">
        <v>51</v>
      </c>
      <c r="R289" s="69"/>
      <c r="S289" s="46">
        <v>44195</v>
      </c>
      <c r="T289" s="48">
        <v>44195</v>
      </c>
      <c r="U289" s="69"/>
      <c r="V289" s="69"/>
      <c r="W289" s="69"/>
      <c r="X289" s="69"/>
      <c r="Y289" s="69" t="s">
        <v>4127</v>
      </c>
      <c r="Z289" s="43">
        <v>428868</v>
      </c>
      <c r="AA289" s="43" t="s">
        <v>52</v>
      </c>
      <c r="AB289" s="43" t="s">
        <v>53</v>
      </c>
      <c r="AC289" s="43">
        <v>3650</v>
      </c>
      <c r="AD289" s="141">
        <v>10</v>
      </c>
      <c r="AE289" s="142">
        <v>0</v>
      </c>
      <c r="AF289" s="142"/>
      <c r="AG289" s="69" t="str">
        <f t="shared" si="160"/>
        <v>4 years 3 days</v>
      </c>
      <c r="AH289" s="69">
        <v>4</v>
      </c>
      <c r="AI289" s="69">
        <v>3</v>
      </c>
      <c r="AJ289" s="69">
        <v>0</v>
      </c>
      <c r="AK289" s="69">
        <v>0</v>
      </c>
      <c r="AL289" s="60">
        <v>428868</v>
      </c>
      <c r="AM289" s="60">
        <f t="shared" si="161"/>
        <v>428868</v>
      </c>
      <c r="AN289" s="59">
        <v>171900</v>
      </c>
      <c r="AO289" s="148">
        <f t="shared" si="162"/>
        <v>-171900</v>
      </c>
      <c r="AP289" s="58">
        <v>21266.847123287705</v>
      </c>
      <c r="AQ289" s="143">
        <f t="shared" si="163"/>
        <v>-21266.85</v>
      </c>
    </row>
    <row r="290" spans="1:43" x14ac:dyDescent="0.35">
      <c r="A290" s="69" t="s">
        <v>43</v>
      </c>
      <c r="B290" s="15" t="s">
        <v>940</v>
      </c>
      <c r="C290" s="15"/>
      <c r="D290" s="69" t="e">
        <f>_xlfn.XLOOKUP(B290,SOM!B:B,SOM!D:D,,0)</f>
        <v>#N/A</v>
      </c>
      <c r="E290" s="76">
        <v>2</v>
      </c>
      <c r="F290" s="69" t="s">
        <v>259</v>
      </c>
      <c r="G290" s="10" t="s">
        <v>260</v>
      </c>
      <c r="H290" s="15">
        <v>9007000081</v>
      </c>
      <c r="I290" s="92" t="s">
        <v>261</v>
      </c>
      <c r="J290" s="92">
        <v>1202010217</v>
      </c>
      <c r="K290" s="14" t="s">
        <v>934</v>
      </c>
      <c r="L290" s="95" t="s">
        <v>941</v>
      </c>
      <c r="M290" s="69" t="s">
        <v>942</v>
      </c>
      <c r="N290" s="69"/>
      <c r="O290" s="94">
        <v>1</v>
      </c>
      <c r="P290" s="69" t="s">
        <v>50</v>
      </c>
      <c r="Q290" s="69" t="s">
        <v>51</v>
      </c>
      <c r="R290" s="69"/>
      <c r="S290" s="46">
        <v>44195</v>
      </c>
      <c r="T290" s="48">
        <v>44195</v>
      </c>
      <c r="U290" s="69"/>
      <c r="V290" s="69"/>
      <c r="W290" s="69"/>
      <c r="X290" s="69"/>
      <c r="Y290" s="69" t="s">
        <v>4127</v>
      </c>
      <c r="Z290" s="43">
        <v>592986.96</v>
      </c>
      <c r="AA290" s="43" t="s">
        <v>52</v>
      </c>
      <c r="AB290" s="43" t="s">
        <v>53</v>
      </c>
      <c r="AC290" s="43">
        <v>3650</v>
      </c>
      <c r="AD290" s="141">
        <v>10</v>
      </c>
      <c r="AE290" s="142">
        <v>0</v>
      </c>
      <c r="AF290" s="142"/>
      <c r="AG290" s="69" t="str">
        <f t="shared" si="160"/>
        <v>4 years 3 days</v>
      </c>
      <c r="AH290" s="69">
        <v>4</v>
      </c>
      <c r="AI290" s="69">
        <v>3</v>
      </c>
      <c r="AJ290" s="69">
        <v>0</v>
      </c>
      <c r="AK290" s="69">
        <v>0</v>
      </c>
      <c r="AL290" s="60">
        <v>592986.96</v>
      </c>
      <c r="AM290" s="60">
        <f t="shared" si="161"/>
        <v>592986.96</v>
      </c>
      <c r="AN290" s="59">
        <v>237682</v>
      </c>
      <c r="AO290" s="148">
        <f t="shared" si="162"/>
        <v>-237682</v>
      </c>
      <c r="AP290" s="58">
        <v>29405.834279452043</v>
      </c>
      <c r="AQ290" s="143">
        <f t="shared" si="163"/>
        <v>-29405.83</v>
      </c>
    </row>
    <row r="291" spans="1:43" x14ac:dyDescent="0.35">
      <c r="A291" s="69" t="s">
        <v>43</v>
      </c>
      <c r="B291" s="15" t="s">
        <v>943</v>
      </c>
      <c r="C291" s="15"/>
      <c r="D291" s="69" t="e">
        <f>_xlfn.XLOOKUP(B291,SOM!B:B,SOM!D:D,,0)</f>
        <v>#N/A</v>
      </c>
      <c r="E291" s="76">
        <v>3</v>
      </c>
      <c r="F291" s="69" t="s">
        <v>259</v>
      </c>
      <c r="G291" s="10" t="s">
        <v>260</v>
      </c>
      <c r="H291" s="14">
        <v>9007000081</v>
      </c>
      <c r="I291" s="92" t="s">
        <v>261</v>
      </c>
      <c r="J291" s="92">
        <v>1202010217</v>
      </c>
      <c r="K291" s="14" t="s">
        <v>944</v>
      </c>
      <c r="L291" s="95" t="s">
        <v>945</v>
      </c>
      <c r="M291" s="69" t="s">
        <v>49</v>
      </c>
      <c r="N291" s="69"/>
      <c r="O291" s="94">
        <v>1</v>
      </c>
      <c r="P291" s="69" t="s">
        <v>50</v>
      </c>
      <c r="Q291" s="69" t="s">
        <v>51</v>
      </c>
      <c r="R291" s="69"/>
      <c r="S291" s="46">
        <v>40374</v>
      </c>
      <c r="T291" s="48">
        <v>43191</v>
      </c>
      <c r="U291" s="69"/>
      <c r="V291" s="69"/>
      <c r="W291" s="69"/>
      <c r="X291" s="69"/>
      <c r="Y291" s="69" t="s">
        <v>4125</v>
      </c>
      <c r="Z291" s="43">
        <v>8750</v>
      </c>
      <c r="AA291" s="43" t="s">
        <v>52</v>
      </c>
      <c r="AB291" s="43" t="s">
        <v>53</v>
      </c>
      <c r="AC291" s="43">
        <v>840</v>
      </c>
      <c r="AD291" s="141">
        <v>2</v>
      </c>
      <c r="AE291" s="142">
        <v>4</v>
      </c>
      <c r="AF291" s="142"/>
      <c r="AG291" s="69" t="str">
        <f t="shared" si="160"/>
        <v>2 years 110 days</v>
      </c>
      <c r="AH291" s="69">
        <v>2</v>
      </c>
      <c r="AI291" s="69">
        <v>110</v>
      </c>
      <c r="AJ291" s="69">
        <v>0</v>
      </c>
      <c r="AK291" s="69">
        <v>0</v>
      </c>
      <c r="AL291" s="60">
        <v>8750</v>
      </c>
      <c r="AM291" s="60">
        <f t="shared" si="161"/>
        <v>8750</v>
      </c>
      <c r="AN291" s="59">
        <v>8750</v>
      </c>
      <c r="AO291" s="148">
        <f t="shared" si="162"/>
        <v>-8750</v>
      </c>
      <c r="AP291" s="58">
        <v>0</v>
      </c>
      <c r="AQ291" s="143">
        <f t="shared" si="163"/>
        <v>0</v>
      </c>
    </row>
    <row r="292" spans="1:43" x14ac:dyDescent="0.35">
      <c r="A292" s="69" t="s">
        <v>43</v>
      </c>
      <c r="B292" s="15" t="s">
        <v>946</v>
      </c>
      <c r="C292" s="15"/>
      <c r="D292" s="69"/>
      <c r="E292" s="76">
        <v>0</v>
      </c>
      <c r="F292" s="69" t="s">
        <v>259</v>
      </c>
      <c r="G292" s="10" t="s">
        <v>260</v>
      </c>
      <c r="H292" s="14">
        <v>9007000082</v>
      </c>
      <c r="I292" s="92" t="s">
        <v>261</v>
      </c>
      <c r="J292" s="92">
        <v>1202010217</v>
      </c>
      <c r="K292" s="14" t="s">
        <v>947</v>
      </c>
      <c r="L292" s="95" t="s">
        <v>948</v>
      </c>
      <c r="M292" s="69" t="s">
        <v>949</v>
      </c>
      <c r="N292" s="69"/>
      <c r="O292" s="94">
        <v>2</v>
      </c>
      <c r="P292" s="69" t="s">
        <v>50</v>
      </c>
      <c r="Q292" s="69" t="s">
        <v>51</v>
      </c>
      <c r="R292" s="69"/>
      <c r="S292" s="46">
        <v>41965</v>
      </c>
      <c r="T292" s="48">
        <v>43191</v>
      </c>
      <c r="U292" s="69"/>
      <c r="V292" s="69"/>
      <c r="W292" s="69"/>
      <c r="X292" s="69"/>
      <c r="Y292" s="69" t="s">
        <v>4125</v>
      </c>
      <c r="Z292" s="43">
        <v>22000</v>
      </c>
      <c r="AA292" s="43" t="s">
        <v>52</v>
      </c>
      <c r="AB292" s="43" t="s">
        <v>53</v>
      </c>
      <c r="AC292" s="43">
        <v>2409</v>
      </c>
      <c r="AD292" s="141">
        <v>6</v>
      </c>
      <c r="AE292" s="142">
        <v>7</v>
      </c>
      <c r="AF292" s="142"/>
      <c r="AG292" s="69" t="str">
        <f t="shared" ref="AG292:AG294" si="164">_xlfn.CONCAT(AH292," years ",AI292," days")</f>
        <v>6 years 219 days</v>
      </c>
      <c r="AH292" s="69">
        <v>6</v>
      </c>
      <c r="AI292" s="69">
        <v>219</v>
      </c>
      <c r="AJ292" s="69">
        <v>0</v>
      </c>
      <c r="AK292" s="69">
        <v>0</v>
      </c>
      <c r="AL292" s="60">
        <v>22000</v>
      </c>
      <c r="AM292" s="60">
        <f t="shared" ref="AM292:AM294" si="165">ROUND(AL292,2)</f>
        <v>22000</v>
      </c>
      <c r="AN292" s="59">
        <v>22000</v>
      </c>
      <c r="AO292" s="148">
        <f t="shared" ref="AO292:AO294" si="166">ROUND(AN292,2)*-1</f>
        <v>-22000</v>
      </c>
      <c r="AP292" s="58">
        <v>0</v>
      </c>
      <c r="AQ292" s="143">
        <f t="shared" ref="AQ292:AQ294" si="167">ROUND(AP292,2)*-1</f>
        <v>0</v>
      </c>
    </row>
    <row r="293" spans="1:43" x14ac:dyDescent="0.35">
      <c r="A293" s="69" t="s">
        <v>43</v>
      </c>
      <c r="B293" s="15" t="s">
        <v>950</v>
      </c>
      <c r="C293" s="15"/>
      <c r="D293" s="69" t="e">
        <f>_xlfn.XLOOKUP(B293,SOM!B:B,SOM!D:D,,0)</f>
        <v>#N/A</v>
      </c>
      <c r="E293" s="76">
        <v>1</v>
      </c>
      <c r="F293" s="69" t="s">
        <v>259</v>
      </c>
      <c r="G293" s="10" t="s">
        <v>260</v>
      </c>
      <c r="H293" s="15">
        <v>9007000082</v>
      </c>
      <c r="I293" s="92" t="s">
        <v>261</v>
      </c>
      <c r="J293" s="92">
        <v>1202010217</v>
      </c>
      <c r="K293" s="14"/>
      <c r="L293" s="95" t="s">
        <v>951</v>
      </c>
      <c r="M293" s="69" t="s">
        <v>952</v>
      </c>
      <c r="N293" s="69"/>
      <c r="O293" s="94">
        <v>2</v>
      </c>
      <c r="P293" s="69" t="s">
        <v>50</v>
      </c>
      <c r="Q293" s="69" t="s">
        <v>51</v>
      </c>
      <c r="R293" s="69"/>
      <c r="S293" s="46">
        <v>43473</v>
      </c>
      <c r="T293" s="48">
        <v>43473</v>
      </c>
      <c r="U293" s="69"/>
      <c r="V293" s="69"/>
      <c r="W293" s="69"/>
      <c r="X293" s="69"/>
      <c r="Y293" s="69" t="s">
        <v>4126</v>
      </c>
      <c r="Z293" s="43">
        <v>15318</v>
      </c>
      <c r="AA293" s="43" t="s">
        <v>52</v>
      </c>
      <c r="AB293" s="43" t="s">
        <v>53</v>
      </c>
      <c r="AC293" s="43">
        <v>3650</v>
      </c>
      <c r="AD293" s="141">
        <v>10</v>
      </c>
      <c r="AE293" s="142">
        <v>0</v>
      </c>
      <c r="AF293" s="142"/>
      <c r="AG293" s="69" t="str">
        <f t="shared" si="164"/>
        <v>5 years 360 days</v>
      </c>
      <c r="AH293" s="69">
        <v>5</v>
      </c>
      <c r="AI293" s="69">
        <v>360</v>
      </c>
      <c r="AJ293" s="69">
        <v>0</v>
      </c>
      <c r="AK293" s="69">
        <v>0</v>
      </c>
      <c r="AL293" s="60">
        <v>15318</v>
      </c>
      <c r="AM293" s="60">
        <f t="shared" si="165"/>
        <v>15318</v>
      </c>
      <c r="AN293" s="59">
        <v>9166</v>
      </c>
      <c r="AO293" s="148">
        <f t="shared" si="166"/>
        <v>-9166</v>
      </c>
      <c r="AP293" s="58">
        <v>759.22465753424694</v>
      </c>
      <c r="AQ293" s="143">
        <f t="shared" si="167"/>
        <v>-759.22</v>
      </c>
    </row>
    <row r="294" spans="1:43" x14ac:dyDescent="0.35">
      <c r="A294" s="69" t="s">
        <v>43</v>
      </c>
      <c r="B294" s="15" t="s">
        <v>953</v>
      </c>
      <c r="C294" s="15"/>
      <c r="D294" s="69" t="e">
        <f>_xlfn.XLOOKUP(B294,SOM!B:B,SOM!D:D,,0)</f>
        <v>#N/A</v>
      </c>
      <c r="E294" s="76">
        <v>2</v>
      </c>
      <c r="F294" s="69" t="s">
        <v>259</v>
      </c>
      <c r="G294" s="10" t="s">
        <v>260</v>
      </c>
      <c r="H294" s="15">
        <v>9007000082</v>
      </c>
      <c r="I294" s="92" t="s">
        <v>261</v>
      </c>
      <c r="J294" s="92">
        <v>1202010217</v>
      </c>
      <c r="K294" s="14" t="s">
        <v>818</v>
      </c>
      <c r="L294" s="95" t="s">
        <v>954</v>
      </c>
      <c r="M294" s="69" t="s">
        <v>955</v>
      </c>
      <c r="N294" s="69"/>
      <c r="O294" s="94">
        <v>3</v>
      </c>
      <c r="P294" s="69" t="s">
        <v>50</v>
      </c>
      <c r="Q294" s="69" t="s">
        <v>51</v>
      </c>
      <c r="R294" s="69"/>
      <c r="S294" s="46">
        <v>44621</v>
      </c>
      <c r="T294" s="48">
        <v>44621</v>
      </c>
      <c r="U294" s="69"/>
      <c r="V294" s="69"/>
      <c r="W294" s="69"/>
      <c r="X294" s="69"/>
      <c r="Y294" s="69" t="s">
        <v>4131</v>
      </c>
      <c r="Z294" s="43">
        <v>369580</v>
      </c>
      <c r="AA294" s="43" t="s">
        <v>52</v>
      </c>
      <c r="AB294" s="43" t="s">
        <v>53</v>
      </c>
      <c r="AC294" s="43">
        <v>3650</v>
      </c>
      <c r="AD294" s="141">
        <v>10</v>
      </c>
      <c r="AE294" s="142">
        <v>0</v>
      </c>
      <c r="AF294" s="142"/>
      <c r="AG294" s="69" t="str">
        <f t="shared" si="164"/>
        <v>2 years 307 days</v>
      </c>
      <c r="AH294" s="69">
        <v>2</v>
      </c>
      <c r="AI294" s="69">
        <v>307</v>
      </c>
      <c r="AJ294" s="69">
        <v>0</v>
      </c>
      <c r="AK294" s="69">
        <v>0</v>
      </c>
      <c r="AL294" s="60">
        <v>369580</v>
      </c>
      <c r="AM294" s="60">
        <f t="shared" si="165"/>
        <v>369580</v>
      </c>
      <c r="AN294" s="59">
        <v>105001</v>
      </c>
      <c r="AO294" s="148">
        <f t="shared" si="166"/>
        <v>-105001</v>
      </c>
      <c r="AP294" s="58">
        <v>18327.339726027392</v>
      </c>
      <c r="AQ294" s="143">
        <f t="shared" si="167"/>
        <v>-18327.34</v>
      </c>
    </row>
    <row r="295" spans="1:43" x14ac:dyDescent="0.35">
      <c r="A295" s="69" t="s">
        <v>43</v>
      </c>
      <c r="B295" s="15" t="s">
        <v>956</v>
      </c>
      <c r="C295" s="15"/>
      <c r="D295" s="69"/>
      <c r="E295" s="76">
        <v>0</v>
      </c>
      <c r="F295" s="69" t="s">
        <v>259</v>
      </c>
      <c r="G295" s="12" t="s">
        <v>260</v>
      </c>
      <c r="H295" s="76">
        <v>9007000083</v>
      </c>
      <c r="I295" s="92" t="s">
        <v>261</v>
      </c>
      <c r="J295" s="92">
        <v>1202010217</v>
      </c>
      <c r="K295" s="27" t="s">
        <v>957</v>
      </c>
      <c r="L295" s="95" t="s">
        <v>958</v>
      </c>
      <c r="M295" s="69" t="s">
        <v>959</v>
      </c>
      <c r="N295" s="69"/>
      <c r="O295" s="94">
        <v>1</v>
      </c>
      <c r="P295" s="69" t="s">
        <v>50</v>
      </c>
      <c r="Q295" s="69" t="s">
        <v>51</v>
      </c>
      <c r="R295" s="69"/>
      <c r="S295" s="46">
        <v>41431</v>
      </c>
      <c r="T295" s="48">
        <v>43191</v>
      </c>
      <c r="U295" s="69"/>
      <c r="V295" s="69"/>
      <c r="W295" s="69"/>
      <c r="X295" s="69"/>
      <c r="Y295" s="69" t="s">
        <v>4125</v>
      </c>
      <c r="Z295" s="43">
        <v>57500</v>
      </c>
      <c r="AA295" s="43" t="s">
        <v>52</v>
      </c>
      <c r="AB295" s="43" t="s">
        <v>53</v>
      </c>
      <c r="AC295" s="43">
        <v>1898</v>
      </c>
      <c r="AD295" s="141">
        <v>5</v>
      </c>
      <c r="AE295" s="142">
        <v>2</v>
      </c>
      <c r="AF295" s="142"/>
      <c r="AG295" s="69" t="str">
        <f>_xlfn.CONCAT(AH295," years ",AI295," days")</f>
        <v>5 years 73 days</v>
      </c>
      <c r="AH295" s="69">
        <v>5</v>
      </c>
      <c r="AI295" s="69">
        <v>73</v>
      </c>
      <c r="AJ295" s="69">
        <v>0</v>
      </c>
      <c r="AK295" s="69">
        <v>0</v>
      </c>
      <c r="AL295" s="60">
        <v>57500</v>
      </c>
      <c r="AM295" s="60">
        <f>ROUND(AL295,2)</f>
        <v>57500</v>
      </c>
      <c r="AN295" s="59">
        <v>57500</v>
      </c>
      <c r="AO295" s="148">
        <f>ROUND(AN295,2)*-1</f>
        <v>-57500</v>
      </c>
      <c r="AP295" s="58">
        <v>0</v>
      </c>
      <c r="AQ295" s="143">
        <f>ROUND(AP295,2)*-1</f>
        <v>0</v>
      </c>
    </row>
    <row r="296" spans="1:43" x14ac:dyDescent="0.35">
      <c r="A296" s="69" t="s">
        <v>43</v>
      </c>
      <c r="B296" s="15" t="s">
        <v>960</v>
      </c>
      <c r="C296" s="15"/>
      <c r="D296" s="69"/>
      <c r="E296" s="76">
        <v>0</v>
      </c>
      <c r="F296" s="69" t="s">
        <v>259</v>
      </c>
      <c r="G296" s="10" t="s">
        <v>260</v>
      </c>
      <c r="H296" s="15">
        <v>9007000084</v>
      </c>
      <c r="I296" s="92" t="s">
        <v>261</v>
      </c>
      <c r="J296" s="92">
        <v>1202010217</v>
      </c>
      <c r="K296" s="14"/>
      <c r="L296" s="95" t="s">
        <v>961</v>
      </c>
      <c r="M296" s="69" t="s">
        <v>49</v>
      </c>
      <c r="N296" s="69"/>
      <c r="O296" s="94">
        <v>1</v>
      </c>
      <c r="P296" s="69" t="s">
        <v>50</v>
      </c>
      <c r="Q296" s="69" t="s">
        <v>51</v>
      </c>
      <c r="R296" s="69"/>
      <c r="S296" s="46">
        <v>39177</v>
      </c>
      <c r="T296" s="48">
        <v>43191</v>
      </c>
      <c r="U296" s="69"/>
      <c r="V296" s="69"/>
      <c r="W296" s="69"/>
      <c r="X296" s="69"/>
      <c r="Y296" s="69" t="s">
        <v>4125</v>
      </c>
      <c r="Z296" s="43">
        <v>77500</v>
      </c>
      <c r="AA296" s="43" t="s">
        <v>52</v>
      </c>
      <c r="AB296" s="43" t="s">
        <v>53</v>
      </c>
      <c r="AC296" s="43">
        <v>1460</v>
      </c>
      <c r="AD296" s="141">
        <v>4</v>
      </c>
      <c r="AE296" s="142">
        <v>0</v>
      </c>
      <c r="AF296" s="142"/>
      <c r="AG296" s="69" t="str">
        <f t="shared" ref="AG296:AG359" si="168">_xlfn.CONCAT(AH296," years ",AI296," days")</f>
        <v>4 years 0 days</v>
      </c>
      <c r="AH296" s="69">
        <v>4</v>
      </c>
      <c r="AI296" s="69">
        <v>0</v>
      </c>
      <c r="AJ296" s="69">
        <v>0</v>
      </c>
      <c r="AK296" s="69">
        <v>0</v>
      </c>
      <c r="AL296" s="60">
        <v>77500</v>
      </c>
      <c r="AM296" s="60">
        <f t="shared" ref="AM296:AM359" si="169">ROUND(AL296,2)</f>
        <v>77500</v>
      </c>
      <c r="AN296" s="59">
        <v>77500</v>
      </c>
      <c r="AO296" s="148">
        <f t="shared" ref="AO296:AO359" si="170">ROUND(AN296,2)*-1</f>
        <v>-77500</v>
      </c>
      <c r="AP296" s="58">
        <v>0</v>
      </c>
      <c r="AQ296" s="143">
        <f t="shared" ref="AQ296:AQ359" si="171">ROUND(AP296,2)*-1</f>
        <v>0</v>
      </c>
    </row>
    <row r="297" spans="1:43" x14ac:dyDescent="0.35">
      <c r="A297" s="69" t="s">
        <v>43</v>
      </c>
      <c r="B297" s="15" t="s">
        <v>962</v>
      </c>
      <c r="C297" s="15"/>
      <c r="D297" s="69" t="e">
        <f>_xlfn.XLOOKUP(B297,SOM!B:B,SOM!D:D,,0)</f>
        <v>#N/A</v>
      </c>
      <c r="E297" s="76">
        <v>1</v>
      </c>
      <c r="F297" s="69" t="s">
        <v>259</v>
      </c>
      <c r="G297" s="10" t="s">
        <v>260</v>
      </c>
      <c r="H297" s="15">
        <v>9007000084</v>
      </c>
      <c r="I297" s="92" t="s">
        <v>261</v>
      </c>
      <c r="J297" s="92">
        <v>1202010217</v>
      </c>
      <c r="K297" s="14"/>
      <c r="L297" s="95" t="s">
        <v>963</v>
      </c>
      <c r="M297" s="69" t="s">
        <v>49</v>
      </c>
      <c r="N297" s="69"/>
      <c r="O297" s="94">
        <v>1</v>
      </c>
      <c r="P297" s="69" t="s">
        <v>50</v>
      </c>
      <c r="Q297" s="69" t="s">
        <v>51</v>
      </c>
      <c r="R297" s="69"/>
      <c r="S297" s="46">
        <v>39841</v>
      </c>
      <c r="T297" s="48">
        <v>43191</v>
      </c>
      <c r="U297" s="69"/>
      <c r="V297" s="69"/>
      <c r="W297" s="69"/>
      <c r="X297" s="69"/>
      <c r="Y297" s="69" t="s">
        <v>4125</v>
      </c>
      <c r="Z297" s="43">
        <v>1000</v>
      </c>
      <c r="AA297" s="43" t="s">
        <v>52</v>
      </c>
      <c r="AB297" s="43" t="s">
        <v>53</v>
      </c>
      <c r="AC297" s="43">
        <v>183</v>
      </c>
      <c r="AD297" s="141">
        <v>0</v>
      </c>
      <c r="AE297" s="142">
        <v>6</v>
      </c>
      <c r="AF297" s="142"/>
      <c r="AG297" s="69" t="str">
        <f t="shared" si="168"/>
        <v>0 years 183 days</v>
      </c>
      <c r="AH297" s="69">
        <v>0</v>
      </c>
      <c r="AI297" s="69">
        <v>183</v>
      </c>
      <c r="AJ297" s="69">
        <v>0</v>
      </c>
      <c r="AK297" s="69">
        <v>0</v>
      </c>
      <c r="AL297" s="60">
        <v>1000</v>
      </c>
      <c r="AM297" s="60">
        <f t="shared" si="169"/>
        <v>1000</v>
      </c>
      <c r="AN297" s="59">
        <v>1000</v>
      </c>
      <c r="AO297" s="148">
        <f t="shared" si="170"/>
        <v>-1000</v>
      </c>
      <c r="AP297" s="58">
        <v>0</v>
      </c>
      <c r="AQ297" s="143">
        <f t="shared" si="171"/>
        <v>0</v>
      </c>
    </row>
    <row r="298" spans="1:43" x14ac:dyDescent="0.35">
      <c r="A298" s="69" t="s">
        <v>43</v>
      </c>
      <c r="B298" s="15" t="s">
        <v>964</v>
      </c>
      <c r="C298" s="15"/>
      <c r="D298" s="69" t="e">
        <f>_xlfn.XLOOKUP(B298,SOM!B:B,SOM!D:D,,0)</f>
        <v>#N/A</v>
      </c>
      <c r="E298" s="76">
        <v>2</v>
      </c>
      <c r="F298" s="69" t="s">
        <v>259</v>
      </c>
      <c r="G298" s="10" t="s">
        <v>260</v>
      </c>
      <c r="H298" s="15">
        <v>9007000084</v>
      </c>
      <c r="I298" s="92" t="s">
        <v>261</v>
      </c>
      <c r="J298" s="92">
        <v>1202010217</v>
      </c>
      <c r="K298" s="14"/>
      <c r="L298" s="95" t="s">
        <v>965</v>
      </c>
      <c r="M298" s="69" t="s">
        <v>49</v>
      </c>
      <c r="N298" s="69"/>
      <c r="O298" s="94">
        <v>1</v>
      </c>
      <c r="P298" s="69" t="s">
        <v>50</v>
      </c>
      <c r="Q298" s="69" t="s">
        <v>51</v>
      </c>
      <c r="R298" s="69"/>
      <c r="S298" s="46">
        <v>40078</v>
      </c>
      <c r="T298" s="48">
        <v>43191</v>
      </c>
      <c r="U298" s="69"/>
      <c r="V298" s="69"/>
      <c r="W298" s="69"/>
      <c r="X298" s="69"/>
      <c r="Y298" s="69" t="s">
        <v>4125</v>
      </c>
      <c r="Z298" s="43">
        <v>1200</v>
      </c>
      <c r="AA298" s="43" t="s">
        <v>52</v>
      </c>
      <c r="AB298" s="43" t="s">
        <v>53</v>
      </c>
      <c r="AC298" s="43">
        <v>183</v>
      </c>
      <c r="AD298" s="141">
        <v>0</v>
      </c>
      <c r="AE298" s="142">
        <v>6</v>
      </c>
      <c r="AF298" s="142"/>
      <c r="AG298" s="69" t="str">
        <f t="shared" si="168"/>
        <v>0 years 183 days</v>
      </c>
      <c r="AH298" s="69">
        <v>0</v>
      </c>
      <c r="AI298" s="69">
        <v>183</v>
      </c>
      <c r="AJ298" s="69">
        <v>0</v>
      </c>
      <c r="AK298" s="69">
        <v>0</v>
      </c>
      <c r="AL298" s="60">
        <v>1200</v>
      </c>
      <c r="AM298" s="60">
        <f t="shared" si="169"/>
        <v>1200</v>
      </c>
      <c r="AN298" s="59">
        <v>1200</v>
      </c>
      <c r="AO298" s="148">
        <f t="shared" si="170"/>
        <v>-1200</v>
      </c>
      <c r="AP298" s="58">
        <v>0</v>
      </c>
      <c r="AQ298" s="143">
        <f t="shared" si="171"/>
        <v>0</v>
      </c>
    </row>
    <row r="299" spans="1:43" x14ac:dyDescent="0.35">
      <c r="A299" s="69" t="s">
        <v>43</v>
      </c>
      <c r="B299" s="15" t="s">
        <v>966</v>
      </c>
      <c r="C299" s="15"/>
      <c r="D299" s="69" t="e">
        <f>_xlfn.XLOOKUP(B299,SOM!B:B,SOM!D:D,,0)</f>
        <v>#N/A</v>
      </c>
      <c r="E299" s="76">
        <v>3</v>
      </c>
      <c r="F299" s="69" t="s">
        <v>259</v>
      </c>
      <c r="G299" s="10" t="s">
        <v>260</v>
      </c>
      <c r="H299" s="15">
        <v>9007000084</v>
      </c>
      <c r="I299" s="92" t="s">
        <v>261</v>
      </c>
      <c r="J299" s="92">
        <v>1202010217</v>
      </c>
      <c r="K299" s="14"/>
      <c r="L299" s="95" t="s">
        <v>967</v>
      </c>
      <c r="M299" s="69" t="s">
        <v>49</v>
      </c>
      <c r="N299" s="69"/>
      <c r="O299" s="94">
        <v>1</v>
      </c>
      <c r="P299" s="69" t="s">
        <v>50</v>
      </c>
      <c r="Q299" s="69" t="s">
        <v>51</v>
      </c>
      <c r="R299" s="69"/>
      <c r="S299" s="46">
        <v>40096</v>
      </c>
      <c r="T299" s="48">
        <v>43191</v>
      </c>
      <c r="U299" s="69"/>
      <c r="V299" s="69"/>
      <c r="W299" s="69"/>
      <c r="X299" s="69"/>
      <c r="Y299" s="69" t="s">
        <v>4125</v>
      </c>
      <c r="Z299" s="43">
        <v>14000</v>
      </c>
      <c r="AA299" s="43" t="s">
        <v>52</v>
      </c>
      <c r="AB299" s="43" t="s">
        <v>53</v>
      </c>
      <c r="AC299" s="43">
        <v>548</v>
      </c>
      <c r="AD299" s="141">
        <v>1</v>
      </c>
      <c r="AE299" s="142">
        <v>6</v>
      </c>
      <c r="AF299" s="142"/>
      <c r="AG299" s="69" t="str">
        <f t="shared" si="168"/>
        <v>1 years 183 days</v>
      </c>
      <c r="AH299" s="69">
        <v>1</v>
      </c>
      <c r="AI299" s="69">
        <v>183</v>
      </c>
      <c r="AJ299" s="69">
        <v>0</v>
      </c>
      <c r="AK299" s="69">
        <v>0</v>
      </c>
      <c r="AL299" s="60">
        <v>14000</v>
      </c>
      <c r="AM299" s="60">
        <f t="shared" si="169"/>
        <v>14000</v>
      </c>
      <c r="AN299" s="59">
        <v>14000</v>
      </c>
      <c r="AO299" s="148">
        <f t="shared" si="170"/>
        <v>-14000</v>
      </c>
      <c r="AP299" s="58">
        <v>0</v>
      </c>
      <c r="AQ299" s="143">
        <f t="shared" si="171"/>
        <v>0</v>
      </c>
    </row>
    <row r="300" spans="1:43" x14ac:dyDescent="0.35">
      <c r="A300" s="69" t="s">
        <v>43</v>
      </c>
      <c r="B300" s="15" t="s">
        <v>968</v>
      </c>
      <c r="C300" s="15"/>
      <c r="D300" s="69" t="e">
        <f>_xlfn.XLOOKUP(B300,SOM!B:B,SOM!D:D,,0)</f>
        <v>#N/A</v>
      </c>
      <c r="E300" s="76">
        <v>4</v>
      </c>
      <c r="F300" s="69" t="s">
        <v>259</v>
      </c>
      <c r="G300" s="10" t="s">
        <v>260</v>
      </c>
      <c r="H300" s="15">
        <v>9007000084</v>
      </c>
      <c r="I300" s="92" t="s">
        <v>261</v>
      </c>
      <c r="J300" s="92">
        <v>1202010217</v>
      </c>
      <c r="K300" s="14"/>
      <c r="L300" s="95" t="s">
        <v>969</v>
      </c>
      <c r="M300" s="69" t="s">
        <v>49</v>
      </c>
      <c r="N300" s="69"/>
      <c r="O300" s="94">
        <v>1</v>
      </c>
      <c r="P300" s="69" t="s">
        <v>50</v>
      </c>
      <c r="Q300" s="69" t="s">
        <v>51</v>
      </c>
      <c r="R300" s="69"/>
      <c r="S300" s="46">
        <v>40219</v>
      </c>
      <c r="T300" s="48">
        <v>43191</v>
      </c>
      <c r="U300" s="69"/>
      <c r="V300" s="69"/>
      <c r="W300" s="69"/>
      <c r="X300" s="69"/>
      <c r="Y300" s="69" t="s">
        <v>4125</v>
      </c>
      <c r="Z300" s="43">
        <v>350</v>
      </c>
      <c r="AA300" s="43" t="s">
        <v>52</v>
      </c>
      <c r="AB300" s="43" t="s">
        <v>53</v>
      </c>
      <c r="AC300" s="43">
        <v>183</v>
      </c>
      <c r="AD300" s="141">
        <v>0</v>
      </c>
      <c r="AE300" s="142">
        <v>6</v>
      </c>
      <c r="AF300" s="142"/>
      <c r="AG300" s="69" t="str">
        <f t="shared" si="168"/>
        <v>0 years 183 days</v>
      </c>
      <c r="AH300" s="69">
        <v>0</v>
      </c>
      <c r="AI300" s="69">
        <v>183</v>
      </c>
      <c r="AJ300" s="69">
        <v>0</v>
      </c>
      <c r="AK300" s="69">
        <v>0</v>
      </c>
      <c r="AL300" s="60">
        <v>350</v>
      </c>
      <c r="AM300" s="60">
        <f t="shared" si="169"/>
        <v>350</v>
      </c>
      <c r="AN300" s="59">
        <v>350</v>
      </c>
      <c r="AO300" s="148">
        <f t="shared" si="170"/>
        <v>-350</v>
      </c>
      <c r="AP300" s="58">
        <v>0</v>
      </c>
      <c r="AQ300" s="143">
        <f t="shared" si="171"/>
        <v>0</v>
      </c>
    </row>
    <row r="301" spans="1:43" x14ac:dyDescent="0.35">
      <c r="A301" s="69" t="s">
        <v>43</v>
      </c>
      <c r="B301" s="15" t="s">
        <v>970</v>
      </c>
      <c r="C301" s="15"/>
      <c r="D301" s="69" t="e">
        <f>_xlfn.XLOOKUP(B301,SOM!B:B,SOM!D:D,,0)</f>
        <v>#N/A</v>
      </c>
      <c r="E301" s="76">
        <v>5</v>
      </c>
      <c r="F301" s="69" t="s">
        <v>259</v>
      </c>
      <c r="G301" s="10" t="s">
        <v>260</v>
      </c>
      <c r="H301" s="15">
        <v>9007000084</v>
      </c>
      <c r="I301" s="92" t="s">
        <v>261</v>
      </c>
      <c r="J301" s="92">
        <v>1202010217</v>
      </c>
      <c r="K301" s="14"/>
      <c r="L301" s="95" t="s">
        <v>971</v>
      </c>
      <c r="M301" s="69" t="s">
        <v>49</v>
      </c>
      <c r="N301" s="69"/>
      <c r="O301" s="94">
        <v>1</v>
      </c>
      <c r="P301" s="69" t="s">
        <v>50</v>
      </c>
      <c r="Q301" s="69" t="s">
        <v>51</v>
      </c>
      <c r="R301" s="69"/>
      <c r="S301" s="46">
        <v>40248</v>
      </c>
      <c r="T301" s="48">
        <v>43191</v>
      </c>
      <c r="U301" s="69"/>
      <c r="V301" s="69"/>
      <c r="W301" s="69"/>
      <c r="X301" s="69"/>
      <c r="Y301" s="69" t="s">
        <v>4125</v>
      </c>
      <c r="Z301" s="43">
        <v>22000</v>
      </c>
      <c r="AA301" s="43" t="s">
        <v>52</v>
      </c>
      <c r="AB301" s="43" t="s">
        <v>53</v>
      </c>
      <c r="AC301" s="43">
        <v>694</v>
      </c>
      <c r="AD301" s="141">
        <v>1</v>
      </c>
      <c r="AE301" s="142">
        <v>11</v>
      </c>
      <c r="AF301" s="142"/>
      <c r="AG301" s="69" t="str">
        <f t="shared" si="168"/>
        <v>1 years 329 days</v>
      </c>
      <c r="AH301" s="69">
        <v>1</v>
      </c>
      <c r="AI301" s="69">
        <v>329</v>
      </c>
      <c r="AJ301" s="69">
        <v>0</v>
      </c>
      <c r="AK301" s="69">
        <v>0</v>
      </c>
      <c r="AL301" s="60">
        <v>22000</v>
      </c>
      <c r="AM301" s="60">
        <f t="shared" si="169"/>
        <v>22000</v>
      </c>
      <c r="AN301" s="59">
        <v>22000</v>
      </c>
      <c r="AO301" s="148">
        <f t="shared" si="170"/>
        <v>-22000</v>
      </c>
      <c r="AP301" s="58">
        <v>0</v>
      </c>
      <c r="AQ301" s="143">
        <f t="shared" si="171"/>
        <v>0</v>
      </c>
    </row>
    <row r="302" spans="1:43" x14ac:dyDescent="0.35">
      <c r="A302" s="69" t="s">
        <v>43</v>
      </c>
      <c r="B302" s="15" t="s">
        <v>972</v>
      </c>
      <c r="C302" s="15"/>
      <c r="D302" s="69" t="e">
        <f>_xlfn.XLOOKUP(B302,SOM!B:B,SOM!D:D,,0)</f>
        <v>#N/A</v>
      </c>
      <c r="E302" s="76">
        <v>6</v>
      </c>
      <c r="F302" s="69" t="s">
        <v>259</v>
      </c>
      <c r="G302" s="10" t="s">
        <v>260</v>
      </c>
      <c r="H302" s="15">
        <v>9007000084</v>
      </c>
      <c r="I302" s="92" t="s">
        <v>261</v>
      </c>
      <c r="J302" s="92">
        <v>1202010217</v>
      </c>
      <c r="K302" s="14"/>
      <c r="L302" s="95" t="s">
        <v>973</v>
      </c>
      <c r="M302" s="69" t="s">
        <v>49</v>
      </c>
      <c r="N302" s="69"/>
      <c r="O302" s="94">
        <v>1</v>
      </c>
      <c r="P302" s="69" t="s">
        <v>50</v>
      </c>
      <c r="Q302" s="69" t="s">
        <v>51</v>
      </c>
      <c r="R302" s="69"/>
      <c r="S302" s="46">
        <v>40267</v>
      </c>
      <c r="T302" s="48">
        <v>43191</v>
      </c>
      <c r="U302" s="69"/>
      <c r="V302" s="69"/>
      <c r="W302" s="69"/>
      <c r="X302" s="69"/>
      <c r="Y302" s="69" t="s">
        <v>4125</v>
      </c>
      <c r="Z302" s="43">
        <v>70000</v>
      </c>
      <c r="AA302" s="43" t="s">
        <v>52</v>
      </c>
      <c r="AB302" s="43" t="s">
        <v>53</v>
      </c>
      <c r="AC302" s="43">
        <v>2555</v>
      </c>
      <c r="AD302" s="141">
        <v>7</v>
      </c>
      <c r="AE302" s="142">
        <v>0</v>
      </c>
      <c r="AF302" s="142"/>
      <c r="AG302" s="69" t="str">
        <f t="shared" si="168"/>
        <v>6 years 277 days</v>
      </c>
      <c r="AH302" s="69">
        <v>6</v>
      </c>
      <c r="AI302" s="69">
        <v>277</v>
      </c>
      <c r="AJ302" s="69">
        <v>0</v>
      </c>
      <c r="AK302" s="69">
        <v>0</v>
      </c>
      <c r="AL302" s="60">
        <v>70000</v>
      </c>
      <c r="AM302" s="60">
        <f t="shared" si="169"/>
        <v>70000</v>
      </c>
      <c r="AN302" s="59">
        <v>67589</v>
      </c>
      <c r="AO302" s="148">
        <f t="shared" si="170"/>
        <v>-67589</v>
      </c>
      <c r="AP302" s="58">
        <v>2411</v>
      </c>
      <c r="AQ302" s="143">
        <f t="shared" si="171"/>
        <v>-2411</v>
      </c>
    </row>
    <row r="303" spans="1:43" x14ac:dyDescent="0.35">
      <c r="A303" s="69" t="s">
        <v>43</v>
      </c>
      <c r="B303" s="15" t="s">
        <v>974</v>
      </c>
      <c r="C303" s="15"/>
      <c r="D303" s="69" t="e">
        <f>_xlfn.XLOOKUP(B303,SOM!B:B,SOM!D:D,,0)</f>
        <v>#N/A</v>
      </c>
      <c r="E303" s="76">
        <v>7</v>
      </c>
      <c r="F303" s="69" t="s">
        <v>259</v>
      </c>
      <c r="G303" s="10" t="s">
        <v>260</v>
      </c>
      <c r="H303" s="15">
        <v>9007000084</v>
      </c>
      <c r="I303" s="92" t="s">
        <v>261</v>
      </c>
      <c r="J303" s="92">
        <v>1202010217</v>
      </c>
      <c r="K303" s="14"/>
      <c r="L303" s="95" t="s">
        <v>975</v>
      </c>
      <c r="M303" s="69" t="s">
        <v>49</v>
      </c>
      <c r="N303" s="69"/>
      <c r="O303" s="94">
        <v>1</v>
      </c>
      <c r="P303" s="69" t="s">
        <v>50</v>
      </c>
      <c r="Q303" s="69" t="s">
        <v>51</v>
      </c>
      <c r="R303" s="69"/>
      <c r="S303" s="46">
        <v>40268</v>
      </c>
      <c r="T303" s="48">
        <v>43191</v>
      </c>
      <c r="U303" s="69"/>
      <c r="V303" s="69"/>
      <c r="W303" s="69"/>
      <c r="X303" s="69"/>
      <c r="Y303" s="69" t="s">
        <v>4125</v>
      </c>
      <c r="Z303" s="43">
        <v>44000</v>
      </c>
      <c r="AA303" s="43" t="s">
        <v>52</v>
      </c>
      <c r="AB303" s="43" t="s">
        <v>53</v>
      </c>
      <c r="AC303" s="43">
        <v>2555</v>
      </c>
      <c r="AD303" s="141">
        <v>7</v>
      </c>
      <c r="AE303" s="142">
        <v>0</v>
      </c>
      <c r="AF303" s="142"/>
      <c r="AG303" s="69" t="str">
        <f t="shared" si="168"/>
        <v>6 years 277 days</v>
      </c>
      <c r="AH303" s="69">
        <v>6</v>
      </c>
      <c r="AI303" s="69">
        <v>277</v>
      </c>
      <c r="AJ303" s="69">
        <v>0</v>
      </c>
      <c r="AK303" s="69">
        <v>0</v>
      </c>
      <c r="AL303" s="60">
        <v>44000</v>
      </c>
      <c r="AM303" s="60">
        <f t="shared" si="169"/>
        <v>44000</v>
      </c>
      <c r="AN303" s="59">
        <v>42485</v>
      </c>
      <c r="AO303" s="148">
        <f t="shared" si="170"/>
        <v>-42485</v>
      </c>
      <c r="AP303" s="58">
        <v>1515</v>
      </c>
      <c r="AQ303" s="143">
        <f t="shared" si="171"/>
        <v>-1515</v>
      </c>
    </row>
    <row r="304" spans="1:43" x14ac:dyDescent="0.35">
      <c r="A304" s="69" t="s">
        <v>43</v>
      </c>
      <c r="B304" s="15" t="s">
        <v>976</v>
      </c>
      <c r="C304" s="15"/>
      <c r="D304" s="69" t="e">
        <f>_xlfn.XLOOKUP(B304,SOM!B:B,SOM!D:D,,0)</f>
        <v>#N/A</v>
      </c>
      <c r="E304" s="76">
        <v>8</v>
      </c>
      <c r="F304" s="69" t="s">
        <v>259</v>
      </c>
      <c r="G304" s="10" t="s">
        <v>260</v>
      </c>
      <c r="H304" s="15">
        <v>9007000084</v>
      </c>
      <c r="I304" s="92" t="s">
        <v>261</v>
      </c>
      <c r="J304" s="92">
        <v>1202010217</v>
      </c>
      <c r="K304" s="14"/>
      <c r="L304" s="95" t="s">
        <v>977</v>
      </c>
      <c r="M304" s="69" t="s">
        <v>49</v>
      </c>
      <c r="N304" s="69"/>
      <c r="O304" s="94">
        <v>1</v>
      </c>
      <c r="P304" s="69" t="s">
        <v>50</v>
      </c>
      <c r="Q304" s="69" t="s">
        <v>51</v>
      </c>
      <c r="R304" s="69"/>
      <c r="S304" s="46">
        <v>40501</v>
      </c>
      <c r="T304" s="48">
        <v>43191</v>
      </c>
      <c r="U304" s="69"/>
      <c r="V304" s="69"/>
      <c r="W304" s="69"/>
      <c r="X304" s="69"/>
      <c r="Y304" s="69" t="s">
        <v>4125</v>
      </c>
      <c r="Z304" s="43">
        <v>49000</v>
      </c>
      <c r="AA304" s="43" t="s">
        <v>52</v>
      </c>
      <c r="AB304" s="43" t="s">
        <v>53</v>
      </c>
      <c r="AC304" s="43">
        <v>949</v>
      </c>
      <c r="AD304" s="141">
        <v>2</v>
      </c>
      <c r="AE304" s="142">
        <v>7</v>
      </c>
      <c r="AF304" s="142"/>
      <c r="AG304" s="69" t="str">
        <f t="shared" si="168"/>
        <v>2 years 219 days</v>
      </c>
      <c r="AH304" s="69">
        <v>2</v>
      </c>
      <c r="AI304" s="69">
        <v>219</v>
      </c>
      <c r="AJ304" s="69">
        <v>0</v>
      </c>
      <c r="AK304" s="69">
        <v>0</v>
      </c>
      <c r="AL304" s="60">
        <v>49000</v>
      </c>
      <c r="AM304" s="60">
        <f t="shared" si="169"/>
        <v>49000</v>
      </c>
      <c r="AN304" s="59">
        <v>49000</v>
      </c>
      <c r="AO304" s="148">
        <f t="shared" si="170"/>
        <v>-49000</v>
      </c>
      <c r="AP304" s="58">
        <v>0</v>
      </c>
      <c r="AQ304" s="143">
        <f t="shared" si="171"/>
        <v>0</v>
      </c>
    </row>
    <row r="305" spans="1:43" x14ac:dyDescent="0.35">
      <c r="A305" s="69" t="s">
        <v>43</v>
      </c>
      <c r="B305" s="15" t="s">
        <v>978</v>
      </c>
      <c r="C305" s="15"/>
      <c r="D305" s="69" t="e">
        <f>_xlfn.XLOOKUP(B305,SOM!B:B,SOM!D:D,,0)</f>
        <v>#N/A</v>
      </c>
      <c r="E305" s="76">
        <v>9</v>
      </c>
      <c r="F305" s="69" t="s">
        <v>259</v>
      </c>
      <c r="G305" s="10" t="s">
        <v>260</v>
      </c>
      <c r="H305" s="15">
        <v>9007000084</v>
      </c>
      <c r="I305" s="92" t="s">
        <v>261</v>
      </c>
      <c r="J305" s="92">
        <v>1202010217</v>
      </c>
      <c r="K305" s="14"/>
      <c r="L305" s="95" t="s">
        <v>979</v>
      </c>
      <c r="M305" s="69" t="s">
        <v>49</v>
      </c>
      <c r="N305" s="69"/>
      <c r="O305" s="94">
        <v>1</v>
      </c>
      <c r="P305" s="69" t="s">
        <v>50</v>
      </c>
      <c r="Q305" s="69" t="s">
        <v>51</v>
      </c>
      <c r="R305" s="69"/>
      <c r="S305" s="46">
        <v>40501</v>
      </c>
      <c r="T305" s="48">
        <v>43191</v>
      </c>
      <c r="U305" s="69"/>
      <c r="V305" s="69"/>
      <c r="W305" s="69"/>
      <c r="X305" s="69"/>
      <c r="Y305" s="69" t="s">
        <v>4125</v>
      </c>
      <c r="Z305" s="43">
        <v>49000</v>
      </c>
      <c r="AA305" s="43" t="s">
        <v>52</v>
      </c>
      <c r="AB305" s="43" t="s">
        <v>53</v>
      </c>
      <c r="AC305" s="43">
        <v>949</v>
      </c>
      <c r="AD305" s="141">
        <v>2</v>
      </c>
      <c r="AE305" s="142">
        <v>7</v>
      </c>
      <c r="AF305" s="142"/>
      <c r="AG305" s="69" t="str">
        <f t="shared" si="168"/>
        <v>2 years 219 days</v>
      </c>
      <c r="AH305" s="69">
        <v>2</v>
      </c>
      <c r="AI305" s="69">
        <v>219</v>
      </c>
      <c r="AJ305" s="69">
        <v>0</v>
      </c>
      <c r="AK305" s="69">
        <v>0</v>
      </c>
      <c r="AL305" s="60">
        <v>49000</v>
      </c>
      <c r="AM305" s="60">
        <f t="shared" si="169"/>
        <v>49000</v>
      </c>
      <c r="AN305" s="59">
        <v>49000</v>
      </c>
      <c r="AO305" s="148">
        <f t="shared" si="170"/>
        <v>-49000</v>
      </c>
      <c r="AP305" s="58">
        <v>0</v>
      </c>
      <c r="AQ305" s="143">
        <f t="shared" si="171"/>
        <v>0</v>
      </c>
    </row>
    <row r="306" spans="1:43" x14ac:dyDescent="0.35">
      <c r="A306" s="69" t="s">
        <v>43</v>
      </c>
      <c r="B306" s="15" t="s">
        <v>980</v>
      </c>
      <c r="C306" s="15"/>
      <c r="D306" s="69" t="e">
        <f>_xlfn.XLOOKUP(B306,SOM!B:B,SOM!D:D,,0)</f>
        <v>#N/A</v>
      </c>
      <c r="E306" s="76">
        <v>10</v>
      </c>
      <c r="F306" s="69" t="s">
        <v>259</v>
      </c>
      <c r="G306" s="10" t="s">
        <v>260</v>
      </c>
      <c r="H306" s="15">
        <v>9007000084</v>
      </c>
      <c r="I306" s="92" t="s">
        <v>261</v>
      </c>
      <c r="J306" s="92">
        <v>1202010217</v>
      </c>
      <c r="K306" s="14"/>
      <c r="L306" s="95" t="s">
        <v>981</v>
      </c>
      <c r="M306" s="69" t="s">
        <v>49</v>
      </c>
      <c r="N306" s="69"/>
      <c r="O306" s="94">
        <v>1</v>
      </c>
      <c r="P306" s="69" t="s">
        <v>50</v>
      </c>
      <c r="Q306" s="69" t="s">
        <v>51</v>
      </c>
      <c r="R306" s="69"/>
      <c r="S306" s="46">
        <v>40511</v>
      </c>
      <c r="T306" s="48">
        <v>43191</v>
      </c>
      <c r="U306" s="69"/>
      <c r="V306" s="69"/>
      <c r="W306" s="69"/>
      <c r="X306" s="69"/>
      <c r="Y306" s="69" t="s">
        <v>4125</v>
      </c>
      <c r="Z306" s="43">
        <v>21000</v>
      </c>
      <c r="AA306" s="43" t="s">
        <v>52</v>
      </c>
      <c r="AB306" s="43" t="s">
        <v>53</v>
      </c>
      <c r="AC306" s="43">
        <v>986</v>
      </c>
      <c r="AD306" s="141">
        <v>2</v>
      </c>
      <c r="AE306" s="142">
        <v>9</v>
      </c>
      <c r="AF306" s="142"/>
      <c r="AG306" s="69" t="str">
        <f t="shared" si="168"/>
        <v>2 years 256 days</v>
      </c>
      <c r="AH306" s="69">
        <v>2</v>
      </c>
      <c r="AI306" s="69">
        <v>256</v>
      </c>
      <c r="AJ306" s="69">
        <v>0</v>
      </c>
      <c r="AK306" s="69">
        <v>0</v>
      </c>
      <c r="AL306" s="60">
        <v>21000</v>
      </c>
      <c r="AM306" s="60">
        <f t="shared" si="169"/>
        <v>21000</v>
      </c>
      <c r="AN306" s="59">
        <v>21000</v>
      </c>
      <c r="AO306" s="148">
        <f t="shared" si="170"/>
        <v>-21000</v>
      </c>
      <c r="AP306" s="58">
        <v>0</v>
      </c>
      <c r="AQ306" s="143">
        <f t="shared" si="171"/>
        <v>0</v>
      </c>
    </row>
    <row r="307" spans="1:43" x14ac:dyDescent="0.35">
      <c r="A307" s="69" t="s">
        <v>43</v>
      </c>
      <c r="B307" s="15" t="s">
        <v>982</v>
      </c>
      <c r="C307" s="15"/>
      <c r="D307" s="69" t="e">
        <f>_xlfn.XLOOKUP(B307,SOM!B:B,SOM!D:D,,0)</f>
        <v>#N/A</v>
      </c>
      <c r="E307" s="76">
        <v>11</v>
      </c>
      <c r="F307" s="69" t="s">
        <v>259</v>
      </c>
      <c r="G307" s="10" t="s">
        <v>260</v>
      </c>
      <c r="H307" s="15">
        <v>9007000084</v>
      </c>
      <c r="I307" s="92" t="s">
        <v>261</v>
      </c>
      <c r="J307" s="92">
        <v>1202010217</v>
      </c>
      <c r="K307" s="14"/>
      <c r="L307" s="95" t="s">
        <v>983</v>
      </c>
      <c r="M307" s="69" t="s">
        <v>49</v>
      </c>
      <c r="N307" s="69"/>
      <c r="O307" s="94">
        <v>1</v>
      </c>
      <c r="P307" s="69" t="s">
        <v>50</v>
      </c>
      <c r="Q307" s="69" t="s">
        <v>51</v>
      </c>
      <c r="R307" s="69"/>
      <c r="S307" s="46">
        <v>40568</v>
      </c>
      <c r="T307" s="48">
        <v>43191</v>
      </c>
      <c r="U307" s="69"/>
      <c r="V307" s="69"/>
      <c r="W307" s="69"/>
      <c r="X307" s="69"/>
      <c r="Y307" s="69" t="s">
        <v>4125</v>
      </c>
      <c r="Z307" s="43">
        <v>5250</v>
      </c>
      <c r="AA307" s="43" t="s">
        <v>52</v>
      </c>
      <c r="AB307" s="43" t="s">
        <v>53</v>
      </c>
      <c r="AC307" s="43">
        <v>1022</v>
      </c>
      <c r="AD307" s="141">
        <v>2</v>
      </c>
      <c r="AE307" s="142">
        <v>10</v>
      </c>
      <c r="AF307" s="142"/>
      <c r="AG307" s="69" t="str">
        <f t="shared" si="168"/>
        <v>2 years 292 days</v>
      </c>
      <c r="AH307" s="69">
        <v>2</v>
      </c>
      <c r="AI307" s="69">
        <v>292</v>
      </c>
      <c r="AJ307" s="69">
        <v>0</v>
      </c>
      <c r="AK307" s="69">
        <v>0</v>
      </c>
      <c r="AL307" s="60">
        <v>5250</v>
      </c>
      <c r="AM307" s="60">
        <f t="shared" si="169"/>
        <v>5250</v>
      </c>
      <c r="AN307" s="59">
        <v>5250</v>
      </c>
      <c r="AO307" s="148">
        <f t="shared" si="170"/>
        <v>-5250</v>
      </c>
      <c r="AP307" s="58">
        <v>0</v>
      </c>
      <c r="AQ307" s="143">
        <f t="shared" si="171"/>
        <v>0</v>
      </c>
    </row>
    <row r="308" spans="1:43" x14ac:dyDescent="0.35">
      <c r="A308" s="69" t="s">
        <v>43</v>
      </c>
      <c r="B308" s="15" t="s">
        <v>984</v>
      </c>
      <c r="C308" s="15"/>
      <c r="D308" s="69" t="e">
        <f>_xlfn.XLOOKUP(B308,SOM!B:B,SOM!D:D,,0)</f>
        <v>#N/A</v>
      </c>
      <c r="E308" s="76">
        <v>12</v>
      </c>
      <c r="F308" s="69" t="s">
        <v>259</v>
      </c>
      <c r="G308" s="10" t="s">
        <v>260</v>
      </c>
      <c r="H308" s="15">
        <v>9007000084</v>
      </c>
      <c r="I308" s="92" t="s">
        <v>261</v>
      </c>
      <c r="J308" s="92">
        <v>1202010217</v>
      </c>
      <c r="K308" s="14"/>
      <c r="L308" s="95" t="s">
        <v>985</v>
      </c>
      <c r="M308" s="69" t="s">
        <v>49</v>
      </c>
      <c r="N308" s="69"/>
      <c r="O308" s="94">
        <v>1</v>
      </c>
      <c r="P308" s="69" t="s">
        <v>50</v>
      </c>
      <c r="Q308" s="69" t="s">
        <v>51</v>
      </c>
      <c r="R308" s="69"/>
      <c r="S308" s="46">
        <v>40607</v>
      </c>
      <c r="T308" s="48">
        <v>43191</v>
      </c>
      <c r="U308" s="69"/>
      <c r="V308" s="69"/>
      <c r="W308" s="69"/>
      <c r="X308" s="69"/>
      <c r="Y308" s="69" t="s">
        <v>4125</v>
      </c>
      <c r="Z308" s="43">
        <v>67500</v>
      </c>
      <c r="AA308" s="43" t="s">
        <v>52</v>
      </c>
      <c r="AB308" s="43" t="s">
        <v>53</v>
      </c>
      <c r="AC308" s="43">
        <v>1059</v>
      </c>
      <c r="AD308" s="141">
        <v>2</v>
      </c>
      <c r="AE308" s="142">
        <v>11</v>
      </c>
      <c r="AF308" s="142"/>
      <c r="AG308" s="69" t="str">
        <f t="shared" si="168"/>
        <v>2 years 329 days</v>
      </c>
      <c r="AH308" s="69">
        <v>2</v>
      </c>
      <c r="AI308" s="69">
        <v>329</v>
      </c>
      <c r="AJ308" s="69">
        <v>0</v>
      </c>
      <c r="AK308" s="69">
        <v>0</v>
      </c>
      <c r="AL308" s="60">
        <v>67500</v>
      </c>
      <c r="AM308" s="60">
        <f t="shared" si="169"/>
        <v>67500</v>
      </c>
      <c r="AN308" s="59">
        <v>67500</v>
      </c>
      <c r="AO308" s="148">
        <f t="shared" si="170"/>
        <v>-67500</v>
      </c>
      <c r="AP308" s="58">
        <v>0</v>
      </c>
      <c r="AQ308" s="143">
        <f t="shared" si="171"/>
        <v>0</v>
      </c>
    </row>
    <row r="309" spans="1:43" x14ac:dyDescent="0.35">
      <c r="A309" s="69" t="s">
        <v>43</v>
      </c>
      <c r="B309" s="15" t="s">
        <v>986</v>
      </c>
      <c r="C309" s="15"/>
      <c r="D309" s="69" t="e">
        <f>_xlfn.XLOOKUP(B309,SOM!B:B,SOM!D:D,,0)</f>
        <v>#N/A</v>
      </c>
      <c r="E309" s="76">
        <v>13</v>
      </c>
      <c r="F309" s="69" t="s">
        <v>259</v>
      </c>
      <c r="G309" s="10" t="s">
        <v>260</v>
      </c>
      <c r="H309" s="15">
        <v>9007000084</v>
      </c>
      <c r="I309" s="92" t="s">
        <v>261</v>
      </c>
      <c r="J309" s="92">
        <v>1202010217</v>
      </c>
      <c r="K309" s="14"/>
      <c r="L309" s="95" t="s">
        <v>987</v>
      </c>
      <c r="M309" s="69" t="s">
        <v>49</v>
      </c>
      <c r="N309" s="69"/>
      <c r="O309" s="94">
        <v>1</v>
      </c>
      <c r="P309" s="69" t="s">
        <v>50</v>
      </c>
      <c r="Q309" s="69" t="s">
        <v>51</v>
      </c>
      <c r="R309" s="69"/>
      <c r="S309" s="46">
        <v>40617</v>
      </c>
      <c r="T309" s="48">
        <v>43191</v>
      </c>
      <c r="U309" s="69"/>
      <c r="V309" s="69"/>
      <c r="W309" s="69"/>
      <c r="X309" s="69"/>
      <c r="Y309" s="69" t="s">
        <v>4125</v>
      </c>
      <c r="Z309" s="43">
        <v>1200</v>
      </c>
      <c r="AA309" s="43" t="s">
        <v>52</v>
      </c>
      <c r="AB309" s="43" t="s">
        <v>53</v>
      </c>
      <c r="AC309" s="43">
        <v>183</v>
      </c>
      <c r="AD309" s="141">
        <v>0</v>
      </c>
      <c r="AE309" s="142">
        <v>6</v>
      </c>
      <c r="AF309" s="142"/>
      <c r="AG309" s="69" t="str">
        <f t="shared" si="168"/>
        <v>0 years 183 days</v>
      </c>
      <c r="AH309" s="69">
        <v>0</v>
      </c>
      <c r="AI309" s="69">
        <v>183</v>
      </c>
      <c r="AJ309" s="69">
        <v>0</v>
      </c>
      <c r="AK309" s="69">
        <v>0</v>
      </c>
      <c r="AL309" s="60">
        <v>1200</v>
      </c>
      <c r="AM309" s="60">
        <f t="shared" si="169"/>
        <v>1200</v>
      </c>
      <c r="AN309" s="59">
        <v>1200</v>
      </c>
      <c r="AO309" s="148">
        <f t="shared" si="170"/>
        <v>-1200</v>
      </c>
      <c r="AP309" s="58">
        <v>0</v>
      </c>
      <c r="AQ309" s="143">
        <f t="shared" si="171"/>
        <v>0</v>
      </c>
    </row>
    <row r="310" spans="1:43" x14ac:dyDescent="0.35">
      <c r="A310" s="69" t="s">
        <v>43</v>
      </c>
      <c r="B310" s="15" t="s">
        <v>988</v>
      </c>
      <c r="C310" s="15"/>
      <c r="D310" s="69" t="e">
        <f>_xlfn.XLOOKUP(B310,SOM!B:B,SOM!D:D,,0)</f>
        <v>#N/A</v>
      </c>
      <c r="E310" s="76">
        <v>14</v>
      </c>
      <c r="F310" s="69" t="s">
        <v>259</v>
      </c>
      <c r="G310" s="10" t="s">
        <v>260</v>
      </c>
      <c r="H310" s="15">
        <v>9007000084</v>
      </c>
      <c r="I310" s="92" t="s">
        <v>261</v>
      </c>
      <c r="J310" s="92">
        <v>1202010217</v>
      </c>
      <c r="K310" s="14"/>
      <c r="L310" s="95" t="s">
        <v>989</v>
      </c>
      <c r="M310" s="69" t="s">
        <v>49</v>
      </c>
      <c r="N310" s="69"/>
      <c r="O310" s="94">
        <v>1</v>
      </c>
      <c r="P310" s="69" t="s">
        <v>50</v>
      </c>
      <c r="Q310" s="69" t="s">
        <v>51</v>
      </c>
      <c r="R310" s="69"/>
      <c r="S310" s="46">
        <v>40690</v>
      </c>
      <c r="T310" s="48">
        <v>43191</v>
      </c>
      <c r="U310" s="69"/>
      <c r="V310" s="69"/>
      <c r="W310" s="69"/>
      <c r="X310" s="69"/>
      <c r="Y310" s="69" t="s">
        <v>4125</v>
      </c>
      <c r="Z310" s="43">
        <v>8000</v>
      </c>
      <c r="AA310" s="43" t="s">
        <v>52</v>
      </c>
      <c r="AB310" s="43" t="s">
        <v>53</v>
      </c>
      <c r="AC310" s="43">
        <v>1168</v>
      </c>
      <c r="AD310" s="141">
        <v>3</v>
      </c>
      <c r="AE310" s="142">
        <v>2</v>
      </c>
      <c r="AF310" s="142"/>
      <c r="AG310" s="69" t="str">
        <f t="shared" si="168"/>
        <v>3 years 73 days</v>
      </c>
      <c r="AH310" s="69">
        <v>3</v>
      </c>
      <c r="AI310" s="69">
        <v>73</v>
      </c>
      <c r="AJ310" s="69">
        <v>0</v>
      </c>
      <c r="AK310" s="69">
        <v>0</v>
      </c>
      <c r="AL310" s="60">
        <v>8000</v>
      </c>
      <c r="AM310" s="60">
        <f t="shared" si="169"/>
        <v>8000</v>
      </c>
      <c r="AN310" s="59">
        <v>8000</v>
      </c>
      <c r="AO310" s="148">
        <f t="shared" si="170"/>
        <v>-8000</v>
      </c>
      <c r="AP310" s="58">
        <v>0</v>
      </c>
      <c r="AQ310" s="143">
        <f t="shared" si="171"/>
        <v>0</v>
      </c>
    </row>
    <row r="311" spans="1:43" x14ac:dyDescent="0.35">
      <c r="A311" s="69" t="s">
        <v>43</v>
      </c>
      <c r="B311" s="15" t="s">
        <v>990</v>
      </c>
      <c r="C311" s="15"/>
      <c r="D311" s="69" t="e">
        <f>_xlfn.XLOOKUP(B311,SOM!B:B,SOM!D:D,,0)</f>
        <v>#N/A</v>
      </c>
      <c r="E311" s="76">
        <v>15</v>
      </c>
      <c r="F311" s="69" t="s">
        <v>259</v>
      </c>
      <c r="G311" s="10" t="s">
        <v>260</v>
      </c>
      <c r="H311" s="15">
        <v>9007000084</v>
      </c>
      <c r="I311" s="92" t="s">
        <v>261</v>
      </c>
      <c r="J311" s="92">
        <v>1202010217</v>
      </c>
      <c r="K311" s="14"/>
      <c r="L311" s="95" t="s">
        <v>991</v>
      </c>
      <c r="M311" s="69" t="s">
        <v>992</v>
      </c>
      <c r="N311" s="69"/>
      <c r="O311" s="94">
        <v>1</v>
      </c>
      <c r="P311" s="69" t="s">
        <v>50</v>
      </c>
      <c r="Q311" s="69" t="s">
        <v>51</v>
      </c>
      <c r="R311" s="69"/>
      <c r="S311" s="46">
        <v>40760</v>
      </c>
      <c r="T311" s="48">
        <v>43191</v>
      </c>
      <c r="U311" s="69"/>
      <c r="V311" s="69"/>
      <c r="W311" s="69"/>
      <c r="X311" s="69"/>
      <c r="Y311" s="69" t="s">
        <v>4125</v>
      </c>
      <c r="Z311" s="43">
        <v>22000</v>
      </c>
      <c r="AA311" s="43" t="s">
        <v>52</v>
      </c>
      <c r="AB311" s="43" t="s">
        <v>53</v>
      </c>
      <c r="AC311" s="43">
        <v>1205</v>
      </c>
      <c r="AD311" s="141">
        <v>3</v>
      </c>
      <c r="AE311" s="142">
        <v>4</v>
      </c>
      <c r="AF311" s="142"/>
      <c r="AG311" s="69" t="str">
        <f t="shared" si="168"/>
        <v>3 years 110 days</v>
      </c>
      <c r="AH311" s="69">
        <v>3</v>
      </c>
      <c r="AI311" s="69">
        <v>110</v>
      </c>
      <c r="AJ311" s="69">
        <v>0</v>
      </c>
      <c r="AK311" s="69">
        <v>0</v>
      </c>
      <c r="AL311" s="60">
        <v>22000</v>
      </c>
      <c r="AM311" s="60">
        <f t="shared" si="169"/>
        <v>22000</v>
      </c>
      <c r="AN311" s="59">
        <v>22000</v>
      </c>
      <c r="AO311" s="148">
        <f t="shared" si="170"/>
        <v>-22000</v>
      </c>
      <c r="AP311" s="58">
        <v>0</v>
      </c>
      <c r="AQ311" s="143">
        <f t="shared" si="171"/>
        <v>0</v>
      </c>
    </row>
    <row r="312" spans="1:43" x14ac:dyDescent="0.35">
      <c r="A312" s="69" t="s">
        <v>43</v>
      </c>
      <c r="B312" s="15" t="s">
        <v>993</v>
      </c>
      <c r="C312" s="15"/>
      <c r="D312" s="69" t="e">
        <f>_xlfn.XLOOKUP(B312,SOM!B:B,SOM!D:D,,0)</f>
        <v>#N/A</v>
      </c>
      <c r="E312" s="76">
        <v>16</v>
      </c>
      <c r="F312" s="69" t="s">
        <v>259</v>
      </c>
      <c r="G312" s="10" t="s">
        <v>260</v>
      </c>
      <c r="H312" s="15">
        <v>9007000084</v>
      </c>
      <c r="I312" s="92" t="s">
        <v>261</v>
      </c>
      <c r="J312" s="92">
        <v>1202010217</v>
      </c>
      <c r="K312" s="14"/>
      <c r="L312" s="95" t="s">
        <v>994</v>
      </c>
      <c r="M312" s="69" t="s">
        <v>49</v>
      </c>
      <c r="N312" s="69"/>
      <c r="O312" s="94">
        <v>1</v>
      </c>
      <c r="P312" s="69" t="s">
        <v>50</v>
      </c>
      <c r="Q312" s="69" t="s">
        <v>51</v>
      </c>
      <c r="R312" s="69"/>
      <c r="S312" s="46">
        <v>40760</v>
      </c>
      <c r="T312" s="48">
        <v>43191</v>
      </c>
      <c r="U312" s="69"/>
      <c r="V312" s="69"/>
      <c r="W312" s="69"/>
      <c r="X312" s="69"/>
      <c r="Y312" s="69" t="s">
        <v>4125</v>
      </c>
      <c r="Z312" s="43">
        <v>2600</v>
      </c>
      <c r="AA312" s="43" t="s">
        <v>52</v>
      </c>
      <c r="AB312" s="43" t="s">
        <v>53</v>
      </c>
      <c r="AC312" s="43">
        <v>183</v>
      </c>
      <c r="AD312" s="141">
        <v>0</v>
      </c>
      <c r="AE312" s="142">
        <v>6</v>
      </c>
      <c r="AF312" s="142"/>
      <c r="AG312" s="69" t="str">
        <f t="shared" si="168"/>
        <v>0 years 183 days</v>
      </c>
      <c r="AH312" s="69">
        <v>0</v>
      </c>
      <c r="AI312" s="69">
        <v>183</v>
      </c>
      <c r="AJ312" s="69">
        <v>0</v>
      </c>
      <c r="AK312" s="69">
        <v>0</v>
      </c>
      <c r="AL312" s="60">
        <v>2600</v>
      </c>
      <c r="AM312" s="60">
        <f t="shared" si="169"/>
        <v>2600</v>
      </c>
      <c r="AN312" s="59">
        <v>2600</v>
      </c>
      <c r="AO312" s="148">
        <f t="shared" si="170"/>
        <v>-2600</v>
      </c>
      <c r="AP312" s="58">
        <v>0</v>
      </c>
      <c r="AQ312" s="143">
        <f t="shared" si="171"/>
        <v>0</v>
      </c>
    </row>
    <row r="313" spans="1:43" x14ac:dyDescent="0.35">
      <c r="A313" s="69" t="s">
        <v>43</v>
      </c>
      <c r="B313" s="15" t="s">
        <v>995</v>
      </c>
      <c r="C313" s="15"/>
      <c r="D313" s="69" t="e">
        <f>_xlfn.XLOOKUP(B313,SOM!B:B,SOM!D:D,,0)</f>
        <v>#N/A</v>
      </c>
      <c r="E313" s="76">
        <v>17</v>
      </c>
      <c r="F313" s="69" t="s">
        <v>259</v>
      </c>
      <c r="G313" s="10" t="s">
        <v>260</v>
      </c>
      <c r="H313" s="15">
        <v>9007000084</v>
      </c>
      <c r="I313" s="92" t="s">
        <v>261</v>
      </c>
      <c r="J313" s="92">
        <v>1202010217</v>
      </c>
      <c r="K313" s="14"/>
      <c r="L313" s="95" t="s">
        <v>996</v>
      </c>
      <c r="M313" s="69" t="s">
        <v>49</v>
      </c>
      <c r="N313" s="69"/>
      <c r="O313" s="94">
        <v>1</v>
      </c>
      <c r="P313" s="69" t="s">
        <v>50</v>
      </c>
      <c r="Q313" s="69" t="s">
        <v>51</v>
      </c>
      <c r="R313" s="69"/>
      <c r="S313" s="46">
        <v>40764</v>
      </c>
      <c r="T313" s="48">
        <v>43191</v>
      </c>
      <c r="U313" s="69"/>
      <c r="V313" s="69"/>
      <c r="W313" s="69"/>
      <c r="X313" s="69"/>
      <c r="Y313" s="69" t="s">
        <v>4125</v>
      </c>
      <c r="Z313" s="43">
        <v>50000</v>
      </c>
      <c r="AA313" s="43" t="s">
        <v>52</v>
      </c>
      <c r="AB313" s="43" t="s">
        <v>53</v>
      </c>
      <c r="AC313" s="43">
        <v>1241</v>
      </c>
      <c r="AD313" s="141">
        <v>3</v>
      </c>
      <c r="AE313" s="142">
        <v>5</v>
      </c>
      <c r="AF313" s="142"/>
      <c r="AG313" s="69" t="str">
        <f t="shared" si="168"/>
        <v>3 years 146 days</v>
      </c>
      <c r="AH313" s="69">
        <v>3</v>
      </c>
      <c r="AI313" s="69">
        <v>146</v>
      </c>
      <c r="AJ313" s="69">
        <v>0</v>
      </c>
      <c r="AK313" s="69">
        <v>0</v>
      </c>
      <c r="AL313" s="60">
        <v>50000</v>
      </c>
      <c r="AM313" s="60">
        <f t="shared" si="169"/>
        <v>50000</v>
      </c>
      <c r="AN313" s="59">
        <v>50000</v>
      </c>
      <c r="AO313" s="148">
        <f t="shared" si="170"/>
        <v>-50000</v>
      </c>
      <c r="AP313" s="58">
        <v>0</v>
      </c>
      <c r="AQ313" s="143">
        <f t="shared" si="171"/>
        <v>0</v>
      </c>
    </row>
    <row r="314" spans="1:43" x14ac:dyDescent="0.35">
      <c r="A314" s="69" t="s">
        <v>43</v>
      </c>
      <c r="B314" s="115" t="s">
        <v>997</v>
      </c>
      <c r="C314" s="115"/>
      <c r="D314" s="69" t="e">
        <f>_xlfn.XLOOKUP(B314,SOM!B:B,SOM!D:D,,0)</f>
        <v>#N/A</v>
      </c>
      <c r="E314" s="76">
        <v>18</v>
      </c>
      <c r="F314" s="69" t="s">
        <v>259</v>
      </c>
      <c r="G314" s="10" t="s">
        <v>260</v>
      </c>
      <c r="H314" s="15">
        <v>9007000084</v>
      </c>
      <c r="I314" s="92" t="s">
        <v>261</v>
      </c>
      <c r="J314" s="92">
        <v>1202010217</v>
      </c>
      <c r="K314" s="14"/>
      <c r="L314" s="95" t="s">
        <v>998</v>
      </c>
      <c r="M314" s="69" t="s">
        <v>49</v>
      </c>
      <c r="N314" s="69"/>
      <c r="O314" s="94">
        <v>1</v>
      </c>
      <c r="P314" s="69" t="s">
        <v>50</v>
      </c>
      <c r="Q314" s="69" t="s">
        <v>51</v>
      </c>
      <c r="R314" s="69"/>
      <c r="S314" s="46">
        <v>40794</v>
      </c>
      <c r="T314" s="48">
        <v>43191</v>
      </c>
      <c r="U314" s="69"/>
      <c r="V314" s="69"/>
      <c r="W314" s="69"/>
      <c r="X314" s="69"/>
      <c r="Y314" s="69" t="s">
        <v>4125</v>
      </c>
      <c r="Z314" s="54">
        <v>1000000</v>
      </c>
      <c r="AA314" s="43" t="s">
        <v>52</v>
      </c>
      <c r="AB314" s="43" t="s">
        <v>53</v>
      </c>
      <c r="AC314" s="43">
        <v>3066</v>
      </c>
      <c r="AD314" s="141">
        <v>8</v>
      </c>
      <c r="AE314" s="142">
        <v>5</v>
      </c>
      <c r="AF314" s="142"/>
      <c r="AG314" s="69" t="str">
        <f t="shared" si="168"/>
        <v>6 years 277 days</v>
      </c>
      <c r="AH314" s="69">
        <v>6</v>
      </c>
      <c r="AI314" s="69">
        <v>277</v>
      </c>
      <c r="AJ314" s="69">
        <v>0</v>
      </c>
      <c r="AK314" s="69">
        <v>0</v>
      </c>
      <c r="AL314" s="62">
        <v>1000000</v>
      </c>
      <c r="AM314" s="60">
        <f t="shared" si="169"/>
        <v>1000000</v>
      </c>
      <c r="AN314" s="59">
        <v>804631</v>
      </c>
      <c r="AO314" s="148">
        <f t="shared" si="170"/>
        <v>-804631</v>
      </c>
      <c r="AP314" s="58">
        <v>59035.014350945945</v>
      </c>
      <c r="AQ314" s="143">
        <f t="shared" si="171"/>
        <v>-59035.01</v>
      </c>
    </row>
    <row r="315" spans="1:43" x14ac:dyDescent="0.35">
      <c r="A315" s="69" t="s">
        <v>43</v>
      </c>
      <c r="B315" s="15" t="s">
        <v>999</v>
      </c>
      <c r="C315" s="15"/>
      <c r="D315" s="69" t="e">
        <f>_xlfn.XLOOKUP(B315,SOM!B:B,SOM!D:D,,0)</f>
        <v>#N/A</v>
      </c>
      <c r="E315" s="76">
        <v>19</v>
      </c>
      <c r="F315" s="69" t="s">
        <v>259</v>
      </c>
      <c r="G315" s="10" t="s">
        <v>260</v>
      </c>
      <c r="H315" s="15">
        <v>9007000084</v>
      </c>
      <c r="I315" s="92" t="s">
        <v>261</v>
      </c>
      <c r="J315" s="92">
        <v>1202010217</v>
      </c>
      <c r="K315" s="14"/>
      <c r="L315" s="95" t="s">
        <v>1000</v>
      </c>
      <c r="M315" s="69" t="s">
        <v>49</v>
      </c>
      <c r="N315" s="69"/>
      <c r="O315" s="94">
        <v>1</v>
      </c>
      <c r="P315" s="69" t="s">
        <v>50</v>
      </c>
      <c r="Q315" s="69" t="s">
        <v>51</v>
      </c>
      <c r="R315" s="69"/>
      <c r="S315" s="46">
        <v>40802</v>
      </c>
      <c r="T315" s="48">
        <v>43191</v>
      </c>
      <c r="U315" s="69"/>
      <c r="V315" s="69"/>
      <c r="W315" s="69"/>
      <c r="X315" s="69"/>
      <c r="Y315" s="69" t="s">
        <v>4125</v>
      </c>
      <c r="Z315" s="43">
        <v>47000</v>
      </c>
      <c r="AA315" s="43" t="s">
        <v>52</v>
      </c>
      <c r="AB315" s="43" t="s">
        <v>53</v>
      </c>
      <c r="AC315" s="43">
        <v>1278</v>
      </c>
      <c r="AD315" s="141">
        <v>3</v>
      </c>
      <c r="AE315" s="142">
        <v>6</v>
      </c>
      <c r="AF315" s="142"/>
      <c r="AG315" s="69" t="str">
        <f t="shared" si="168"/>
        <v>3 years 183 days</v>
      </c>
      <c r="AH315" s="69">
        <v>3</v>
      </c>
      <c r="AI315" s="69">
        <v>183</v>
      </c>
      <c r="AJ315" s="69">
        <v>0</v>
      </c>
      <c r="AK315" s="69">
        <v>0</v>
      </c>
      <c r="AL315" s="60">
        <v>47000</v>
      </c>
      <c r="AM315" s="60">
        <f t="shared" si="169"/>
        <v>47000</v>
      </c>
      <c r="AN315" s="59">
        <v>47000</v>
      </c>
      <c r="AO315" s="148">
        <f t="shared" si="170"/>
        <v>-47000</v>
      </c>
      <c r="AP315" s="58">
        <v>0</v>
      </c>
      <c r="AQ315" s="143">
        <f t="shared" si="171"/>
        <v>0</v>
      </c>
    </row>
    <row r="316" spans="1:43" x14ac:dyDescent="0.35">
      <c r="A316" s="69" t="s">
        <v>43</v>
      </c>
      <c r="B316" s="15" t="s">
        <v>1001</v>
      </c>
      <c r="C316" s="15"/>
      <c r="D316" s="69" t="e">
        <f>_xlfn.XLOOKUP(B316,SOM!B:B,SOM!D:D,,0)</f>
        <v>#N/A</v>
      </c>
      <c r="E316" s="76">
        <v>20</v>
      </c>
      <c r="F316" s="69" t="s">
        <v>259</v>
      </c>
      <c r="G316" s="10" t="s">
        <v>260</v>
      </c>
      <c r="H316" s="15">
        <v>9007000084</v>
      </c>
      <c r="I316" s="92" t="s">
        <v>261</v>
      </c>
      <c r="J316" s="92">
        <v>1202010217</v>
      </c>
      <c r="K316" s="14"/>
      <c r="L316" s="95" t="s">
        <v>1002</v>
      </c>
      <c r="M316" s="69" t="s">
        <v>1003</v>
      </c>
      <c r="N316" s="69"/>
      <c r="O316" s="94">
        <v>1</v>
      </c>
      <c r="P316" s="69" t="s">
        <v>50</v>
      </c>
      <c r="Q316" s="69" t="s">
        <v>51</v>
      </c>
      <c r="R316" s="69"/>
      <c r="S316" s="46">
        <v>40962</v>
      </c>
      <c r="T316" s="48">
        <v>43191</v>
      </c>
      <c r="U316" s="69"/>
      <c r="V316" s="69"/>
      <c r="W316" s="69"/>
      <c r="X316" s="69"/>
      <c r="Y316" s="69" t="s">
        <v>4125</v>
      </c>
      <c r="Z316" s="43">
        <v>159788.707656527</v>
      </c>
      <c r="AA316" s="43" t="s">
        <v>52</v>
      </c>
      <c r="AB316" s="43" t="s">
        <v>53</v>
      </c>
      <c r="AC316" s="43">
        <v>3650</v>
      </c>
      <c r="AD316" s="141">
        <v>10</v>
      </c>
      <c r="AE316" s="142">
        <v>0</v>
      </c>
      <c r="AF316" s="142"/>
      <c r="AG316" s="69" t="str">
        <f t="shared" si="168"/>
        <v>6 years 277 days</v>
      </c>
      <c r="AH316" s="69">
        <v>6</v>
      </c>
      <c r="AI316" s="69">
        <v>277</v>
      </c>
      <c r="AJ316" s="69">
        <v>0</v>
      </c>
      <c r="AK316" s="69">
        <v>0</v>
      </c>
      <c r="AL316" s="60">
        <v>159788.707656527</v>
      </c>
      <c r="AM316" s="60">
        <f t="shared" si="169"/>
        <v>159788.71</v>
      </c>
      <c r="AN316" s="59">
        <v>159789</v>
      </c>
      <c r="AO316" s="148">
        <f t="shared" si="170"/>
        <v>-159789</v>
      </c>
      <c r="AP316" s="58">
        <v>0</v>
      </c>
      <c r="AQ316" s="143">
        <f t="shared" si="171"/>
        <v>0</v>
      </c>
    </row>
    <row r="317" spans="1:43" x14ac:dyDescent="0.35">
      <c r="A317" s="69" t="s">
        <v>43</v>
      </c>
      <c r="B317" s="15" t="s">
        <v>1004</v>
      </c>
      <c r="C317" s="15"/>
      <c r="D317" s="69" t="e">
        <f>_xlfn.XLOOKUP(B317,SOM!B:B,SOM!D:D,,0)</f>
        <v>#N/A</v>
      </c>
      <c r="E317" s="76">
        <v>21</v>
      </c>
      <c r="F317" s="69" t="s">
        <v>259</v>
      </c>
      <c r="G317" s="10" t="s">
        <v>260</v>
      </c>
      <c r="H317" s="15">
        <v>9007000084</v>
      </c>
      <c r="I317" s="92" t="s">
        <v>261</v>
      </c>
      <c r="J317" s="92">
        <v>1202010217</v>
      </c>
      <c r="K317" s="14"/>
      <c r="L317" s="95" t="s">
        <v>1005</v>
      </c>
      <c r="M317" s="69" t="s">
        <v>49</v>
      </c>
      <c r="N317" s="69"/>
      <c r="O317" s="94">
        <v>1</v>
      </c>
      <c r="P317" s="69" t="s">
        <v>50</v>
      </c>
      <c r="Q317" s="69" t="s">
        <v>51</v>
      </c>
      <c r="R317" s="69"/>
      <c r="S317" s="46">
        <v>41516</v>
      </c>
      <c r="T317" s="48">
        <v>43191</v>
      </c>
      <c r="U317" s="69"/>
      <c r="V317" s="69"/>
      <c r="W317" s="69"/>
      <c r="X317" s="69"/>
      <c r="Y317" s="69" t="s">
        <v>4125</v>
      </c>
      <c r="Z317" s="43">
        <v>85000</v>
      </c>
      <c r="AA317" s="43" t="s">
        <v>52</v>
      </c>
      <c r="AB317" s="43" t="s">
        <v>53</v>
      </c>
      <c r="AC317" s="43">
        <v>1971</v>
      </c>
      <c r="AD317" s="141">
        <v>5</v>
      </c>
      <c r="AE317" s="142">
        <v>5</v>
      </c>
      <c r="AF317" s="142"/>
      <c r="AG317" s="69" t="str">
        <f t="shared" si="168"/>
        <v>5 years 146 days</v>
      </c>
      <c r="AH317" s="69">
        <v>5</v>
      </c>
      <c r="AI317" s="69">
        <v>146</v>
      </c>
      <c r="AJ317" s="69">
        <v>0</v>
      </c>
      <c r="AK317" s="69">
        <v>0</v>
      </c>
      <c r="AL317" s="60">
        <v>85000</v>
      </c>
      <c r="AM317" s="60">
        <f t="shared" si="169"/>
        <v>85000</v>
      </c>
      <c r="AN317" s="59">
        <v>85000</v>
      </c>
      <c r="AO317" s="148">
        <f t="shared" si="170"/>
        <v>-85000</v>
      </c>
      <c r="AP317" s="58">
        <v>0</v>
      </c>
      <c r="AQ317" s="143">
        <f t="shared" si="171"/>
        <v>0</v>
      </c>
    </row>
    <row r="318" spans="1:43" x14ac:dyDescent="0.35">
      <c r="A318" s="69" t="s">
        <v>43</v>
      </c>
      <c r="B318" s="15" t="s">
        <v>1006</v>
      </c>
      <c r="C318" s="15"/>
      <c r="D318" s="69" t="e">
        <f>_xlfn.XLOOKUP(B318,SOM!B:B,SOM!D:D,,0)</f>
        <v>#N/A</v>
      </c>
      <c r="E318" s="76">
        <v>22</v>
      </c>
      <c r="F318" s="69" t="s">
        <v>259</v>
      </c>
      <c r="G318" s="10" t="s">
        <v>260</v>
      </c>
      <c r="H318" s="15">
        <v>9007000084</v>
      </c>
      <c r="I318" s="92" t="s">
        <v>261</v>
      </c>
      <c r="J318" s="92">
        <v>1202010217</v>
      </c>
      <c r="K318" s="14"/>
      <c r="L318" s="95" t="s">
        <v>1007</v>
      </c>
      <c r="M318" s="69" t="s">
        <v>49</v>
      </c>
      <c r="N318" s="69"/>
      <c r="O318" s="94">
        <v>1</v>
      </c>
      <c r="P318" s="69" t="s">
        <v>50</v>
      </c>
      <c r="Q318" s="69" t="s">
        <v>51</v>
      </c>
      <c r="R318" s="69"/>
      <c r="S318" s="46">
        <v>41519</v>
      </c>
      <c r="T318" s="48">
        <v>43191</v>
      </c>
      <c r="U318" s="69"/>
      <c r="V318" s="69"/>
      <c r="W318" s="69"/>
      <c r="X318" s="69"/>
      <c r="Y318" s="69" t="s">
        <v>4125</v>
      </c>
      <c r="Z318" s="43">
        <v>72500</v>
      </c>
      <c r="AA318" s="43" t="s">
        <v>52</v>
      </c>
      <c r="AB318" s="43" t="s">
        <v>53</v>
      </c>
      <c r="AC318" s="43">
        <v>1971</v>
      </c>
      <c r="AD318" s="141">
        <v>5</v>
      </c>
      <c r="AE318" s="142">
        <v>5</v>
      </c>
      <c r="AF318" s="142"/>
      <c r="AG318" s="69" t="str">
        <f t="shared" si="168"/>
        <v>5 years 146 days</v>
      </c>
      <c r="AH318" s="69">
        <v>5</v>
      </c>
      <c r="AI318" s="69">
        <v>146</v>
      </c>
      <c r="AJ318" s="69">
        <v>0</v>
      </c>
      <c r="AK318" s="69">
        <v>0</v>
      </c>
      <c r="AL318" s="60">
        <v>72500</v>
      </c>
      <c r="AM318" s="60">
        <f t="shared" si="169"/>
        <v>72500</v>
      </c>
      <c r="AN318" s="59">
        <v>72500</v>
      </c>
      <c r="AO318" s="148">
        <f t="shared" si="170"/>
        <v>-72500</v>
      </c>
      <c r="AP318" s="58">
        <v>0</v>
      </c>
      <c r="AQ318" s="143">
        <f t="shared" si="171"/>
        <v>0</v>
      </c>
    </row>
    <row r="319" spans="1:43" x14ac:dyDescent="0.35">
      <c r="A319" s="69" t="s">
        <v>43</v>
      </c>
      <c r="B319" s="15" t="s">
        <v>1008</v>
      </c>
      <c r="C319" s="15"/>
      <c r="D319" s="69" t="e">
        <f>_xlfn.XLOOKUP(B319,SOM!B:B,SOM!D:D,,0)</f>
        <v>#N/A</v>
      </c>
      <c r="E319" s="76">
        <v>23</v>
      </c>
      <c r="F319" s="69" t="s">
        <v>259</v>
      </c>
      <c r="G319" s="10" t="s">
        <v>260</v>
      </c>
      <c r="H319" s="15">
        <v>9007000084</v>
      </c>
      <c r="I319" s="92" t="s">
        <v>261</v>
      </c>
      <c r="J319" s="92">
        <v>1202010217</v>
      </c>
      <c r="K319" s="14"/>
      <c r="L319" s="95" t="s">
        <v>1009</v>
      </c>
      <c r="M319" s="69" t="s">
        <v>1010</v>
      </c>
      <c r="N319" s="69"/>
      <c r="O319" s="94">
        <v>1</v>
      </c>
      <c r="P319" s="69" t="s">
        <v>50</v>
      </c>
      <c r="Q319" s="69" t="s">
        <v>51</v>
      </c>
      <c r="R319" s="69"/>
      <c r="S319" s="46">
        <v>41638</v>
      </c>
      <c r="T319" s="48">
        <v>43191</v>
      </c>
      <c r="U319" s="69"/>
      <c r="V319" s="69"/>
      <c r="W319" s="69"/>
      <c r="X319" s="69"/>
      <c r="Y319" s="69" t="s">
        <v>4125</v>
      </c>
      <c r="Z319" s="43">
        <v>5250</v>
      </c>
      <c r="AA319" s="43" t="s">
        <v>52</v>
      </c>
      <c r="AB319" s="43" t="s">
        <v>53</v>
      </c>
      <c r="AC319" s="43">
        <v>2081</v>
      </c>
      <c r="AD319" s="141">
        <v>5</v>
      </c>
      <c r="AE319" s="142">
        <v>9</v>
      </c>
      <c r="AF319" s="142"/>
      <c r="AG319" s="69" t="str">
        <f t="shared" si="168"/>
        <v>5 years 256 days</v>
      </c>
      <c r="AH319" s="69">
        <v>5</v>
      </c>
      <c r="AI319" s="69">
        <v>256</v>
      </c>
      <c r="AJ319" s="69">
        <v>0</v>
      </c>
      <c r="AK319" s="69">
        <v>0</v>
      </c>
      <c r="AL319" s="60">
        <v>5250</v>
      </c>
      <c r="AM319" s="60">
        <f t="shared" si="169"/>
        <v>5250</v>
      </c>
      <c r="AN319" s="59">
        <v>5250</v>
      </c>
      <c r="AO319" s="148">
        <f t="shared" si="170"/>
        <v>-5250</v>
      </c>
      <c r="AP319" s="58">
        <v>0</v>
      </c>
      <c r="AQ319" s="143">
        <f t="shared" si="171"/>
        <v>0</v>
      </c>
    </row>
    <row r="320" spans="1:43" x14ac:dyDescent="0.35">
      <c r="A320" s="69" t="s">
        <v>43</v>
      </c>
      <c r="B320" s="15" t="s">
        <v>1011</v>
      </c>
      <c r="C320" s="15"/>
      <c r="D320" s="69" t="e">
        <f>_xlfn.XLOOKUP(B320,SOM!B:B,SOM!D:D,,0)</f>
        <v>#N/A</v>
      </c>
      <c r="E320" s="76">
        <v>24</v>
      </c>
      <c r="F320" s="69" t="s">
        <v>259</v>
      </c>
      <c r="G320" s="10" t="s">
        <v>260</v>
      </c>
      <c r="H320" s="15">
        <v>9007000084</v>
      </c>
      <c r="I320" s="92" t="s">
        <v>261</v>
      </c>
      <c r="J320" s="92">
        <v>1202010217</v>
      </c>
      <c r="K320" s="14"/>
      <c r="L320" s="95" t="s">
        <v>1012</v>
      </c>
      <c r="M320" s="69" t="s">
        <v>1013</v>
      </c>
      <c r="N320" s="69"/>
      <c r="O320" s="94">
        <v>1</v>
      </c>
      <c r="P320" s="69" t="s">
        <v>50</v>
      </c>
      <c r="Q320" s="69" t="s">
        <v>51</v>
      </c>
      <c r="R320" s="69"/>
      <c r="S320" s="46">
        <v>41912</v>
      </c>
      <c r="T320" s="48">
        <v>43191</v>
      </c>
      <c r="U320" s="69"/>
      <c r="V320" s="69"/>
      <c r="W320" s="69"/>
      <c r="X320" s="69"/>
      <c r="Y320" s="69" t="s">
        <v>4125</v>
      </c>
      <c r="Z320" s="43">
        <v>1450000</v>
      </c>
      <c r="AA320" s="43" t="s">
        <v>52</v>
      </c>
      <c r="AB320" s="43" t="s">
        <v>53</v>
      </c>
      <c r="AC320" s="43">
        <v>2373</v>
      </c>
      <c r="AD320" s="141">
        <v>6</v>
      </c>
      <c r="AE320" s="142">
        <v>6</v>
      </c>
      <c r="AF320" s="142"/>
      <c r="AG320" s="69" t="str">
        <f t="shared" si="168"/>
        <v>6 years 183 days</v>
      </c>
      <c r="AH320" s="69">
        <v>6</v>
      </c>
      <c r="AI320" s="69">
        <v>183</v>
      </c>
      <c r="AJ320" s="69">
        <v>0</v>
      </c>
      <c r="AK320" s="69">
        <v>0</v>
      </c>
      <c r="AL320" s="60">
        <v>1450000</v>
      </c>
      <c r="AM320" s="60">
        <f t="shared" si="169"/>
        <v>1450000</v>
      </c>
      <c r="AN320" s="59">
        <v>1450000</v>
      </c>
      <c r="AO320" s="148">
        <f t="shared" si="170"/>
        <v>-1450000</v>
      </c>
      <c r="AP320" s="58">
        <v>0</v>
      </c>
      <c r="AQ320" s="143">
        <f t="shared" si="171"/>
        <v>0</v>
      </c>
    </row>
    <row r="321" spans="1:43" x14ac:dyDescent="0.35">
      <c r="A321" s="69" t="s">
        <v>43</v>
      </c>
      <c r="B321" s="15" t="s">
        <v>1014</v>
      </c>
      <c r="C321" s="15"/>
      <c r="D321" s="69" t="e">
        <f>_xlfn.XLOOKUP(B321,SOM!B:B,SOM!D:D,,0)</f>
        <v>#N/A</v>
      </c>
      <c r="E321" s="76">
        <v>25</v>
      </c>
      <c r="F321" s="69" t="s">
        <v>259</v>
      </c>
      <c r="G321" s="10" t="s">
        <v>260</v>
      </c>
      <c r="H321" s="15">
        <v>9007000084</v>
      </c>
      <c r="I321" s="92" t="s">
        <v>261</v>
      </c>
      <c r="J321" s="92">
        <v>1202010217</v>
      </c>
      <c r="K321" s="14"/>
      <c r="L321" s="95" t="s">
        <v>1015</v>
      </c>
      <c r="M321" s="69" t="s">
        <v>1016</v>
      </c>
      <c r="N321" s="69"/>
      <c r="O321" s="94">
        <v>1</v>
      </c>
      <c r="P321" s="69" t="s">
        <v>50</v>
      </c>
      <c r="Q321" s="69" t="s">
        <v>51</v>
      </c>
      <c r="R321" s="69"/>
      <c r="S321" s="46">
        <v>42373</v>
      </c>
      <c r="T321" s="48">
        <v>43191</v>
      </c>
      <c r="U321" s="69"/>
      <c r="V321" s="69"/>
      <c r="W321" s="69"/>
      <c r="X321" s="69"/>
      <c r="Y321" s="69" t="s">
        <v>4125</v>
      </c>
      <c r="Z321" s="43">
        <v>270000</v>
      </c>
      <c r="AA321" s="43" t="s">
        <v>52</v>
      </c>
      <c r="AB321" s="43" t="s">
        <v>53</v>
      </c>
      <c r="AC321" s="43">
        <v>949</v>
      </c>
      <c r="AD321" s="141">
        <v>2</v>
      </c>
      <c r="AE321" s="142">
        <v>7</v>
      </c>
      <c r="AF321" s="142"/>
      <c r="AG321" s="69" t="str">
        <f t="shared" si="168"/>
        <v>2 years 219 days</v>
      </c>
      <c r="AH321" s="69">
        <v>2</v>
      </c>
      <c r="AI321" s="69">
        <v>219</v>
      </c>
      <c r="AJ321" s="69">
        <v>0</v>
      </c>
      <c r="AK321" s="69">
        <v>0</v>
      </c>
      <c r="AL321" s="60">
        <v>270000</v>
      </c>
      <c r="AM321" s="60">
        <f t="shared" si="169"/>
        <v>270000</v>
      </c>
      <c r="AN321" s="59">
        <v>270000</v>
      </c>
      <c r="AO321" s="148">
        <f t="shared" si="170"/>
        <v>-270000</v>
      </c>
      <c r="AP321" s="58">
        <v>0</v>
      </c>
      <c r="AQ321" s="143">
        <f t="shared" si="171"/>
        <v>0</v>
      </c>
    </row>
    <row r="322" spans="1:43" x14ac:dyDescent="0.35">
      <c r="A322" s="69" t="s">
        <v>43</v>
      </c>
      <c r="B322" s="15" t="s">
        <v>1017</v>
      </c>
      <c r="C322" s="15"/>
      <c r="D322" s="69" t="e">
        <f>_xlfn.XLOOKUP(B322,SOM!B:B,SOM!D:D,,0)</f>
        <v>#N/A</v>
      </c>
      <c r="E322" s="76">
        <v>26</v>
      </c>
      <c r="F322" s="69" t="s">
        <v>259</v>
      </c>
      <c r="G322" s="10" t="s">
        <v>260</v>
      </c>
      <c r="H322" s="15">
        <v>9007000084</v>
      </c>
      <c r="I322" s="92" t="s">
        <v>261</v>
      </c>
      <c r="J322" s="92">
        <v>1202010217</v>
      </c>
      <c r="K322" s="14"/>
      <c r="L322" s="95" t="s">
        <v>1018</v>
      </c>
      <c r="M322" s="69" t="s">
        <v>1019</v>
      </c>
      <c r="N322" s="69"/>
      <c r="O322" s="94">
        <v>1</v>
      </c>
      <c r="P322" s="69" t="s">
        <v>50</v>
      </c>
      <c r="Q322" s="69" t="s">
        <v>51</v>
      </c>
      <c r="R322" s="69"/>
      <c r="S322" s="46">
        <v>43200</v>
      </c>
      <c r="T322" s="48">
        <v>43200</v>
      </c>
      <c r="U322" s="69"/>
      <c r="V322" s="69"/>
      <c r="W322" s="69"/>
      <c r="X322" s="69"/>
      <c r="Y322" s="69" t="s">
        <v>4125</v>
      </c>
      <c r="Z322" s="43">
        <v>480000</v>
      </c>
      <c r="AA322" s="43" t="s">
        <v>52</v>
      </c>
      <c r="AB322" s="43" t="s">
        <v>53</v>
      </c>
      <c r="AC322" s="43">
        <v>3650</v>
      </c>
      <c r="AD322" s="141">
        <v>10</v>
      </c>
      <c r="AE322" s="142">
        <v>0</v>
      </c>
      <c r="AF322" s="142"/>
      <c r="AG322" s="69" t="str">
        <f t="shared" si="168"/>
        <v>6 years 268 days</v>
      </c>
      <c r="AH322" s="69">
        <v>6</v>
      </c>
      <c r="AI322" s="69">
        <v>268</v>
      </c>
      <c r="AJ322" s="69">
        <v>0</v>
      </c>
      <c r="AK322" s="69">
        <v>0</v>
      </c>
      <c r="AL322" s="60">
        <v>480000</v>
      </c>
      <c r="AM322" s="60">
        <f t="shared" si="169"/>
        <v>480000</v>
      </c>
      <c r="AN322" s="59">
        <v>324608</v>
      </c>
      <c r="AO322" s="148">
        <f t="shared" si="170"/>
        <v>-324608</v>
      </c>
      <c r="AP322" s="58">
        <v>23803.068493150698</v>
      </c>
      <c r="AQ322" s="143">
        <f t="shared" si="171"/>
        <v>-23803.07</v>
      </c>
    </row>
    <row r="323" spans="1:43" x14ac:dyDescent="0.35">
      <c r="A323" s="69" t="s">
        <v>43</v>
      </c>
      <c r="B323" s="15" t="s">
        <v>1020</v>
      </c>
      <c r="C323" s="15"/>
      <c r="D323" s="69" t="e">
        <f>_xlfn.XLOOKUP(B323,SOM!B:B,SOM!D:D,,0)</f>
        <v>#N/A</v>
      </c>
      <c r="E323" s="76">
        <v>27</v>
      </c>
      <c r="F323" s="69" t="s">
        <v>259</v>
      </c>
      <c r="G323" s="10" t="s">
        <v>260</v>
      </c>
      <c r="H323" s="15">
        <v>9007000084</v>
      </c>
      <c r="I323" s="92" t="s">
        <v>261</v>
      </c>
      <c r="J323" s="92">
        <v>1202010217</v>
      </c>
      <c r="K323" s="14"/>
      <c r="L323" s="95" t="s">
        <v>1021</v>
      </c>
      <c r="M323" s="69" t="s">
        <v>1022</v>
      </c>
      <c r="N323" s="69"/>
      <c r="O323" s="94">
        <v>1</v>
      </c>
      <c r="P323" s="69" t="s">
        <v>50</v>
      </c>
      <c r="Q323" s="69" t="s">
        <v>51</v>
      </c>
      <c r="R323" s="69"/>
      <c r="S323" s="46">
        <v>43525</v>
      </c>
      <c r="T323" s="48">
        <v>43525</v>
      </c>
      <c r="U323" s="69"/>
      <c r="V323" s="69"/>
      <c r="W323" s="69"/>
      <c r="X323" s="69"/>
      <c r="Y323" s="69" t="s">
        <v>4126</v>
      </c>
      <c r="Z323" s="43">
        <v>1100</v>
      </c>
      <c r="AA323" s="43" t="s">
        <v>52</v>
      </c>
      <c r="AB323" s="43" t="s">
        <v>53</v>
      </c>
      <c r="AC323" s="43">
        <v>3650</v>
      </c>
      <c r="AD323" s="141">
        <v>10</v>
      </c>
      <c r="AE323" s="142">
        <v>0</v>
      </c>
      <c r="AF323" s="142"/>
      <c r="AG323" s="69" t="str">
        <f t="shared" si="168"/>
        <v>5 years 308 days</v>
      </c>
      <c r="AH323" s="69">
        <v>5</v>
      </c>
      <c r="AI323" s="69">
        <v>308</v>
      </c>
      <c r="AJ323" s="69">
        <v>0</v>
      </c>
      <c r="AK323" s="69">
        <v>0</v>
      </c>
      <c r="AL323" s="60">
        <v>1100</v>
      </c>
      <c r="AM323" s="60">
        <f t="shared" si="169"/>
        <v>1100</v>
      </c>
      <c r="AN323" s="59">
        <v>1100</v>
      </c>
      <c r="AO323" s="148">
        <f t="shared" si="170"/>
        <v>-1100</v>
      </c>
      <c r="AP323" s="58">
        <v>0</v>
      </c>
      <c r="AQ323" s="143">
        <f t="shared" si="171"/>
        <v>0</v>
      </c>
    </row>
    <row r="324" spans="1:43" x14ac:dyDescent="0.35">
      <c r="A324" s="69" t="s">
        <v>43</v>
      </c>
      <c r="B324" s="15" t="s">
        <v>1023</v>
      </c>
      <c r="C324" s="15"/>
      <c r="D324" s="69" t="e">
        <f>_xlfn.XLOOKUP(B324,SOM!B:B,SOM!D:D,,0)</f>
        <v>#N/A</v>
      </c>
      <c r="E324" s="76">
        <v>28</v>
      </c>
      <c r="F324" s="69" t="s">
        <v>259</v>
      </c>
      <c r="G324" s="10" t="s">
        <v>260</v>
      </c>
      <c r="H324" s="15">
        <v>9007000084</v>
      </c>
      <c r="I324" s="92" t="s">
        <v>261</v>
      </c>
      <c r="J324" s="92">
        <v>1202010217</v>
      </c>
      <c r="K324" s="14"/>
      <c r="L324" s="95" t="s">
        <v>1024</v>
      </c>
      <c r="M324" s="69" t="s">
        <v>1025</v>
      </c>
      <c r="N324" s="69"/>
      <c r="O324" s="94">
        <v>1</v>
      </c>
      <c r="P324" s="69" t="s">
        <v>50</v>
      </c>
      <c r="Q324" s="69" t="s">
        <v>51</v>
      </c>
      <c r="R324" s="69"/>
      <c r="S324" s="46">
        <v>45038</v>
      </c>
      <c r="T324" s="48">
        <v>45038</v>
      </c>
      <c r="U324" s="69"/>
      <c r="V324" s="69"/>
      <c r="W324" s="69"/>
      <c r="X324" s="69"/>
      <c r="Y324" s="69" t="s">
        <v>4129</v>
      </c>
      <c r="Z324" s="43">
        <v>9750</v>
      </c>
      <c r="AA324" s="43" t="s">
        <v>52</v>
      </c>
      <c r="AB324" s="43" t="s">
        <v>53</v>
      </c>
      <c r="AC324" s="43">
        <v>3650</v>
      </c>
      <c r="AD324" s="141">
        <v>10</v>
      </c>
      <c r="AE324" s="142">
        <v>0</v>
      </c>
      <c r="AF324" s="142"/>
      <c r="AG324" s="69" t="str">
        <f t="shared" si="168"/>
        <v>1 years 255 days</v>
      </c>
      <c r="AH324" s="69">
        <v>1</v>
      </c>
      <c r="AI324" s="69">
        <v>255</v>
      </c>
      <c r="AJ324" s="69">
        <v>0</v>
      </c>
      <c r="AK324" s="69">
        <v>0</v>
      </c>
      <c r="AL324" s="60">
        <v>9750</v>
      </c>
      <c r="AM324" s="60">
        <f t="shared" si="169"/>
        <v>9750</v>
      </c>
      <c r="AN324" s="59">
        <v>9750</v>
      </c>
      <c r="AO324" s="148">
        <f t="shared" si="170"/>
        <v>-9750</v>
      </c>
      <c r="AP324" s="58">
        <v>0</v>
      </c>
      <c r="AQ324" s="143">
        <f t="shared" si="171"/>
        <v>0</v>
      </c>
    </row>
    <row r="325" spans="1:43" x14ac:dyDescent="0.35">
      <c r="A325" s="69" t="s">
        <v>43</v>
      </c>
      <c r="B325" s="15" t="s">
        <v>1026</v>
      </c>
      <c r="C325" s="15"/>
      <c r="D325" s="69" t="e">
        <f>_xlfn.XLOOKUP(B325,SOM!B:B,SOM!D:D,,0)</f>
        <v>#N/A</v>
      </c>
      <c r="E325" s="76">
        <v>29</v>
      </c>
      <c r="F325" s="69" t="s">
        <v>259</v>
      </c>
      <c r="G325" s="10" t="s">
        <v>260</v>
      </c>
      <c r="H325" s="15">
        <v>9007000084</v>
      </c>
      <c r="I325" s="92" t="s">
        <v>261</v>
      </c>
      <c r="J325" s="92">
        <v>1202010217</v>
      </c>
      <c r="K325" s="14"/>
      <c r="L325" s="95" t="s">
        <v>1027</v>
      </c>
      <c r="M325" s="69" t="s">
        <v>49</v>
      </c>
      <c r="N325" s="69"/>
      <c r="O325" s="94">
        <v>1</v>
      </c>
      <c r="P325" s="69" t="s">
        <v>50</v>
      </c>
      <c r="Q325" s="69" t="s">
        <v>51</v>
      </c>
      <c r="R325" s="69"/>
      <c r="S325" s="46">
        <v>37841</v>
      </c>
      <c r="T325" s="48">
        <v>43191</v>
      </c>
      <c r="U325" s="69"/>
      <c r="V325" s="69"/>
      <c r="W325" s="69"/>
      <c r="X325" s="69"/>
      <c r="Y325" s="69" t="s">
        <v>4125</v>
      </c>
      <c r="Z325" s="43">
        <v>1300</v>
      </c>
      <c r="AA325" s="43" t="s">
        <v>52</v>
      </c>
      <c r="AB325" s="43" t="s">
        <v>53</v>
      </c>
      <c r="AC325" s="43">
        <v>183</v>
      </c>
      <c r="AD325" s="141">
        <v>0</v>
      </c>
      <c r="AE325" s="142">
        <v>6</v>
      </c>
      <c r="AF325" s="142"/>
      <c r="AG325" s="69" t="str">
        <f t="shared" si="168"/>
        <v>0 years 183 days</v>
      </c>
      <c r="AH325" s="69">
        <v>0</v>
      </c>
      <c r="AI325" s="69">
        <v>183</v>
      </c>
      <c r="AJ325" s="69">
        <v>0</v>
      </c>
      <c r="AK325" s="69">
        <v>0</v>
      </c>
      <c r="AL325" s="60">
        <v>1300</v>
      </c>
      <c r="AM325" s="60">
        <f t="shared" si="169"/>
        <v>1300</v>
      </c>
      <c r="AN325" s="59">
        <v>1300</v>
      </c>
      <c r="AO325" s="148">
        <f t="shared" si="170"/>
        <v>-1300</v>
      </c>
      <c r="AP325" s="58">
        <v>0</v>
      </c>
      <c r="AQ325" s="143">
        <f t="shared" si="171"/>
        <v>0</v>
      </c>
    </row>
    <row r="326" spans="1:43" x14ac:dyDescent="0.35">
      <c r="A326" s="69" t="s">
        <v>43</v>
      </c>
      <c r="B326" s="15" t="s">
        <v>1028</v>
      </c>
      <c r="C326" s="15"/>
      <c r="D326" s="69" t="e">
        <f>_xlfn.XLOOKUP(B326,SOM!B:B,SOM!D:D,,0)</f>
        <v>#N/A</v>
      </c>
      <c r="E326" s="76">
        <v>30</v>
      </c>
      <c r="F326" s="69" t="s">
        <v>259</v>
      </c>
      <c r="G326" s="10" t="s">
        <v>260</v>
      </c>
      <c r="H326" s="15">
        <v>9007000084</v>
      </c>
      <c r="I326" s="92" t="s">
        <v>261</v>
      </c>
      <c r="J326" s="92">
        <v>1202010217</v>
      </c>
      <c r="K326" s="14"/>
      <c r="L326" s="95" t="s">
        <v>1029</v>
      </c>
      <c r="M326" s="69" t="s">
        <v>49</v>
      </c>
      <c r="N326" s="69"/>
      <c r="O326" s="94">
        <v>1</v>
      </c>
      <c r="P326" s="69" t="s">
        <v>50</v>
      </c>
      <c r="Q326" s="69" t="s">
        <v>51</v>
      </c>
      <c r="R326" s="69"/>
      <c r="S326" s="46">
        <v>37862</v>
      </c>
      <c r="T326" s="48">
        <v>43191</v>
      </c>
      <c r="U326" s="69"/>
      <c r="V326" s="69"/>
      <c r="W326" s="69"/>
      <c r="X326" s="69"/>
      <c r="Y326" s="69" t="s">
        <v>4125</v>
      </c>
      <c r="Z326" s="43">
        <v>3000</v>
      </c>
      <c r="AA326" s="43" t="s">
        <v>52</v>
      </c>
      <c r="AB326" s="43" t="s">
        <v>53</v>
      </c>
      <c r="AC326" s="43">
        <v>365</v>
      </c>
      <c r="AD326" s="141">
        <v>1</v>
      </c>
      <c r="AE326" s="142">
        <v>0</v>
      </c>
      <c r="AF326" s="142"/>
      <c r="AG326" s="69" t="str">
        <f t="shared" si="168"/>
        <v>1 years 0 days</v>
      </c>
      <c r="AH326" s="69">
        <v>1</v>
      </c>
      <c r="AI326" s="69">
        <v>0</v>
      </c>
      <c r="AJ326" s="69">
        <v>0</v>
      </c>
      <c r="AK326" s="69">
        <v>0</v>
      </c>
      <c r="AL326" s="60">
        <v>3000</v>
      </c>
      <c r="AM326" s="60">
        <f t="shared" si="169"/>
        <v>3000</v>
      </c>
      <c r="AN326" s="59">
        <v>3000</v>
      </c>
      <c r="AO326" s="148">
        <f t="shared" si="170"/>
        <v>-3000</v>
      </c>
      <c r="AP326" s="58">
        <v>0</v>
      </c>
      <c r="AQ326" s="143">
        <f t="shared" si="171"/>
        <v>0</v>
      </c>
    </row>
    <row r="327" spans="1:43" x14ac:dyDescent="0.35">
      <c r="A327" s="69" t="s">
        <v>43</v>
      </c>
      <c r="B327" s="15" t="s">
        <v>1030</v>
      </c>
      <c r="C327" s="15"/>
      <c r="D327" s="69" t="e">
        <f>_xlfn.XLOOKUP(B327,SOM!B:B,SOM!D:D,,0)</f>
        <v>#N/A</v>
      </c>
      <c r="E327" s="76">
        <v>31</v>
      </c>
      <c r="F327" s="69" t="s">
        <v>259</v>
      </c>
      <c r="G327" s="10" t="s">
        <v>260</v>
      </c>
      <c r="H327" s="15">
        <v>9007000084</v>
      </c>
      <c r="I327" s="92" t="s">
        <v>261</v>
      </c>
      <c r="J327" s="92">
        <v>1202010217</v>
      </c>
      <c r="K327" s="14"/>
      <c r="L327" s="95" t="s">
        <v>1031</v>
      </c>
      <c r="M327" s="69" t="s">
        <v>49</v>
      </c>
      <c r="N327" s="69"/>
      <c r="O327" s="94">
        <v>1</v>
      </c>
      <c r="P327" s="69" t="s">
        <v>50</v>
      </c>
      <c r="Q327" s="69" t="s">
        <v>51</v>
      </c>
      <c r="R327" s="69"/>
      <c r="S327" s="46">
        <v>37865</v>
      </c>
      <c r="T327" s="48">
        <v>43191</v>
      </c>
      <c r="U327" s="69"/>
      <c r="V327" s="69"/>
      <c r="W327" s="69"/>
      <c r="X327" s="69"/>
      <c r="Y327" s="69" t="s">
        <v>4125</v>
      </c>
      <c r="Z327" s="43">
        <v>3200</v>
      </c>
      <c r="AA327" s="43" t="s">
        <v>52</v>
      </c>
      <c r="AB327" s="43" t="s">
        <v>53</v>
      </c>
      <c r="AC327" s="43">
        <v>365</v>
      </c>
      <c r="AD327" s="141">
        <v>1</v>
      </c>
      <c r="AE327" s="142">
        <v>0</v>
      </c>
      <c r="AF327" s="142"/>
      <c r="AG327" s="69" t="str">
        <f t="shared" si="168"/>
        <v>1 years 0 days</v>
      </c>
      <c r="AH327" s="69">
        <v>1</v>
      </c>
      <c r="AI327" s="69">
        <v>0</v>
      </c>
      <c r="AJ327" s="69">
        <v>0</v>
      </c>
      <c r="AK327" s="69">
        <v>0</v>
      </c>
      <c r="AL327" s="60">
        <v>3200</v>
      </c>
      <c r="AM327" s="60">
        <f t="shared" si="169"/>
        <v>3200</v>
      </c>
      <c r="AN327" s="59">
        <v>3200</v>
      </c>
      <c r="AO327" s="148">
        <f t="shared" si="170"/>
        <v>-3200</v>
      </c>
      <c r="AP327" s="58">
        <v>0</v>
      </c>
      <c r="AQ327" s="143">
        <f t="shared" si="171"/>
        <v>0</v>
      </c>
    </row>
    <row r="328" spans="1:43" x14ac:dyDescent="0.35">
      <c r="A328" s="69" t="s">
        <v>43</v>
      </c>
      <c r="B328" s="15" t="s">
        <v>1032</v>
      </c>
      <c r="C328" s="15"/>
      <c r="D328" s="69" t="e">
        <f>_xlfn.XLOOKUP(B328,SOM!B:B,SOM!D:D,,0)</f>
        <v>#N/A</v>
      </c>
      <c r="E328" s="76">
        <v>32</v>
      </c>
      <c r="F328" s="69" t="s">
        <v>259</v>
      </c>
      <c r="G328" s="10" t="s">
        <v>260</v>
      </c>
      <c r="H328" s="15">
        <v>9007000084</v>
      </c>
      <c r="I328" s="92" t="s">
        <v>261</v>
      </c>
      <c r="J328" s="92">
        <v>1202010217</v>
      </c>
      <c r="K328" s="14"/>
      <c r="L328" s="95" t="s">
        <v>1033</v>
      </c>
      <c r="M328" s="69" t="s">
        <v>49</v>
      </c>
      <c r="N328" s="69"/>
      <c r="O328" s="94">
        <v>1</v>
      </c>
      <c r="P328" s="69" t="s">
        <v>50</v>
      </c>
      <c r="Q328" s="69" t="s">
        <v>51</v>
      </c>
      <c r="R328" s="69"/>
      <c r="S328" s="46">
        <v>37969</v>
      </c>
      <c r="T328" s="48">
        <v>43191</v>
      </c>
      <c r="U328" s="69"/>
      <c r="V328" s="69"/>
      <c r="W328" s="69"/>
      <c r="X328" s="69"/>
      <c r="Y328" s="69" t="s">
        <v>4125</v>
      </c>
      <c r="Z328" s="43">
        <v>410000</v>
      </c>
      <c r="AA328" s="43" t="s">
        <v>52</v>
      </c>
      <c r="AB328" s="43" t="s">
        <v>53</v>
      </c>
      <c r="AC328" s="43">
        <v>548</v>
      </c>
      <c r="AD328" s="141">
        <v>1</v>
      </c>
      <c r="AE328" s="142">
        <v>6</v>
      </c>
      <c r="AF328" s="142"/>
      <c r="AG328" s="69" t="str">
        <f t="shared" si="168"/>
        <v>1 years 183 days</v>
      </c>
      <c r="AH328" s="69">
        <v>1</v>
      </c>
      <c r="AI328" s="69">
        <v>183</v>
      </c>
      <c r="AJ328" s="69">
        <v>0</v>
      </c>
      <c r="AK328" s="69">
        <v>0</v>
      </c>
      <c r="AL328" s="60">
        <v>410000</v>
      </c>
      <c r="AM328" s="60">
        <f t="shared" si="169"/>
        <v>410000</v>
      </c>
      <c r="AN328" s="59">
        <v>410000</v>
      </c>
      <c r="AO328" s="148">
        <f t="shared" si="170"/>
        <v>-410000</v>
      </c>
      <c r="AP328" s="58">
        <v>0</v>
      </c>
      <c r="AQ328" s="143">
        <f t="shared" si="171"/>
        <v>0</v>
      </c>
    </row>
    <row r="329" spans="1:43" x14ac:dyDescent="0.35">
      <c r="A329" s="69" t="s">
        <v>43</v>
      </c>
      <c r="B329" s="15" t="s">
        <v>1034</v>
      </c>
      <c r="C329" s="15"/>
      <c r="D329" s="69" t="e">
        <f>_xlfn.XLOOKUP(B329,SOM!B:B,SOM!D:D,,0)</f>
        <v>#N/A</v>
      </c>
      <c r="E329" s="76">
        <v>33</v>
      </c>
      <c r="F329" s="69" t="s">
        <v>259</v>
      </c>
      <c r="G329" s="10" t="s">
        <v>260</v>
      </c>
      <c r="H329" s="15">
        <v>9007000084</v>
      </c>
      <c r="I329" s="92" t="s">
        <v>261</v>
      </c>
      <c r="J329" s="92">
        <v>1202010217</v>
      </c>
      <c r="K329" s="14"/>
      <c r="L329" s="95" t="s">
        <v>1035</v>
      </c>
      <c r="M329" s="69" t="s">
        <v>1036</v>
      </c>
      <c r="N329" s="69"/>
      <c r="O329" s="94">
        <v>1</v>
      </c>
      <c r="P329" s="69" t="s">
        <v>50</v>
      </c>
      <c r="Q329" s="69" t="s">
        <v>51</v>
      </c>
      <c r="R329" s="69"/>
      <c r="S329" s="46">
        <v>39092</v>
      </c>
      <c r="T329" s="48">
        <v>43191</v>
      </c>
      <c r="U329" s="69"/>
      <c r="V329" s="69"/>
      <c r="W329" s="69"/>
      <c r="X329" s="69"/>
      <c r="Y329" s="69" t="s">
        <v>4125</v>
      </c>
      <c r="Z329" s="43">
        <v>11000</v>
      </c>
      <c r="AA329" s="43" t="s">
        <v>52</v>
      </c>
      <c r="AB329" s="43" t="s">
        <v>53</v>
      </c>
      <c r="AC329" s="43">
        <v>365</v>
      </c>
      <c r="AD329" s="141">
        <v>1</v>
      </c>
      <c r="AE329" s="142">
        <v>0</v>
      </c>
      <c r="AF329" s="142"/>
      <c r="AG329" s="69" t="str">
        <f t="shared" si="168"/>
        <v>1 years 0 days</v>
      </c>
      <c r="AH329" s="69">
        <v>1</v>
      </c>
      <c r="AI329" s="69">
        <v>0</v>
      </c>
      <c r="AJ329" s="69">
        <v>0</v>
      </c>
      <c r="AK329" s="69">
        <v>0</v>
      </c>
      <c r="AL329" s="60">
        <v>11000</v>
      </c>
      <c r="AM329" s="60">
        <f t="shared" si="169"/>
        <v>11000</v>
      </c>
      <c r="AN329" s="59">
        <v>11000</v>
      </c>
      <c r="AO329" s="148">
        <f t="shared" si="170"/>
        <v>-11000</v>
      </c>
      <c r="AP329" s="58">
        <v>0</v>
      </c>
      <c r="AQ329" s="143">
        <f t="shared" si="171"/>
        <v>0</v>
      </c>
    </row>
    <row r="330" spans="1:43" x14ac:dyDescent="0.35">
      <c r="A330" s="69" t="s">
        <v>43</v>
      </c>
      <c r="B330" s="15" t="s">
        <v>1037</v>
      </c>
      <c r="C330" s="15"/>
      <c r="D330" s="69" t="e">
        <f>_xlfn.XLOOKUP(B330,SOM!B:B,SOM!D:D,,0)</f>
        <v>#N/A</v>
      </c>
      <c r="E330" s="76">
        <v>34</v>
      </c>
      <c r="F330" s="69" t="s">
        <v>259</v>
      </c>
      <c r="G330" s="10" t="s">
        <v>260</v>
      </c>
      <c r="H330" s="15">
        <v>9007000084</v>
      </c>
      <c r="I330" s="92" t="s">
        <v>261</v>
      </c>
      <c r="J330" s="92">
        <v>1202010217</v>
      </c>
      <c r="K330" s="14"/>
      <c r="L330" s="95" t="s">
        <v>1038</v>
      </c>
      <c r="M330" s="69" t="s">
        <v>49</v>
      </c>
      <c r="N330" s="69"/>
      <c r="O330" s="94">
        <v>1</v>
      </c>
      <c r="P330" s="69" t="s">
        <v>50</v>
      </c>
      <c r="Q330" s="69" t="s">
        <v>51</v>
      </c>
      <c r="R330" s="69"/>
      <c r="S330" s="46">
        <v>38931</v>
      </c>
      <c r="T330" s="48">
        <v>43191</v>
      </c>
      <c r="U330" s="69"/>
      <c r="V330" s="69"/>
      <c r="W330" s="69"/>
      <c r="X330" s="69"/>
      <c r="Y330" s="69" t="s">
        <v>4125</v>
      </c>
      <c r="Z330" s="43">
        <v>22000</v>
      </c>
      <c r="AA330" s="43" t="s">
        <v>52</v>
      </c>
      <c r="AB330" s="43" t="s">
        <v>53</v>
      </c>
      <c r="AC330" s="43">
        <v>1205</v>
      </c>
      <c r="AD330" s="141">
        <v>3</v>
      </c>
      <c r="AE330" s="142">
        <v>4</v>
      </c>
      <c r="AF330" s="142"/>
      <c r="AG330" s="69" t="str">
        <f t="shared" si="168"/>
        <v>3 years 110 days</v>
      </c>
      <c r="AH330" s="69">
        <v>3</v>
      </c>
      <c r="AI330" s="69">
        <v>110</v>
      </c>
      <c r="AJ330" s="69">
        <v>0</v>
      </c>
      <c r="AK330" s="69">
        <v>0</v>
      </c>
      <c r="AL330" s="60">
        <v>22000</v>
      </c>
      <c r="AM330" s="60">
        <f t="shared" si="169"/>
        <v>22000</v>
      </c>
      <c r="AN330" s="59">
        <v>22000</v>
      </c>
      <c r="AO330" s="148">
        <f t="shared" si="170"/>
        <v>-22000</v>
      </c>
      <c r="AP330" s="58">
        <v>0</v>
      </c>
      <c r="AQ330" s="143">
        <f t="shared" si="171"/>
        <v>0</v>
      </c>
    </row>
    <row r="331" spans="1:43" x14ac:dyDescent="0.35">
      <c r="A331" s="69" t="s">
        <v>43</v>
      </c>
      <c r="B331" s="15" t="s">
        <v>1039</v>
      </c>
      <c r="C331" s="15"/>
      <c r="D331" s="69" t="e">
        <f>_xlfn.XLOOKUP(B331,SOM!B:B,SOM!D:D,,0)</f>
        <v>#N/A</v>
      </c>
      <c r="E331" s="76">
        <v>35</v>
      </c>
      <c r="F331" s="69" t="s">
        <v>259</v>
      </c>
      <c r="G331" s="10" t="s">
        <v>260</v>
      </c>
      <c r="H331" s="15">
        <v>9007000084</v>
      </c>
      <c r="I331" s="92" t="s">
        <v>261</v>
      </c>
      <c r="J331" s="92">
        <v>1202010217</v>
      </c>
      <c r="K331" s="14"/>
      <c r="L331" s="95" t="s">
        <v>1040</v>
      </c>
      <c r="M331" s="69" t="s">
        <v>49</v>
      </c>
      <c r="N331" s="69"/>
      <c r="O331" s="94">
        <v>1</v>
      </c>
      <c r="P331" s="69" t="s">
        <v>50</v>
      </c>
      <c r="Q331" s="69" t="s">
        <v>51</v>
      </c>
      <c r="R331" s="69"/>
      <c r="S331" s="46">
        <v>40137</v>
      </c>
      <c r="T331" s="48">
        <v>43191</v>
      </c>
      <c r="U331" s="69"/>
      <c r="V331" s="69"/>
      <c r="W331" s="69"/>
      <c r="X331" s="69"/>
      <c r="Y331" s="69" t="s">
        <v>4125</v>
      </c>
      <c r="Z331" s="43">
        <v>19000</v>
      </c>
      <c r="AA331" s="43" t="s">
        <v>52</v>
      </c>
      <c r="AB331" s="43" t="s">
        <v>53</v>
      </c>
      <c r="AC331" s="43">
        <v>584</v>
      </c>
      <c r="AD331" s="141">
        <v>1</v>
      </c>
      <c r="AE331" s="142">
        <v>7</v>
      </c>
      <c r="AF331" s="142"/>
      <c r="AG331" s="69" t="str">
        <f t="shared" si="168"/>
        <v>1 years 219 days</v>
      </c>
      <c r="AH331" s="69">
        <v>1</v>
      </c>
      <c r="AI331" s="69">
        <v>219</v>
      </c>
      <c r="AJ331" s="69">
        <v>0</v>
      </c>
      <c r="AK331" s="69">
        <v>0</v>
      </c>
      <c r="AL331" s="60">
        <v>19000</v>
      </c>
      <c r="AM331" s="60">
        <f t="shared" si="169"/>
        <v>19000</v>
      </c>
      <c r="AN331" s="59">
        <v>19000</v>
      </c>
      <c r="AO331" s="148">
        <f t="shared" si="170"/>
        <v>-19000</v>
      </c>
      <c r="AP331" s="58">
        <v>0</v>
      </c>
      <c r="AQ331" s="143">
        <f t="shared" si="171"/>
        <v>0</v>
      </c>
    </row>
    <row r="332" spans="1:43" x14ac:dyDescent="0.35">
      <c r="A332" s="69" t="s">
        <v>43</v>
      </c>
      <c r="B332" s="15" t="s">
        <v>1041</v>
      </c>
      <c r="C332" s="15"/>
      <c r="D332" s="69" t="e">
        <f>_xlfn.XLOOKUP(B332,SOM!B:B,SOM!D:D,,0)</f>
        <v>#N/A</v>
      </c>
      <c r="E332" s="76">
        <v>36</v>
      </c>
      <c r="F332" s="69" t="s">
        <v>259</v>
      </c>
      <c r="G332" s="10" t="s">
        <v>260</v>
      </c>
      <c r="H332" s="15">
        <v>9007000084</v>
      </c>
      <c r="I332" s="92" t="s">
        <v>261</v>
      </c>
      <c r="J332" s="92">
        <v>1202010217</v>
      </c>
      <c r="K332" s="14"/>
      <c r="L332" s="95" t="s">
        <v>1042</v>
      </c>
      <c r="M332" s="69" t="s">
        <v>49</v>
      </c>
      <c r="N332" s="69"/>
      <c r="O332" s="94">
        <v>1</v>
      </c>
      <c r="P332" s="69" t="s">
        <v>50</v>
      </c>
      <c r="Q332" s="69" t="s">
        <v>51</v>
      </c>
      <c r="R332" s="69"/>
      <c r="S332" s="46">
        <v>40132</v>
      </c>
      <c r="T332" s="48">
        <v>43191</v>
      </c>
      <c r="U332" s="69"/>
      <c r="V332" s="69"/>
      <c r="W332" s="69"/>
      <c r="X332" s="69"/>
      <c r="Y332" s="69" t="s">
        <v>4125</v>
      </c>
      <c r="Z332" s="43">
        <v>85000</v>
      </c>
      <c r="AA332" s="43" t="s">
        <v>52</v>
      </c>
      <c r="AB332" s="43" t="s">
        <v>53</v>
      </c>
      <c r="AC332" s="43">
        <v>584</v>
      </c>
      <c r="AD332" s="141">
        <v>1</v>
      </c>
      <c r="AE332" s="142">
        <v>7</v>
      </c>
      <c r="AF332" s="142"/>
      <c r="AG332" s="69" t="str">
        <f t="shared" si="168"/>
        <v>1 years 219 days</v>
      </c>
      <c r="AH332" s="69">
        <v>1</v>
      </c>
      <c r="AI332" s="69">
        <v>219</v>
      </c>
      <c r="AJ332" s="69">
        <v>0</v>
      </c>
      <c r="AK332" s="69">
        <v>0</v>
      </c>
      <c r="AL332" s="60">
        <v>85000</v>
      </c>
      <c r="AM332" s="60">
        <f t="shared" si="169"/>
        <v>85000</v>
      </c>
      <c r="AN332" s="59">
        <v>85000</v>
      </c>
      <c r="AO332" s="148">
        <f t="shared" si="170"/>
        <v>-85000</v>
      </c>
      <c r="AP332" s="58">
        <v>0</v>
      </c>
      <c r="AQ332" s="143">
        <f t="shared" si="171"/>
        <v>0</v>
      </c>
    </row>
    <row r="333" spans="1:43" x14ac:dyDescent="0.35">
      <c r="A333" s="69" t="s">
        <v>43</v>
      </c>
      <c r="B333" s="15" t="s">
        <v>1043</v>
      </c>
      <c r="C333" s="15"/>
      <c r="D333" s="69" t="e">
        <f>_xlfn.XLOOKUP(B333,SOM!B:B,SOM!D:D,,0)</f>
        <v>#N/A</v>
      </c>
      <c r="E333" s="76">
        <v>37</v>
      </c>
      <c r="F333" s="69" t="s">
        <v>259</v>
      </c>
      <c r="G333" s="10" t="s">
        <v>260</v>
      </c>
      <c r="H333" s="15">
        <v>9007000084</v>
      </c>
      <c r="I333" s="92" t="s">
        <v>261</v>
      </c>
      <c r="J333" s="92">
        <v>1202010217</v>
      </c>
      <c r="K333" s="14"/>
      <c r="L333" s="95" t="s">
        <v>1044</v>
      </c>
      <c r="M333" s="69" t="s">
        <v>49</v>
      </c>
      <c r="N333" s="69"/>
      <c r="O333" s="94">
        <v>1</v>
      </c>
      <c r="P333" s="69" t="s">
        <v>50</v>
      </c>
      <c r="Q333" s="69" t="s">
        <v>51</v>
      </c>
      <c r="R333" s="69"/>
      <c r="S333" s="46">
        <v>40030</v>
      </c>
      <c r="T333" s="48">
        <v>43191</v>
      </c>
      <c r="U333" s="69"/>
      <c r="V333" s="69"/>
      <c r="W333" s="69"/>
      <c r="X333" s="69"/>
      <c r="Y333" s="69" t="s">
        <v>4125</v>
      </c>
      <c r="Z333" s="43">
        <v>105000</v>
      </c>
      <c r="AA333" s="43" t="s">
        <v>52</v>
      </c>
      <c r="AB333" s="43" t="s">
        <v>53</v>
      </c>
      <c r="AC333" s="43">
        <v>2300</v>
      </c>
      <c r="AD333" s="141">
        <v>6</v>
      </c>
      <c r="AE333" s="142">
        <v>4</v>
      </c>
      <c r="AF333" s="142"/>
      <c r="AG333" s="69" t="str">
        <f t="shared" si="168"/>
        <v>6 years 110 days</v>
      </c>
      <c r="AH333" s="69">
        <v>6</v>
      </c>
      <c r="AI333" s="69">
        <v>110</v>
      </c>
      <c r="AJ333" s="69">
        <v>0</v>
      </c>
      <c r="AK333" s="69">
        <v>0</v>
      </c>
      <c r="AL333" s="60">
        <v>105000</v>
      </c>
      <c r="AM333" s="60">
        <f t="shared" si="169"/>
        <v>105000</v>
      </c>
      <c r="AN333" s="59">
        <v>105000</v>
      </c>
      <c r="AO333" s="148">
        <f t="shared" si="170"/>
        <v>-105000</v>
      </c>
      <c r="AP333" s="58">
        <v>0</v>
      </c>
      <c r="AQ333" s="143">
        <f t="shared" si="171"/>
        <v>0</v>
      </c>
    </row>
    <row r="334" spans="1:43" x14ac:dyDescent="0.35">
      <c r="A334" s="69" t="s">
        <v>43</v>
      </c>
      <c r="B334" s="15" t="s">
        <v>1045</v>
      </c>
      <c r="C334" s="15"/>
      <c r="D334" s="69" t="e">
        <f>_xlfn.XLOOKUP(B334,SOM!B:B,SOM!D:D,,0)</f>
        <v>#N/A</v>
      </c>
      <c r="E334" s="76">
        <v>38</v>
      </c>
      <c r="F334" s="69" t="s">
        <v>259</v>
      </c>
      <c r="G334" s="10" t="s">
        <v>260</v>
      </c>
      <c r="H334" s="15">
        <v>9007000084</v>
      </c>
      <c r="I334" s="92" t="s">
        <v>261</v>
      </c>
      <c r="J334" s="92">
        <v>1202010217</v>
      </c>
      <c r="K334" s="14"/>
      <c r="L334" s="95" t="s">
        <v>1046</v>
      </c>
      <c r="M334" s="69" t="s">
        <v>49</v>
      </c>
      <c r="N334" s="69"/>
      <c r="O334" s="94">
        <v>1</v>
      </c>
      <c r="P334" s="69" t="s">
        <v>50</v>
      </c>
      <c r="Q334" s="69" t="s">
        <v>51</v>
      </c>
      <c r="R334" s="69"/>
      <c r="S334" s="46">
        <v>40487</v>
      </c>
      <c r="T334" s="48">
        <v>43191</v>
      </c>
      <c r="U334" s="69"/>
      <c r="V334" s="69"/>
      <c r="W334" s="69"/>
      <c r="X334" s="69"/>
      <c r="Y334" s="69" t="s">
        <v>4125</v>
      </c>
      <c r="Z334" s="43">
        <v>235000</v>
      </c>
      <c r="AA334" s="43" t="s">
        <v>52</v>
      </c>
      <c r="AB334" s="43" t="s">
        <v>53</v>
      </c>
      <c r="AC334" s="43">
        <v>949</v>
      </c>
      <c r="AD334" s="141">
        <v>2</v>
      </c>
      <c r="AE334" s="142">
        <v>7</v>
      </c>
      <c r="AF334" s="142"/>
      <c r="AG334" s="69" t="str">
        <f t="shared" si="168"/>
        <v>2 years 219 days</v>
      </c>
      <c r="AH334" s="69">
        <v>2</v>
      </c>
      <c r="AI334" s="69">
        <v>219</v>
      </c>
      <c r="AJ334" s="69">
        <v>0</v>
      </c>
      <c r="AK334" s="69">
        <v>0</v>
      </c>
      <c r="AL334" s="60">
        <v>235000</v>
      </c>
      <c r="AM334" s="60">
        <f t="shared" si="169"/>
        <v>235000</v>
      </c>
      <c r="AN334" s="59">
        <v>235000</v>
      </c>
      <c r="AO334" s="148">
        <f t="shared" si="170"/>
        <v>-235000</v>
      </c>
      <c r="AP334" s="58">
        <v>0</v>
      </c>
      <c r="AQ334" s="143">
        <f t="shared" si="171"/>
        <v>0</v>
      </c>
    </row>
    <row r="335" spans="1:43" x14ac:dyDescent="0.35">
      <c r="A335" s="69" t="s">
        <v>43</v>
      </c>
      <c r="B335" s="15" t="s">
        <v>1047</v>
      </c>
      <c r="C335" s="15"/>
      <c r="D335" s="69" t="e">
        <f>_xlfn.XLOOKUP(B335,SOM!B:B,SOM!D:D,,0)</f>
        <v>#N/A</v>
      </c>
      <c r="E335" s="76">
        <v>39</v>
      </c>
      <c r="F335" s="69" t="s">
        <v>259</v>
      </c>
      <c r="G335" s="10" t="s">
        <v>260</v>
      </c>
      <c r="H335" s="15">
        <v>9007000084</v>
      </c>
      <c r="I335" s="92" t="s">
        <v>261</v>
      </c>
      <c r="J335" s="92">
        <v>1202010217</v>
      </c>
      <c r="K335" s="14"/>
      <c r="L335" s="95" t="s">
        <v>1048</v>
      </c>
      <c r="M335" s="69" t="s">
        <v>49</v>
      </c>
      <c r="N335" s="69"/>
      <c r="O335" s="94">
        <v>1</v>
      </c>
      <c r="P335" s="69" t="s">
        <v>50</v>
      </c>
      <c r="Q335" s="69" t="s">
        <v>51</v>
      </c>
      <c r="R335" s="69"/>
      <c r="S335" s="46">
        <v>40559</v>
      </c>
      <c r="T335" s="48">
        <v>43191</v>
      </c>
      <c r="U335" s="69"/>
      <c r="V335" s="69"/>
      <c r="W335" s="69"/>
      <c r="X335" s="69"/>
      <c r="Y335" s="69" t="s">
        <v>4125</v>
      </c>
      <c r="Z335" s="43">
        <v>35000</v>
      </c>
      <c r="AA335" s="43" t="s">
        <v>52</v>
      </c>
      <c r="AB335" s="43" t="s">
        <v>53</v>
      </c>
      <c r="AC335" s="43">
        <v>1022</v>
      </c>
      <c r="AD335" s="141">
        <v>2</v>
      </c>
      <c r="AE335" s="142">
        <v>10</v>
      </c>
      <c r="AF335" s="142"/>
      <c r="AG335" s="69" t="str">
        <f t="shared" si="168"/>
        <v>2 years 292 days</v>
      </c>
      <c r="AH335" s="69">
        <v>2</v>
      </c>
      <c r="AI335" s="69">
        <v>292</v>
      </c>
      <c r="AJ335" s="69">
        <v>0</v>
      </c>
      <c r="AK335" s="69">
        <v>0</v>
      </c>
      <c r="AL335" s="60">
        <v>35000</v>
      </c>
      <c r="AM335" s="60">
        <f t="shared" si="169"/>
        <v>35000</v>
      </c>
      <c r="AN335" s="59">
        <v>35000</v>
      </c>
      <c r="AO335" s="148">
        <f t="shared" si="170"/>
        <v>-35000</v>
      </c>
      <c r="AP335" s="58">
        <v>0</v>
      </c>
      <c r="AQ335" s="143">
        <f t="shared" si="171"/>
        <v>0</v>
      </c>
    </row>
    <row r="336" spans="1:43" x14ac:dyDescent="0.35">
      <c r="A336" s="69" t="s">
        <v>43</v>
      </c>
      <c r="B336" s="15" t="s">
        <v>1049</v>
      </c>
      <c r="C336" s="15"/>
      <c r="D336" s="69" t="e">
        <f>_xlfn.XLOOKUP(B336,SOM!B:B,SOM!D:D,,0)</f>
        <v>#N/A</v>
      </c>
      <c r="E336" s="76">
        <v>40</v>
      </c>
      <c r="F336" s="69" t="s">
        <v>259</v>
      </c>
      <c r="G336" s="10" t="s">
        <v>260</v>
      </c>
      <c r="H336" s="15">
        <v>9007000084</v>
      </c>
      <c r="I336" s="92" t="s">
        <v>261</v>
      </c>
      <c r="J336" s="92">
        <v>1202010217</v>
      </c>
      <c r="K336" s="14"/>
      <c r="L336" s="95" t="s">
        <v>1050</v>
      </c>
      <c r="M336" s="69" t="s">
        <v>49</v>
      </c>
      <c r="N336" s="69"/>
      <c r="O336" s="94">
        <v>1</v>
      </c>
      <c r="P336" s="69" t="s">
        <v>50</v>
      </c>
      <c r="Q336" s="69" t="s">
        <v>51</v>
      </c>
      <c r="R336" s="69"/>
      <c r="S336" s="46">
        <v>40313</v>
      </c>
      <c r="T336" s="48">
        <v>43191</v>
      </c>
      <c r="U336" s="69"/>
      <c r="V336" s="69"/>
      <c r="W336" s="69"/>
      <c r="X336" s="69"/>
      <c r="Y336" s="69" t="s">
        <v>4125</v>
      </c>
      <c r="Z336" s="43">
        <v>15000</v>
      </c>
      <c r="AA336" s="43" t="s">
        <v>52</v>
      </c>
      <c r="AB336" s="43" t="s">
        <v>53</v>
      </c>
      <c r="AC336" s="43">
        <v>2592</v>
      </c>
      <c r="AD336" s="141">
        <v>7</v>
      </c>
      <c r="AE336" s="142">
        <v>1</v>
      </c>
      <c r="AF336" s="142"/>
      <c r="AG336" s="69" t="str">
        <f t="shared" si="168"/>
        <v>6 years 277 days</v>
      </c>
      <c r="AH336" s="69">
        <v>6</v>
      </c>
      <c r="AI336" s="69">
        <v>277</v>
      </c>
      <c r="AJ336" s="69">
        <v>0</v>
      </c>
      <c r="AK336" s="69">
        <v>0</v>
      </c>
      <c r="AL336" s="60">
        <v>15000</v>
      </c>
      <c r="AM336" s="60">
        <f t="shared" si="169"/>
        <v>15000</v>
      </c>
      <c r="AN336" s="59">
        <v>15000</v>
      </c>
      <c r="AO336" s="148">
        <f t="shared" si="170"/>
        <v>-15000</v>
      </c>
      <c r="AP336" s="58">
        <v>0</v>
      </c>
      <c r="AQ336" s="143">
        <f t="shared" si="171"/>
        <v>0</v>
      </c>
    </row>
    <row r="337" spans="1:43" x14ac:dyDescent="0.35">
      <c r="A337" s="69" t="s">
        <v>43</v>
      </c>
      <c r="B337" s="15" t="s">
        <v>1051</v>
      </c>
      <c r="C337" s="15"/>
      <c r="D337" s="69" t="e">
        <f>_xlfn.XLOOKUP(B337,SOM!B:B,SOM!D:D,,0)</f>
        <v>#N/A</v>
      </c>
      <c r="E337" s="76">
        <v>41</v>
      </c>
      <c r="F337" s="69" t="s">
        <v>259</v>
      </c>
      <c r="G337" s="10" t="s">
        <v>260</v>
      </c>
      <c r="H337" s="15">
        <v>9007000084</v>
      </c>
      <c r="I337" s="92" t="s">
        <v>261</v>
      </c>
      <c r="J337" s="92">
        <v>1202010217</v>
      </c>
      <c r="K337" s="14"/>
      <c r="L337" s="95" t="s">
        <v>1052</v>
      </c>
      <c r="M337" s="69" t="s">
        <v>49</v>
      </c>
      <c r="N337" s="69"/>
      <c r="O337" s="94">
        <v>1</v>
      </c>
      <c r="P337" s="69" t="s">
        <v>50</v>
      </c>
      <c r="Q337" s="69" t="s">
        <v>51</v>
      </c>
      <c r="R337" s="69"/>
      <c r="S337" s="46">
        <v>39010</v>
      </c>
      <c r="T337" s="48">
        <v>43191</v>
      </c>
      <c r="U337" s="69"/>
      <c r="V337" s="69"/>
      <c r="W337" s="69"/>
      <c r="X337" s="69"/>
      <c r="Y337" s="69" t="s">
        <v>4125</v>
      </c>
      <c r="Z337" s="43">
        <v>860000</v>
      </c>
      <c r="AA337" s="43" t="s">
        <v>52</v>
      </c>
      <c r="AB337" s="43" t="s">
        <v>53</v>
      </c>
      <c r="AC337" s="43">
        <v>1314</v>
      </c>
      <c r="AD337" s="141">
        <v>3</v>
      </c>
      <c r="AE337" s="142">
        <v>7</v>
      </c>
      <c r="AF337" s="142"/>
      <c r="AG337" s="69" t="str">
        <f t="shared" si="168"/>
        <v>3 years 219 days</v>
      </c>
      <c r="AH337" s="69">
        <v>3</v>
      </c>
      <c r="AI337" s="69">
        <v>219</v>
      </c>
      <c r="AJ337" s="69">
        <v>0</v>
      </c>
      <c r="AK337" s="69">
        <v>0</v>
      </c>
      <c r="AL337" s="60">
        <v>860000</v>
      </c>
      <c r="AM337" s="60">
        <f t="shared" si="169"/>
        <v>860000</v>
      </c>
      <c r="AN337" s="59">
        <v>860000</v>
      </c>
      <c r="AO337" s="148">
        <f t="shared" si="170"/>
        <v>-860000</v>
      </c>
      <c r="AP337" s="58">
        <v>0</v>
      </c>
      <c r="AQ337" s="143">
        <f t="shared" si="171"/>
        <v>0</v>
      </c>
    </row>
    <row r="338" spans="1:43" x14ac:dyDescent="0.35">
      <c r="A338" s="69" t="s">
        <v>43</v>
      </c>
      <c r="B338" s="15" t="s">
        <v>1053</v>
      </c>
      <c r="C338" s="15"/>
      <c r="D338" s="69" t="e">
        <f>_xlfn.XLOOKUP(B338,SOM!B:B,SOM!D:D,,0)</f>
        <v>#N/A</v>
      </c>
      <c r="E338" s="76">
        <v>42</v>
      </c>
      <c r="F338" s="69" t="s">
        <v>259</v>
      </c>
      <c r="G338" s="10" t="s">
        <v>260</v>
      </c>
      <c r="H338" s="15">
        <v>9007000084</v>
      </c>
      <c r="I338" s="92" t="s">
        <v>261</v>
      </c>
      <c r="J338" s="92">
        <v>1202010217</v>
      </c>
      <c r="K338" s="14"/>
      <c r="L338" s="95" t="s">
        <v>1054</v>
      </c>
      <c r="M338" s="69" t="s">
        <v>49</v>
      </c>
      <c r="N338" s="69"/>
      <c r="O338" s="94">
        <v>1</v>
      </c>
      <c r="P338" s="69" t="s">
        <v>50</v>
      </c>
      <c r="Q338" s="69" t="s">
        <v>51</v>
      </c>
      <c r="R338" s="69"/>
      <c r="S338" s="46">
        <v>40622</v>
      </c>
      <c r="T338" s="48">
        <v>43191</v>
      </c>
      <c r="U338" s="69"/>
      <c r="V338" s="69"/>
      <c r="W338" s="69"/>
      <c r="X338" s="69"/>
      <c r="Y338" s="69" t="s">
        <v>4125</v>
      </c>
      <c r="Z338" s="43">
        <v>41000</v>
      </c>
      <c r="AA338" s="43" t="s">
        <v>52</v>
      </c>
      <c r="AB338" s="43" t="s">
        <v>53</v>
      </c>
      <c r="AC338" s="43">
        <v>1095</v>
      </c>
      <c r="AD338" s="141">
        <v>3</v>
      </c>
      <c r="AE338" s="142">
        <v>0</v>
      </c>
      <c r="AF338" s="142"/>
      <c r="AG338" s="69" t="str">
        <f t="shared" si="168"/>
        <v>3 years 0 days</v>
      </c>
      <c r="AH338" s="69">
        <v>3</v>
      </c>
      <c r="AI338" s="69">
        <v>0</v>
      </c>
      <c r="AJ338" s="69">
        <v>0</v>
      </c>
      <c r="AK338" s="69">
        <v>0</v>
      </c>
      <c r="AL338" s="60">
        <v>41000</v>
      </c>
      <c r="AM338" s="60">
        <f t="shared" si="169"/>
        <v>41000</v>
      </c>
      <c r="AN338" s="59">
        <v>41000</v>
      </c>
      <c r="AO338" s="148">
        <f t="shared" si="170"/>
        <v>-41000</v>
      </c>
      <c r="AP338" s="58">
        <v>0</v>
      </c>
      <c r="AQ338" s="143">
        <f t="shared" si="171"/>
        <v>0</v>
      </c>
    </row>
    <row r="339" spans="1:43" x14ac:dyDescent="0.35">
      <c r="A339" s="69" t="s">
        <v>43</v>
      </c>
      <c r="B339" s="15" t="s">
        <v>1055</v>
      </c>
      <c r="C339" s="15"/>
      <c r="D339" s="69" t="e">
        <f>_xlfn.XLOOKUP(B339,SOM!B:B,SOM!D:D,,0)</f>
        <v>#N/A</v>
      </c>
      <c r="E339" s="76">
        <v>43</v>
      </c>
      <c r="F339" s="69" t="s">
        <v>259</v>
      </c>
      <c r="G339" s="10" t="s">
        <v>260</v>
      </c>
      <c r="H339" s="15">
        <v>9007000084</v>
      </c>
      <c r="I339" s="92" t="s">
        <v>261</v>
      </c>
      <c r="J339" s="92">
        <v>1202010217</v>
      </c>
      <c r="K339" s="14"/>
      <c r="L339" s="95" t="s">
        <v>1056</v>
      </c>
      <c r="M339" s="69" t="s">
        <v>49</v>
      </c>
      <c r="N339" s="69"/>
      <c r="O339" s="94">
        <v>1</v>
      </c>
      <c r="P339" s="69" t="s">
        <v>50</v>
      </c>
      <c r="Q339" s="69" t="s">
        <v>51</v>
      </c>
      <c r="R339" s="69"/>
      <c r="S339" s="46">
        <v>40759</v>
      </c>
      <c r="T339" s="48">
        <v>43191</v>
      </c>
      <c r="U339" s="69"/>
      <c r="V339" s="69"/>
      <c r="W339" s="69"/>
      <c r="X339" s="69"/>
      <c r="Y339" s="69" t="s">
        <v>4125</v>
      </c>
      <c r="Z339" s="43">
        <v>4000</v>
      </c>
      <c r="AA339" s="43" t="s">
        <v>52</v>
      </c>
      <c r="AB339" s="43" t="s">
        <v>53</v>
      </c>
      <c r="AC339" s="43">
        <v>183</v>
      </c>
      <c r="AD339" s="141">
        <v>0</v>
      </c>
      <c r="AE339" s="142">
        <v>6</v>
      </c>
      <c r="AF339" s="142"/>
      <c r="AG339" s="69" t="str">
        <f t="shared" si="168"/>
        <v>0 years 183 days</v>
      </c>
      <c r="AH339" s="69">
        <v>0</v>
      </c>
      <c r="AI339" s="69">
        <v>183</v>
      </c>
      <c r="AJ339" s="69">
        <v>0</v>
      </c>
      <c r="AK339" s="69">
        <v>0</v>
      </c>
      <c r="AL339" s="60">
        <v>4000</v>
      </c>
      <c r="AM339" s="60">
        <f t="shared" si="169"/>
        <v>4000</v>
      </c>
      <c r="AN339" s="59">
        <v>4000</v>
      </c>
      <c r="AO339" s="148">
        <f t="shared" si="170"/>
        <v>-4000</v>
      </c>
      <c r="AP339" s="58">
        <v>0</v>
      </c>
      <c r="AQ339" s="143">
        <f t="shared" si="171"/>
        <v>0</v>
      </c>
    </row>
    <row r="340" spans="1:43" x14ac:dyDescent="0.35">
      <c r="A340" s="69" t="s">
        <v>43</v>
      </c>
      <c r="B340" s="15" t="s">
        <v>1057</v>
      </c>
      <c r="C340" s="15"/>
      <c r="D340" s="69" t="e">
        <f>_xlfn.XLOOKUP(B340,SOM!B:B,SOM!D:D,,0)</f>
        <v>#N/A</v>
      </c>
      <c r="E340" s="76">
        <v>44</v>
      </c>
      <c r="F340" s="69" t="s">
        <v>259</v>
      </c>
      <c r="G340" s="10" t="s">
        <v>260</v>
      </c>
      <c r="H340" s="15">
        <v>9007000084</v>
      </c>
      <c r="I340" s="92" t="s">
        <v>261</v>
      </c>
      <c r="J340" s="92">
        <v>1202010217</v>
      </c>
      <c r="K340" s="14"/>
      <c r="L340" s="95" t="s">
        <v>1058</v>
      </c>
      <c r="M340" s="69" t="s">
        <v>49</v>
      </c>
      <c r="N340" s="69"/>
      <c r="O340" s="94">
        <v>1</v>
      </c>
      <c r="P340" s="69" t="s">
        <v>50</v>
      </c>
      <c r="Q340" s="69" t="s">
        <v>51</v>
      </c>
      <c r="R340" s="69"/>
      <c r="S340" s="46">
        <v>40964</v>
      </c>
      <c r="T340" s="48">
        <v>43191</v>
      </c>
      <c r="U340" s="69"/>
      <c r="V340" s="69"/>
      <c r="W340" s="69"/>
      <c r="X340" s="69"/>
      <c r="Y340" s="69" t="s">
        <v>4125</v>
      </c>
      <c r="Z340" s="43">
        <v>18000</v>
      </c>
      <c r="AA340" s="43" t="s">
        <v>52</v>
      </c>
      <c r="AB340" s="43" t="s">
        <v>53</v>
      </c>
      <c r="AC340" s="43">
        <v>183</v>
      </c>
      <c r="AD340" s="141">
        <v>0</v>
      </c>
      <c r="AE340" s="142">
        <v>6</v>
      </c>
      <c r="AF340" s="142"/>
      <c r="AG340" s="69" t="str">
        <f t="shared" si="168"/>
        <v>0 years 183 days</v>
      </c>
      <c r="AH340" s="69">
        <v>0</v>
      </c>
      <c r="AI340" s="69">
        <v>183</v>
      </c>
      <c r="AJ340" s="69">
        <v>0</v>
      </c>
      <c r="AK340" s="69">
        <v>0</v>
      </c>
      <c r="AL340" s="60">
        <v>18000</v>
      </c>
      <c r="AM340" s="60">
        <f t="shared" si="169"/>
        <v>18000</v>
      </c>
      <c r="AN340" s="59">
        <v>18000</v>
      </c>
      <c r="AO340" s="148">
        <f t="shared" si="170"/>
        <v>-18000</v>
      </c>
      <c r="AP340" s="58">
        <v>0</v>
      </c>
      <c r="AQ340" s="143">
        <f t="shared" si="171"/>
        <v>0</v>
      </c>
    </row>
    <row r="341" spans="1:43" x14ac:dyDescent="0.35">
      <c r="A341" s="69" t="s">
        <v>43</v>
      </c>
      <c r="B341" s="15" t="s">
        <v>1059</v>
      </c>
      <c r="C341" s="15"/>
      <c r="D341" s="69" t="e">
        <f>_xlfn.XLOOKUP(B341,SOM!B:B,SOM!D:D,,0)</f>
        <v>#N/A</v>
      </c>
      <c r="E341" s="76">
        <v>45</v>
      </c>
      <c r="F341" s="69" t="s">
        <v>259</v>
      </c>
      <c r="G341" s="10" t="s">
        <v>260</v>
      </c>
      <c r="H341" s="15">
        <v>9007000084</v>
      </c>
      <c r="I341" s="92" t="s">
        <v>261</v>
      </c>
      <c r="J341" s="92">
        <v>1202010217</v>
      </c>
      <c r="K341" s="14"/>
      <c r="L341" s="95" t="s">
        <v>1060</v>
      </c>
      <c r="M341" s="69" t="s">
        <v>49</v>
      </c>
      <c r="N341" s="69"/>
      <c r="O341" s="94">
        <v>1</v>
      </c>
      <c r="P341" s="69" t="s">
        <v>50</v>
      </c>
      <c r="Q341" s="69" t="s">
        <v>51</v>
      </c>
      <c r="R341" s="69"/>
      <c r="S341" s="46">
        <v>40734</v>
      </c>
      <c r="T341" s="48">
        <v>43191</v>
      </c>
      <c r="U341" s="69"/>
      <c r="V341" s="69"/>
      <c r="W341" s="69"/>
      <c r="X341" s="69"/>
      <c r="Y341" s="69" t="s">
        <v>4125</v>
      </c>
      <c r="Z341" s="43">
        <v>115000</v>
      </c>
      <c r="AA341" s="43" t="s">
        <v>52</v>
      </c>
      <c r="AB341" s="43" t="s">
        <v>53</v>
      </c>
      <c r="AC341" s="43">
        <v>1205</v>
      </c>
      <c r="AD341" s="141">
        <v>3</v>
      </c>
      <c r="AE341" s="142">
        <v>4</v>
      </c>
      <c r="AF341" s="142"/>
      <c r="AG341" s="69" t="str">
        <f t="shared" si="168"/>
        <v>3 years 110 days</v>
      </c>
      <c r="AH341" s="69">
        <v>3</v>
      </c>
      <c r="AI341" s="69">
        <v>110</v>
      </c>
      <c r="AJ341" s="69">
        <v>0</v>
      </c>
      <c r="AK341" s="69">
        <v>0</v>
      </c>
      <c r="AL341" s="60">
        <v>115000</v>
      </c>
      <c r="AM341" s="60">
        <f t="shared" si="169"/>
        <v>115000</v>
      </c>
      <c r="AN341" s="59">
        <v>115000</v>
      </c>
      <c r="AO341" s="148">
        <f t="shared" si="170"/>
        <v>-115000</v>
      </c>
      <c r="AP341" s="58">
        <v>0</v>
      </c>
      <c r="AQ341" s="143">
        <f t="shared" si="171"/>
        <v>0</v>
      </c>
    </row>
    <row r="342" spans="1:43" x14ac:dyDescent="0.35">
      <c r="A342" s="69" t="s">
        <v>43</v>
      </c>
      <c r="B342" s="15" t="s">
        <v>1061</v>
      </c>
      <c r="C342" s="15"/>
      <c r="D342" s="69" t="e">
        <f>_xlfn.XLOOKUP(B342,SOM!B:B,SOM!D:D,,0)</f>
        <v>#N/A</v>
      </c>
      <c r="E342" s="76">
        <v>46</v>
      </c>
      <c r="F342" s="69" t="s">
        <v>259</v>
      </c>
      <c r="G342" s="10" t="s">
        <v>260</v>
      </c>
      <c r="H342" s="15">
        <v>9007000084</v>
      </c>
      <c r="I342" s="92" t="s">
        <v>261</v>
      </c>
      <c r="J342" s="92">
        <v>1202010217</v>
      </c>
      <c r="K342" s="14"/>
      <c r="L342" s="95" t="s">
        <v>1062</v>
      </c>
      <c r="M342" s="69" t="s">
        <v>49</v>
      </c>
      <c r="N342" s="69"/>
      <c r="O342" s="94">
        <v>1</v>
      </c>
      <c r="P342" s="69" t="s">
        <v>50</v>
      </c>
      <c r="Q342" s="69" t="s">
        <v>51</v>
      </c>
      <c r="R342" s="69"/>
      <c r="S342" s="46">
        <v>41333</v>
      </c>
      <c r="T342" s="48">
        <v>43191</v>
      </c>
      <c r="U342" s="69"/>
      <c r="V342" s="69"/>
      <c r="W342" s="69"/>
      <c r="X342" s="69"/>
      <c r="Y342" s="69" t="s">
        <v>4125</v>
      </c>
      <c r="Z342" s="43">
        <v>10500</v>
      </c>
      <c r="AA342" s="43" t="s">
        <v>52</v>
      </c>
      <c r="AB342" s="43" t="s">
        <v>53</v>
      </c>
      <c r="AC342" s="43">
        <v>3614</v>
      </c>
      <c r="AD342" s="141">
        <v>9</v>
      </c>
      <c r="AE342" s="142">
        <v>11</v>
      </c>
      <c r="AF342" s="142"/>
      <c r="AG342" s="69" t="str">
        <f t="shared" si="168"/>
        <v>6 years 277 days</v>
      </c>
      <c r="AH342" s="69">
        <v>6</v>
      </c>
      <c r="AI342" s="69">
        <v>277</v>
      </c>
      <c r="AJ342" s="69">
        <v>0</v>
      </c>
      <c r="AK342" s="69">
        <v>0</v>
      </c>
      <c r="AL342" s="60">
        <v>10500</v>
      </c>
      <c r="AM342" s="60">
        <f t="shared" si="169"/>
        <v>10500</v>
      </c>
      <c r="AN342" s="59">
        <v>10500</v>
      </c>
      <c r="AO342" s="148">
        <f t="shared" si="170"/>
        <v>-10500</v>
      </c>
      <c r="AP342" s="58">
        <v>0.20199225235228369</v>
      </c>
      <c r="AQ342" s="143">
        <f t="shared" si="171"/>
        <v>-0.2</v>
      </c>
    </row>
    <row r="343" spans="1:43" x14ac:dyDescent="0.35">
      <c r="A343" s="69" t="s">
        <v>43</v>
      </c>
      <c r="B343" s="15" t="s">
        <v>1063</v>
      </c>
      <c r="C343" s="15"/>
      <c r="D343" s="69" t="e">
        <f>_xlfn.XLOOKUP(B343,SOM!B:B,SOM!D:D,,0)</f>
        <v>#N/A</v>
      </c>
      <c r="E343" s="76">
        <v>47</v>
      </c>
      <c r="F343" s="69" t="s">
        <v>259</v>
      </c>
      <c r="G343" s="10" t="s">
        <v>260</v>
      </c>
      <c r="H343" s="15">
        <v>9007000084</v>
      </c>
      <c r="I343" s="92" t="s">
        <v>261</v>
      </c>
      <c r="J343" s="92">
        <v>1202010217</v>
      </c>
      <c r="K343" s="14"/>
      <c r="L343" s="95" t="s">
        <v>1064</v>
      </c>
      <c r="M343" s="69" t="s">
        <v>49</v>
      </c>
      <c r="N343" s="69"/>
      <c r="O343" s="94">
        <v>1</v>
      </c>
      <c r="P343" s="69" t="s">
        <v>50</v>
      </c>
      <c r="Q343" s="69" t="s">
        <v>51</v>
      </c>
      <c r="R343" s="69"/>
      <c r="S343" s="46">
        <v>41365</v>
      </c>
      <c r="T343" s="48">
        <v>43191</v>
      </c>
      <c r="U343" s="69"/>
      <c r="V343" s="69"/>
      <c r="W343" s="69"/>
      <c r="X343" s="69"/>
      <c r="Y343" s="69" t="s">
        <v>4125</v>
      </c>
      <c r="Z343" s="43">
        <v>22000</v>
      </c>
      <c r="AA343" s="43" t="s">
        <v>52</v>
      </c>
      <c r="AB343" s="43" t="s">
        <v>53</v>
      </c>
      <c r="AC343" s="43">
        <v>1825</v>
      </c>
      <c r="AD343" s="141">
        <v>5</v>
      </c>
      <c r="AE343" s="142">
        <v>0</v>
      </c>
      <c r="AF343" s="142"/>
      <c r="AG343" s="69" t="str">
        <f t="shared" si="168"/>
        <v>5 years 0 days</v>
      </c>
      <c r="AH343" s="69">
        <v>5</v>
      </c>
      <c r="AI343" s="69">
        <v>0</v>
      </c>
      <c r="AJ343" s="69">
        <v>0</v>
      </c>
      <c r="AK343" s="69">
        <v>0</v>
      </c>
      <c r="AL343" s="60">
        <v>22000</v>
      </c>
      <c r="AM343" s="60">
        <f t="shared" si="169"/>
        <v>22000</v>
      </c>
      <c r="AN343" s="59">
        <v>22000</v>
      </c>
      <c r="AO343" s="148">
        <f t="shared" si="170"/>
        <v>-22000</v>
      </c>
      <c r="AP343" s="58">
        <v>0</v>
      </c>
      <c r="AQ343" s="143">
        <f t="shared" si="171"/>
        <v>0</v>
      </c>
    </row>
    <row r="344" spans="1:43" x14ac:dyDescent="0.35">
      <c r="A344" s="69" t="s">
        <v>43</v>
      </c>
      <c r="B344" s="15" t="s">
        <v>1065</v>
      </c>
      <c r="C344" s="15"/>
      <c r="D344" s="69" t="e">
        <f>_xlfn.XLOOKUP(B344,SOM!B:B,SOM!D:D,,0)</f>
        <v>#N/A</v>
      </c>
      <c r="E344" s="76">
        <v>48</v>
      </c>
      <c r="F344" s="69" t="s">
        <v>259</v>
      </c>
      <c r="G344" s="10" t="s">
        <v>260</v>
      </c>
      <c r="H344" s="15">
        <v>9007000084</v>
      </c>
      <c r="I344" s="92" t="s">
        <v>261</v>
      </c>
      <c r="J344" s="92">
        <v>1202010217</v>
      </c>
      <c r="K344" s="14"/>
      <c r="L344" s="95" t="s">
        <v>1066</v>
      </c>
      <c r="M344" s="69" t="s">
        <v>49</v>
      </c>
      <c r="N344" s="69"/>
      <c r="O344" s="94">
        <v>1</v>
      </c>
      <c r="P344" s="69" t="s">
        <v>50</v>
      </c>
      <c r="Q344" s="69" t="s">
        <v>51</v>
      </c>
      <c r="R344" s="69"/>
      <c r="S344" s="46">
        <v>41684</v>
      </c>
      <c r="T344" s="48">
        <v>43191</v>
      </c>
      <c r="U344" s="69"/>
      <c r="V344" s="69"/>
      <c r="W344" s="69"/>
      <c r="X344" s="69"/>
      <c r="Y344" s="69" t="s">
        <v>4125</v>
      </c>
      <c r="Z344" s="43">
        <v>60000</v>
      </c>
      <c r="AA344" s="43" t="s">
        <v>52</v>
      </c>
      <c r="AB344" s="43" t="s">
        <v>53</v>
      </c>
      <c r="AC344" s="43">
        <v>1679</v>
      </c>
      <c r="AD344" s="141">
        <v>4</v>
      </c>
      <c r="AE344" s="142">
        <v>7</v>
      </c>
      <c r="AF344" s="142"/>
      <c r="AG344" s="69" t="str">
        <f t="shared" si="168"/>
        <v>4 years 219 days</v>
      </c>
      <c r="AH344" s="69">
        <v>4</v>
      </c>
      <c r="AI344" s="69">
        <v>219</v>
      </c>
      <c r="AJ344" s="69">
        <v>0</v>
      </c>
      <c r="AK344" s="69">
        <v>0</v>
      </c>
      <c r="AL344" s="60">
        <v>60000</v>
      </c>
      <c r="AM344" s="60">
        <f t="shared" si="169"/>
        <v>60000</v>
      </c>
      <c r="AN344" s="59">
        <v>60000</v>
      </c>
      <c r="AO344" s="148">
        <f t="shared" si="170"/>
        <v>-60000</v>
      </c>
      <c r="AP344" s="58">
        <v>0</v>
      </c>
      <c r="AQ344" s="143">
        <f t="shared" si="171"/>
        <v>0</v>
      </c>
    </row>
    <row r="345" spans="1:43" x14ac:dyDescent="0.35">
      <c r="A345" s="69" t="s">
        <v>43</v>
      </c>
      <c r="B345" s="15" t="s">
        <v>1067</v>
      </c>
      <c r="C345" s="15"/>
      <c r="D345" s="69" t="e">
        <f>_xlfn.XLOOKUP(B345,SOM!B:B,SOM!D:D,,0)</f>
        <v>#N/A</v>
      </c>
      <c r="E345" s="76">
        <v>49</v>
      </c>
      <c r="F345" s="69" t="s">
        <v>259</v>
      </c>
      <c r="G345" s="10" t="s">
        <v>260</v>
      </c>
      <c r="H345" s="15">
        <v>9007000084</v>
      </c>
      <c r="I345" s="92" t="s">
        <v>261</v>
      </c>
      <c r="J345" s="92">
        <v>1202010217</v>
      </c>
      <c r="K345" s="14"/>
      <c r="L345" s="95" t="s">
        <v>1068</v>
      </c>
      <c r="M345" s="69" t="s">
        <v>49</v>
      </c>
      <c r="N345" s="69"/>
      <c r="O345" s="94">
        <v>1</v>
      </c>
      <c r="P345" s="69" t="s">
        <v>50</v>
      </c>
      <c r="Q345" s="69" t="s">
        <v>51</v>
      </c>
      <c r="R345" s="69"/>
      <c r="S345" s="46">
        <v>41690</v>
      </c>
      <c r="T345" s="48">
        <v>43191</v>
      </c>
      <c r="U345" s="69"/>
      <c r="V345" s="69"/>
      <c r="W345" s="69"/>
      <c r="X345" s="69"/>
      <c r="Y345" s="69" t="s">
        <v>4125</v>
      </c>
      <c r="Z345" s="43">
        <v>50000</v>
      </c>
      <c r="AA345" s="43" t="s">
        <v>52</v>
      </c>
      <c r="AB345" s="43" t="s">
        <v>53</v>
      </c>
      <c r="AC345" s="43">
        <v>1716</v>
      </c>
      <c r="AD345" s="141">
        <v>4</v>
      </c>
      <c r="AE345" s="142">
        <v>9</v>
      </c>
      <c r="AF345" s="142"/>
      <c r="AG345" s="69" t="str">
        <f t="shared" si="168"/>
        <v>4 years 256 days</v>
      </c>
      <c r="AH345" s="69">
        <v>4</v>
      </c>
      <c r="AI345" s="69">
        <v>256</v>
      </c>
      <c r="AJ345" s="69">
        <v>0</v>
      </c>
      <c r="AK345" s="69">
        <v>0</v>
      </c>
      <c r="AL345" s="60">
        <v>50000</v>
      </c>
      <c r="AM345" s="60">
        <f t="shared" si="169"/>
        <v>50000</v>
      </c>
      <c r="AN345" s="59">
        <v>50000</v>
      </c>
      <c r="AO345" s="148">
        <f t="shared" si="170"/>
        <v>-50000</v>
      </c>
      <c r="AP345" s="58">
        <v>0</v>
      </c>
      <c r="AQ345" s="143">
        <f t="shared" si="171"/>
        <v>0</v>
      </c>
    </row>
    <row r="346" spans="1:43" x14ac:dyDescent="0.35">
      <c r="A346" s="69" t="s">
        <v>43</v>
      </c>
      <c r="B346" s="15" t="s">
        <v>1069</v>
      </c>
      <c r="C346" s="15"/>
      <c r="D346" s="69" t="e">
        <f>_xlfn.XLOOKUP(B346,SOM!B:B,SOM!D:D,,0)</f>
        <v>#N/A</v>
      </c>
      <c r="E346" s="76">
        <v>50</v>
      </c>
      <c r="F346" s="69" t="s">
        <v>259</v>
      </c>
      <c r="G346" s="10" t="s">
        <v>260</v>
      </c>
      <c r="H346" s="15">
        <v>9007000084</v>
      </c>
      <c r="I346" s="92" t="s">
        <v>261</v>
      </c>
      <c r="J346" s="92">
        <v>1202010217</v>
      </c>
      <c r="K346" s="14"/>
      <c r="L346" s="95" t="s">
        <v>1070</v>
      </c>
      <c r="M346" s="69" t="s">
        <v>49</v>
      </c>
      <c r="N346" s="69"/>
      <c r="O346" s="94">
        <v>1</v>
      </c>
      <c r="P346" s="69" t="s">
        <v>50</v>
      </c>
      <c r="Q346" s="69" t="s">
        <v>51</v>
      </c>
      <c r="R346" s="69"/>
      <c r="S346" s="46">
        <v>41696</v>
      </c>
      <c r="T346" s="48">
        <v>43191</v>
      </c>
      <c r="U346" s="69"/>
      <c r="V346" s="69"/>
      <c r="W346" s="69"/>
      <c r="X346" s="69"/>
      <c r="Y346" s="69" t="s">
        <v>4125</v>
      </c>
      <c r="Z346" s="43">
        <v>6500</v>
      </c>
      <c r="AA346" s="43" t="s">
        <v>52</v>
      </c>
      <c r="AB346" s="43" t="s">
        <v>53</v>
      </c>
      <c r="AC346" s="43">
        <v>1716</v>
      </c>
      <c r="AD346" s="141">
        <v>4</v>
      </c>
      <c r="AE346" s="142">
        <v>9</v>
      </c>
      <c r="AF346" s="142"/>
      <c r="AG346" s="69" t="str">
        <f t="shared" si="168"/>
        <v>4 years 256 days</v>
      </c>
      <c r="AH346" s="69">
        <v>4</v>
      </c>
      <c r="AI346" s="69">
        <v>256</v>
      </c>
      <c r="AJ346" s="69">
        <v>0</v>
      </c>
      <c r="AK346" s="69">
        <v>0</v>
      </c>
      <c r="AL346" s="60">
        <v>6500</v>
      </c>
      <c r="AM346" s="60">
        <f t="shared" si="169"/>
        <v>6500</v>
      </c>
      <c r="AN346" s="59">
        <v>6500</v>
      </c>
      <c r="AO346" s="148">
        <f t="shared" si="170"/>
        <v>-6500</v>
      </c>
      <c r="AP346" s="58">
        <v>0</v>
      </c>
      <c r="AQ346" s="143">
        <f t="shared" si="171"/>
        <v>0</v>
      </c>
    </row>
    <row r="347" spans="1:43" x14ac:dyDescent="0.35">
      <c r="A347" s="69" t="s">
        <v>43</v>
      </c>
      <c r="B347" s="15" t="s">
        <v>1071</v>
      </c>
      <c r="C347" s="15"/>
      <c r="D347" s="69" t="e">
        <f>_xlfn.XLOOKUP(B347,SOM!B:B,SOM!D:D,,0)</f>
        <v>#N/A</v>
      </c>
      <c r="E347" s="76">
        <v>51</v>
      </c>
      <c r="F347" s="69" t="s">
        <v>259</v>
      </c>
      <c r="G347" s="10" t="s">
        <v>260</v>
      </c>
      <c r="H347" s="15">
        <v>9007000084</v>
      </c>
      <c r="I347" s="92" t="s">
        <v>261</v>
      </c>
      <c r="J347" s="92">
        <v>1202010217</v>
      </c>
      <c r="K347" s="14"/>
      <c r="L347" s="95" t="s">
        <v>1072</v>
      </c>
      <c r="M347" s="69" t="s">
        <v>1073</v>
      </c>
      <c r="N347" s="69"/>
      <c r="O347" s="94">
        <v>1</v>
      </c>
      <c r="P347" s="69" t="s">
        <v>50</v>
      </c>
      <c r="Q347" s="69" t="s">
        <v>51</v>
      </c>
      <c r="R347" s="69"/>
      <c r="S347" s="46">
        <v>41788</v>
      </c>
      <c r="T347" s="48">
        <v>43191</v>
      </c>
      <c r="U347" s="69"/>
      <c r="V347" s="69"/>
      <c r="W347" s="69"/>
      <c r="X347" s="69"/>
      <c r="Y347" s="69" t="s">
        <v>4125</v>
      </c>
      <c r="Z347" s="43">
        <v>240000</v>
      </c>
      <c r="AA347" s="43" t="s">
        <v>52</v>
      </c>
      <c r="AB347" s="43" t="s">
        <v>53</v>
      </c>
      <c r="AC347" s="43">
        <v>2263</v>
      </c>
      <c r="AD347" s="141">
        <v>6</v>
      </c>
      <c r="AE347" s="142">
        <v>2</v>
      </c>
      <c r="AF347" s="142"/>
      <c r="AG347" s="69" t="str">
        <f t="shared" si="168"/>
        <v>6 years 73 days</v>
      </c>
      <c r="AH347" s="69">
        <v>6</v>
      </c>
      <c r="AI347" s="69">
        <v>73</v>
      </c>
      <c r="AJ347" s="69">
        <v>0</v>
      </c>
      <c r="AK347" s="69">
        <v>0</v>
      </c>
      <c r="AL347" s="60">
        <v>240000</v>
      </c>
      <c r="AM347" s="60">
        <f t="shared" si="169"/>
        <v>240000</v>
      </c>
      <c r="AN347" s="59">
        <v>240000</v>
      </c>
      <c r="AO347" s="148">
        <f t="shared" si="170"/>
        <v>-240000</v>
      </c>
      <c r="AP347" s="58">
        <v>0</v>
      </c>
      <c r="AQ347" s="143">
        <f t="shared" si="171"/>
        <v>0</v>
      </c>
    </row>
    <row r="348" spans="1:43" x14ac:dyDescent="0.35">
      <c r="A348" s="69" t="s">
        <v>43</v>
      </c>
      <c r="B348" s="15" t="s">
        <v>1074</v>
      </c>
      <c r="C348" s="15"/>
      <c r="D348" s="69" t="e">
        <f>_xlfn.XLOOKUP(B348,SOM!B:B,SOM!D:D,,0)</f>
        <v>#N/A</v>
      </c>
      <c r="E348" s="76">
        <v>52</v>
      </c>
      <c r="F348" s="69" t="s">
        <v>259</v>
      </c>
      <c r="G348" s="10" t="s">
        <v>260</v>
      </c>
      <c r="H348" s="15">
        <v>9007000084</v>
      </c>
      <c r="I348" s="92" t="s">
        <v>261</v>
      </c>
      <c r="J348" s="92">
        <v>1202010217</v>
      </c>
      <c r="K348" s="14"/>
      <c r="L348" s="95" t="s">
        <v>1075</v>
      </c>
      <c r="M348" s="69" t="s">
        <v>49</v>
      </c>
      <c r="N348" s="69"/>
      <c r="O348" s="94">
        <v>1</v>
      </c>
      <c r="P348" s="69" t="s">
        <v>50</v>
      </c>
      <c r="Q348" s="69" t="s">
        <v>51</v>
      </c>
      <c r="R348" s="69"/>
      <c r="S348" s="46">
        <v>41809</v>
      </c>
      <c r="T348" s="48">
        <v>43191</v>
      </c>
      <c r="U348" s="69"/>
      <c r="V348" s="69"/>
      <c r="W348" s="69"/>
      <c r="X348" s="69"/>
      <c r="Y348" s="69" t="s">
        <v>4125</v>
      </c>
      <c r="Z348" s="43">
        <v>77500</v>
      </c>
      <c r="AA348" s="43" t="s">
        <v>52</v>
      </c>
      <c r="AB348" s="43" t="s">
        <v>53</v>
      </c>
      <c r="AC348" s="43">
        <v>1314</v>
      </c>
      <c r="AD348" s="141">
        <v>3</v>
      </c>
      <c r="AE348" s="142">
        <v>7</v>
      </c>
      <c r="AF348" s="142"/>
      <c r="AG348" s="69" t="str">
        <f t="shared" si="168"/>
        <v>3 years 219 days</v>
      </c>
      <c r="AH348" s="69">
        <v>3</v>
      </c>
      <c r="AI348" s="69">
        <v>219</v>
      </c>
      <c r="AJ348" s="69">
        <v>0</v>
      </c>
      <c r="AK348" s="69">
        <v>0</v>
      </c>
      <c r="AL348" s="60">
        <v>77500</v>
      </c>
      <c r="AM348" s="60">
        <f t="shared" si="169"/>
        <v>77500</v>
      </c>
      <c r="AN348" s="59">
        <v>77500</v>
      </c>
      <c r="AO348" s="148">
        <f t="shared" si="170"/>
        <v>-77500</v>
      </c>
      <c r="AP348" s="58">
        <v>0</v>
      </c>
      <c r="AQ348" s="143">
        <f t="shared" si="171"/>
        <v>0</v>
      </c>
    </row>
    <row r="349" spans="1:43" x14ac:dyDescent="0.35">
      <c r="A349" s="69" t="s">
        <v>43</v>
      </c>
      <c r="B349" s="15" t="s">
        <v>1076</v>
      </c>
      <c r="C349" s="15"/>
      <c r="D349" s="69" t="e">
        <f>_xlfn.XLOOKUP(B349,SOM!B:B,SOM!D:D,,0)</f>
        <v>#N/A</v>
      </c>
      <c r="E349" s="76">
        <v>53</v>
      </c>
      <c r="F349" s="69" t="s">
        <v>259</v>
      </c>
      <c r="G349" s="10" t="s">
        <v>260</v>
      </c>
      <c r="H349" s="15">
        <v>9007000084</v>
      </c>
      <c r="I349" s="92" t="s">
        <v>261</v>
      </c>
      <c r="J349" s="92">
        <v>1202010217</v>
      </c>
      <c r="K349" s="14"/>
      <c r="L349" s="95" t="s">
        <v>1077</v>
      </c>
      <c r="M349" s="69" t="s">
        <v>1078</v>
      </c>
      <c r="N349" s="69"/>
      <c r="O349" s="94">
        <v>1</v>
      </c>
      <c r="P349" s="69" t="s">
        <v>50</v>
      </c>
      <c r="Q349" s="69" t="s">
        <v>51</v>
      </c>
      <c r="R349" s="69"/>
      <c r="S349" s="46">
        <v>41863</v>
      </c>
      <c r="T349" s="48">
        <v>43191</v>
      </c>
      <c r="U349" s="69"/>
      <c r="V349" s="69"/>
      <c r="W349" s="69"/>
      <c r="X349" s="69"/>
      <c r="Y349" s="69" t="s">
        <v>4125</v>
      </c>
      <c r="Z349" s="43">
        <v>1050000</v>
      </c>
      <c r="AA349" s="43" t="s">
        <v>52</v>
      </c>
      <c r="AB349" s="43" t="s">
        <v>53</v>
      </c>
      <c r="AC349" s="43">
        <v>4088</v>
      </c>
      <c r="AD349" s="141">
        <v>11</v>
      </c>
      <c r="AE349" s="142">
        <v>2</v>
      </c>
      <c r="AF349" s="142"/>
      <c r="AG349" s="69" t="str">
        <f t="shared" si="168"/>
        <v>6 years 277 days</v>
      </c>
      <c r="AH349" s="69">
        <v>6</v>
      </c>
      <c r="AI349" s="69">
        <v>277</v>
      </c>
      <c r="AJ349" s="69">
        <v>0</v>
      </c>
      <c r="AK349" s="69">
        <v>0</v>
      </c>
      <c r="AL349" s="60">
        <v>1050000</v>
      </c>
      <c r="AM349" s="60">
        <f t="shared" si="169"/>
        <v>1050000</v>
      </c>
      <c r="AN349" s="59">
        <v>633647</v>
      </c>
      <c r="AO349" s="148">
        <f t="shared" si="170"/>
        <v>-633647</v>
      </c>
      <c r="AP349" s="58">
        <v>46489.986301369849</v>
      </c>
      <c r="AQ349" s="143">
        <f t="shared" si="171"/>
        <v>-46489.99</v>
      </c>
    </row>
    <row r="350" spans="1:43" x14ac:dyDescent="0.35">
      <c r="A350" s="69" t="s">
        <v>43</v>
      </c>
      <c r="B350" s="15" t="s">
        <v>1079</v>
      </c>
      <c r="C350" s="15"/>
      <c r="D350" s="69" t="e">
        <f>_xlfn.XLOOKUP(B350,SOM!B:B,SOM!D:D,,0)</f>
        <v>#N/A</v>
      </c>
      <c r="E350" s="76">
        <v>54</v>
      </c>
      <c r="F350" s="69" t="s">
        <v>259</v>
      </c>
      <c r="G350" s="10" t="s">
        <v>260</v>
      </c>
      <c r="H350" s="15">
        <v>9007000084</v>
      </c>
      <c r="I350" s="92" t="s">
        <v>261</v>
      </c>
      <c r="J350" s="92">
        <v>1202010217</v>
      </c>
      <c r="K350" s="14"/>
      <c r="L350" s="95" t="s">
        <v>1080</v>
      </c>
      <c r="M350" s="69" t="s">
        <v>49</v>
      </c>
      <c r="N350" s="69"/>
      <c r="O350" s="94">
        <v>1</v>
      </c>
      <c r="P350" s="69" t="s">
        <v>50</v>
      </c>
      <c r="Q350" s="69" t="s">
        <v>51</v>
      </c>
      <c r="R350" s="69"/>
      <c r="S350" s="46">
        <v>42585</v>
      </c>
      <c r="T350" s="48">
        <v>43191</v>
      </c>
      <c r="U350" s="69"/>
      <c r="V350" s="69"/>
      <c r="W350" s="69"/>
      <c r="X350" s="69"/>
      <c r="Y350" s="69" t="s">
        <v>4125</v>
      </c>
      <c r="Z350" s="43">
        <v>8000</v>
      </c>
      <c r="AA350" s="43" t="s">
        <v>52</v>
      </c>
      <c r="AB350" s="43" t="s">
        <v>53</v>
      </c>
      <c r="AC350" s="43">
        <v>1205</v>
      </c>
      <c r="AD350" s="141">
        <v>3</v>
      </c>
      <c r="AE350" s="142">
        <v>4</v>
      </c>
      <c r="AF350" s="142"/>
      <c r="AG350" s="69" t="str">
        <f t="shared" si="168"/>
        <v>3 years 110 days</v>
      </c>
      <c r="AH350" s="69">
        <v>3</v>
      </c>
      <c r="AI350" s="69">
        <v>110</v>
      </c>
      <c r="AJ350" s="69">
        <v>0</v>
      </c>
      <c r="AK350" s="69">
        <v>0</v>
      </c>
      <c r="AL350" s="60">
        <v>8000</v>
      </c>
      <c r="AM350" s="60">
        <f t="shared" si="169"/>
        <v>8000</v>
      </c>
      <c r="AN350" s="59">
        <v>8000</v>
      </c>
      <c r="AO350" s="148">
        <f t="shared" si="170"/>
        <v>-8000</v>
      </c>
      <c r="AP350" s="58">
        <v>0</v>
      </c>
      <c r="AQ350" s="143">
        <f t="shared" si="171"/>
        <v>0</v>
      </c>
    </row>
    <row r="351" spans="1:43" x14ac:dyDescent="0.35">
      <c r="A351" s="69" t="s">
        <v>43</v>
      </c>
      <c r="B351" s="15" t="s">
        <v>1081</v>
      </c>
      <c r="C351" s="15"/>
      <c r="D351" s="69" t="e">
        <f>_xlfn.XLOOKUP(B351,SOM!B:B,SOM!D:D,,0)</f>
        <v>#N/A</v>
      </c>
      <c r="E351" s="76">
        <v>55</v>
      </c>
      <c r="F351" s="69" t="s">
        <v>259</v>
      </c>
      <c r="G351" s="10" t="s">
        <v>260</v>
      </c>
      <c r="H351" s="15">
        <v>9007000084</v>
      </c>
      <c r="I351" s="92" t="s">
        <v>261</v>
      </c>
      <c r="J351" s="92">
        <v>1202010217</v>
      </c>
      <c r="K351" s="14"/>
      <c r="L351" s="95" t="s">
        <v>1082</v>
      </c>
      <c r="M351" s="69" t="s">
        <v>1083</v>
      </c>
      <c r="N351" s="69"/>
      <c r="O351" s="94">
        <v>1</v>
      </c>
      <c r="P351" s="69" t="s">
        <v>50</v>
      </c>
      <c r="Q351" s="69" t="s">
        <v>51</v>
      </c>
      <c r="R351" s="69"/>
      <c r="S351" s="46">
        <v>43727</v>
      </c>
      <c r="T351" s="48">
        <v>43727</v>
      </c>
      <c r="U351" s="69"/>
      <c r="V351" s="69"/>
      <c r="W351" s="69"/>
      <c r="X351" s="69"/>
      <c r="Y351" s="69" t="s">
        <v>4126</v>
      </c>
      <c r="Z351" s="43">
        <v>4275</v>
      </c>
      <c r="AA351" s="43" t="s">
        <v>52</v>
      </c>
      <c r="AB351" s="43" t="s">
        <v>53</v>
      </c>
      <c r="AC351" s="43">
        <v>3650</v>
      </c>
      <c r="AD351" s="141">
        <v>10</v>
      </c>
      <c r="AE351" s="142">
        <v>0</v>
      </c>
      <c r="AF351" s="142"/>
      <c r="AG351" s="69" t="str">
        <f t="shared" si="168"/>
        <v>5 years 106 days</v>
      </c>
      <c r="AH351" s="69">
        <v>5</v>
      </c>
      <c r="AI351" s="69">
        <v>106</v>
      </c>
      <c r="AJ351" s="69">
        <v>0</v>
      </c>
      <c r="AK351" s="69">
        <v>0</v>
      </c>
      <c r="AL351" s="60">
        <v>4275</v>
      </c>
      <c r="AM351" s="60">
        <f t="shared" si="169"/>
        <v>4275</v>
      </c>
      <c r="AN351" s="59">
        <v>4275</v>
      </c>
      <c r="AO351" s="148">
        <f t="shared" si="170"/>
        <v>-4275</v>
      </c>
      <c r="AP351" s="58">
        <v>0</v>
      </c>
      <c r="AQ351" s="143">
        <f t="shared" si="171"/>
        <v>0</v>
      </c>
    </row>
    <row r="352" spans="1:43" x14ac:dyDescent="0.35">
      <c r="A352" s="69" t="s">
        <v>43</v>
      </c>
      <c r="B352" s="15" t="s">
        <v>1084</v>
      </c>
      <c r="C352" s="15"/>
      <c r="D352" s="69" t="e">
        <f>_xlfn.XLOOKUP(B352,SOM!B:B,SOM!D:D,,0)</f>
        <v>#N/A</v>
      </c>
      <c r="E352" s="76">
        <v>56</v>
      </c>
      <c r="F352" s="69" t="s">
        <v>259</v>
      </c>
      <c r="G352" s="10" t="s">
        <v>260</v>
      </c>
      <c r="H352" s="15">
        <v>9007000084</v>
      </c>
      <c r="I352" s="92" t="s">
        <v>261</v>
      </c>
      <c r="J352" s="92">
        <v>1202010217</v>
      </c>
      <c r="K352" s="14"/>
      <c r="L352" s="95" t="s">
        <v>1085</v>
      </c>
      <c r="M352" s="69" t="s">
        <v>49</v>
      </c>
      <c r="N352" s="69"/>
      <c r="O352" s="94">
        <v>1</v>
      </c>
      <c r="P352" s="69" t="s">
        <v>50</v>
      </c>
      <c r="Q352" s="69" t="s">
        <v>51</v>
      </c>
      <c r="R352" s="69"/>
      <c r="S352" s="46">
        <v>44865</v>
      </c>
      <c r="T352" s="48">
        <v>44865</v>
      </c>
      <c r="U352" s="69"/>
      <c r="V352" s="69"/>
      <c r="W352" s="69"/>
      <c r="X352" s="69"/>
      <c r="Y352" s="69" t="s">
        <v>4131</v>
      </c>
      <c r="Z352" s="43">
        <v>900000</v>
      </c>
      <c r="AA352" s="43" t="s">
        <v>52</v>
      </c>
      <c r="AB352" s="43" t="s">
        <v>53</v>
      </c>
      <c r="AC352" s="43">
        <v>3650</v>
      </c>
      <c r="AD352" s="141">
        <v>10</v>
      </c>
      <c r="AE352" s="142">
        <v>0</v>
      </c>
      <c r="AF352" s="142"/>
      <c r="AG352" s="69" t="str">
        <f t="shared" si="168"/>
        <v>2 years 63 days</v>
      </c>
      <c r="AH352" s="69">
        <v>2</v>
      </c>
      <c r="AI352" s="69">
        <v>63</v>
      </c>
      <c r="AJ352" s="69">
        <v>0</v>
      </c>
      <c r="AK352" s="69">
        <v>0</v>
      </c>
      <c r="AL352" s="60">
        <v>900000</v>
      </c>
      <c r="AM352" s="60">
        <f t="shared" si="169"/>
        <v>900000</v>
      </c>
      <c r="AN352" s="59">
        <v>900000</v>
      </c>
      <c r="AO352" s="148">
        <f t="shared" si="170"/>
        <v>-900000</v>
      </c>
      <c r="AP352" s="58">
        <v>0</v>
      </c>
      <c r="AQ352" s="143">
        <f t="shared" si="171"/>
        <v>0</v>
      </c>
    </row>
    <row r="353" spans="1:43" x14ac:dyDescent="0.35">
      <c r="A353" s="69" t="s">
        <v>43</v>
      </c>
      <c r="B353" s="15" t="s">
        <v>1086</v>
      </c>
      <c r="C353" s="15"/>
      <c r="D353" s="69" t="e">
        <f>_xlfn.XLOOKUP(B353,SOM!B:B,SOM!D:D,,0)</f>
        <v>#N/A</v>
      </c>
      <c r="E353" s="76">
        <v>57</v>
      </c>
      <c r="F353" s="69" t="s">
        <v>259</v>
      </c>
      <c r="G353" s="10" t="s">
        <v>260</v>
      </c>
      <c r="H353" s="15">
        <v>9007000084</v>
      </c>
      <c r="I353" s="92" t="s">
        <v>261</v>
      </c>
      <c r="J353" s="92">
        <v>1202010217</v>
      </c>
      <c r="K353" s="14"/>
      <c r="L353" s="95" t="s">
        <v>1087</v>
      </c>
      <c r="M353" s="69" t="s">
        <v>738</v>
      </c>
      <c r="N353" s="69"/>
      <c r="O353" s="94">
        <v>1</v>
      </c>
      <c r="P353" s="69" t="s">
        <v>50</v>
      </c>
      <c r="Q353" s="69" t="s">
        <v>51</v>
      </c>
      <c r="R353" s="69"/>
      <c r="S353" s="46">
        <v>43314</v>
      </c>
      <c r="T353" s="48">
        <v>43191</v>
      </c>
      <c r="U353" s="69"/>
      <c r="V353" s="69"/>
      <c r="W353" s="69"/>
      <c r="X353" s="69"/>
      <c r="Y353" s="69" t="s">
        <v>4125</v>
      </c>
      <c r="Z353" s="43">
        <v>150000</v>
      </c>
      <c r="AA353" s="43" t="s">
        <v>52</v>
      </c>
      <c r="AB353" s="43" t="s">
        <v>53</v>
      </c>
      <c r="AC353" s="43">
        <v>2579</v>
      </c>
      <c r="AD353" s="141">
        <v>7</v>
      </c>
      <c r="AE353" s="142">
        <v>1</v>
      </c>
      <c r="AF353" s="142"/>
      <c r="AG353" s="69" t="str">
        <f t="shared" si="168"/>
        <v>6 years 277 days</v>
      </c>
      <c r="AH353" s="69">
        <v>6</v>
      </c>
      <c r="AI353" s="69">
        <v>277</v>
      </c>
      <c r="AJ353" s="69">
        <v>0</v>
      </c>
      <c r="AK353" s="69">
        <v>0</v>
      </c>
      <c r="AL353" s="60">
        <v>150000</v>
      </c>
      <c r="AM353" s="60">
        <f t="shared" si="169"/>
        <v>150000</v>
      </c>
      <c r="AN353" s="59">
        <v>143482</v>
      </c>
      <c r="AO353" s="148">
        <f t="shared" si="170"/>
        <v>-143482</v>
      </c>
      <c r="AP353" s="58">
        <v>6518</v>
      </c>
      <c r="AQ353" s="143">
        <f t="shared" si="171"/>
        <v>-6518</v>
      </c>
    </row>
    <row r="354" spans="1:43" x14ac:dyDescent="0.35">
      <c r="A354" s="69" t="s">
        <v>43</v>
      </c>
      <c r="B354" s="15" t="s">
        <v>1088</v>
      </c>
      <c r="C354" s="15"/>
      <c r="D354" s="69" t="e">
        <f>_xlfn.XLOOKUP(B354,SOM!B:B,SOM!D:D,,0)</f>
        <v>#N/A</v>
      </c>
      <c r="E354" s="76">
        <v>58</v>
      </c>
      <c r="F354" s="69" t="s">
        <v>259</v>
      </c>
      <c r="G354" s="10" t="s">
        <v>260</v>
      </c>
      <c r="H354" s="15">
        <v>9007000084</v>
      </c>
      <c r="I354" s="92" t="s">
        <v>261</v>
      </c>
      <c r="J354" s="92">
        <v>1202010217</v>
      </c>
      <c r="K354" s="14"/>
      <c r="L354" s="95" t="s">
        <v>1089</v>
      </c>
      <c r="M354" s="69" t="s">
        <v>49</v>
      </c>
      <c r="N354" s="69"/>
      <c r="O354" s="94">
        <v>1</v>
      </c>
      <c r="P354" s="69" t="s">
        <v>50</v>
      </c>
      <c r="Q354" s="69" t="s">
        <v>51</v>
      </c>
      <c r="R354" s="69"/>
      <c r="S354" s="46">
        <v>44867</v>
      </c>
      <c r="T354" s="48">
        <v>43191</v>
      </c>
      <c r="U354" s="69"/>
      <c r="V354" s="69"/>
      <c r="W354" s="69"/>
      <c r="X354" s="69"/>
      <c r="Y354" s="69" t="s">
        <v>4125</v>
      </c>
      <c r="Z354" s="43">
        <v>135000</v>
      </c>
      <c r="AA354" s="43" t="s">
        <v>52</v>
      </c>
      <c r="AB354" s="43" t="s">
        <v>53</v>
      </c>
      <c r="AC354" s="43">
        <v>2480</v>
      </c>
      <c r="AD354" s="141">
        <v>6</v>
      </c>
      <c r="AE354" s="142">
        <v>10</v>
      </c>
      <c r="AF354" s="142"/>
      <c r="AG354" s="69" t="str">
        <f t="shared" si="168"/>
        <v>6 years 277 days</v>
      </c>
      <c r="AH354" s="69">
        <v>6</v>
      </c>
      <c r="AI354" s="69">
        <v>277</v>
      </c>
      <c r="AJ354" s="69">
        <v>0</v>
      </c>
      <c r="AK354" s="69">
        <v>0</v>
      </c>
      <c r="AL354" s="60">
        <v>135000</v>
      </c>
      <c r="AM354" s="60">
        <f t="shared" si="169"/>
        <v>135000</v>
      </c>
      <c r="AN354" s="59">
        <v>134298</v>
      </c>
      <c r="AO354" s="148">
        <f t="shared" si="170"/>
        <v>-134298</v>
      </c>
      <c r="AP354" s="58">
        <v>702</v>
      </c>
      <c r="AQ354" s="143">
        <f t="shared" si="171"/>
        <v>-702</v>
      </c>
    </row>
    <row r="355" spans="1:43" x14ac:dyDescent="0.35">
      <c r="A355" s="69" t="s">
        <v>43</v>
      </c>
      <c r="B355" s="15" t="s">
        <v>1090</v>
      </c>
      <c r="C355" s="15"/>
      <c r="D355" s="69" t="e">
        <f>_xlfn.XLOOKUP(B355,SOM!B:B,SOM!D:D,,0)</f>
        <v>#N/A</v>
      </c>
      <c r="E355" s="76">
        <v>59</v>
      </c>
      <c r="F355" s="69" t="s">
        <v>259</v>
      </c>
      <c r="G355" s="10" t="s">
        <v>260</v>
      </c>
      <c r="H355" s="15">
        <v>9007000084</v>
      </c>
      <c r="I355" s="92" t="s">
        <v>261</v>
      </c>
      <c r="J355" s="92">
        <v>1202010217</v>
      </c>
      <c r="K355" s="14"/>
      <c r="L355" s="95" t="s">
        <v>1091</v>
      </c>
      <c r="M355" s="69" t="s">
        <v>49</v>
      </c>
      <c r="N355" s="69"/>
      <c r="O355" s="94">
        <v>1</v>
      </c>
      <c r="P355" s="69" t="s">
        <v>50</v>
      </c>
      <c r="Q355" s="69" t="s">
        <v>51</v>
      </c>
      <c r="R355" s="69"/>
      <c r="S355" s="46">
        <v>44865</v>
      </c>
      <c r="T355" s="48">
        <v>44865</v>
      </c>
      <c r="U355" s="69"/>
      <c r="V355" s="69"/>
      <c r="W355" s="69"/>
      <c r="X355" s="69"/>
      <c r="Y355" s="69" t="s">
        <v>4131</v>
      </c>
      <c r="Z355" s="43">
        <v>60000</v>
      </c>
      <c r="AA355" s="43" t="s">
        <v>52</v>
      </c>
      <c r="AB355" s="43" t="s">
        <v>53</v>
      </c>
      <c r="AC355" s="43">
        <v>3650</v>
      </c>
      <c r="AD355" s="141">
        <v>10</v>
      </c>
      <c r="AE355" s="142">
        <v>0</v>
      </c>
      <c r="AF355" s="142"/>
      <c r="AG355" s="69" t="str">
        <f t="shared" si="168"/>
        <v>2 years 63 days</v>
      </c>
      <c r="AH355" s="69">
        <v>2</v>
      </c>
      <c r="AI355" s="69">
        <v>63</v>
      </c>
      <c r="AJ355" s="69">
        <v>0</v>
      </c>
      <c r="AK355" s="69">
        <v>0</v>
      </c>
      <c r="AL355" s="60">
        <v>60000</v>
      </c>
      <c r="AM355" s="60">
        <f t="shared" si="169"/>
        <v>60000</v>
      </c>
      <c r="AN355" s="59">
        <v>60000</v>
      </c>
      <c r="AO355" s="148">
        <f t="shared" si="170"/>
        <v>-60000</v>
      </c>
      <c r="AP355" s="58">
        <v>0</v>
      </c>
      <c r="AQ355" s="143">
        <f t="shared" si="171"/>
        <v>0</v>
      </c>
    </row>
    <row r="356" spans="1:43" x14ac:dyDescent="0.35">
      <c r="A356" s="69" t="s">
        <v>43</v>
      </c>
      <c r="B356" s="15" t="s">
        <v>1092</v>
      </c>
      <c r="C356" s="15"/>
      <c r="D356" s="69" t="e">
        <f>_xlfn.XLOOKUP(B356,SOM!B:B,SOM!D:D,,0)</f>
        <v>#N/A</v>
      </c>
      <c r="E356" s="76">
        <v>60</v>
      </c>
      <c r="F356" s="69" t="s">
        <v>259</v>
      </c>
      <c r="G356" s="10" t="s">
        <v>260</v>
      </c>
      <c r="H356" s="15">
        <v>9007000084</v>
      </c>
      <c r="I356" s="92" t="s">
        <v>261</v>
      </c>
      <c r="J356" s="92">
        <v>1202010217</v>
      </c>
      <c r="K356" s="14"/>
      <c r="L356" s="95" t="s">
        <v>1093</v>
      </c>
      <c r="M356" s="69" t="s">
        <v>49</v>
      </c>
      <c r="N356" s="69"/>
      <c r="O356" s="94">
        <v>1</v>
      </c>
      <c r="P356" s="69" t="s">
        <v>50</v>
      </c>
      <c r="Q356" s="69" t="s">
        <v>51</v>
      </c>
      <c r="R356" s="69"/>
      <c r="S356" s="46">
        <v>44865</v>
      </c>
      <c r="T356" s="48">
        <v>44865</v>
      </c>
      <c r="U356" s="69"/>
      <c r="V356" s="69"/>
      <c r="W356" s="69"/>
      <c r="X356" s="69"/>
      <c r="Y356" s="69" t="s">
        <v>4131</v>
      </c>
      <c r="Z356" s="43">
        <v>37000</v>
      </c>
      <c r="AA356" s="43" t="s">
        <v>52</v>
      </c>
      <c r="AB356" s="43" t="s">
        <v>53</v>
      </c>
      <c r="AC356" s="43">
        <v>3650</v>
      </c>
      <c r="AD356" s="141">
        <v>10</v>
      </c>
      <c r="AE356" s="142">
        <v>0</v>
      </c>
      <c r="AF356" s="142"/>
      <c r="AG356" s="69" t="str">
        <f t="shared" si="168"/>
        <v>2 years 63 days</v>
      </c>
      <c r="AH356" s="69">
        <v>2</v>
      </c>
      <c r="AI356" s="69">
        <v>63</v>
      </c>
      <c r="AJ356" s="69">
        <v>0</v>
      </c>
      <c r="AK356" s="69">
        <v>0</v>
      </c>
      <c r="AL356" s="60">
        <v>37000</v>
      </c>
      <c r="AM356" s="60">
        <f t="shared" si="169"/>
        <v>37000</v>
      </c>
      <c r="AN356" s="59">
        <v>37000</v>
      </c>
      <c r="AO356" s="148">
        <f t="shared" si="170"/>
        <v>-37000</v>
      </c>
      <c r="AP356" s="58">
        <v>0</v>
      </c>
      <c r="AQ356" s="143">
        <f t="shared" si="171"/>
        <v>0</v>
      </c>
    </row>
    <row r="357" spans="1:43" x14ac:dyDescent="0.35">
      <c r="A357" s="69" t="s">
        <v>43</v>
      </c>
      <c r="B357" s="15" t="s">
        <v>1094</v>
      </c>
      <c r="C357" s="15"/>
      <c r="D357" s="69" t="e">
        <f>_xlfn.XLOOKUP(B357,SOM!B:B,SOM!D:D,,0)</f>
        <v>#N/A</v>
      </c>
      <c r="E357" s="76">
        <v>61</v>
      </c>
      <c r="F357" s="69" t="s">
        <v>259</v>
      </c>
      <c r="G357" s="10" t="s">
        <v>260</v>
      </c>
      <c r="H357" s="15">
        <v>9007000084</v>
      </c>
      <c r="I357" s="92" t="s">
        <v>261</v>
      </c>
      <c r="J357" s="92">
        <v>1202010217</v>
      </c>
      <c r="K357" s="14"/>
      <c r="L357" s="95" t="s">
        <v>1095</v>
      </c>
      <c r="M357" s="69" t="s">
        <v>49</v>
      </c>
      <c r="N357" s="69"/>
      <c r="O357" s="94">
        <v>1</v>
      </c>
      <c r="P357" s="69" t="s">
        <v>50</v>
      </c>
      <c r="Q357" s="69" t="s">
        <v>51</v>
      </c>
      <c r="R357" s="69"/>
      <c r="S357" s="46">
        <v>44865</v>
      </c>
      <c r="T357" s="48">
        <v>44865</v>
      </c>
      <c r="U357" s="69"/>
      <c r="V357" s="69"/>
      <c r="W357" s="69"/>
      <c r="X357" s="69"/>
      <c r="Y357" s="69" t="s">
        <v>4131</v>
      </c>
      <c r="Z357" s="43">
        <v>42000</v>
      </c>
      <c r="AA357" s="43" t="s">
        <v>52</v>
      </c>
      <c r="AB357" s="43" t="s">
        <v>53</v>
      </c>
      <c r="AC357" s="43">
        <v>3650</v>
      </c>
      <c r="AD357" s="141">
        <v>10</v>
      </c>
      <c r="AE357" s="142">
        <v>0</v>
      </c>
      <c r="AF357" s="142"/>
      <c r="AG357" s="69" t="str">
        <f t="shared" si="168"/>
        <v>2 years 63 days</v>
      </c>
      <c r="AH357" s="69">
        <v>2</v>
      </c>
      <c r="AI357" s="69">
        <v>63</v>
      </c>
      <c r="AJ357" s="69">
        <v>0</v>
      </c>
      <c r="AK357" s="69">
        <v>0</v>
      </c>
      <c r="AL357" s="60">
        <v>42000</v>
      </c>
      <c r="AM357" s="60">
        <f t="shared" si="169"/>
        <v>42000</v>
      </c>
      <c r="AN357" s="59">
        <v>42000</v>
      </c>
      <c r="AO357" s="148">
        <f t="shared" si="170"/>
        <v>-42000</v>
      </c>
      <c r="AP357" s="58">
        <v>0</v>
      </c>
      <c r="AQ357" s="143">
        <f t="shared" si="171"/>
        <v>0</v>
      </c>
    </row>
    <row r="358" spans="1:43" x14ac:dyDescent="0.35">
      <c r="A358" s="69" t="s">
        <v>43</v>
      </c>
      <c r="B358" s="15" t="s">
        <v>1096</v>
      </c>
      <c r="C358" s="15"/>
      <c r="D358" s="69" t="e">
        <f>_xlfn.XLOOKUP(B358,SOM!B:B,SOM!D:D,,0)</f>
        <v>#N/A</v>
      </c>
      <c r="E358" s="76">
        <v>62</v>
      </c>
      <c r="F358" s="69" t="s">
        <v>259</v>
      </c>
      <c r="G358" s="10" t="s">
        <v>260</v>
      </c>
      <c r="H358" s="15">
        <v>9007000084</v>
      </c>
      <c r="I358" s="92" t="s">
        <v>261</v>
      </c>
      <c r="J358" s="92">
        <v>1202010217</v>
      </c>
      <c r="K358" s="14"/>
      <c r="L358" s="95" t="s">
        <v>1097</v>
      </c>
      <c r="M358" s="69" t="s">
        <v>49</v>
      </c>
      <c r="N358" s="69"/>
      <c r="O358" s="94">
        <v>1</v>
      </c>
      <c r="P358" s="69" t="s">
        <v>50</v>
      </c>
      <c r="Q358" s="69" t="s">
        <v>51</v>
      </c>
      <c r="R358" s="69"/>
      <c r="S358" s="46">
        <v>44867</v>
      </c>
      <c r="T358" s="48">
        <v>44867</v>
      </c>
      <c r="U358" s="69"/>
      <c r="V358" s="69"/>
      <c r="W358" s="69"/>
      <c r="X358" s="69"/>
      <c r="Y358" s="69" t="s">
        <v>4131</v>
      </c>
      <c r="Z358" s="43">
        <v>37000</v>
      </c>
      <c r="AA358" s="43" t="s">
        <v>52</v>
      </c>
      <c r="AB358" s="43" t="s">
        <v>53</v>
      </c>
      <c r="AC358" s="43">
        <v>3650</v>
      </c>
      <c r="AD358" s="141">
        <v>10</v>
      </c>
      <c r="AE358" s="142">
        <v>0</v>
      </c>
      <c r="AF358" s="142"/>
      <c r="AG358" s="69" t="str">
        <f t="shared" si="168"/>
        <v>2 years 61 days</v>
      </c>
      <c r="AH358" s="69">
        <v>2</v>
      </c>
      <c r="AI358" s="69">
        <v>61</v>
      </c>
      <c r="AJ358" s="69">
        <v>0</v>
      </c>
      <c r="AK358" s="69">
        <v>0</v>
      </c>
      <c r="AL358" s="60">
        <v>37000</v>
      </c>
      <c r="AM358" s="60">
        <f t="shared" si="169"/>
        <v>37000</v>
      </c>
      <c r="AN358" s="59">
        <v>37000</v>
      </c>
      <c r="AO358" s="148">
        <f t="shared" si="170"/>
        <v>-37000</v>
      </c>
      <c r="AP358" s="58">
        <v>0</v>
      </c>
      <c r="AQ358" s="143">
        <f t="shared" si="171"/>
        <v>0</v>
      </c>
    </row>
    <row r="359" spans="1:43" x14ac:dyDescent="0.35">
      <c r="A359" s="69" t="s">
        <v>43</v>
      </c>
      <c r="B359" s="15" t="s">
        <v>1098</v>
      </c>
      <c r="C359" s="15"/>
      <c r="D359" s="69" t="e">
        <f>_xlfn.XLOOKUP(B359,SOM!B:B,SOM!D:D,,0)</f>
        <v>#N/A</v>
      </c>
      <c r="E359" s="76">
        <v>63</v>
      </c>
      <c r="F359" s="69" t="s">
        <v>259</v>
      </c>
      <c r="G359" s="10" t="s">
        <v>260</v>
      </c>
      <c r="H359" s="15">
        <v>9007000084</v>
      </c>
      <c r="I359" s="92" t="s">
        <v>261</v>
      </c>
      <c r="J359" s="92">
        <v>1202010217</v>
      </c>
      <c r="K359" s="14"/>
      <c r="L359" s="95" t="s">
        <v>1099</v>
      </c>
      <c r="M359" s="69" t="s">
        <v>49</v>
      </c>
      <c r="N359" s="69"/>
      <c r="O359" s="94">
        <v>1</v>
      </c>
      <c r="P359" s="69" t="s">
        <v>50</v>
      </c>
      <c r="Q359" s="69" t="s">
        <v>51</v>
      </c>
      <c r="R359" s="69"/>
      <c r="S359" s="46">
        <v>44872</v>
      </c>
      <c r="T359" s="48">
        <v>44872</v>
      </c>
      <c r="U359" s="69"/>
      <c r="V359" s="69"/>
      <c r="W359" s="69"/>
      <c r="X359" s="69"/>
      <c r="Y359" s="69" t="s">
        <v>4131</v>
      </c>
      <c r="Z359" s="43">
        <v>2800</v>
      </c>
      <c r="AA359" s="43" t="s">
        <v>52</v>
      </c>
      <c r="AB359" s="43" t="s">
        <v>53</v>
      </c>
      <c r="AC359" s="43">
        <v>3650</v>
      </c>
      <c r="AD359" s="141">
        <v>10</v>
      </c>
      <c r="AE359" s="142">
        <v>0</v>
      </c>
      <c r="AF359" s="142"/>
      <c r="AG359" s="69" t="str">
        <f t="shared" si="168"/>
        <v>2 years 56 days</v>
      </c>
      <c r="AH359" s="69">
        <v>2</v>
      </c>
      <c r="AI359" s="69">
        <v>56</v>
      </c>
      <c r="AJ359" s="69">
        <v>0</v>
      </c>
      <c r="AK359" s="69">
        <v>0</v>
      </c>
      <c r="AL359" s="60">
        <v>2800</v>
      </c>
      <c r="AM359" s="60">
        <f t="shared" si="169"/>
        <v>2800</v>
      </c>
      <c r="AN359" s="59">
        <v>2800</v>
      </c>
      <c r="AO359" s="148">
        <f t="shared" si="170"/>
        <v>-2800</v>
      </c>
      <c r="AP359" s="58">
        <v>0</v>
      </c>
      <c r="AQ359" s="143">
        <f t="shared" si="171"/>
        <v>0</v>
      </c>
    </row>
    <row r="360" spans="1:43" x14ac:dyDescent="0.35">
      <c r="A360" s="69" t="s">
        <v>43</v>
      </c>
      <c r="B360" s="15" t="s">
        <v>1100</v>
      </c>
      <c r="C360" s="15"/>
      <c r="D360" s="69" t="e">
        <f>_xlfn.XLOOKUP(B360,SOM!B:B,SOM!D:D,,0)</f>
        <v>#N/A</v>
      </c>
      <c r="E360" s="76">
        <v>64</v>
      </c>
      <c r="F360" s="69" t="s">
        <v>259</v>
      </c>
      <c r="G360" s="10" t="s">
        <v>260</v>
      </c>
      <c r="H360" s="15">
        <v>9007000084</v>
      </c>
      <c r="I360" s="92" t="s">
        <v>261</v>
      </c>
      <c r="J360" s="92">
        <v>1202010217</v>
      </c>
      <c r="K360" s="14"/>
      <c r="L360" s="95" t="s">
        <v>1101</v>
      </c>
      <c r="M360" s="69" t="s">
        <v>49</v>
      </c>
      <c r="N360" s="69"/>
      <c r="O360" s="94">
        <v>1</v>
      </c>
      <c r="P360" s="69" t="s">
        <v>50</v>
      </c>
      <c r="Q360" s="69" t="s">
        <v>51</v>
      </c>
      <c r="R360" s="69"/>
      <c r="S360" s="46">
        <v>44874</v>
      </c>
      <c r="T360" s="48">
        <v>44874</v>
      </c>
      <c r="U360" s="69"/>
      <c r="V360" s="69"/>
      <c r="W360" s="69"/>
      <c r="X360" s="69"/>
      <c r="Y360" s="69" t="s">
        <v>4131</v>
      </c>
      <c r="Z360" s="43">
        <v>13000</v>
      </c>
      <c r="AA360" s="43" t="s">
        <v>52</v>
      </c>
      <c r="AB360" s="43" t="s">
        <v>53</v>
      </c>
      <c r="AC360" s="43">
        <v>3650</v>
      </c>
      <c r="AD360" s="141">
        <v>10</v>
      </c>
      <c r="AE360" s="142">
        <v>0</v>
      </c>
      <c r="AF360" s="142"/>
      <c r="AG360" s="69" t="str">
        <f t="shared" ref="AG360:AG368" si="172">_xlfn.CONCAT(AH360," years ",AI360," days")</f>
        <v>2 years 54 days</v>
      </c>
      <c r="AH360" s="69">
        <v>2</v>
      </c>
      <c r="AI360" s="69">
        <v>54</v>
      </c>
      <c r="AJ360" s="69">
        <v>0</v>
      </c>
      <c r="AK360" s="69">
        <v>0</v>
      </c>
      <c r="AL360" s="60">
        <v>13000</v>
      </c>
      <c r="AM360" s="60">
        <f t="shared" ref="AM360:AM368" si="173">ROUND(AL360,2)</f>
        <v>13000</v>
      </c>
      <c r="AN360" s="59">
        <v>13000</v>
      </c>
      <c r="AO360" s="148">
        <f t="shared" ref="AO360:AO368" si="174">ROUND(AN360,2)*-1</f>
        <v>-13000</v>
      </c>
      <c r="AP360" s="58">
        <v>0</v>
      </c>
      <c r="AQ360" s="143">
        <f t="shared" ref="AQ360:AQ368" si="175">ROUND(AP360,2)*-1</f>
        <v>0</v>
      </c>
    </row>
    <row r="361" spans="1:43" x14ac:dyDescent="0.35">
      <c r="A361" s="69" t="s">
        <v>43</v>
      </c>
      <c r="B361" s="15" t="s">
        <v>1102</v>
      </c>
      <c r="C361" s="15"/>
      <c r="D361" s="69" t="e">
        <f>_xlfn.XLOOKUP(B361,SOM!B:B,SOM!D:D,,0)</f>
        <v>#N/A</v>
      </c>
      <c r="E361" s="76">
        <v>65</v>
      </c>
      <c r="F361" s="69" t="s">
        <v>259</v>
      </c>
      <c r="G361" s="10" t="s">
        <v>260</v>
      </c>
      <c r="H361" s="15">
        <v>9007000084</v>
      </c>
      <c r="I361" s="92" t="s">
        <v>261</v>
      </c>
      <c r="J361" s="92">
        <v>1202010217</v>
      </c>
      <c r="K361" s="14"/>
      <c r="L361" s="95" t="s">
        <v>1103</v>
      </c>
      <c r="M361" s="69" t="s">
        <v>49</v>
      </c>
      <c r="N361" s="69"/>
      <c r="O361" s="94">
        <v>1</v>
      </c>
      <c r="P361" s="69" t="s">
        <v>50</v>
      </c>
      <c r="Q361" s="69" t="s">
        <v>51</v>
      </c>
      <c r="R361" s="69"/>
      <c r="S361" s="46">
        <v>44883</v>
      </c>
      <c r="T361" s="48">
        <v>44883</v>
      </c>
      <c r="U361" s="69"/>
      <c r="V361" s="69"/>
      <c r="W361" s="69"/>
      <c r="X361" s="69"/>
      <c r="Y361" s="69" t="s">
        <v>4131</v>
      </c>
      <c r="Z361" s="43">
        <v>4800</v>
      </c>
      <c r="AA361" s="43" t="s">
        <v>52</v>
      </c>
      <c r="AB361" s="43" t="s">
        <v>53</v>
      </c>
      <c r="AC361" s="43">
        <v>3650</v>
      </c>
      <c r="AD361" s="141">
        <v>10</v>
      </c>
      <c r="AE361" s="142">
        <v>0</v>
      </c>
      <c r="AF361" s="142"/>
      <c r="AG361" s="69" t="str">
        <f t="shared" si="172"/>
        <v>2 years 45 days</v>
      </c>
      <c r="AH361" s="69">
        <v>2</v>
      </c>
      <c r="AI361" s="69">
        <v>45</v>
      </c>
      <c r="AJ361" s="69">
        <v>0</v>
      </c>
      <c r="AK361" s="69">
        <v>0</v>
      </c>
      <c r="AL361" s="60">
        <v>4800</v>
      </c>
      <c r="AM361" s="60">
        <f t="shared" si="173"/>
        <v>4800</v>
      </c>
      <c r="AN361" s="59">
        <v>4800</v>
      </c>
      <c r="AO361" s="148">
        <f t="shared" si="174"/>
        <v>-4800</v>
      </c>
      <c r="AP361" s="58">
        <v>0</v>
      </c>
      <c r="AQ361" s="143">
        <f t="shared" si="175"/>
        <v>0</v>
      </c>
    </row>
    <row r="362" spans="1:43" x14ac:dyDescent="0.35">
      <c r="A362" s="69" t="s">
        <v>43</v>
      </c>
      <c r="B362" s="15" t="s">
        <v>1104</v>
      </c>
      <c r="C362" s="15"/>
      <c r="D362" s="69" t="e">
        <f>_xlfn.XLOOKUP(B362,SOM!B:B,SOM!D:D,,0)</f>
        <v>#N/A</v>
      </c>
      <c r="E362" s="76">
        <v>66</v>
      </c>
      <c r="F362" s="69" t="s">
        <v>259</v>
      </c>
      <c r="G362" s="10" t="s">
        <v>260</v>
      </c>
      <c r="H362" s="15">
        <v>9007000084</v>
      </c>
      <c r="I362" s="92" t="s">
        <v>261</v>
      </c>
      <c r="J362" s="92">
        <v>1202010217</v>
      </c>
      <c r="K362" s="14"/>
      <c r="L362" s="95" t="s">
        <v>1105</v>
      </c>
      <c r="M362" s="69" t="s">
        <v>49</v>
      </c>
      <c r="N362" s="69"/>
      <c r="O362" s="94">
        <v>1</v>
      </c>
      <c r="P362" s="69" t="s">
        <v>50</v>
      </c>
      <c r="Q362" s="69" t="s">
        <v>51</v>
      </c>
      <c r="R362" s="69"/>
      <c r="S362" s="46">
        <v>44903</v>
      </c>
      <c r="T362" s="48">
        <v>44903</v>
      </c>
      <c r="U362" s="69"/>
      <c r="V362" s="69"/>
      <c r="W362" s="69"/>
      <c r="X362" s="69"/>
      <c r="Y362" s="69" t="s">
        <v>4131</v>
      </c>
      <c r="Z362" s="43">
        <v>12000</v>
      </c>
      <c r="AA362" s="43" t="s">
        <v>52</v>
      </c>
      <c r="AB362" s="43" t="s">
        <v>53</v>
      </c>
      <c r="AC362" s="43">
        <v>1825</v>
      </c>
      <c r="AD362" s="141">
        <v>5</v>
      </c>
      <c r="AE362" s="142">
        <v>0</v>
      </c>
      <c r="AF362" s="142"/>
      <c r="AG362" s="69" t="str">
        <f t="shared" si="172"/>
        <v>2 years 25 days</v>
      </c>
      <c r="AH362" s="69">
        <v>2</v>
      </c>
      <c r="AI362" s="69">
        <v>25</v>
      </c>
      <c r="AJ362" s="69">
        <v>0</v>
      </c>
      <c r="AK362" s="69">
        <v>0</v>
      </c>
      <c r="AL362" s="60">
        <v>12000</v>
      </c>
      <c r="AM362" s="60">
        <f t="shared" si="173"/>
        <v>12000</v>
      </c>
      <c r="AN362" s="59">
        <v>12000</v>
      </c>
      <c r="AO362" s="148">
        <f t="shared" si="174"/>
        <v>-12000</v>
      </c>
      <c r="AP362" s="58">
        <v>0</v>
      </c>
      <c r="AQ362" s="143">
        <f t="shared" si="175"/>
        <v>0</v>
      </c>
    </row>
    <row r="363" spans="1:43" x14ac:dyDescent="0.35">
      <c r="A363" s="69" t="s">
        <v>43</v>
      </c>
      <c r="B363" s="15" t="s">
        <v>1106</v>
      </c>
      <c r="C363" s="15"/>
      <c r="D363" s="69" t="e">
        <f>_xlfn.XLOOKUP(B363,SOM!B:B,SOM!D:D,,0)</f>
        <v>#N/A</v>
      </c>
      <c r="E363" s="76">
        <v>67</v>
      </c>
      <c r="F363" s="69" t="s">
        <v>259</v>
      </c>
      <c r="G363" s="10" t="s">
        <v>260</v>
      </c>
      <c r="H363" s="15">
        <v>9007000084</v>
      </c>
      <c r="I363" s="92" t="s">
        <v>261</v>
      </c>
      <c r="J363" s="92">
        <v>1202010217</v>
      </c>
      <c r="K363" s="14"/>
      <c r="L363" s="95" t="s">
        <v>1107</v>
      </c>
      <c r="M363" s="69" t="s">
        <v>1108</v>
      </c>
      <c r="N363" s="69"/>
      <c r="O363" s="94">
        <v>1</v>
      </c>
      <c r="P363" s="69" t="s">
        <v>50</v>
      </c>
      <c r="Q363" s="69" t="s">
        <v>51</v>
      </c>
      <c r="R363" s="69"/>
      <c r="S363" s="46">
        <v>44915</v>
      </c>
      <c r="T363" s="48">
        <v>44915</v>
      </c>
      <c r="U363" s="69"/>
      <c r="V363" s="69"/>
      <c r="W363" s="69"/>
      <c r="X363" s="69"/>
      <c r="Y363" s="69" t="s">
        <v>4131</v>
      </c>
      <c r="Z363" s="43">
        <v>11475</v>
      </c>
      <c r="AA363" s="43" t="s">
        <v>52</v>
      </c>
      <c r="AB363" s="43" t="s">
        <v>53</v>
      </c>
      <c r="AC363" s="43">
        <v>3650</v>
      </c>
      <c r="AD363" s="141">
        <v>10</v>
      </c>
      <c r="AE363" s="142">
        <v>0</v>
      </c>
      <c r="AF363" s="142"/>
      <c r="AG363" s="69" t="str">
        <f t="shared" si="172"/>
        <v>2 years 13 days</v>
      </c>
      <c r="AH363" s="69">
        <v>2</v>
      </c>
      <c r="AI363" s="69">
        <v>13</v>
      </c>
      <c r="AJ363" s="69">
        <v>0</v>
      </c>
      <c r="AK363" s="69">
        <v>0</v>
      </c>
      <c r="AL363" s="60">
        <v>11475</v>
      </c>
      <c r="AM363" s="60">
        <f t="shared" si="173"/>
        <v>11475</v>
      </c>
      <c r="AN363" s="59">
        <v>11475</v>
      </c>
      <c r="AO363" s="148">
        <f t="shared" si="174"/>
        <v>-11475</v>
      </c>
      <c r="AP363" s="58">
        <v>0</v>
      </c>
      <c r="AQ363" s="143">
        <f t="shared" si="175"/>
        <v>0</v>
      </c>
    </row>
    <row r="364" spans="1:43" x14ac:dyDescent="0.35">
      <c r="A364" s="69" t="s">
        <v>43</v>
      </c>
      <c r="B364" s="15" t="s">
        <v>1109</v>
      </c>
      <c r="C364" s="15"/>
      <c r="D364" s="69" t="e">
        <f>_xlfn.XLOOKUP(B364,SOM!B:B,SOM!D:D,,0)</f>
        <v>#N/A</v>
      </c>
      <c r="E364" s="76">
        <v>68</v>
      </c>
      <c r="F364" s="69" t="s">
        <v>259</v>
      </c>
      <c r="G364" s="10" t="s">
        <v>260</v>
      </c>
      <c r="H364" s="15">
        <v>9007000084</v>
      </c>
      <c r="I364" s="92" t="s">
        <v>261</v>
      </c>
      <c r="J364" s="92">
        <v>1202010217</v>
      </c>
      <c r="K364" s="14"/>
      <c r="L364" s="95" t="s">
        <v>1110</v>
      </c>
      <c r="M364" s="69" t="s">
        <v>49</v>
      </c>
      <c r="N364" s="69"/>
      <c r="O364" s="94">
        <v>1</v>
      </c>
      <c r="P364" s="69" t="s">
        <v>50</v>
      </c>
      <c r="Q364" s="69" t="s">
        <v>51</v>
      </c>
      <c r="R364" s="69"/>
      <c r="S364" s="46">
        <v>44915</v>
      </c>
      <c r="T364" s="48">
        <v>44915</v>
      </c>
      <c r="U364" s="69"/>
      <c r="V364" s="69"/>
      <c r="W364" s="69"/>
      <c r="X364" s="69"/>
      <c r="Y364" s="69" t="s">
        <v>4131</v>
      </c>
      <c r="Z364" s="43">
        <v>135000</v>
      </c>
      <c r="AA364" s="43" t="s">
        <v>52</v>
      </c>
      <c r="AB364" s="43" t="s">
        <v>53</v>
      </c>
      <c r="AC364" s="43">
        <v>3650</v>
      </c>
      <c r="AD364" s="141">
        <v>10</v>
      </c>
      <c r="AE364" s="142">
        <v>0</v>
      </c>
      <c r="AF364" s="142"/>
      <c r="AG364" s="69" t="str">
        <f t="shared" si="172"/>
        <v>2 years 13 days</v>
      </c>
      <c r="AH364" s="69">
        <v>2</v>
      </c>
      <c r="AI364" s="69">
        <v>13</v>
      </c>
      <c r="AJ364" s="69">
        <v>0</v>
      </c>
      <c r="AK364" s="69">
        <v>0</v>
      </c>
      <c r="AL364" s="60">
        <v>135000</v>
      </c>
      <c r="AM364" s="60">
        <f t="shared" si="173"/>
        <v>135000</v>
      </c>
      <c r="AN364" s="59">
        <v>135000</v>
      </c>
      <c r="AO364" s="148">
        <f t="shared" si="174"/>
        <v>-135000</v>
      </c>
      <c r="AP364" s="58">
        <v>0</v>
      </c>
      <c r="AQ364" s="143">
        <f t="shared" si="175"/>
        <v>0</v>
      </c>
    </row>
    <row r="365" spans="1:43" x14ac:dyDescent="0.35">
      <c r="A365" s="69" t="s">
        <v>43</v>
      </c>
      <c r="B365" s="15" t="s">
        <v>1111</v>
      </c>
      <c r="C365" s="15"/>
      <c r="D365" s="69" t="e">
        <f>_xlfn.XLOOKUP(B365,SOM!B:B,SOM!D:D,,0)</f>
        <v>#N/A</v>
      </c>
      <c r="E365" s="76">
        <v>69</v>
      </c>
      <c r="F365" s="69" t="s">
        <v>259</v>
      </c>
      <c r="G365" s="10" t="s">
        <v>260</v>
      </c>
      <c r="H365" s="15">
        <v>9007000084</v>
      </c>
      <c r="I365" s="92" t="s">
        <v>261</v>
      </c>
      <c r="J365" s="92">
        <v>1202010217</v>
      </c>
      <c r="K365" s="14"/>
      <c r="L365" s="95" t="s">
        <v>1112</v>
      </c>
      <c r="M365" s="69" t="s">
        <v>1113</v>
      </c>
      <c r="N365" s="69"/>
      <c r="O365" s="94">
        <v>1</v>
      </c>
      <c r="P365" s="69" t="s">
        <v>50</v>
      </c>
      <c r="Q365" s="69" t="s">
        <v>51</v>
      </c>
      <c r="R365" s="69"/>
      <c r="S365" s="46">
        <v>44915</v>
      </c>
      <c r="T365" s="48">
        <v>44915</v>
      </c>
      <c r="U365" s="69"/>
      <c r="V365" s="69"/>
      <c r="W365" s="69"/>
      <c r="X365" s="69"/>
      <c r="Y365" s="69" t="s">
        <v>4131</v>
      </c>
      <c r="Z365" s="43">
        <v>36000</v>
      </c>
      <c r="AA365" s="43" t="s">
        <v>52</v>
      </c>
      <c r="AB365" s="43" t="s">
        <v>53</v>
      </c>
      <c r="AC365" s="43">
        <v>3650</v>
      </c>
      <c r="AD365" s="141">
        <v>10</v>
      </c>
      <c r="AE365" s="142">
        <v>0</v>
      </c>
      <c r="AF365" s="142"/>
      <c r="AG365" s="69" t="str">
        <f t="shared" si="172"/>
        <v>2 years 13 days</v>
      </c>
      <c r="AH365" s="69">
        <v>2</v>
      </c>
      <c r="AI365" s="69">
        <v>13</v>
      </c>
      <c r="AJ365" s="69">
        <v>0</v>
      </c>
      <c r="AK365" s="69">
        <v>0</v>
      </c>
      <c r="AL365" s="60">
        <v>36000</v>
      </c>
      <c r="AM365" s="60">
        <f t="shared" si="173"/>
        <v>36000</v>
      </c>
      <c r="AN365" s="59">
        <v>36000</v>
      </c>
      <c r="AO365" s="148">
        <f t="shared" si="174"/>
        <v>-36000</v>
      </c>
      <c r="AP365" s="58">
        <v>0</v>
      </c>
      <c r="AQ365" s="143">
        <f t="shared" si="175"/>
        <v>0</v>
      </c>
    </row>
    <row r="366" spans="1:43" x14ac:dyDescent="0.35">
      <c r="A366" s="69" t="s">
        <v>43</v>
      </c>
      <c r="B366" s="15" t="s">
        <v>1114</v>
      </c>
      <c r="C366" s="15"/>
      <c r="D366" s="69" t="e">
        <f>_xlfn.XLOOKUP(B366,SOM!B:B,SOM!D:D,,0)</f>
        <v>#N/A</v>
      </c>
      <c r="E366" s="76">
        <v>70</v>
      </c>
      <c r="F366" s="69" t="s">
        <v>259</v>
      </c>
      <c r="G366" s="10" t="s">
        <v>260</v>
      </c>
      <c r="H366" s="15">
        <v>9007000084</v>
      </c>
      <c r="I366" s="92" t="s">
        <v>261</v>
      </c>
      <c r="J366" s="92">
        <v>1202010217</v>
      </c>
      <c r="K366" s="14"/>
      <c r="L366" s="95" t="s">
        <v>1115</v>
      </c>
      <c r="M366" s="69" t="s">
        <v>1108</v>
      </c>
      <c r="N366" s="69"/>
      <c r="O366" s="94">
        <v>1</v>
      </c>
      <c r="P366" s="69" t="s">
        <v>50</v>
      </c>
      <c r="Q366" s="69" t="s">
        <v>51</v>
      </c>
      <c r="R366" s="69"/>
      <c r="S366" s="46">
        <v>44915</v>
      </c>
      <c r="T366" s="48">
        <v>44915</v>
      </c>
      <c r="U366" s="69"/>
      <c r="V366" s="69"/>
      <c r="W366" s="69"/>
      <c r="X366" s="69"/>
      <c r="Y366" s="69" t="s">
        <v>4131</v>
      </c>
      <c r="Z366" s="43">
        <v>39400</v>
      </c>
      <c r="AA366" s="43" t="s">
        <v>52</v>
      </c>
      <c r="AB366" s="43" t="s">
        <v>53</v>
      </c>
      <c r="AC366" s="43">
        <v>3650</v>
      </c>
      <c r="AD366" s="141">
        <v>10</v>
      </c>
      <c r="AE366" s="142">
        <v>0</v>
      </c>
      <c r="AF366" s="142"/>
      <c r="AG366" s="69" t="str">
        <f t="shared" si="172"/>
        <v>2 years 13 days</v>
      </c>
      <c r="AH366" s="69">
        <v>2</v>
      </c>
      <c r="AI366" s="69">
        <v>13</v>
      </c>
      <c r="AJ366" s="69">
        <v>0</v>
      </c>
      <c r="AK366" s="69">
        <v>0</v>
      </c>
      <c r="AL366" s="60">
        <v>39400</v>
      </c>
      <c r="AM366" s="60">
        <f t="shared" si="173"/>
        <v>39400</v>
      </c>
      <c r="AN366" s="59">
        <v>39400</v>
      </c>
      <c r="AO366" s="148">
        <f t="shared" si="174"/>
        <v>-39400</v>
      </c>
      <c r="AP366" s="58">
        <v>0</v>
      </c>
      <c r="AQ366" s="143">
        <f t="shared" si="175"/>
        <v>0</v>
      </c>
    </row>
    <row r="367" spans="1:43" x14ac:dyDescent="0.35">
      <c r="A367" s="69" t="s">
        <v>43</v>
      </c>
      <c r="B367" s="15" t="s">
        <v>1116</v>
      </c>
      <c r="C367" s="15"/>
      <c r="D367" s="69" t="e">
        <f>_xlfn.XLOOKUP(B367,SOM!B:B,SOM!D:D,,0)</f>
        <v>#N/A</v>
      </c>
      <c r="E367" s="76">
        <v>71</v>
      </c>
      <c r="F367" s="69" t="s">
        <v>259</v>
      </c>
      <c r="G367" s="10" t="s">
        <v>260</v>
      </c>
      <c r="H367" s="15">
        <v>9007000084</v>
      </c>
      <c r="I367" s="92" t="s">
        <v>261</v>
      </c>
      <c r="J367" s="92">
        <v>1202010217</v>
      </c>
      <c r="K367" s="14"/>
      <c r="L367" s="95" t="s">
        <v>1117</v>
      </c>
      <c r="M367" s="69" t="s">
        <v>1118</v>
      </c>
      <c r="N367" s="69"/>
      <c r="O367" s="94">
        <v>1</v>
      </c>
      <c r="P367" s="69" t="s">
        <v>50</v>
      </c>
      <c r="Q367" s="69" t="s">
        <v>51</v>
      </c>
      <c r="R367" s="69"/>
      <c r="S367" s="46">
        <v>44915</v>
      </c>
      <c r="T367" s="48">
        <v>44915</v>
      </c>
      <c r="U367" s="69"/>
      <c r="V367" s="69"/>
      <c r="W367" s="69"/>
      <c r="X367" s="69"/>
      <c r="Y367" s="69" t="s">
        <v>4131</v>
      </c>
      <c r="Z367" s="43">
        <v>10169</v>
      </c>
      <c r="AA367" s="43" t="s">
        <v>52</v>
      </c>
      <c r="AB367" s="43" t="s">
        <v>53</v>
      </c>
      <c r="AC367" s="43">
        <v>3650</v>
      </c>
      <c r="AD367" s="141">
        <v>10</v>
      </c>
      <c r="AE367" s="142">
        <v>0</v>
      </c>
      <c r="AF367" s="142"/>
      <c r="AG367" s="69" t="str">
        <f t="shared" si="172"/>
        <v>2 years 13 days</v>
      </c>
      <c r="AH367" s="69">
        <v>2</v>
      </c>
      <c r="AI367" s="69">
        <v>13</v>
      </c>
      <c r="AJ367" s="69">
        <v>0</v>
      </c>
      <c r="AK367" s="69">
        <v>0</v>
      </c>
      <c r="AL367" s="60">
        <v>10169</v>
      </c>
      <c r="AM367" s="60">
        <f t="shared" si="173"/>
        <v>10169</v>
      </c>
      <c r="AN367" s="59">
        <v>10169</v>
      </c>
      <c r="AO367" s="148">
        <f t="shared" si="174"/>
        <v>-10169</v>
      </c>
      <c r="AP367" s="58">
        <v>0</v>
      </c>
      <c r="AQ367" s="143">
        <f t="shared" si="175"/>
        <v>0</v>
      </c>
    </row>
    <row r="368" spans="1:43" x14ac:dyDescent="0.35">
      <c r="A368" s="69" t="s">
        <v>43</v>
      </c>
      <c r="B368" s="15" t="s">
        <v>1119</v>
      </c>
      <c r="C368" s="15"/>
      <c r="D368" s="69" t="e">
        <f>_xlfn.XLOOKUP(B368,SOM!B:B,SOM!D:D,,0)</f>
        <v>#N/A</v>
      </c>
      <c r="E368" s="76">
        <v>72</v>
      </c>
      <c r="F368" s="69" t="s">
        <v>259</v>
      </c>
      <c r="G368" s="10" t="s">
        <v>260</v>
      </c>
      <c r="H368" s="15">
        <v>9007000084</v>
      </c>
      <c r="I368" s="92" t="s">
        <v>261</v>
      </c>
      <c r="J368" s="92">
        <v>1202010217</v>
      </c>
      <c r="K368" s="14"/>
      <c r="L368" s="95" t="s">
        <v>1120</v>
      </c>
      <c r="M368" s="69" t="s">
        <v>1121</v>
      </c>
      <c r="N368" s="69"/>
      <c r="O368" s="94">
        <v>1</v>
      </c>
      <c r="P368" s="69" t="s">
        <v>50</v>
      </c>
      <c r="Q368" s="69" t="s">
        <v>51</v>
      </c>
      <c r="R368" s="69"/>
      <c r="S368" s="46">
        <v>44915</v>
      </c>
      <c r="T368" s="48">
        <v>44915</v>
      </c>
      <c r="U368" s="69"/>
      <c r="V368" s="69"/>
      <c r="W368" s="69"/>
      <c r="X368" s="69"/>
      <c r="Y368" s="69" t="s">
        <v>4131</v>
      </c>
      <c r="Z368" s="43">
        <v>1700</v>
      </c>
      <c r="AA368" s="43" t="s">
        <v>52</v>
      </c>
      <c r="AB368" s="43" t="s">
        <v>53</v>
      </c>
      <c r="AC368" s="43">
        <v>1825</v>
      </c>
      <c r="AD368" s="141">
        <v>5</v>
      </c>
      <c r="AE368" s="142">
        <v>0</v>
      </c>
      <c r="AF368" s="142"/>
      <c r="AG368" s="69" t="str">
        <f t="shared" si="172"/>
        <v>2 years 13 days</v>
      </c>
      <c r="AH368" s="69">
        <v>2</v>
      </c>
      <c r="AI368" s="69">
        <v>13</v>
      </c>
      <c r="AJ368" s="69">
        <v>0</v>
      </c>
      <c r="AK368" s="69">
        <v>0</v>
      </c>
      <c r="AL368" s="60">
        <v>1700</v>
      </c>
      <c r="AM368" s="60">
        <f t="shared" si="173"/>
        <v>1700</v>
      </c>
      <c r="AN368" s="59">
        <v>1700</v>
      </c>
      <c r="AO368" s="148">
        <f t="shared" si="174"/>
        <v>-1700</v>
      </c>
      <c r="AP368" s="58">
        <v>0</v>
      </c>
      <c r="AQ368" s="143">
        <f t="shared" si="175"/>
        <v>0</v>
      </c>
    </row>
    <row r="369" spans="1:43" x14ac:dyDescent="0.35">
      <c r="A369" s="69" t="s">
        <v>43</v>
      </c>
      <c r="B369" s="15" t="s">
        <v>1122</v>
      </c>
      <c r="C369" s="15"/>
      <c r="D369" s="69"/>
      <c r="E369" s="76">
        <v>0</v>
      </c>
      <c r="F369" s="69" t="s">
        <v>259</v>
      </c>
      <c r="G369" s="10" t="s">
        <v>260</v>
      </c>
      <c r="H369" s="15">
        <v>9007000085</v>
      </c>
      <c r="I369" s="92" t="s">
        <v>261</v>
      </c>
      <c r="J369" s="92">
        <v>1202010217</v>
      </c>
      <c r="K369" s="14"/>
      <c r="L369" s="95" t="s">
        <v>1123</v>
      </c>
      <c r="M369" s="69" t="s">
        <v>1124</v>
      </c>
      <c r="N369" s="69"/>
      <c r="O369" s="94">
        <v>1</v>
      </c>
      <c r="P369" s="69" t="s">
        <v>50</v>
      </c>
      <c r="Q369" s="69" t="s">
        <v>51</v>
      </c>
      <c r="R369" s="69"/>
      <c r="S369" s="46">
        <v>44206</v>
      </c>
      <c r="T369" s="48">
        <v>44206</v>
      </c>
      <c r="U369" s="69"/>
      <c r="V369" s="69"/>
      <c r="W369" s="69"/>
      <c r="X369" s="69"/>
      <c r="Y369" s="69" t="s">
        <v>4128</v>
      </c>
      <c r="Z369" s="43">
        <v>36000</v>
      </c>
      <c r="AA369" s="43" t="s">
        <v>52</v>
      </c>
      <c r="AB369" s="43" t="s">
        <v>53</v>
      </c>
      <c r="AC369" s="43">
        <v>3650</v>
      </c>
      <c r="AD369" s="141">
        <v>10</v>
      </c>
      <c r="AE369" s="142">
        <v>0</v>
      </c>
      <c r="AF369" s="142"/>
      <c r="AG369" s="69" t="str">
        <f t="shared" ref="AG369:AG370" si="176">_xlfn.CONCAT(AH369," years ",AI369," days")</f>
        <v>3 years 357 days</v>
      </c>
      <c r="AH369" s="69">
        <v>3</v>
      </c>
      <c r="AI369" s="69">
        <v>357</v>
      </c>
      <c r="AJ369" s="69">
        <v>0</v>
      </c>
      <c r="AK369" s="69">
        <v>0</v>
      </c>
      <c r="AL369" s="60">
        <v>36000</v>
      </c>
      <c r="AM369" s="60">
        <f t="shared" ref="AM369:AM370" si="177">ROUND(AL369,2)</f>
        <v>36000</v>
      </c>
      <c r="AN369" s="59">
        <v>14321</v>
      </c>
      <c r="AO369" s="148">
        <f t="shared" ref="AO369:AO370" si="178">ROUND(AN369,2)*-1</f>
        <v>-14321</v>
      </c>
      <c r="AP369" s="58">
        <v>1785.301369863013</v>
      </c>
      <c r="AQ369" s="143">
        <f t="shared" ref="AQ369:AQ370" si="179">ROUND(AP369,2)*-1</f>
        <v>-1785.3</v>
      </c>
    </row>
    <row r="370" spans="1:43" x14ac:dyDescent="0.35">
      <c r="A370" s="69" t="s">
        <v>43</v>
      </c>
      <c r="B370" s="15" t="s">
        <v>1125</v>
      </c>
      <c r="C370" s="15"/>
      <c r="D370" s="69" t="e">
        <f>_xlfn.XLOOKUP(B370,SOM!B:B,SOM!D:D,,0)</f>
        <v>#N/A</v>
      </c>
      <c r="E370" s="76">
        <v>1</v>
      </c>
      <c r="F370" s="69" t="s">
        <v>259</v>
      </c>
      <c r="G370" s="10" t="s">
        <v>260</v>
      </c>
      <c r="H370" s="15">
        <v>9007000085</v>
      </c>
      <c r="I370" s="92" t="s">
        <v>261</v>
      </c>
      <c r="J370" s="92">
        <v>1202010217</v>
      </c>
      <c r="K370" s="14"/>
      <c r="L370" s="95" t="s">
        <v>1126</v>
      </c>
      <c r="M370" s="69" t="s">
        <v>49</v>
      </c>
      <c r="N370" s="69"/>
      <c r="O370" s="94">
        <v>1</v>
      </c>
      <c r="P370" s="69" t="s">
        <v>50</v>
      </c>
      <c r="Q370" s="69" t="s">
        <v>51</v>
      </c>
      <c r="R370" s="69"/>
      <c r="S370" s="46">
        <v>42648</v>
      </c>
      <c r="T370" s="48">
        <v>43191</v>
      </c>
      <c r="U370" s="69"/>
      <c r="V370" s="69"/>
      <c r="W370" s="69"/>
      <c r="X370" s="69"/>
      <c r="Y370" s="69" t="s">
        <v>4125</v>
      </c>
      <c r="Z370" s="43">
        <v>24000</v>
      </c>
      <c r="AA370" s="43" t="s">
        <v>52</v>
      </c>
      <c r="AB370" s="43" t="s">
        <v>53</v>
      </c>
      <c r="AC370" s="43">
        <v>4928</v>
      </c>
      <c r="AD370" s="141">
        <v>13</v>
      </c>
      <c r="AE370" s="142">
        <v>6</v>
      </c>
      <c r="AF370" s="142"/>
      <c r="AG370" s="69" t="str">
        <f t="shared" si="176"/>
        <v>6 years 277 days</v>
      </c>
      <c r="AH370" s="69">
        <v>6</v>
      </c>
      <c r="AI370" s="69">
        <v>277</v>
      </c>
      <c r="AJ370" s="69">
        <v>0</v>
      </c>
      <c r="AK370" s="69">
        <v>0</v>
      </c>
      <c r="AL370" s="60">
        <v>24000</v>
      </c>
      <c r="AM370" s="60">
        <f t="shared" si="177"/>
        <v>24000</v>
      </c>
      <c r="AN370" s="59">
        <v>12015</v>
      </c>
      <c r="AO370" s="148">
        <f t="shared" si="178"/>
        <v>-12015</v>
      </c>
      <c r="AP370" s="58">
        <v>881.10389610389575</v>
      </c>
      <c r="AQ370" s="143">
        <f t="shared" si="179"/>
        <v>-881.1</v>
      </c>
    </row>
    <row r="371" spans="1:43" x14ac:dyDescent="0.35">
      <c r="A371" s="69" t="s">
        <v>43</v>
      </c>
      <c r="B371" s="15" t="s">
        <v>1127</v>
      </c>
      <c r="C371" s="15"/>
      <c r="D371" s="69"/>
      <c r="E371" s="76">
        <v>0</v>
      </c>
      <c r="F371" s="69" t="s">
        <v>259</v>
      </c>
      <c r="G371" s="10" t="s">
        <v>260</v>
      </c>
      <c r="H371" s="15">
        <v>9007000086</v>
      </c>
      <c r="I371" s="92" t="s">
        <v>261</v>
      </c>
      <c r="J371" s="92">
        <v>1202010217</v>
      </c>
      <c r="K371" s="19"/>
      <c r="L371" s="95" t="s">
        <v>1128</v>
      </c>
      <c r="M371" s="69" t="s">
        <v>1129</v>
      </c>
      <c r="N371" s="69"/>
      <c r="O371" s="94">
        <v>1</v>
      </c>
      <c r="P371" s="69" t="s">
        <v>50</v>
      </c>
      <c r="Q371" s="69" t="s">
        <v>51</v>
      </c>
      <c r="R371" s="69"/>
      <c r="S371" s="46">
        <v>44867</v>
      </c>
      <c r="T371" s="48">
        <v>44867</v>
      </c>
      <c r="U371" s="69"/>
      <c r="V371" s="69"/>
      <c r="W371" s="69"/>
      <c r="X371" s="69"/>
      <c r="Y371" s="69" t="s">
        <v>4131</v>
      </c>
      <c r="Z371" s="43">
        <v>679000</v>
      </c>
      <c r="AA371" s="43" t="s">
        <v>52</v>
      </c>
      <c r="AB371" s="43" t="s">
        <v>53</v>
      </c>
      <c r="AC371" s="43">
        <v>3650</v>
      </c>
      <c r="AD371" s="141">
        <v>10</v>
      </c>
      <c r="AE371" s="142">
        <v>0</v>
      </c>
      <c r="AF371" s="142"/>
      <c r="AG371" s="69" t="str">
        <f>_xlfn.CONCAT(AH371," years ",AI371," days")</f>
        <v>2 years 61 days</v>
      </c>
      <c r="AH371" s="69">
        <v>2</v>
      </c>
      <c r="AI371" s="69">
        <v>61</v>
      </c>
      <c r="AJ371" s="69">
        <v>0</v>
      </c>
      <c r="AK371" s="69">
        <v>0</v>
      </c>
      <c r="AL371" s="60">
        <v>679000</v>
      </c>
      <c r="AM371" s="60">
        <f>ROUND(AL371,2)</f>
        <v>679000</v>
      </c>
      <c r="AN371" s="59">
        <v>458185</v>
      </c>
      <c r="AO371" s="148">
        <f>ROUND(AN371,2)*-1</f>
        <v>-458185</v>
      </c>
      <c r="AP371" s="58">
        <v>33671.438356164435</v>
      </c>
      <c r="AQ371" s="143">
        <f>ROUND(AP371,2)*-1</f>
        <v>-33671.440000000002</v>
      </c>
    </row>
    <row r="372" spans="1:43" x14ac:dyDescent="0.35">
      <c r="A372" s="69" t="s">
        <v>43</v>
      </c>
      <c r="B372" s="15" t="s">
        <v>1130</v>
      </c>
      <c r="C372" s="15"/>
      <c r="D372" s="69"/>
      <c r="E372" s="76">
        <v>0</v>
      </c>
      <c r="F372" s="69" t="s">
        <v>259</v>
      </c>
      <c r="G372" s="10" t="s">
        <v>260</v>
      </c>
      <c r="H372" s="15">
        <v>9007000087</v>
      </c>
      <c r="I372" s="92" t="s">
        <v>261</v>
      </c>
      <c r="J372" s="92">
        <v>1202010217</v>
      </c>
      <c r="K372" s="14"/>
      <c r="L372" s="95" t="s">
        <v>1131</v>
      </c>
      <c r="M372" s="69" t="s">
        <v>1132</v>
      </c>
      <c r="N372" s="69"/>
      <c r="O372" s="94">
        <v>25</v>
      </c>
      <c r="P372" s="69" t="s">
        <v>50</v>
      </c>
      <c r="Q372" s="69" t="s">
        <v>51</v>
      </c>
      <c r="R372" s="69"/>
      <c r="S372" s="46">
        <v>45483</v>
      </c>
      <c r="T372" s="48">
        <v>45483</v>
      </c>
      <c r="U372" s="69"/>
      <c r="V372" s="69"/>
      <c r="W372" s="69"/>
      <c r="X372" s="69"/>
      <c r="Y372" s="69" t="s">
        <v>4130</v>
      </c>
      <c r="Z372" s="43">
        <v>61250</v>
      </c>
      <c r="AA372" s="43" t="s">
        <v>52</v>
      </c>
      <c r="AB372" s="43" t="s">
        <v>53</v>
      </c>
      <c r="AC372" s="43">
        <v>3650</v>
      </c>
      <c r="AD372" s="141">
        <v>10</v>
      </c>
      <c r="AE372" s="142">
        <v>0</v>
      </c>
      <c r="AF372" s="142"/>
      <c r="AG372" s="69" t="str">
        <f>_xlfn.CONCAT(AH372," years ",AI372," days")</f>
        <v>0 years 175 days</v>
      </c>
      <c r="AH372" s="69">
        <v>0</v>
      </c>
      <c r="AI372" s="69">
        <v>175</v>
      </c>
      <c r="AJ372" s="69">
        <v>0</v>
      </c>
      <c r="AK372" s="69">
        <v>0</v>
      </c>
      <c r="AL372" s="60">
        <v>61250</v>
      </c>
      <c r="AM372" s="60">
        <f>ROUND(AL372,2)</f>
        <v>61250</v>
      </c>
      <c r="AN372" s="59">
        <v>2937</v>
      </c>
      <c r="AO372" s="148">
        <f>ROUND(AN372,2)*-1</f>
        <v>-2937</v>
      </c>
      <c r="AP372" s="58">
        <v>3036.9726027397264</v>
      </c>
      <c r="AQ372" s="143">
        <f>ROUND(AP372,2)*-1</f>
        <v>-3036.97</v>
      </c>
    </row>
    <row r="373" spans="1:43" x14ac:dyDescent="0.35">
      <c r="A373" s="69" t="s">
        <v>43</v>
      </c>
      <c r="B373" s="15" t="s">
        <v>1133</v>
      </c>
      <c r="C373" s="15"/>
      <c r="D373" s="69"/>
      <c r="E373" s="76">
        <v>0</v>
      </c>
      <c r="F373" s="69" t="s">
        <v>259</v>
      </c>
      <c r="G373" s="10" t="s">
        <v>260</v>
      </c>
      <c r="H373" s="15">
        <v>9007000088</v>
      </c>
      <c r="I373" s="92" t="s">
        <v>47</v>
      </c>
      <c r="J373" s="92">
        <v>1202010202</v>
      </c>
      <c r="K373" s="14"/>
      <c r="L373" s="95" t="s">
        <v>1134</v>
      </c>
      <c r="M373" s="69" t="s">
        <v>1135</v>
      </c>
      <c r="N373" s="69"/>
      <c r="O373" s="94">
        <v>105</v>
      </c>
      <c r="P373" s="69" t="s">
        <v>50</v>
      </c>
      <c r="Q373" s="69" t="s">
        <v>51</v>
      </c>
      <c r="R373" s="69"/>
      <c r="S373" s="46">
        <v>45005</v>
      </c>
      <c r="T373" s="48">
        <v>45005</v>
      </c>
      <c r="U373" s="69"/>
      <c r="V373" s="69"/>
      <c r="W373" s="69"/>
      <c r="X373" s="69"/>
      <c r="Y373" s="69" t="s">
        <v>4129</v>
      </c>
      <c r="Z373" s="43">
        <v>59752</v>
      </c>
      <c r="AA373" s="43" t="s">
        <v>52</v>
      </c>
      <c r="AB373" s="43" t="s">
        <v>53</v>
      </c>
      <c r="AC373" s="43">
        <v>3650</v>
      </c>
      <c r="AD373" s="141">
        <v>10</v>
      </c>
      <c r="AE373" s="142">
        <v>0</v>
      </c>
      <c r="AF373" s="142"/>
      <c r="AG373" s="69" t="str">
        <f>_xlfn.CONCAT(AH373," years ",AI373," days")</f>
        <v>1 years 288 days</v>
      </c>
      <c r="AH373" s="69">
        <v>1</v>
      </c>
      <c r="AI373" s="69">
        <v>288</v>
      </c>
      <c r="AJ373" s="69">
        <v>0</v>
      </c>
      <c r="AK373" s="69">
        <v>0</v>
      </c>
      <c r="AL373" s="60">
        <v>59752</v>
      </c>
      <c r="AM373" s="60">
        <f>ROUND(AL373,2)</f>
        <v>59752</v>
      </c>
      <c r="AN373" s="59">
        <v>10690</v>
      </c>
      <c r="AO373" s="148">
        <f>ROUND(AN373,2)*-1</f>
        <v>-10690</v>
      </c>
      <c r="AP373" s="58">
        <v>2962.9227397260274</v>
      </c>
      <c r="AQ373" s="143">
        <f>ROUND(AP373,2)*-1</f>
        <v>-2962.92</v>
      </c>
    </row>
    <row r="374" spans="1:43" x14ac:dyDescent="0.35">
      <c r="A374" s="69" t="s">
        <v>43</v>
      </c>
      <c r="B374" s="15" t="s">
        <v>1136</v>
      </c>
      <c r="C374" s="15"/>
      <c r="D374" s="69"/>
      <c r="E374" s="76">
        <v>0</v>
      </c>
      <c r="F374" s="69" t="s">
        <v>259</v>
      </c>
      <c r="G374" s="10" t="s">
        <v>260</v>
      </c>
      <c r="H374" s="15">
        <v>9007000089</v>
      </c>
      <c r="I374" s="92" t="s">
        <v>47</v>
      </c>
      <c r="J374" s="92">
        <v>1202010202</v>
      </c>
      <c r="K374" s="19"/>
      <c r="L374" s="95" t="s">
        <v>1137</v>
      </c>
      <c r="M374" s="69" t="s">
        <v>1138</v>
      </c>
      <c r="N374" s="69"/>
      <c r="O374" s="94">
        <v>4</v>
      </c>
      <c r="P374" s="69" t="s">
        <v>50</v>
      </c>
      <c r="Q374" s="69" t="s">
        <v>51</v>
      </c>
      <c r="R374" s="69"/>
      <c r="S374" s="46">
        <v>44869</v>
      </c>
      <c r="T374" s="48">
        <v>44869</v>
      </c>
      <c r="U374" s="69"/>
      <c r="V374" s="69"/>
      <c r="W374" s="69"/>
      <c r="X374" s="69"/>
      <c r="Y374" s="69" t="s">
        <v>4131</v>
      </c>
      <c r="Z374" s="43">
        <v>83914</v>
      </c>
      <c r="AA374" s="43" t="s">
        <v>52</v>
      </c>
      <c r="AB374" s="43" t="s">
        <v>53</v>
      </c>
      <c r="AC374" s="43">
        <v>3650</v>
      </c>
      <c r="AD374" s="141">
        <v>10</v>
      </c>
      <c r="AE374" s="142">
        <v>0</v>
      </c>
      <c r="AF374" s="142"/>
      <c r="AG374" s="69" t="str">
        <f t="shared" ref="AG374:AG375" si="180">_xlfn.CONCAT(AH374," years ",AI374," days")</f>
        <v>2 years 59 days</v>
      </c>
      <c r="AH374" s="69">
        <v>2</v>
      </c>
      <c r="AI374" s="69">
        <v>59</v>
      </c>
      <c r="AJ374" s="69">
        <v>0</v>
      </c>
      <c r="AK374" s="69">
        <v>0</v>
      </c>
      <c r="AL374" s="60">
        <v>83914</v>
      </c>
      <c r="AM374" s="60">
        <f t="shared" ref="AM374:AM375" si="181">ROUND(AL374,2)</f>
        <v>83914</v>
      </c>
      <c r="AN374" s="59">
        <v>21749</v>
      </c>
      <c r="AO374" s="148">
        <f t="shared" ref="AO374:AO375" si="182">ROUND(AN374,2)*-1</f>
        <v>-21749</v>
      </c>
      <c r="AP374" s="58">
        <v>4160.8843835616462</v>
      </c>
      <c r="AQ374" s="143">
        <f t="shared" ref="AQ374:AQ375" si="183">ROUND(AP374,2)*-1</f>
        <v>-4160.88</v>
      </c>
    </row>
    <row r="375" spans="1:43" x14ac:dyDescent="0.35">
      <c r="A375" s="69" t="s">
        <v>43</v>
      </c>
      <c r="B375" s="15" t="s">
        <v>1139</v>
      </c>
      <c r="C375" s="15"/>
      <c r="D375" s="69" t="e">
        <f>_xlfn.XLOOKUP(B375,SOM!B:B,SOM!D:D,,0)</f>
        <v>#N/A</v>
      </c>
      <c r="E375" s="76">
        <v>1</v>
      </c>
      <c r="F375" s="69" t="s">
        <v>259</v>
      </c>
      <c r="G375" s="10" t="s">
        <v>260</v>
      </c>
      <c r="H375" s="15">
        <v>9007000089</v>
      </c>
      <c r="I375" s="92" t="s">
        <v>47</v>
      </c>
      <c r="J375" s="92">
        <v>1202010202</v>
      </c>
      <c r="K375" s="19"/>
      <c r="L375" s="95" t="s">
        <v>1140</v>
      </c>
      <c r="M375" s="69" t="s">
        <v>1141</v>
      </c>
      <c r="N375" s="69"/>
      <c r="O375" s="94">
        <v>1</v>
      </c>
      <c r="P375" s="69" t="s">
        <v>50</v>
      </c>
      <c r="Q375" s="69" t="s">
        <v>51</v>
      </c>
      <c r="R375" s="69"/>
      <c r="S375" s="46">
        <v>44869</v>
      </c>
      <c r="T375" s="48">
        <v>44869</v>
      </c>
      <c r="U375" s="69"/>
      <c r="V375" s="69"/>
      <c r="W375" s="69"/>
      <c r="X375" s="69"/>
      <c r="Y375" s="69" t="s">
        <v>4131</v>
      </c>
      <c r="Z375" s="43">
        <v>23800</v>
      </c>
      <c r="AA375" s="43" t="s">
        <v>52</v>
      </c>
      <c r="AB375" s="43" t="s">
        <v>53</v>
      </c>
      <c r="AC375" s="43">
        <v>3650</v>
      </c>
      <c r="AD375" s="141">
        <v>10</v>
      </c>
      <c r="AE375" s="142">
        <v>0</v>
      </c>
      <c r="AF375" s="142"/>
      <c r="AG375" s="69" t="str">
        <f t="shared" si="180"/>
        <v>2 years 59 days</v>
      </c>
      <c r="AH375" s="69">
        <v>2</v>
      </c>
      <c r="AI375" s="69">
        <v>59</v>
      </c>
      <c r="AJ375" s="69">
        <v>0</v>
      </c>
      <c r="AK375" s="69">
        <v>0</v>
      </c>
      <c r="AL375" s="60">
        <v>23800</v>
      </c>
      <c r="AM375" s="60">
        <f t="shared" si="181"/>
        <v>23800</v>
      </c>
      <c r="AN375" s="59">
        <v>14586</v>
      </c>
      <c r="AO375" s="148">
        <f t="shared" si="182"/>
        <v>-14586</v>
      </c>
      <c r="AP375" s="58">
        <v>1180.6849315068484</v>
      </c>
      <c r="AQ375" s="143">
        <f t="shared" si="183"/>
        <v>-1180.68</v>
      </c>
    </row>
    <row r="376" spans="1:43" x14ac:dyDescent="0.35">
      <c r="A376" s="69" t="s">
        <v>43</v>
      </c>
      <c r="B376" s="15" t="s">
        <v>1142</v>
      </c>
      <c r="C376" s="15"/>
      <c r="D376" s="69"/>
      <c r="E376" s="76">
        <v>0</v>
      </c>
      <c r="F376" s="69" t="s">
        <v>259</v>
      </c>
      <c r="G376" s="10" t="s">
        <v>260</v>
      </c>
      <c r="H376" s="15">
        <v>9007000090</v>
      </c>
      <c r="I376" s="92" t="s">
        <v>47</v>
      </c>
      <c r="J376" s="92">
        <v>1202010202</v>
      </c>
      <c r="K376" s="19"/>
      <c r="L376" s="95" t="s">
        <v>1143</v>
      </c>
      <c r="M376" s="69" t="s">
        <v>1144</v>
      </c>
      <c r="N376" s="69"/>
      <c r="O376" s="94">
        <v>1</v>
      </c>
      <c r="P376" s="69" t="s">
        <v>50</v>
      </c>
      <c r="Q376" s="69" t="s">
        <v>51</v>
      </c>
      <c r="R376" s="69"/>
      <c r="S376" s="46">
        <v>44883</v>
      </c>
      <c r="T376" s="48">
        <v>44883</v>
      </c>
      <c r="U376" s="69"/>
      <c r="V376" s="69"/>
      <c r="W376" s="69"/>
      <c r="X376" s="69"/>
      <c r="Y376" s="69" t="s">
        <v>4131</v>
      </c>
      <c r="Z376" s="43">
        <v>11355</v>
      </c>
      <c r="AA376" s="43" t="s">
        <v>52</v>
      </c>
      <c r="AB376" s="43" t="s">
        <v>53</v>
      </c>
      <c r="AC376" s="43">
        <v>3650</v>
      </c>
      <c r="AD376" s="141">
        <v>10</v>
      </c>
      <c r="AE376" s="142">
        <v>0</v>
      </c>
      <c r="AF376" s="142"/>
      <c r="AG376" s="69" t="str">
        <f>_xlfn.CONCAT(AH376," years ",AI376," days")</f>
        <v>2 years 45 days</v>
      </c>
      <c r="AH376" s="69">
        <v>2</v>
      </c>
      <c r="AI376" s="69">
        <v>45</v>
      </c>
      <c r="AJ376" s="69">
        <v>0</v>
      </c>
      <c r="AK376" s="69">
        <v>0</v>
      </c>
      <c r="AL376" s="60">
        <v>11355</v>
      </c>
      <c r="AM376" s="60">
        <f>ROUND(AL376,2)</f>
        <v>11355</v>
      </c>
      <c r="AN376" s="59">
        <v>5161</v>
      </c>
      <c r="AO376" s="148">
        <f>ROUND(AN376,2)*-1</f>
        <v>-5161</v>
      </c>
      <c r="AP376" s="58">
        <v>563.16438356164417</v>
      </c>
      <c r="AQ376" s="143">
        <f>ROUND(AP376,2)*-1</f>
        <v>-563.16</v>
      </c>
    </row>
    <row r="377" spans="1:43" x14ac:dyDescent="0.35">
      <c r="A377" s="69" t="s">
        <v>43</v>
      </c>
      <c r="B377" s="15" t="s">
        <v>1145</v>
      </c>
      <c r="C377" s="15"/>
      <c r="D377" s="69"/>
      <c r="E377" s="76">
        <v>0</v>
      </c>
      <c r="F377" s="69" t="s">
        <v>259</v>
      </c>
      <c r="G377" s="10" t="s">
        <v>260</v>
      </c>
      <c r="H377" s="15">
        <v>9007000091</v>
      </c>
      <c r="I377" s="92" t="s">
        <v>743</v>
      </c>
      <c r="J377" s="92">
        <v>1202010218</v>
      </c>
      <c r="K377" s="19"/>
      <c r="L377" s="95" t="s">
        <v>1146</v>
      </c>
      <c r="M377" s="69" t="s">
        <v>49</v>
      </c>
      <c r="N377" s="69"/>
      <c r="O377" s="94">
        <v>1</v>
      </c>
      <c r="P377" s="69" t="s">
        <v>50</v>
      </c>
      <c r="Q377" s="69" t="s">
        <v>51</v>
      </c>
      <c r="R377" s="69"/>
      <c r="S377" s="46">
        <v>44915</v>
      </c>
      <c r="T377" s="48">
        <v>43191</v>
      </c>
      <c r="U377" s="69"/>
      <c r="V377" s="69"/>
      <c r="W377" s="69"/>
      <c r="X377" s="69"/>
      <c r="Y377" s="69" t="s">
        <v>4125</v>
      </c>
      <c r="Z377" s="43">
        <v>490000</v>
      </c>
      <c r="AA377" s="43" t="s">
        <v>52</v>
      </c>
      <c r="AB377" s="43" t="s">
        <v>53</v>
      </c>
      <c r="AC377" s="43">
        <v>3103</v>
      </c>
      <c r="AD377" s="141">
        <v>8</v>
      </c>
      <c r="AE377" s="142">
        <v>6</v>
      </c>
      <c r="AF377" s="142"/>
      <c r="AG377" s="69" t="str">
        <f>_xlfn.CONCAT(AH377," years ",AI377," days")</f>
        <v>6 years 277 days</v>
      </c>
      <c r="AH377" s="69">
        <v>6</v>
      </c>
      <c r="AI377" s="69">
        <v>277</v>
      </c>
      <c r="AJ377" s="69">
        <v>0</v>
      </c>
      <c r="AK377" s="69">
        <v>0</v>
      </c>
      <c r="AL377" s="60">
        <v>490000</v>
      </c>
      <c r="AM377" s="60">
        <f>ROUND(AL377,2)</f>
        <v>490000</v>
      </c>
      <c r="AN377" s="59">
        <v>375356</v>
      </c>
      <c r="AO377" s="148">
        <f>ROUND(AN377,2)*-1</f>
        <v>-375356</v>
      </c>
      <c r="AP377" s="58">
        <v>28582.124395746156</v>
      </c>
      <c r="AQ377" s="143">
        <f>ROUND(AP377,2)*-1</f>
        <v>-28582.12</v>
      </c>
    </row>
    <row r="378" spans="1:43" x14ac:dyDescent="0.35">
      <c r="A378" s="69" t="s">
        <v>43</v>
      </c>
      <c r="B378" s="15" t="s">
        <v>1147</v>
      </c>
      <c r="C378" s="15"/>
      <c r="D378" s="69"/>
      <c r="E378" s="76">
        <v>0</v>
      </c>
      <c r="F378" s="69" t="s">
        <v>259</v>
      </c>
      <c r="G378" s="10" t="s">
        <v>260</v>
      </c>
      <c r="H378" s="15">
        <v>9007000092</v>
      </c>
      <c r="I378" s="92" t="s">
        <v>47</v>
      </c>
      <c r="J378" s="92">
        <v>1202010202</v>
      </c>
      <c r="K378" s="14"/>
      <c r="L378" s="95" t="s">
        <v>1148</v>
      </c>
      <c r="M378" s="69" t="s">
        <v>1149</v>
      </c>
      <c r="N378" s="69"/>
      <c r="O378" s="94">
        <v>1</v>
      </c>
      <c r="P378" s="69" t="s">
        <v>50</v>
      </c>
      <c r="Q378" s="69" t="s">
        <v>51</v>
      </c>
      <c r="R378" s="69"/>
      <c r="S378" s="46">
        <v>41323</v>
      </c>
      <c r="T378" s="48">
        <v>43191</v>
      </c>
      <c r="U378" s="69"/>
      <c r="V378" s="69"/>
      <c r="W378" s="69"/>
      <c r="X378" s="69"/>
      <c r="Y378" s="69" t="s">
        <v>4125</v>
      </c>
      <c r="Z378" s="43">
        <v>97500</v>
      </c>
      <c r="AA378" s="43" t="s">
        <v>52</v>
      </c>
      <c r="AB378" s="43" t="s">
        <v>53</v>
      </c>
      <c r="AC378" s="43">
        <v>1789</v>
      </c>
      <c r="AD378" s="141">
        <v>4</v>
      </c>
      <c r="AE378" s="142">
        <v>11</v>
      </c>
      <c r="AF378" s="142"/>
      <c r="AG378" s="69" t="str">
        <f>_xlfn.CONCAT(AH378," years ",AI378," days")</f>
        <v>4 years 329 days</v>
      </c>
      <c r="AH378" s="69">
        <v>4</v>
      </c>
      <c r="AI378" s="69">
        <v>329</v>
      </c>
      <c r="AJ378" s="69">
        <v>0</v>
      </c>
      <c r="AK378" s="69">
        <v>0</v>
      </c>
      <c r="AL378" s="60">
        <v>97500</v>
      </c>
      <c r="AM378" s="60">
        <f>ROUND(AL378,2)</f>
        <v>97500</v>
      </c>
      <c r="AN378" s="59">
        <v>97500</v>
      </c>
      <c r="AO378" s="148">
        <f>ROUND(AN378,2)*-1</f>
        <v>-97500</v>
      </c>
      <c r="AP378" s="58">
        <v>0</v>
      </c>
      <c r="AQ378" s="143">
        <f>ROUND(AP378,2)*-1</f>
        <v>0</v>
      </c>
    </row>
    <row r="379" spans="1:43" s="90" customFormat="1" x14ac:dyDescent="0.35">
      <c r="A379" s="87" t="s">
        <v>43</v>
      </c>
      <c r="B379" s="115" t="s">
        <v>1150</v>
      </c>
      <c r="C379" s="115"/>
      <c r="D379" s="69"/>
      <c r="E379" s="76">
        <v>0</v>
      </c>
      <c r="F379" s="69" t="s">
        <v>1151</v>
      </c>
      <c r="G379" s="133" t="s">
        <v>1152</v>
      </c>
      <c r="H379" s="15">
        <v>9008000001</v>
      </c>
      <c r="I379" s="92" t="s">
        <v>593</v>
      </c>
      <c r="J379" s="92">
        <v>1202020101</v>
      </c>
      <c r="K379" s="89" t="s">
        <v>1153</v>
      </c>
      <c r="L379" s="95" t="s">
        <v>1154</v>
      </c>
      <c r="M379" s="69" t="s">
        <v>49</v>
      </c>
      <c r="N379" s="69"/>
      <c r="O379" s="94">
        <v>1</v>
      </c>
      <c r="P379" s="87" t="s">
        <v>50</v>
      </c>
      <c r="Q379" s="87" t="s">
        <v>51</v>
      </c>
      <c r="R379" s="87"/>
      <c r="S379" s="46">
        <v>40479</v>
      </c>
      <c r="T379" s="48">
        <v>43191</v>
      </c>
      <c r="U379" s="87"/>
      <c r="V379" s="87"/>
      <c r="W379" s="87"/>
      <c r="X379" s="87"/>
      <c r="Y379" s="69" t="s">
        <v>4125</v>
      </c>
      <c r="Z379" s="54">
        <v>2850000</v>
      </c>
      <c r="AA379" s="54" t="s">
        <v>52</v>
      </c>
      <c r="AB379" s="54" t="s">
        <v>53</v>
      </c>
      <c r="AC379" s="43">
        <v>2774</v>
      </c>
      <c r="AD379" s="141">
        <v>7</v>
      </c>
      <c r="AE379" s="142">
        <v>7</v>
      </c>
      <c r="AF379" s="142"/>
      <c r="AG379" s="69" t="str">
        <f t="shared" ref="AG379:AG380" si="184">_xlfn.CONCAT(AH379," years ",AI379," days")</f>
        <v>6 years 277 days</v>
      </c>
      <c r="AH379" s="69">
        <v>6</v>
      </c>
      <c r="AI379" s="69">
        <v>277</v>
      </c>
      <c r="AJ379" s="87">
        <v>0</v>
      </c>
      <c r="AK379" s="87">
        <v>0</v>
      </c>
      <c r="AL379" s="62">
        <v>2850000</v>
      </c>
      <c r="AM379" s="60">
        <f t="shared" ref="AM379:AM380" si="185">ROUND(AL379,2)</f>
        <v>2850000</v>
      </c>
      <c r="AN379" s="59">
        <v>2534589</v>
      </c>
      <c r="AO379" s="148">
        <f t="shared" ref="AO379:AO380" si="186">ROUND(AN379,2)*-1</f>
        <v>-2534589</v>
      </c>
      <c r="AP379" s="58">
        <v>185958.94520547939</v>
      </c>
      <c r="AQ379" s="143">
        <f t="shared" ref="AQ379:AQ380" si="187">ROUND(AP379,2)*-1</f>
        <v>-185958.95</v>
      </c>
    </row>
    <row r="380" spans="1:43" s="90" customFormat="1" x14ac:dyDescent="0.35">
      <c r="A380" s="87" t="s">
        <v>43</v>
      </c>
      <c r="B380" s="115" t="s">
        <v>1155</v>
      </c>
      <c r="C380" s="115"/>
      <c r="D380" s="69" t="e">
        <f>_xlfn.XLOOKUP(B380,SOM!B:B,SOM!D:D,,0)</f>
        <v>#N/A</v>
      </c>
      <c r="E380" s="76">
        <v>1</v>
      </c>
      <c r="F380" s="69" t="s">
        <v>1151</v>
      </c>
      <c r="G380" s="133" t="s">
        <v>1152</v>
      </c>
      <c r="H380" s="15">
        <v>9008000001</v>
      </c>
      <c r="I380" s="92" t="s">
        <v>593</v>
      </c>
      <c r="J380" s="92">
        <v>1202020101</v>
      </c>
      <c r="K380" s="89" t="s">
        <v>1156</v>
      </c>
      <c r="L380" s="95" t="s">
        <v>1157</v>
      </c>
      <c r="M380" s="69" t="s">
        <v>49</v>
      </c>
      <c r="N380" s="69"/>
      <c r="O380" s="94">
        <v>1</v>
      </c>
      <c r="P380" s="87" t="s">
        <v>50</v>
      </c>
      <c r="Q380" s="87" t="s">
        <v>51</v>
      </c>
      <c r="R380" s="87"/>
      <c r="S380" s="46">
        <v>40268</v>
      </c>
      <c r="T380" s="48">
        <v>43191</v>
      </c>
      <c r="U380" s="87"/>
      <c r="V380" s="87"/>
      <c r="W380" s="87"/>
      <c r="X380" s="87"/>
      <c r="Y380" s="69" t="s">
        <v>4125</v>
      </c>
      <c r="Z380" s="54">
        <v>19000</v>
      </c>
      <c r="AA380" s="54" t="s">
        <v>52</v>
      </c>
      <c r="AB380" s="54" t="s">
        <v>53</v>
      </c>
      <c r="AC380" s="43">
        <v>730</v>
      </c>
      <c r="AD380" s="141">
        <v>2</v>
      </c>
      <c r="AE380" s="142">
        <v>0</v>
      </c>
      <c r="AF380" s="142"/>
      <c r="AG380" s="69" t="str">
        <f t="shared" si="184"/>
        <v>2 years 0 days</v>
      </c>
      <c r="AH380" s="69">
        <v>2</v>
      </c>
      <c r="AI380" s="69">
        <v>0</v>
      </c>
      <c r="AJ380" s="87">
        <v>0</v>
      </c>
      <c r="AK380" s="87">
        <v>0</v>
      </c>
      <c r="AL380" s="62">
        <v>19000</v>
      </c>
      <c r="AM380" s="60">
        <f t="shared" si="185"/>
        <v>19000</v>
      </c>
      <c r="AN380" s="59">
        <v>19000</v>
      </c>
      <c r="AO380" s="148">
        <f t="shared" si="186"/>
        <v>-19000</v>
      </c>
      <c r="AP380" s="58">
        <v>0</v>
      </c>
      <c r="AQ380" s="143">
        <f t="shared" si="187"/>
        <v>0</v>
      </c>
    </row>
    <row r="381" spans="1:43" s="90" customFormat="1" x14ac:dyDescent="0.35">
      <c r="A381" s="87" t="s">
        <v>43</v>
      </c>
      <c r="B381" s="115" t="s">
        <v>1158</v>
      </c>
      <c r="C381" s="115"/>
      <c r="D381" s="69"/>
      <c r="E381" s="76">
        <v>0</v>
      </c>
      <c r="F381" s="69" t="s">
        <v>1151</v>
      </c>
      <c r="G381" s="133" t="s">
        <v>1152</v>
      </c>
      <c r="H381" s="15">
        <v>9008000002</v>
      </c>
      <c r="I381" s="92" t="s">
        <v>593</v>
      </c>
      <c r="J381" s="92">
        <v>1202020101</v>
      </c>
      <c r="K381" s="89" t="s">
        <v>1159</v>
      </c>
      <c r="L381" s="95" t="s">
        <v>1160</v>
      </c>
      <c r="M381" s="69" t="s">
        <v>49</v>
      </c>
      <c r="N381" s="69"/>
      <c r="O381" s="94">
        <v>1</v>
      </c>
      <c r="P381" s="87" t="s">
        <v>50</v>
      </c>
      <c r="Q381" s="87" t="s">
        <v>51</v>
      </c>
      <c r="R381" s="87"/>
      <c r="S381" s="46">
        <v>40480</v>
      </c>
      <c r="T381" s="48">
        <v>43191</v>
      </c>
      <c r="U381" s="87"/>
      <c r="V381" s="87"/>
      <c r="W381" s="87"/>
      <c r="X381" s="87"/>
      <c r="Y381" s="69" t="s">
        <v>4125</v>
      </c>
      <c r="Z381" s="54">
        <v>2850000</v>
      </c>
      <c r="AA381" s="54" t="s">
        <v>52</v>
      </c>
      <c r="AB381" s="54" t="s">
        <v>53</v>
      </c>
      <c r="AC381" s="43">
        <v>2774</v>
      </c>
      <c r="AD381" s="141">
        <v>7</v>
      </c>
      <c r="AE381" s="142">
        <v>7</v>
      </c>
      <c r="AF381" s="142"/>
      <c r="AG381" s="69" t="str">
        <f t="shared" ref="AG381:AG384" si="188">_xlfn.CONCAT(AH381," years ",AI381," days")</f>
        <v>6 years 277 days</v>
      </c>
      <c r="AH381" s="69">
        <v>6</v>
      </c>
      <c r="AI381" s="69">
        <v>277</v>
      </c>
      <c r="AJ381" s="87">
        <v>0</v>
      </c>
      <c r="AK381" s="87">
        <v>0</v>
      </c>
      <c r="AL381" s="62">
        <v>2850000</v>
      </c>
      <c r="AM381" s="60">
        <f t="shared" ref="AM381:AM384" si="189">ROUND(AL381,2)</f>
        <v>2850000</v>
      </c>
      <c r="AN381" s="59">
        <v>2534589</v>
      </c>
      <c r="AO381" s="148">
        <f t="shared" ref="AO381:AO384" si="190">ROUND(AN381,2)*-1</f>
        <v>-2534589</v>
      </c>
      <c r="AP381" s="58">
        <v>185958.94520547939</v>
      </c>
      <c r="AQ381" s="143">
        <f t="shared" ref="AQ381:AQ384" si="191">ROUND(AP381,2)*-1</f>
        <v>-185958.95</v>
      </c>
    </row>
    <row r="382" spans="1:43" s="90" customFormat="1" x14ac:dyDescent="0.35">
      <c r="A382" s="87" t="s">
        <v>43</v>
      </c>
      <c r="B382" s="115" t="s">
        <v>1161</v>
      </c>
      <c r="C382" s="115"/>
      <c r="D382" s="69" t="e">
        <f>_xlfn.XLOOKUP(B382,SOM!B:B,SOM!D:D,,0)</f>
        <v>#N/A</v>
      </c>
      <c r="E382" s="76">
        <v>1</v>
      </c>
      <c r="F382" s="69" t="s">
        <v>1151</v>
      </c>
      <c r="G382" s="133" t="s">
        <v>1152</v>
      </c>
      <c r="H382" s="15">
        <v>9008000002</v>
      </c>
      <c r="I382" s="92" t="s">
        <v>593</v>
      </c>
      <c r="J382" s="92">
        <v>1202020101</v>
      </c>
      <c r="K382" s="89" t="s">
        <v>1162</v>
      </c>
      <c r="L382" s="95" t="s">
        <v>1163</v>
      </c>
      <c r="M382" s="69" t="s">
        <v>49</v>
      </c>
      <c r="N382" s="69"/>
      <c r="O382" s="94">
        <v>5</v>
      </c>
      <c r="P382" s="87" t="s">
        <v>50</v>
      </c>
      <c r="Q382" s="87" t="s">
        <v>51</v>
      </c>
      <c r="R382" s="87"/>
      <c r="S382" s="46">
        <v>40415</v>
      </c>
      <c r="T382" s="48">
        <v>43191</v>
      </c>
      <c r="U382" s="87"/>
      <c r="V382" s="87"/>
      <c r="W382" s="87"/>
      <c r="X382" s="87"/>
      <c r="Y382" s="69" t="s">
        <v>4125</v>
      </c>
      <c r="Z382" s="54">
        <v>110000</v>
      </c>
      <c r="AA382" s="54" t="s">
        <v>52</v>
      </c>
      <c r="AB382" s="54" t="s">
        <v>53</v>
      </c>
      <c r="AC382" s="43">
        <v>876</v>
      </c>
      <c r="AD382" s="141">
        <v>2</v>
      </c>
      <c r="AE382" s="142">
        <v>5</v>
      </c>
      <c r="AF382" s="142"/>
      <c r="AG382" s="69" t="str">
        <f t="shared" si="188"/>
        <v>2 years 146 days</v>
      </c>
      <c r="AH382" s="69">
        <v>2</v>
      </c>
      <c r="AI382" s="69">
        <v>146</v>
      </c>
      <c r="AJ382" s="87">
        <v>0</v>
      </c>
      <c r="AK382" s="87">
        <v>0</v>
      </c>
      <c r="AL382" s="62">
        <v>110000</v>
      </c>
      <c r="AM382" s="60">
        <f t="shared" si="189"/>
        <v>110000</v>
      </c>
      <c r="AN382" s="59">
        <v>110000</v>
      </c>
      <c r="AO382" s="148">
        <f t="shared" si="190"/>
        <v>-110000</v>
      </c>
      <c r="AP382" s="58">
        <v>0</v>
      </c>
      <c r="AQ382" s="143">
        <f t="shared" si="191"/>
        <v>0</v>
      </c>
    </row>
    <row r="383" spans="1:43" s="90" customFormat="1" x14ac:dyDescent="0.35">
      <c r="A383" s="87" t="s">
        <v>43</v>
      </c>
      <c r="B383" s="115" t="s">
        <v>1164</v>
      </c>
      <c r="C383" s="115"/>
      <c r="D383" s="69" t="e">
        <f>_xlfn.XLOOKUP(B383,SOM!B:B,SOM!D:D,,0)</f>
        <v>#N/A</v>
      </c>
      <c r="E383" s="76">
        <v>2</v>
      </c>
      <c r="F383" s="69" t="s">
        <v>1151</v>
      </c>
      <c r="G383" s="133" t="s">
        <v>1152</v>
      </c>
      <c r="H383" s="15">
        <v>9008000002</v>
      </c>
      <c r="I383" s="92" t="s">
        <v>593</v>
      </c>
      <c r="J383" s="92">
        <v>1202020101</v>
      </c>
      <c r="K383" s="89" t="s">
        <v>1165</v>
      </c>
      <c r="L383" s="95" t="s">
        <v>1166</v>
      </c>
      <c r="M383" s="69" t="s">
        <v>49</v>
      </c>
      <c r="N383" s="69"/>
      <c r="O383" s="94">
        <v>1</v>
      </c>
      <c r="P383" s="87" t="s">
        <v>50</v>
      </c>
      <c r="Q383" s="87" t="s">
        <v>51</v>
      </c>
      <c r="R383" s="87"/>
      <c r="S383" s="46">
        <v>40462</v>
      </c>
      <c r="T383" s="48">
        <v>43191</v>
      </c>
      <c r="U383" s="87"/>
      <c r="V383" s="87"/>
      <c r="W383" s="87"/>
      <c r="X383" s="87"/>
      <c r="Y383" s="69" t="s">
        <v>4125</v>
      </c>
      <c r="Z383" s="54">
        <v>31000</v>
      </c>
      <c r="AA383" s="54" t="s">
        <v>52</v>
      </c>
      <c r="AB383" s="54" t="s">
        <v>53</v>
      </c>
      <c r="AC383" s="43">
        <v>913</v>
      </c>
      <c r="AD383" s="141">
        <v>2</v>
      </c>
      <c r="AE383" s="142">
        <v>6</v>
      </c>
      <c r="AF383" s="142"/>
      <c r="AG383" s="69" t="str">
        <f t="shared" si="188"/>
        <v>2 years 183 days</v>
      </c>
      <c r="AH383" s="69">
        <v>2</v>
      </c>
      <c r="AI383" s="69">
        <v>183</v>
      </c>
      <c r="AJ383" s="87">
        <v>0</v>
      </c>
      <c r="AK383" s="87">
        <v>0</v>
      </c>
      <c r="AL383" s="62">
        <v>31000</v>
      </c>
      <c r="AM383" s="60">
        <f t="shared" si="189"/>
        <v>31000</v>
      </c>
      <c r="AN383" s="59">
        <v>31000</v>
      </c>
      <c r="AO383" s="148">
        <f t="shared" si="190"/>
        <v>-31000</v>
      </c>
      <c r="AP383" s="58">
        <v>0</v>
      </c>
      <c r="AQ383" s="143">
        <f t="shared" si="191"/>
        <v>0</v>
      </c>
    </row>
    <row r="384" spans="1:43" s="90" customFormat="1" x14ac:dyDescent="0.35">
      <c r="A384" s="87" t="s">
        <v>43</v>
      </c>
      <c r="B384" s="115" t="s">
        <v>1167</v>
      </c>
      <c r="C384" s="115"/>
      <c r="D384" s="69" t="e">
        <f>_xlfn.XLOOKUP(B384,SOM!B:B,SOM!D:D,,0)</f>
        <v>#N/A</v>
      </c>
      <c r="E384" s="76">
        <v>3</v>
      </c>
      <c r="F384" s="69" t="s">
        <v>1151</v>
      </c>
      <c r="G384" s="133" t="s">
        <v>1152</v>
      </c>
      <c r="H384" s="15">
        <v>9008000002</v>
      </c>
      <c r="I384" s="92" t="s">
        <v>593</v>
      </c>
      <c r="J384" s="92">
        <v>1202020101</v>
      </c>
      <c r="K384" s="89" t="s">
        <v>1168</v>
      </c>
      <c r="L384" s="95" t="s">
        <v>1169</v>
      </c>
      <c r="M384" s="69" t="s">
        <v>49</v>
      </c>
      <c r="N384" s="69"/>
      <c r="O384" s="94">
        <v>1</v>
      </c>
      <c r="P384" s="87" t="s">
        <v>50</v>
      </c>
      <c r="Q384" s="87" t="s">
        <v>51</v>
      </c>
      <c r="R384" s="87"/>
      <c r="S384" s="46">
        <v>40636</v>
      </c>
      <c r="T384" s="48">
        <v>43191</v>
      </c>
      <c r="U384" s="87"/>
      <c r="V384" s="87"/>
      <c r="W384" s="87"/>
      <c r="X384" s="87"/>
      <c r="Y384" s="69" t="s">
        <v>4125</v>
      </c>
      <c r="Z384" s="54">
        <v>185000</v>
      </c>
      <c r="AA384" s="54" t="s">
        <v>52</v>
      </c>
      <c r="AB384" s="54" t="s">
        <v>53</v>
      </c>
      <c r="AC384" s="43">
        <v>2920</v>
      </c>
      <c r="AD384" s="141">
        <v>8</v>
      </c>
      <c r="AE384" s="142">
        <v>0</v>
      </c>
      <c r="AF384" s="142"/>
      <c r="AG384" s="69" t="str">
        <f t="shared" si="188"/>
        <v>6 years 277 days</v>
      </c>
      <c r="AH384" s="69">
        <v>6</v>
      </c>
      <c r="AI384" s="69">
        <v>277</v>
      </c>
      <c r="AJ384" s="87">
        <v>0</v>
      </c>
      <c r="AK384" s="87">
        <v>0</v>
      </c>
      <c r="AL384" s="62">
        <v>185000</v>
      </c>
      <c r="AM384" s="60">
        <f t="shared" si="189"/>
        <v>185000</v>
      </c>
      <c r="AN384" s="59">
        <v>156300</v>
      </c>
      <c r="AO384" s="148">
        <f t="shared" si="190"/>
        <v>-156300</v>
      </c>
      <c r="AP384" s="58">
        <v>11467.123287671217</v>
      </c>
      <c r="AQ384" s="143">
        <f t="shared" si="191"/>
        <v>-11467.12</v>
      </c>
    </row>
    <row r="385" spans="1:43" x14ac:dyDescent="0.35">
      <c r="A385" s="69" t="s">
        <v>43</v>
      </c>
      <c r="B385" s="15" t="s">
        <v>1170</v>
      </c>
      <c r="C385" s="15"/>
      <c r="D385" s="69"/>
      <c r="E385" s="76">
        <v>0</v>
      </c>
      <c r="F385" s="69" t="s">
        <v>1151</v>
      </c>
      <c r="G385" s="92" t="s">
        <v>1152</v>
      </c>
      <c r="H385" s="15">
        <v>9008000003</v>
      </c>
      <c r="I385" s="92" t="s">
        <v>593</v>
      </c>
      <c r="J385" s="92">
        <v>1202020101</v>
      </c>
      <c r="K385" s="23" t="s">
        <v>1171</v>
      </c>
      <c r="L385" s="95" t="s">
        <v>1172</v>
      </c>
      <c r="M385" s="69" t="s">
        <v>1173</v>
      </c>
      <c r="N385" s="69"/>
      <c r="O385" s="94">
        <v>1</v>
      </c>
      <c r="P385" s="69" t="s">
        <v>50</v>
      </c>
      <c r="Q385" s="69" t="s">
        <v>51</v>
      </c>
      <c r="R385" s="69"/>
      <c r="S385" s="46">
        <v>41261</v>
      </c>
      <c r="T385" s="48">
        <v>43191</v>
      </c>
      <c r="U385" s="69"/>
      <c r="V385" s="69"/>
      <c r="W385" s="69"/>
      <c r="X385" s="69"/>
      <c r="Y385" s="69" t="s">
        <v>4125</v>
      </c>
      <c r="Z385" s="43">
        <v>3550000</v>
      </c>
      <c r="AA385" s="43" t="s">
        <v>52</v>
      </c>
      <c r="AB385" s="43" t="s">
        <v>53</v>
      </c>
      <c r="AC385" s="43">
        <v>3541</v>
      </c>
      <c r="AD385" s="141">
        <v>9</v>
      </c>
      <c r="AE385" s="142">
        <v>9</v>
      </c>
      <c r="AF385" s="142"/>
      <c r="AG385" s="69" t="str">
        <f t="shared" ref="AG385:AG387" si="192">_xlfn.CONCAT(AH385," years ",AI385," days")</f>
        <v>6 years 277 days</v>
      </c>
      <c r="AH385" s="69">
        <v>6</v>
      </c>
      <c r="AI385" s="69">
        <v>277</v>
      </c>
      <c r="AJ385" s="69">
        <v>0</v>
      </c>
      <c r="AK385" s="69">
        <v>0</v>
      </c>
      <c r="AL385" s="60">
        <v>3550000</v>
      </c>
      <c r="AM385" s="60">
        <f t="shared" ref="AM385:AM387" si="193">ROUND(AL385,2)</f>
        <v>3550000</v>
      </c>
      <c r="AN385" s="59">
        <v>2473270</v>
      </c>
      <c r="AO385" s="148">
        <f t="shared" ref="AO385:AO387" si="194">ROUND(AN385,2)*-1</f>
        <v>-2473270</v>
      </c>
      <c r="AP385" s="58">
        <v>181460.3021745272</v>
      </c>
      <c r="AQ385" s="143">
        <f t="shared" ref="AQ385:AQ387" si="195">ROUND(AP385,2)*-1</f>
        <v>-181460.3</v>
      </c>
    </row>
    <row r="386" spans="1:43" x14ac:dyDescent="0.35">
      <c r="A386" s="69" t="s">
        <v>43</v>
      </c>
      <c r="B386" s="15" t="s">
        <v>1174</v>
      </c>
      <c r="C386" s="15"/>
      <c r="D386" s="69" t="e">
        <f>_xlfn.XLOOKUP(B386,SOM!B:B,SOM!D:D,,0)</f>
        <v>#N/A</v>
      </c>
      <c r="E386" s="76">
        <v>1</v>
      </c>
      <c r="F386" s="69" t="s">
        <v>1151</v>
      </c>
      <c r="G386" s="92" t="s">
        <v>1152</v>
      </c>
      <c r="H386" s="15">
        <v>9008000003</v>
      </c>
      <c r="I386" s="92" t="s">
        <v>593</v>
      </c>
      <c r="J386" s="92">
        <v>1202020101</v>
      </c>
      <c r="K386" s="23" t="s">
        <v>1175</v>
      </c>
      <c r="L386" s="95" t="s">
        <v>1176</v>
      </c>
      <c r="M386" s="69" t="s">
        <v>49</v>
      </c>
      <c r="N386" s="69"/>
      <c r="O386" s="94">
        <v>1</v>
      </c>
      <c r="P386" s="69" t="s">
        <v>50</v>
      </c>
      <c r="Q386" s="69" t="s">
        <v>51</v>
      </c>
      <c r="R386" s="69"/>
      <c r="S386" s="46">
        <v>40402</v>
      </c>
      <c r="T386" s="48">
        <v>43191</v>
      </c>
      <c r="U386" s="69"/>
      <c r="V386" s="69"/>
      <c r="W386" s="69"/>
      <c r="X386" s="69"/>
      <c r="Y386" s="69" t="s">
        <v>4125</v>
      </c>
      <c r="Z386" s="43">
        <v>120000</v>
      </c>
      <c r="AA386" s="43" t="s">
        <v>52</v>
      </c>
      <c r="AB386" s="43" t="s">
        <v>53</v>
      </c>
      <c r="AC386" s="43">
        <v>2701</v>
      </c>
      <c r="AD386" s="141">
        <v>7</v>
      </c>
      <c r="AE386" s="142">
        <v>5</v>
      </c>
      <c r="AF386" s="142"/>
      <c r="AG386" s="69" t="str">
        <f t="shared" si="192"/>
        <v>6 years 277 days</v>
      </c>
      <c r="AH386" s="69">
        <v>6</v>
      </c>
      <c r="AI386" s="69">
        <v>277</v>
      </c>
      <c r="AJ386" s="69">
        <v>0</v>
      </c>
      <c r="AK386" s="69">
        <v>0</v>
      </c>
      <c r="AL386" s="60">
        <v>120000</v>
      </c>
      <c r="AM386" s="60">
        <f t="shared" si="193"/>
        <v>120000</v>
      </c>
      <c r="AN386" s="59">
        <v>109604</v>
      </c>
      <c r="AO386" s="148">
        <f t="shared" si="194"/>
        <v>-109604</v>
      </c>
      <c r="AP386" s="58">
        <v>8041.3165494261339</v>
      </c>
      <c r="AQ386" s="143">
        <f t="shared" si="195"/>
        <v>-8041.32</v>
      </c>
    </row>
    <row r="387" spans="1:43" x14ac:dyDescent="0.35">
      <c r="A387" s="69" t="s">
        <v>43</v>
      </c>
      <c r="B387" s="15" t="s">
        <v>1177</v>
      </c>
      <c r="C387" s="15"/>
      <c r="D387" s="69" t="e">
        <f>_xlfn.XLOOKUP(B387,SOM!B:B,SOM!D:D,,0)</f>
        <v>#N/A</v>
      </c>
      <c r="E387" s="76">
        <v>2</v>
      </c>
      <c r="F387" s="69" t="s">
        <v>1151</v>
      </c>
      <c r="G387" s="92" t="s">
        <v>1152</v>
      </c>
      <c r="H387" s="15">
        <v>9008000003</v>
      </c>
      <c r="I387" s="92" t="s">
        <v>593</v>
      </c>
      <c r="J387" s="92">
        <v>1202020101</v>
      </c>
      <c r="K387" s="17" t="s">
        <v>1178</v>
      </c>
      <c r="L387" s="95" t="s">
        <v>1179</v>
      </c>
      <c r="M387" s="69" t="s">
        <v>49</v>
      </c>
      <c r="N387" s="69"/>
      <c r="O387" s="94">
        <v>1</v>
      </c>
      <c r="P387" s="69" t="s">
        <v>50</v>
      </c>
      <c r="Q387" s="69" t="s">
        <v>51</v>
      </c>
      <c r="R387" s="69"/>
      <c r="S387" s="46">
        <v>40513</v>
      </c>
      <c r="T387" s="48">
        <v>43191</v>
      </c>
      <c r="U387" s="69"/>
      <c r="V387" s="69"/>
      <c r="W387" s="69"/>
      <c r="X387" s="69"/>
      <c r="Y387" s="69" t="s">
        <v>4125</v>
      </c>
      <c r="Z387" s="43">
        <v>120000</v>
      </c>
      <c r="AA387" s="43" t="s">
        <v>52</v>
      </c>
      <c r="AB387" s="43" t="s">
        <v>53</v>
      </c>
      <c r="AC387" s="43">
        <v>986</v>
      </c>
      <c r="AD387" s="141">
        <v>2</v>
      </c>
      <c r="AE387" s="142">
        <v>9</v>
      </c>
      <c r="AF387" s="142"/>
      <c r="AG387" s="69" t="str">
        <f t="shared" si="192"/>
        <v>2 years 256 days</v>
      </c>
      <c r="AH387" s="69">
        <v>2</v>
      </c>
      <c r="AI387" s="69">
        <v>256</v>
      </c>
      <c r="AJ387" s="69">
        <v>0</v>
      </c>
      <c r="AK387" s="69">
        <v>0</v>
      </c>
      <c r="AL387" s="60">
        <v>120000</v>
      </c>
      <c r="AM387" s="60">
        <f t="shared" si="193"/>
        <v>120000</v>
      </c>
      <c r="AN387" s="59">
        <v>120000</v>
      </c>
      <c r="AO387" s="148">
        <f t="shared" si="194"/>
        <v>-120000</v>
      </c>
      <c r="AP387" s="58">
        <v>0</v>
      </c>
      <c r="AQ387" s="143">
        <f t="shared" si="195"/>
        <v>0</v>
      </c>
    </row>
    <row r="388" spans="1:43" x14ac:dyDescent="0.35">
      <c r="A388" s="69" t="s">
        <v>43</v>
      </c>
      <c r="B388" s="134" t="s">
        <v>1180</v>
      </c>
      <c r="C388" s="134"/>
      <c r="D388" s="69"/>
      <c r="E388" s="76">
        <v>0</v>
      </c>
      <c r="F388" s="69" t="s">
        <v>1151</v>
      </c>
      <c r="G388" s="92" t="s">
        <v>1152</v>
      </c>
      <c r="H388" s="15">
        <v>9008000004</v>
      </c>
      <c r="I388" s="92" t="s">
        <v>593</v>
      </c>
      <c r="J388" s="92">
        <v>1202020101</v>
      </c>
      <c r="K388" s="17" t="s">
        <v>1181</v>
      </c>
      <c r="L388" s="95" t="s">
        <v>1182</v>
      </c>
      <c r="M388" s="69" t="s">
        <v>1183</v>
      </c>
      <c r="N388" s="69"/>
      <c r="O388" s="94">
        <v>1</v>
      </c>
      <c r="P388" s="69" t="s">
        <v>50</v>
      </c>
      <c r="Q388" s="69" t="s">
        <v>51</v>
      </c>
      <c r="R388" s="69"/>
      <c r="S388" s="46">
        <v>41261</v>
      </c>
      <c r="T388" s="48">
        <v>43191</v>
      </c>
      <c r="U388" s="69"/>
      <c r="V388" s="69"/>
      <c r="W388" s="69"/>
      <c r="X388" s="69"/>
      <c r="Y388" s="69" t="s">
        <v>4125</v>
      </c>
      <c r="Z388" s="55">
        <v>3550000</v>
      </c>
      <c r="AA388" s="43" t="s">
        <v>52</v>
      </c>
      <c r="AB388" s="43" t="s">
        <v>53</v>
      </c>
      <c r="AC388" s="43">
        <v>3541</v>
      </c>
      <c r="AD388" s="141">
        <v>9</v>
      </c>
      <c r="AE388" s="142">
        <v>9</v>
      </c>
      <c r="AF388" s="142"/>
      <c r="AG388" s="69" t="str">
        <f t="shared" ref="AG388:AG389" si="196">_xlfn.CONCAT(AH388," years ",AI388," days")</f>
        <v>6 years 277 days</v>
      </c>
      <c r="AH388" s="69">
        <v>6</v>
      </c>
      <c r="AI388" s="69">
        <v>277</v>
      </c>
      <c r="AJ388" s="69">
        <v>0</v>
      </c>
      <c r="AK388" s="69">
        <v>0</v>
      </c>
      <c r="AL388" s="63">
        <v>3550000</v>
      </c>
      <c r="AM388" s="60">
        <f t="shared" ref="AM388:AM389" si="197">ROUND(AL388,2)</f>
        <v>3550000</v>
      </c>
      <c r="AN388" s="59">
        <v>2473270</v>
      </c>
      <c r="AO388" s="148">
        <f t="shared" ref="AO388:AO389" si="198">ROUND(AN388,2)*-1</f>
        <v>-2473270</v>
      </c>
      <c r="AP388" s="58">
        <v>181460.3021745272</v>
      </c>
      <c r="AQ388" s="143">
        <f t="shared" ref="AQ388:AQ389" si="199">ROUND(AP388,2)*-1</f>
        <v>-181460.3</v>
      </c>
    </row>
    <row r="389" spans="1:43" x14ac:dyDescent="0.35">
      <c r="A389" s="69" t="s">
        <v>43</v>
      </c>
      <c r="B389" s="15" t="s">
        <v>1184</v>
      </c>
      <c r="C389" s="15"/>
      <c r="D389" s="69" t="e">
        <f>_xlfn.XLOOKUP(B389,SOM!B:B,SOM!D:D,,0)</f>
        <v>#N/A</v>
      </c>
      <c r="E389" s="76">
        <v>1</v>
      </c>
      <c r="F389" s="69" t="s">
        <v>1151</v>
      </c>
      <c r="G389" s="92" t="s">
        <v>1152</v>
      </c>
      <c r="H389" s="15">
        <v>9008000004</v>
      </c>
      <c r="I389" s="92" t="s">
        <v>593</v>
      </c>
      <c r="J389" s="92">
        <v>1202020101</v>
      </c>
      <c r="K389" s="17" t="s">
        <v>1185</v>
      </c>
      <c r="L389" s="95" t="s">
        <v>1186</v>
      </c>
      <c r="M389" s="69" t="s">
        <v>49</v>
      </c>
      <c r="N389" s="69"/>
      <c r="O389" s="94">
        <v>1</v>
      </c>
      <c r="P389" s="69" t="s">
        <v>50</v>
      </c>
      <c r="Q389" s="69" t="s">
        <v>51</v>
      </c>
      <c r="R389" s="69"/>
      <c r="S389" s="46">
        <v>40636</v>
      </c>
      <c r="T389" s="48">
        <v>43191</v>
      </c>
      <c r="U389" s="69"/>
      <c r="V389" s="69"/>
      <c r="W389" s="69"/>
      <c r="X389" s="69"/>
      <c r="Y389" s="69" t="s">
        <v>4125</v>
      </c>
      <c r="Z389" s="43">
        <v>70000</v>
      </c>
      <c r="AA389" s="43" t="s">
        <v>52</v>
      </c>
      <c r="AB389" s="43" t="s">
        <v>53</v>
      </c>
      <c r="AC389" s="43">
        <v>1095</v>
      </c>
      <c r="AD389" s="141">
        <v>3</v>
      </c>
      <c r="AE389" s="142">
        <v>0</v>
      </c>
      <c r="AF389" s="142"/>
      <c r="AG389" s="69" t="str">
        <f t="shared" si="196"/>
        <v>3 years 0 days</v>
      </c>
      <c r="AH389" s="69">
        <v>3</v>
      </c>
      <c r="AI389" s="69">
        <v>0</v>
      </c>
      <c r="AJ389" s="69">
        <v>0</v>
      </c>
      <c r="AK389" s="69">
        <v>0</v>
      </c>
      <c r="AL389" s="60">
        <v>70000</v>
      </c>
      <c r="AM389" s="60">
        <f t="shared" si="197"/>
        <v>70000</v>
      </c>
      <c r="AN389" s="59">
        <v>70000</v>
      </c>
      <c r="AO389" s="148">
        <f t="shared" si="198"/>
        <v>-70000</v>
      </c>
      <c r="AP389" s="58">
        <v>0</v>
      </c>
      <c r="AQ389" s="143">
        <f t="shared" si="199"/>
        <v>0</v>
      </c>
    </row>
    <row r="390" spans="1:43" x14ac:dyDescent="0.35">
      <c r="A390" s="69" t="s">
        <v>43</v>
      </c>
      <c r="B390" s="15" t="s">
        <v>1187</v>
      </c>
      <c r="C390" s="15"/>
      <c r="D390" s="69"/>
      <c r="E390" s="76">
        <v>0</v>
      </c>
      <c r="F390" s="69" t="s">
        <v>1151</v>
      </c>
      <c r="G390" s="92" t="s">
        <v>1152</v>
      </c>
      <c r="H390" s="15">
        <v>9008000005</v>
      </c>
      <c r="I390" s="92" t="s">
        <v>593</v>
      </c>
      <c r="J390" s="92">
        <v>1202020101</v>
      </c>
      <c r="K390" s="23" t="s">
        <v>1188</v>
      </c>
      <c r="L390" s="95" t="s">
        <v>1189</v>
      </c>
      <c r="M390" s="69" t="s">
        <v>49</v>
      </c>
      <c r="N390" s="69"/>
      <c r="O390" s="94">
        <v>1</v>
      </c>
      <c r="P390" s="69" t="s">
        <v>50</v>
      </c>
      <c r="Q390" s="69" t="s">
        <v>51</v>
      </c>
      <c r="R390" s="69"/>
      <c r="S390" s="46">
        <v>40494</v>
      </c>
      <c r="T390" s="48">
        <v>43191</v>
      </c>
      <c r="U390" s="69"/>
      <c r="V390" s="69"/>
      <c r="W390" s="69"/>
      <c r="X390" s="69"/>
      <c r="Y390" s="69" t="s">
        <v>4125</v>
      </c>
      <c r="Z390" s="43">
        <v>2850000</v>
      </c>
      <c r="AA390" s="43" t="s">
        <v>52</v>
      </c>
      <c r="AB390" s="43" t="s">
        <v>53</v>
      </c>
      <c r="AC390" s="43">
        <v>2774</v>
      </c>
      <c r="AD390" s="141">
        <v>7</v>
      </c>
      <c r="AE390" s="142">
        <v>7</v>
      </c>
      <c r="AF390" s="142"/>
      <c r="AG390" s="69" t="str">
        <f t="shared" ref="AG390:AG396" si="200">_xlfn.CONCAT(AH390," years ",AI390," days")</f>
        <v>6 years 277 days</v>
      </c>
      <c r="AH390" s="69">
        <v>6</v>
      </c>
      <c r="AI390" s="69">
        <v>277</v>
      </c>
      <c r="AJ390" s="69">
        <v>0</v>
      </c>
      <c r="AK390" s="69">
        <v>0</v>
      </c>
      <c r="AL390" s="60">
        <v>2850000</v>
      </c>
      <c r="AM390" s="60">
        <f t="shared" ref="AM390:AM396" si="201">ROUND(AL390,2)</f>
        <v>2850000</v>
      </c>
      <c r="AN390" s="59">
        <v>2534589</v>
      </c>
      <c r="AO390" s="148">
        <f t="shared" ref="AO390:AO396" si="202">ROUND(AN390,2)*-1</f>
        <v>-2534589</v>
      </c>
      <c r="AP390" s="58">
        <v>185958.94520547939</v>
      </c>
      <c r="AQ390" s="143">
        <f t="shared" ref="AQ390:AQ396" si="203">ROUND(AP390,2)*-1</f>
        <v>-185958.95</v>
      </c>
    </row>
    <row r="391" spans="1:43" x14ac:dyDescent="0.35">
      <c r="A391" s="69" t="s">
        <v>43</v>
      </c>
      <c r="B391" s="15" t="s">
        <v>1190</v>
      </c>
      <c r="C391" s="15"/>
      <c r="D391" s="69" t="e">
        <f>_xlfn.XLOOKUP(B391,SOM!B:B,SOM!D:D,,0)</f>
        <v>#N/A</v>
      </c>
      <c r="E391" s="76">
        <v>1</v>
      </c>
      <c r="F391" s="69" t="s">
        <v>1151</v>
      </c>
      <c r="G391" s="92" t="s">
        <v>1152</v>
      </c>
      <c r="H391" s="15">
        <v>9008000005</v>
      </c>
      <c r="I391" s="92" t="s">
        <v>593</v>
      </c>
      <c r="J391" s="92">
        <v>1202020101</v>
      </c>
      <c r="K391" s="23" t="s">
        <v>1191</v>
      </c>
      <c r="L391" s="95" t="s">
        <v>1192</v>
      </c>
      <c r="M391" s="69" t="s">
        <v>49</v>
      </c>
      <c r="N391" s="69"/>
      <c r="O391" s="94">
        <v>1</v>
      </c>
      <c r="P391" s="69" t="s">
        <v>50</v>
      </c>
      <c r="Q391" s="69" t="s">
        <v>51</v>
      </c>
      <c r="R391" s="69"/>
      <c r="S391" s="46">
        <v>40422</v>
      </c>
      <c r="T391" s="48">
        <v>43191</v>
      </c>
      <c r="U391" s="69"/>
      <c r="V391" s="69"/>
      <c r="W391" s="69"/>
      <c r="X391" s="69"/>
      <c r="Y391" s="69" t="s">
        <v>4125</v>
      </c>
      <c r="Z391" s="43">
        <v>240000</v>
      </c>
      <c r="AA391" s="43" t="s">
        <v>52</v>
      </c>
      <c r="AB391" s="43" t="s">
        <v>53</v>
      </c>
      <c r="AC391" s="43">
        <v>2701</v>
      </c>
      <c r="AD391" s="141">
        <v>7</v>
      </c>
      <c r="AE391" s="142">
        <v>5</v>
      </c>
      <c r="AF391" s="142"/>
      <c r="AG391" s="69" t="str">
        <f t="shared" si="200"/>
        <v>6 years 277 days</v>
      </c>
      <c r="AH391" s="69">
        <v>6</v>
      </c>
      <c r="AI391" s="69">
        <v>277</v>
      </c>
      <c r="AJ391" s="69">
        <v>0</v>
      </c>
      <c r="AK391" s="69">
        <v>0</v>
      </c>
      <c r="AL391" s="60">
        <v>240000</v>
      </c>
      <c r="AM391" s="60">
        <f t="shared" si="201"/>
        <v>240000</v>
      </c>
      <c r="AN391" s="59">
        <v>219208</v>
      </c>
      <c r="AO391" s="148">
        <f t="shared" si="202"/>
        <v>-219208</v>
      </c>
      <c r="AP391" s="58">
        <v>16082.633098852268</v>
      </c>
      <c r="AQ391" s="143">
        <f t="shared" si="203"/>
        <v>-16082.63</v>
      </c>
    </row>
    <row r="392" spans="1:43" x14ac:dyDescent="0.35">
      <c r="A392" s="69" t="s">
        <v>43</v>
      </c>
      <c r="B392" s="15" t="s">
        <v>1193</v>
      </c>
      <c r="C392" s="15"/>
      <c r="D392" s="69" t="e">
        <f>_xlfn.XLOOKUP(B392,SOM!B:B,SOM!D:D,,0)</f>
        <v>#N/A</v>
      </c>
      <c r="E392" s="76">
        <v>2</v>
      </c>
      <c r="F392" s="69" t="s">
        <v>1151</v>
      </c>
      <c r="G392" s="92" t="s">
        <v>1152</v>
      </c>
      <c r="H392" s="15">
        <v>9008000005</v>
      </c>
      <c r="I392" s="92" t="s">
        <v>593</v>
      </c>
      <c r="J392" s="92">
        <v>1202020101</v>
      </c>
      <c r="K392" s="23" t="s">
        <v>1194</v>
      </c>
      <c r="L392" s="95" t="s">
        <v>1195</v>
      </c>
      <c r="M392" s="69" t="s">
        <v>49</v>
      </c>
      <c r="N392" s="69"/>
      <c r="O392" s="94">
        <v>1</v>
      </c>
      <c r="P392" s="69" t="s">
        <v>50</v>
      </c>
      <c r="Q392" s="69" t="s">
        <v>51</v>
      </c>
      <c r="R392" s="69"/>
      <c r="S392" s="46">
        <v>40495</v>
      </c>
      <c r="T392" s="48">
        <v>43191</v>
      </c>
      <c r="U392" s="69"/>
      <c r="V392" s="69"/>
      <c r="W392" s="69"/>
      <c r="X392" s="69"/>
      <c r="Y392" s="69" t="s">
        <v>4125</v>
      </c>
      <c r="Z392" s="43">
        <v>125000</v>
      </c>
      <c r="AA392" s="43" t="s">
        <v>52</v>
      </c>
      <c r="AB392" s="43" t="s">
        <v>53</v>
      </c>
      <c r="AC392" s="43">
        <v>2774</v>
      </c>
      <c r="AD392" s="141">
        <v>7</v>
      </c>
      <c r="AE392" s="142">
        <v>7</v>
      </c>
      <c r="AF392" s="142"/>
      <c r="AG392" s="69" t="str">
        <f t="shared" si="200"/>
        <v>6 years 277 days</v>
      </c>
      <c r="AH392" s="69">
        <v>6</v>
      </c>
      <c r="AI392" s="69">
        <v>277</v>
      </c>
      <c r="AJ392" s="69">
        <v>0</v>
      </c>
      <c r="AK392" s="69">
        <v>0</v>
      </c>
      <c r="AL392" s="60">
        <v>125000</v>
      </c>
      <c r="AM392" s="60">
        <f t="shared" si="201"/>
        <v>125000</v>
      </c>
      <c r="AN392" s="59">
        <v>111166</v>
      </c>
      <c r="AO392" s="148">
        <f t="shared" si="202"/>
        <v>-111166</v>
      </c>
      <c r="AP392" s="58">
        <v>8156.2782984859368</v>
      </c>
      <c r="AQ392" s="143">
        <f t="shared" si="203"/>
        <v>-8156.28</v>
      </c>
    </row>
    <row r="393" spans="1:43" x14ac:dyDescent="0.35">
      <c r="A393" s="69" t="s">
        <v>43</v>
      </c>
      <c r="B393" s="15" t="s">
        <v>1196</v>
      </c>
      <c r="C393" s="15"/>
      <c r="D393" s="69" t="e">
        <f>_xlfn.XLOOKUP(B393,SOM!B:B,SOM!D:D,,0)</f>
        <v>#N/A</v>
      </c>
      <c r="E393" s="76">
        <v>3</v>
      </c>
      <c r="F393" s="69" t="s">
        <v>1151</v>
      </c>
      <c r="G393" s="92" t="s">
        <v>1152</v>
      </c>
      <c r="H393" s="15">
        <v>9008000005</v>
      </c>
      <c r="I393" s="92" t="s">
        <v>593</v>
      </c>
      <c r="J393" s="92">
        <v>1202020101</v>
      </c>
      <c r="K393" s="17" t="s">
        <v>1197</v>
      </c>
      <c r="L393" s="95" t="s">
        <v>1198</v>
      </c>
      <c r="M393" s="69" t="s">
        <v>49</v>
      </c>
      <c r="N393" s="69"/>
      <c r="O393" s="94">
        <v>1</v>
      </c>
      <c r="P393" s="69" t="s">
        <v>50</v>
      </c>
      <c r="Q393" s="69" t="s">
        <v>51</v>
      </c>
      <c r="R393" s="69"/>
      <c r="S393" s="46">
        <v>40693</v>
      </c>
      <c r="T393" s="48">
        <v>43191</v>
      </c>
      <c r="U393" s="69"/>
      <c r="V393" s="69"/>
      <c r="W393" s="69"/>
      <c r="X393" s="69"/>
      <c r="Y393" s="69" t="s">
        <v>4125</v>
      </c>
      <c r="Z393" s="43">
        <v>13000</v>
      </c>
      <c r="AA393" s="43" t="s">
        <v>52</v>
      </c>
      <c r="AB393" s="43" t="s">
        <v>53</v>
      </c>
      <c r="AC393" s="43">
        <v>1168</v>
      </c>
      <c r="AD393" s="141">
        <v>3</v>
      </c>
      <c r="AE393" s="142">
        <v>2</v>
      </c>
      <c r="AF393" s="142"/>
      <c r="AG393" s="69" t="str">
        <f t="shared" si="200"/>
        <v>3 years 73 days</v>
      </c>
      <c r="AH393" s="69">
        <v>3</v>
      </c>
      <c r="AI393" s="69">
        <v>73</v>
      </c>
      <c r="AJ393" s="69">
        <v>0</v>
      </c>
      <c r="AK393" s="69">
        <v>0</v>
      </c>
      <c r="AL393" s="60">
        <v>13000</v>
      </c>
      <c r="AM393" s="60">
        <f t="shared" si="201"/>
        <v>13000</v>
      </c>
      <c r="AN393" s="59">
        <v>13000</v>
      </c>
      <c r="AO393" s="148">
        <f t="shared" si="202"/>
        <v>-13000</v>
      </c>
      <c r="AP393" s="58">
        <v>0</v>
      </c>
      <c r="AQ393" s="143">
        <f t="shared" si="203"/>
        <v>0</v>
      </c>
    </row>
    <row r="394" spans="1:43" x14ac:dyDescent="0.35">
      <c r="A394" s="69" t="s">
        <v>43</v>
      </c>
      <c r="B394" s="15" t="s">
        <v>1199</v>
      </c>
      <c r="C394" s="15"/>
      <c r="D394" s="69" t="e">
        <f>_xlfn.XLOOKUP(B394,SOM!B:B,SOM!D:D,,0)</f>
        <v>#N/A</v>
      </c>
      <c r="E394" s="76">
        <v>4</v>
      </c>
      <c r="F394" s="69" t="s">
        <v>1151</v>
      </c>
      <c r="G394" s="92" t="s">
        <v>1152</v>
      </c>
      <c r="H394" s="15">
        <v>9008000005</v>
      </c>
      <c r="I394" s="92" t="s">
        <v>593</v>
      </c>
      <c r="J394" s="92">
        <v>1202020101</v>
      </c>
      <c r="K394" s="23" t="s">
        <v>1200</v>
      </c>
      <c r="L394" s="95" t="s">
        <v>1201</v>
      </c>
      <c r="M394" s="69" t="s">
        <v>49</v>
      </c>
      <c r="N394" s="69"/>
      <c r="O394" s="94">
        <v>1</v>
      </c>
      <c r="P394" s="69" t="s">
        <v>50</v>
      </c>
      <c r="Q394" s="69" t="s">
        <v>51</v>
      </c>
      <c r="R394" s="69"/>
      <c r="S394" s="46">
        <v>42516</v>
      </c>
      <c r="T394" s="48">
        <v>43191</v>
      </c>
      <c r="U394" s="69"/>
      <c r="V394" s="69"/>
      <c r="W394" s="69"/>
      <c r="X394" s="69"/>
      <c r="Y394" s="69" t="s">
        <v>4125</v>
      </c>
      <c r="Z394" s="43">
        <v>360000</v>
      </c>
      <c r="AA394" s="43" t="s">
        <v>52</v>
      </c>
      <c r="AB394" s="43" t="s">
        <v>53</v>
      </c>
      <c r="AC394" s="43">
        <v>4782</v>
      </c>
      <c r="AD394" s="141">
        <v>13</v>
      </c>
      <c r="AE394" s="142">
        <v>1</v>
      </c>
      <c r="AF394" s="142"/>
      <c r="AG394" s="69" t="str">
        <f t="shared" si="200"/>
        <v>6 years 277 days</v>
      </c>
      <c r="AH394" s="69">
        <v>6</v>
      </c>
      <c r="AI394" s="69">
        <v>277</v>
      </c>
      <c r="AJ394" s="69">
        <v>0</v>
      </c>
      <c r="AK394" s="69">
        <v>0</v>
      </c>
      <c r="AL394" s="60">
        <v>360000</v>
      </c>
      <c r="AM394" s="60">
        <f t="shared" si="201"/>
        <v>360000</v>
      </c>
      <c r="AN394" s="59">
        <v>185721</v>
      </c>
      <c r="AO394" s="148">
        <f t="shared" si="202"/>
        <v>-185721</v>
      </c>
      <c r="AP394" s="58">
        <v>13626.553324968612</v>
      </c>
      <c r="AQ394" s="143">
        <f t="shared" si="203"/>
        <v>-13626.55</v>
      </c>
    </row>
    <row r="395" spans="1:43" x14ac:dyDescent="0.35">
      <c r="A395" s="69" t="s">
        <v>43</v>
      </c>
      <c r="B395" s="15" t="s">
        <v>1202</v>
      </c>
      <c r="C395" s="15"/>
      <c r="D395" s="69" t="e">
        <f>_xlfn.XLOOKUP(B395,SOM!B:B,SOM!D:D,,0)</f>
        <v>#N/A</v>
      </c>
      <c r="E395" s="76">
        <v>5</v>
      </c>
      <c r="F395" s="69" t="s">
        <v>1151</v>
      </c>
      <c r="G395" s="92" t="s">
        <v>1152</v>
      </c>
      <c r="H395" s="15">
        <v>9008000005</v>
      </c>
      <c r="I395" s="92" t="s">
        <v>593</v>
      </c>
      <c r="J395" s="92">
        <v>1202020101</v>
      </c>
      <c r="K395" s="28"/>
      <c r="L395" s="95" t="s">
        <v>1203</v>
      </c>
      <c r="M395" s="69" t="s">
        <v>1204</v>
      </c>
      <c r="N395" s="69"/>
      <c r="O395" s="94">
        <v>1</v>
      </c>
      <c r="P395" s="69" t="s">
        <v>50</v>
      </c>
      <c r="Q395" s="69" t="s">
        <v>51</v>
      </c>
      <c r="R395" s="69"/>
      <c r="S395" s="46">
        <v>41820</v>
      </c>
      <c r="T395" s="48">
        <v>43191</v>
      </c>
      <c r="U395" s="69"/>
      <c r="V395" s="69"/>
      <c r="W395" s="69"/>
      <c r="X395" s="69"/>
      <c r="Y395" s="69" t="s">
        <v>4125</v>
      </c>
      <c r="Z395" s="43">
        <v>860000</v>
      </c>
      <c r="AA395" s="43" t="s">
        <v>52</v>
      </c>
      <c r="AB395" s="43" t="s">
        <v>53</v>
      </c>
      <c r="AC395" s="43">
        <v>4088</v>
      </c>
      <c r="AD395" s="141">
        <v>11</v>
      </c>
      <c r="AE395" s="142">
        <v>2</v>
      </c>
      <c r="AF395" s="142"/>
      <c r="AG395" s="69" t="str">
        <f t="shared" si="200"/>
        <v>6 years 277 days</v>
      </c>
      <c r="AH395" s="69">
        <v>6</v>
      </c>
      <c r="AI395" s="69">
        <v>277</v>
      </c>
      <c r="AJ395" s="69">
        <v>0</v>
      </c>
      <c r="AK395" s="69">
        <v>0</v>
      </c>
      <c r="AL395" s="60">
        <v>860000</v>
      </c>
      <c r="AM395" s="60">
        <f t="shared" si="201"/>
        <v>860000</v>
      </c>
      <c r="AN395" s="59">
        <v>518987</v>
      </c>
      <c r="AO395" s="148">
        <f t="shared" si="202"/>
        <v>-518987</v>
      </c>
      <c r="AP395" s="58">
        <v>38077.57925636007</v>
      </c>
      <c r="AQ395" s="143">
        <f t="shared" si="203"/>
        <v>-38077.58</v>
      </c>
    </row>
    <row r="396" spans="1:43" x14ac:dyDescent="0.35">
      <c r="A396" s="69" t="s">
        <v>43</v>
      </c>
      <c r="B396" s="15" t="s">
        <v>1205</v>
      </c>
      <c r="C396" s="15"/>
      <c r="D396" s="69" t="e">
        <f>_xlfn.XLOOKUP(B396,SOM!B:B,SOM!D:D,,0)</f>
        <v>#N/A</v>
      </c>
      <c r="E396" s="76">
        <v>6</v>
      </c>
      <c r="F396" s="69" t="s">
        <v>1151</v>
      </c>
      <c r="G396" s="92" t="s">
        <v>1152</v>
      </c>
      <c r="H396" s="15">
        <v>9008000005</v>
      </c>
      <c r="I396" s="92" t="s">
        <v>593</v>
      </c>
      <c r="J396" s="92">
        <v>1202020101</v>
      </c>
      <c r="K396" s="28"/>
      <c r="L396" s="95" t="s">
        <v>1206</v>
      </c>
      <c r="M396" s="69" t="s">
        <v>1204</v>
      </c>
      <c r="N396" s="69"/>
      <c r="O396" s="94">
        <v>1</v>
      </c>
      <c r="P396" s="69" t="s">
        <v>50</v>
      </c>
      <c r="Q396" s="69" t="s">
        <v>51</v>
      </c>
      <c r="R396" s="69"/>
      <c r="S396" s="46">
        <v>41885</v>
      </c>
      <c r="T396" s="48">
        <v>43191</v>
      </c>
      <c r="U396" s="69"/>
      <c r="V396" s="69"/>
      <c r="W396" s="69"/>
      <c r="X396" s="69"/>
      <c r="Y396" s="69" t="s">
        <v>4125</v>
      </c>
      <c r="Z396" s="43">
        <v>770000</v>
      </c>
      <c r="AA396" s="43" t="s">
        <v>52</v>
      </c>
      <c r="AB396" s="43" t="s">
        <v>53</v>
      </c>
      <c r="AC396" s="43">
        <v>4161</v>
      </c>
      <c r="AD396" s="141">
        <v>11</v>
      </c>
      <c r="AE396" s="142">
        <v>5</v>
      </c>
      <c r="AF396" s="142"/>
      <c r="AG396" s="69" t="str">
        <f t="shared" si="200"/>
        <v>6 years 277 days</v>
      </c>
      <c r="AH396" s="69">
        <v>6</v>
      </c>
      <c r="AI396" s="69">
        <v>277</v>
      </c>
      <c r="AJ396" s="69">
        <v>0</v>
      </c>
      <c r="AK396" s="69">
        <v>0</v>
      </c>
      <c r="AL396" s="60">
        <v>770000</v>
      </c>
      <c r="AM396" s="60">
        <f t="shared" si="201"/>
        <v>770000</v>
      </c>
      <c r="AN396" s="59">
        <v>456522</v>
      </c>
      <c r="AO396" s="148">
        <f t="shared" si="202"/>
        <v>-456522</v>
      </c>
      <c r="AP396" s="58">
        <v>33494.822879115585</v>
      </c>
      <c r="AQ396" s="143">
        <f t="shared" si="203"/>
        <v>-33494.82</v>
      </c>
    </row>
    <row r="397" spans="1:43" x14ac:dyDescent="0.35">
      <c r="A397" s="69" t="s">
        <v>43</v>
      </c>
      <c r="B397" s="15" t="s">
        <v>1207</v>
      </c>
      <c r="C397" s="15"/>
      <c r="D397" s="69"/>
      <c r="E397" s="76">
        <v>0</v>
      </c>
      <c r="F397" s="69" t="s">
        <v>1151</v>
      </c>
      <c r="G397" s="92" t="s">
        <v>1152</v>
      </c>
      <c r="H397" s="15">
        <v>9008000006</v>
      </c>
      <c r="I397" s="92" t="s">
        <v>593</v>
      </c>
      <c r="J397" s="92">
        <v>1202020101</v>
      </c>
      <c r="K397" s="23" t="s">
        <v>1208</v>
      </c>
      <c r="L397" s="95" t="s">
        <v>1209</v>
      </c>
      <c r="M397" s="69" t="s">
        <v>49</v>
      </c>
      <c r="N397" s="69"/>
      <c r="O397" s="94">
        <v>1</v>
      </c>
      <c r="P397" s="69" t="s">
        <v>50</v>
      </c>
      <c r="Q397" s="69" t="s">
        <v>51</v>
      </c>
      <c r="R397" s="69"/>
      <c r="S397" s="46">
        <v>40494</v>
      </c>
      <c r="T397" s="48">
        <v>43191</v>
      </c>
      <c r="U397" s="69"/>
      <c r="V397" s="69"/>
      <c r="W397" s="69"/>
      <c r="X397" s="69"/>
      <c r="Y397" s="69" t="s">
        <v>4125</v>
      </c>
      <c r="Z397" s="43">
        <v>2850000</v>
      </c>
      <c r="AA397" s="43" t="s">
        <v>52</v>
      </c>
      <c r="AB397" s="43" t="s">
        <v>53</v>
      </c>
      <c r="AC397" s="43">
        <v>2774</v>
      </c>
      <c r="AD397" s="141">
        <v>7</v>
      </c>
      <c r="AE397" s="142">
        <v>7</v>
      </c>
      <c r="AF397" s="142"/>
      <c r="AG397" s="69" t="str">
        <f t="shared" ref="AG397:AG398" si="204">_xlfn.CONCAT(AH397," years ",AI397," days")</f>
        <v>6 years 277 days</v>
      </c>
      <c r="AH397" s="69">
        <v>6</v>
      </c>
      <c r="AI397" s="69">
        <v>277</v>
      </c>
      <c r="AJ397" s="69">
        <v>0</v>
      </c>
      <c r="AK397" s="69">
        <v>0</v>
      </c>
      <c r="AL397" s="60">
        <v>2850000</v>
      </c>
      <c r="AM397" s="60">
        <f t="shared" ref="AM397:AM398" si="205">ROUND(AL397,2)</f>
        <v>2850000</v>
      </c>
      <c r="AN397" s="59">
        <v>2534589</v>
      </c>
      <c r="AO397" s="148">
        <f t="shared" ref="AO397:AO398" si="206">ROUND(AN397,2)*-1</f>
        <v>-2534589</v>
      </c>
      <c r="AP397" s="58">
        <v>185958.94520547939</v>
      </c>
      <c r="AQ397" s="143">
        <f t="shared" ref="AQ397:AQ398" si="207">ROUND(AP397,2)*-1</f>
        <v>-185958.95</v>
      </c>
    </row>
    <row r="398" spans="1:43" x14ac:dyDescent="0.35">
      <c r="A398" s="69" t="s">
        <v>43</v>
      </c>
      <c r="B398" s="15" t="s">
        <v>1210</v>
      </c>
      <c r="C398" s="15"/>
      <c r="D398" s="69" t="e">
        <f>_xlfn.XLOOKUP(B398,SOM!B:B,SOM!D:D,,0)</f>
        <v>#N/A</v>
      </c>
      <c r="E398" s="76">
        <v>1</v>
      </c>
      <c r="F398" s="69" t="s">
        <v>1151</v>
      </c>
      <c r="G398" s="92" t="s">
        <v>1152</v>
      </c>
      <c r="H398" s="15">
        <v>9008000006</v>
      </c>
      <c r="I398" s="92" t="s">
        <v>593</v>
      </c>
      <c r="J398" s="92">
        <v>1202020101</v>
      </c>
      <c r="K398" s="23" t="s">
        <v>1211</v>
      </c>
      <c r="L398" s="95" t="s">
        <v>1212</v>
      </c>
      <c r="M398" s="69" t="s">
        <v>49</v>
      </c>
      <c r="N398" s="69"/>
      <c r="O398" s="94">
        <v>1</v>
      </c>
      <c r="P398" s="69" t="s">
        <v>50</v>
      </c>
      <c r="Q398" s="69" t="s">
        <v>51</v>
      </c>
      <c r="R398" s="69"/>
      <c r="S398" s="46">
        <v>40495</v>
      </c>
      <c r="T398" s="48">
        <v>43191</v>
      </c>
      <c r="U398" s="69"/>
      <c r="V398" s="69"/>
      <c r="W398" s="69"/>
      <c r="X398" s="69"/>
      <c r="Y398" s="69" t="s">
        <v>4125</v>
      </c>
      <c r="Z398" s="43">
        <v>125000</v>
      </c>
      <c r="AA398" s="43" t="s">
        <v>52</v>
      </c>
      <c r="AB398" s="43" t="s">
        <v>53</v>
      </c>
      <c r="AC398" s="43">
        <v>2774</v>
      </c>
      <c r="AD398" s="141">
        <v>7</v>
      </c>
      <c r="AE398" s="142">
        <v>7</v>
      </c>
      <c r="AF398" s="142"/>
      <c r="AG398" s="69" t="str">
        <f t="shared" si="204"/>
        <v>6 years 277 days</v>
      </c>
      <c r="AH398" s="69">
        <v>6</v>
      </c>
      <c r="AI398" s="69">
        <v>277</v>
      </c>
      <c r="AJ398" s="69">
        <v>0</v>
      </c>
      <c r="AK398" s="69">
        <v>0</v>
      </c>
      <c r="AL398" s="60">
        <v>125000</v>
      </c>
      <c r="AM398" s="60">
        <f t="shared" si="205"/>
        <v>125000</v>
      </c>
      <c r="AN398" s="59">
        <v>111166</v>
      </c>
      <c r="AO398" s="148">
        <f t="shared" si="206"/>
        <v>-111166</v>
      </c>
      <c r="AP398" s="58">
        <v>8156.2782984859368</v>
      </c>
      <c r="AQ398" s="143">
        <f t="shared" si="207"/>
        <v>-8156.28</v>
      </c>
    </row>
    <row r="399" spans="1:43" x14ac:dyDescent="0.35">
      <c r="A399" s="69" t="s">
        <v>43</v>
      </c>
      <c r="B399" s="15" t="s">
        <v>1213</v>
      </c>
      <c r="C399" s="15"/>
      <c r="D399" s="69"/>
      <c r="E399" s="76">
        <v>0</v>
      </c>
      <c r="F399" s="69" t="s">
        <v>1151</v>
      </c>
      <c r="G399" s="92" t="s">
        <v>1152</v>
      </c>
      <c r="H399" s="15">
        <v>9008000007</v>
      </c>
      <c r="I399" s="92" t="s">
        <v>593</v>
      </c>
      <c r="J399" s="92">
        <v>1202020101</v>
      </c>
      <c r="K399" s="23" t="s">
        <v>1214</v>
      </c>
      <c r="L399" s="95" t="s">
        <v>1215</v>
      </c>
      <c r="M399" s="69" t="s">
        <v>49</v>
      </c>
      <c r="N399" s="69"/>
      <c r="O399" s="94">
        <v>1</v>
      </c>
      <c r="P399" s="69" t="s">
        <v>50</v>
      </c>
      <c r="Q399" s="69" t="s">
        <v>51</v>
      </c>
      <c r="R399" s="69"/>
      <c r="S399" s="46">
        <v>40498</v>
      </c>
      <c r="T399" s="48">
        <v>43191</v>
      </c>
      <c r="U399" s="69"/>
      <c r="V399" s="69"/>
      <c r="W399" s="69"/>
      <c r="X399" s="69"/>
      <c r="Y399" s="69" t="s">
        <v>4125</v>
      </c>
      <c r="Z399" s="43">
        <v>2850000</v>
      </c>
      <c r="AA399" s="43" t="s">
        <v>52</v>
      </c>
      <c r="AB399" s="43" t="s">
        <v>53</v>
      </c>
      <c r="AC399" s="43">
        <v>2774</v>
      </c>
      <c r="AD399" s="141">
        <v>7</v>
      </c>
      <c r="AE399" s="142">
        <v>7</v>
      </c>
      <c r="AF399" s="142"/>
      <c r="AG399" s="69" t="str">
        <f t="shared" ref="AG399:AG400" si="208">_xlfn.CONCAT(AH399," years ",AI399," days")</f>
        <v>6 years 277 days</v>
      </c>
      <c r="AH399" s="69">
        <v>6</v>
      </c>
      <c r="AI399" s="69">
        <v>277</v>
      </c>
      <c r="AJ399" s="69">
        <v>0</v>
      </c>
      <c r="AK399" s="69">
        <v>0</v>
      </c>
      <c r="AL399" s="60">
        <v>2850000</v>
      </c>
      <c r="AM399" s="60">
        <f t="shared" ref="AM399:AM400" si="209">ROUND(AL399,2)</f>
        <v>2850000</v>
      </c>
      <c r="AN399" s="59">
        <v>2534589</v>
      </c>
      <c r="AO399" s="148">
        <f t="shared" ref="AO399:AO400" si="210">ROUND(AN399,2)*-1</f>
        <v>-2534589</v>
      </c>
      <c r="AP399" s="58">
        <v>185958.94520547939</v>
      </c>
      <c r="AQ399" s="143">
        <f t="shared" ref="AQ399:AQ400" si="211">ROUND(AP399,2)*-1</f>
        <v>-185958.95</v>
      </c>
    </row>
    <row r="400" spans="1:43" x14ac:dyDescent="0.35">
      <c r="A400" s="69" t="s">
        <v>43</v>
      </c>
      <c r="B400" s="15" t="s">
        <v>1216</v>
      </c>
      <c r="C400" s="15"/>
      <c r="D400" s="69" t="e">
        <f>_xlfn.XLOOKUP(B400,SOM!B:B,SOM!D:D,,0)</f>
        <v>#N/A</v>
      </c>
      <c r="E400" s="76">
        <v>1</v>
      </c>
      <c r="F400" s="69" t="s">
        <v>1151</v>
      </c>
      <c r="G400" s="92" t="s">
        <v>1152</v>
      </c>
      <c r="H400" s="15">
        <v>9008000007</v>
      </c>
      <c r="I400" s="92" t="s">
        <v>593</v>
      </c>
      <c r="J400" s="92">
        <v>1202020101</v>
      </c>
      <c r="K400" s="23" t="s">
        <v>1217</v>
      </c>
      <c r="L400" s="95" t="s">
        <v>1218</v>
      </c>
      <c r="M400" s="69" t="s">
        <v>49</v>
      </c>
      <c r="N400" s="69"/>
      <c r="O400" s="94">
        <v>1</v>
      </c>
      <c r="P400" s="69" t="s">
        <v>50</v>
      </c>
      <c r="Q400" s="69" t="s">
        <v>51</v>
      </c>
      <c r="R400" s="69"/>
      <c r="S400" s="46">
        <v>40617</v>
      </c>
      <c r="T400" s="48">
        <v>43191</v>
      </c>
      <c r="U400" s="69"/>
      <c r="V400" s="69"/>
      <c r="W400" s="69"/>
      <c r="X400" s="69"/>
      <c r="Y400" s="69" t="s">
        <v>4125</v>
      </c>
      <c r="Z400" s="43">
        <v>52500</v>
      </c>
      <c r="AA400" s="43" t="s">
        <v>52</v>
      </c>
      <c r="AB400" s="43" t="s">
        <v>53</v>
      </c>
      <c r="AC400" s="43">
        <v>1095</v>
      </c>
      <c r="AD400" s="141">
        <v>3</v>
      </c>
      <c r="AE400" s="142">
        <v>0</v>
      </c>
      <c r="AF400" s="142"/>
      <c r="AG400" s="69" t="str">
        <f t="shared" si="208"/>
        <v>3 years 0 days</v>
      </c>
      <c r="AH400" s="69">
        <v>3</v>
      </c>
      <c r="AI400" s="69">
        <v>0</v>
      </c>
      <c r="AJ400" s="69">
        <v>0</v>
      </c>
      <c r="AK400" s="69">
        <v>0</v>
      </c>
      <c r="AL400" s="60">
        <v>52500</v>
      </c>
      <c r="AM400" s="60">
        <f t="shared" si="209"/>
        <v>52500</v>
      </c>
      <c r="AN400" s="59">
        <v>52500</v>
      </c>
      <c r="AO400" s="148">
        <f t="shared" si="210"/>
        <v>-52500</v>
      </c>
      <c r="AP400" s="58">
        <v>0</v>
      </c>
      <c r="AQ400" s="143">
        <f t="shared" si="211"/>
        <v>0</v>
      </c>
    </row>
    <row r="401" spans="1:43" x14ac:dyDescent="0.35">
      <c r="A401" s="69" t="s">
        <v>43</v>
      </c>
      <c r="B401" s="15" t="s">
        <v>1219</v>
      </c>
      <c r="C401" s="15"/>
      <c r="D401" s="69"/>
      <c r="E401" s="76">
        <v>0</v>
      </c>
      <c r="F401" s="69" t="s">
        <v>1151</v>
      </c>
      <c r="G401" s="92" t="s">
        <v>1152</v>
      </c>
      <c r="H401" s="15">
        <v>9008000008</v>
      </c>
      <c r="I401" s="92" t="s">
        <v>593</v>
      </c>
      <c r="J401" s="92">
        <v>1202020101</v>
      </c>
      <c r="K401" s="23" t="s">
        <v>1220</v>
      </c>
      <c r="L401" s="95" t="s">
        <v>1221</v>
      </c>
      <c r="M401" s="69" t="s">
        <v>49</v>
      </c>
      <c r="N401" s="69"/>
      <c r="O401" s="94">
        <v>1</v>
      </c>
      <c r="P401" s="69" t="s">
        <v>50</v>
      </c>
      <c r="Q401" s="69" t="s">
        <v>51</v>
      </c>
      <c r="R401" s="69"/>
      <c r="S401" s="46">
        <v>40507</v>
      </c>
      <c r="T401" s="48">
        <v>43191</v>
      </c>
      <c r="U401" s="69"/>
      <c r="V401" s="69"/>
      <c r="W401" s="69"/>
      <c r="X401" s="69"/>
      <c r="Y401" s="69" t="s">
        <v>4125</v>
      </c>
      <c r="Z401" s="43">
        <v>2850000</v>
      </c>
      <c r="AA401" s="43" t="s">
        <v>52</v>
      </c>
      <c r="AB401" s="43" t="s">
        <v>53</v>
      </c>
      <c r="AC401" s="43">
        <v>2774</v>
      </c>
      <c r="AD401" s="141">
        <v>7</v>
      </c>
      <c r="AE401" s="142">
        <v>7</v>
      </c>
      <c r="AF401" s="142"/>
      <c r="AG401" s="69" t="str">
        <f t="shared" ref="AG401:AG403" si="212">_xlfn.CONCAT(AH401," years ",AI401," days")</f>
        <v>6 years 277 days</v>
      </c>
      <c r="AH401" s="69">
        <v>6</v>
      </c>
      <c r="AI401" s="69">
        <v>277</v>
      </c>
      <c r="AJ401" s="69">
        <v>0</v>
      </c>
      <c r="AK401" s="69">
        <v>0</v>
      </c>
      <c r="AL401" s="60">
        <v>2850000</v>
      </c>
      <c r="AM401" s="60">
        <f t="shared" ref="AM401:AM403" si="213">ROUND(AL401,2)</f>
        <v>2850000</v>
      </c>
      <c r="AN401" s="59">
        <v>2534589</v>
      </c>
      <c r="AO401" s="148">
        <f t="shared" ref="AO401:AO403" si="214">ROUND(AN401,2)*-1</f>
        <v>-2534589</v>
      </c>
      <c r="AP401" s="58">
        <v>185958.94520547939</v>
      </c>
      <c r="AQ401" s="143">
        <f t="shared" ref="AQ401:AQ403" si="215">ROUND(AP401,2)*-1</f>
        <v>-185958.95</v>
      </c>
    </row>
    <row r="402" spans="1:43" x14ac:dyDescent="0.35">
      <c r="A402" s="69" t="s">
        <v>43</v>
      </c>
      <c r="B402" s="15" t="s">
        <v>1222</v>
      </c>
      <c r="C402" s="15"/>
      <c r="D402" s="69" t="e">
        <f>_xlfn.XLOOKUP(B402,SOM!B:B,SOM!D:D,,0)</f>
        <v>#N/A</v>
      </c>
      <c r="E402" s="76">
        <v>2</v>
      </c>
      <c r="F402" s="69" t="s">
        <v>1151</v>
      </c>
      <c r="G402" s="92" t="s">
        <v>1152</v>
      </c>
      <c r="H402" s="15">
        <v>9008000007</v>
      </c>
      <c r="I402" s="92" t="s">
        <v>593</v>
      </c>
      <c r="J402" s="92">
        <v>1202020101</v>
      </c>
      <c r="K402" s="23" t="s">
        <v>1223</v>
      </c>
      <c r="L402" s="95" t="s">
        <v>1224</v>
      </c>
      <c r="M402" s="69" t="s">
        <v>49</v>
      </c>
      <c r="N402" s="69"/>
      <c r="O402" s="94">
        <v>2</v>
      </c>
      <c r="P402" s="69" t="s">
        <v>50</v>
      </c>
      <c r="Q402" s="69" t="s">
        <v>51</v>
      </c>
      <c r="R402" s="69"/>
      <c r="S402" s="46">
        <v>40725</v>
      </c>
      <c r="T402" s="48">
        <v>43191</v>
      </c>
      <c r="U402" s="69"/>
      <c r="V402" s="69"/>
      <c r="W402" s="69"/>
      <c r="X402" s="69"/>
      <c r="Y402" s="69" t="s">
        <v>4125</v>
      </c>
      <c r="Z402" s="43">
        <v>55000</v>
      </c>
      <c r="AA402" s="43" t="s">
        <v>52</v>
      </c>
      <c r="AB402" s="43" t="s">
        <v>53</v>
      </c>
      <c r="AC402" s="43">
        <v>1168</v>
      </c>
      <c r="AD402" s="141">
        <v>3</v>
      </c>
      <c r="AE402" s="142">
        <v>2</v>
      </c>
      <c r="AF402" s="142"/>
      <c r="AG402" s="69" t="str">
        <f t="shared" si="212"/>
        <v>3 years 73 days</v>
      </c>
      <c r="AH402" s="69">
        <v>3</v>
      </c>
      <c r="AI402" s="69">
        <v>73</v>
      </c>
      <c r="AJ402" s="69">
        <v>0</v>
      </c>
      <c r="AK402" s="69">
        <v>0</v>
      </c>
      <c r="AL402" s="60">
        <v>55000</v>
      </c>
      <c r="AM402" s="60">
        <f t="shared" si="213"/>
        <v>55000</v>
      </c>
      <c r="AN402" s="59">
        <v>55000</v>
      </c>
      <c r="AO402" s="148">
        <f t="shared" si="214"/>
        <v>-55000</v>
      </c>
      <c r="AP402" s="58">
        <v>0</v>
      </c>
      <c r="AQ402" s="143">
        <f t="shared" si="215"/>
        <v>0</v>
      </c>
    </row>
    <row r="403" spans="1:43" x14ac:dyDescent="0.35">
      <c r="A403" s="69" t="s">
        <v>43</v>
      </c>
      <c r="B403" s="15" t="s">
        <v>1225</v>
      </c>
      <c r="C403" s="15"/>
      <c r="D403" s="69" t="e">
        <f>_xlfn.XLOOKUP(B403,SOM!B:B,SOM!D:D,,0)</f>
        <v>#N/A</v>
      </c>
      <c r="E403" s="76">
        <v>2</v>
      </c>
      <c r="F403" s="69" t="s">
        <v>1151</v>
      </c>
      <c r="G403" s="92" t="s">
        <v>1152</v>
      </c>
      <c r="H403" s="15">
        <v>9008000008</v>
      </c>
      <c r="I403" s="92" t="s">
        <v>593</v>
      </c>
      <c r="J403" s="92">
        <v>1202020101</v>
      </c>
      <c r="K403" s="23" t="s">
        <v>1226</v>
      </c>
      <c r="L403" s="95" t="s">
        <v>1227</v>
      </c>
      <c r="M403" s="69" t="s">
        <v>49</v>
      </c>
      <c r="N403" s="69"/>
      <c r="O403" s="94">
        <v>1</v>
      </c>
      <c r="P403" s="69" t="s">
        <v>50</v>
      </c>
      <c r="Q403" s="69" t="s">
        <v>51</v>
      </c>
      <c r="R403" s="69"/>
      <c r="S403" s="46">
        <v>40617</v>
      </c>
      <c r="T403" s="48">
        <v>43191</v>
      </c>
      <c r="U403" s="69"/>
      <c r="V403" s="69"/>
      <c r="W403" s="69"/>
      <c r="X403" s="69"/>
      <c r="Y403" s="69" t="s">
        <v>4125</v>
      </c>
      <c r="Z403" s="43">
        <v>145000</v>
      </c>
      <c r="AA403" s="43" t="s">
        <v>52</v>
      </c>
      <c r="AB403" s="43" t="s">
        <v>53</v>
      </c>
      <c r="AC403" s="43">
        <v>2920</v>
      </c>
      <c r="AD403" s="141">
        <v>8</v>
      </c>
      <c r="AE403" s="142">
        <v>0</v>
      </c>
      <c r="AF403" s="142"/>
      <c r="AG403" s="69" t="str">
        <f t="shared" si="212"/>
        <v>6 years 277 days</v>
      </c>
      <c r="AH403" s="69">
        <v>6</v>
      </c>
      <c r="AI403" s="69">
        <v>277</v>
      </c>
      <c r="AJ403" s="69">
        <v>0</v>
      </c>
      <c r="AK403" s="69">
        <v>0</v>
      </c>
      <c r="AL403" s="60">
        <v>145000</v>
      </c>
      <c r="AM403" s="60">
        <f t="shared" si="213"/>
        <v>145000</v>
      </c>
      <c r="AN403" s="59">
        <v>122505</v>
      </c>
      <c r="AO403" s="148">
        <f t="shared" si="214"/>
        <v>-122505</v>
      </c>
      <c r="AP403" s="58">
        <v>8988.1506849315192</v>
      </c>
      <c r="AQ403" s="143">
        <f t="shared" si="215"/>
        <v>-8988.15</v>
      </c>
    </row>
    <row r="404" spans="1:43" x14ac:dyDescent="0.35">
      <c r="A404" s="69" t="s">
        <v>43</v>
      </c>
      <c r="B404" s="15" t="s">
        <v>1228</v>
      </c>
      <c r="C404" s="15"/>
      <c r="D404" s="69"/>
      <c r="E404" s="76">
        <v>0</v>
      </c>
      <c r="F404" s="69" t="s">
        <v>1151</v>
      </c>
      <c r="G404" s="92" t="s">
        <v>1152</v>
      </c>
      <c r="H404" s="15">
        <v>9008000009</v>
      </c>
      <c r="I404" s="92" t="s">
        <v>593</v>
      </c>
      <c r="J404" s="92">
        <v>1202020101</v>
      </c>
      <c r="K404" s="23" t="s">
        <v>1229</v>
      </c>
      <c r="L404" s="95" t="s">
        <v>1230</v>
      </c>
      <c r="M404" s="69" t="s">
        <v>49</v>
      </c>
      <c r="N404" s="69"/>
      <c r="O404" s="94">
        <v>1</v>
      </c>
      <c r="P404" s="69" t="s">
        <v>50</v>
      </c>
      <c r="Q404" s="69" t="s">
        <v>51</v>
      </c>
      <c r="R404" s="69"/>
      <c r="S404" s="46">
        <v>40507</v>
      </c>
      <c r="T404" s="48">
        <v>43191</v>
      </c>
      <c r="U404" s="69"/>
      <c r="V404" s="69"/>
      <c r="W404" s="69"/>
      <c r="X404" s="69"/>
      <c r="Y404" s="69" t="s">
        <v>4125</v>
      </c>
      <c r="Z404" s="43">
        <v>2850000</v>
      </c>
      <c r="AA404" s="43" t="s">
        <v>52</v>
      </c>
      <c r="AB404" s="43" t="s">
        <v>53</v>
      </c>
      <c r="AC404" s="43">
        <v>2774</v>
      </c>
      <c r="AD404" s="141">
        <v>7</v>
      </c>
      <c r="AE404" s="142">
        <v>7</v>
      </c>
      <c r="AF404" s="142"/>
      <c r="AG404" s="69" t="str">
        <f t="shared" ref="AG404:AG406" si="216">_xlfn.CONCAT(AH404," years ",AI404," days")</f>
        <v>6 years 277 days</v>
      </c>
      <c r="AH404" s="69">
        <v>6</v>
      </c>
      <c r="AI404" s="69">
        <v>277</v>
      </c>
      <c r="AJ404" s="69">
        <v>0</v>
      </c>
      <c r="AK404" s="69">
        <v>0</v>
      </c>
      <c r="AL404" s="60">
        <v>2850000</v>
      </c>
      <c r="AM404" s="60">
        <f t="shared" ref="AM404:AM406" si="217">ROUND(AL404,2)</f>
        <v>2850000</v>
      </c>
      <c r="AN404" s="59">
        <v>2534589</v>
      </c>
      <c r="AO404" s="148">
        <f t="shared" ref="AO404:AO406" si="218">ROUND(AN404,2)*-1</f>
        <v>-2534589</v>
      </c>
      <c r="AP404" s="58">
        <v>185958.94520547939</v>
      </c>
      <c r="AQ404" s="143">
        <f t="shared" ref="AQ404:AQ406" si="219">ROUND(AP404,2)*-1</f>
        <v>-185958.95</v>
      </c>
    </row>
    <row r="405" spans="1:43" x14ac:dyDescent="0.35">
      <c r="A405" s="69" t="s">
        <v>43</v>
      </c>
      <c r="B405" s="15" t="s">
        <v>1231</v>
      </c>
      <c r="C405" s="15"/>
      <c r="D405" s="69" t="e">
        <f>_xlfn.XLOOKUP(B405,SOM!B:B,SOM!D:D,,0)</f>
        <v>#N/A</v>
      </c>
      <c r="E405" s="76">
        <v>1</v>
      </c>
      <c r="F405" s="69" t="s">
        <v>1151</v>
      </c>
      <c r="G405" s="92" t="s">
        <v>1152</v>
      </c>
      <c r="H405" s="15">
        <v>9008000009</v>
      </c>
      <c r="I405" s="92" t="s">
        <v>593</v>
      </c>
      <c r="J405" s="92">
        <v>1202020101</v>
      </c>
      <c r="K405" s="23" t="s">
        <v>1232</v>
      </c>
      <c r="L405" s="95" t="s">
        <v>1233</v>
      </c>
      <c r="M405" s="69" t="s">
        <v>49</v>
      </c>
      <c r="N405" s="69"/>
      <c r="O405" s="94">
        <v>1</v>
      </c>
      <c r="P405" s="69" t="s">
        <v>50</v>
      </c>
      <c r="Q405" s="69" t="s">
        <v>51</v>
      </c>
      <c r="R405" s="69"/>
      <c r="S405" s="46">
        <v>40455</v>
      </c>
      <c r="T405" s="48">
        <v>43191</v>
      </c>
      <c r="U405" s="69"/>
      <c r="V405" s="69"/>
      <c r="W405" s="69"/>
      <c r="X405" s="69"/>
      <c r="Y405" s="69" t="s">
        <v>4125</v>
      </c>
      <c r="Z405" s="43">
        <v>300000</v>
      </c>
      <c r="AA405" s="43" t="s">
        <v>52</v>
      </c>
      <c r="AB405" s="43" t="s">
        <v>53</v>
      </c>
      <c r="AC405" s="43">
        <v>2738</v>
      </c>
      <c r="AD405" s="141">
        <v>7</v>
      </c>
      <c r="AE405" s="142">
        <v>6</v>
      </c>
      <c r="AF405" s="142"/>
      <c r="AG405" s="69" t="str">
        <f t="shared" si="216"/>
        <v>6 years 277 days</v>
      </c>
      <c r="AH405" s="69">
        <v>6</v>
      </c>
      <c r="AI405" s="69">
        <v>277</v>
      </c>
      <c r="AJ405" s="69">
        <v>0</v>
      </c>
      <c r="AK405" s="69">
        <v>0</v>
      </c>
      <c r="AL405" s="60">
        <v>300000</v>
      </c>
      <c r="AM405" s="60">
        <f t="shared" si="217"/>
        <v>300000</v>
      </c>
      <c r="AN405" s="59">
        <v>270307</v>
      </c>
      <c r="AO405" s="148">
        <f t="shared" si="218"/>
        <v>-270307</v>
      </c>
      <c r="AP405" s="58">
        <v>19831.787436084705</v>
      </c>
      <c r="AQ405" s="143">
        <f t="shared" si="219"/>
        <v>-19831.79</v>
      </c>
    </row>
    <row r="406" spans="1:43" x14ac:dyDescent="0.35">
      <c r="A406" s="69" t="s">
        <v>43</v>
      </c>
      <c r="B406" s="15" t="s">
        <v>1234</v>
      </c>
      <c r="C406" s="15"/>
      <c r="D406" s="69" t="e">
        <f>_xlfn.XLOOKUP(B406,SOM!B:B,SOM!D:D,,0)</f>
        <v>#N/A</v>
      </c>
      <c r="E406" s="76">
        <v>2</v>
      </c>
      <c r="F406" s="69" t="s">
        <v>1151</v>
      </c>
      <c r="G406" s="92" t="s">
        <v>1152</v>
      </c>
      <c r="H406" s="15">
        <v>9008000009</v>
      </c>
      <c r="I406" s="92" t="s">
        <v>593</v>
      </c>
      <c r="J406" s="92">
        <v>1202020101</v>
      </c>
      <c r="K406" s="102" t="s">
        <v>1235</v>
      </c>
      <c r="L406" s="95" t="s">
        <v>1236</v>
      </c>
      <c r="M406" s="69" t="s">
        <v>1237</v>
      </c>
      <c r="N406" s="69"/>
      <c r="O406" s="94">
        <v>1</v>
      </c>
      <c r="P406" s="69" t="s">
        <v>50</v>
      </c>
      <c r="Q406" s="69" t="s">
        <v>51</v>
      </c>
      <c r="R406" s="69"/>
      <c r="S406" s="46">
        <v>44275</v>
      </c>
      <c r="T406" s="48">
        <v>44275</v>
      </c>
      <c r="U406" s="69"/>
      <c r="V406" s="69"/>
      <c r="W406" s="69"/>
      <c r="X406" s="69"/>
      <c r="Y406" s="69" t="s">
        <v>4128</v>
      </c>
      <c r="Z406" s="43">
        <v>788000</v>
      </c>
      <c r="AA406" s="43" t="s">
        <v>52</v>
      </c>
      <c r="AB406" s="43" t="s">
        <v>53</v>
      </c>
      <c r="AC406" s="43">
        <v>3650</v>
      </c>
      <c r="AD406" s="141">
        <v>10</v>
      </c>
      <c r="AE406" s="142">
        <v>0</v>
      </c>
      <c r="AF406" s="142"/>
      <c r="AG406" s="69" t="str">
        <f t="shared" si="216"/>
        <v>3 years 288 days</v>
      </c>
      <c r="AH406" s="69">
        <v>3</v>
      </c>
      <c r="AI406" s="69">
        <v>288</v>
      </c>
      <c r="AJ406" s="69">
        <v>0</v>
      </c>
      <c r="AK406" s="69">
        <v>0</v>
      </c>
      <c r="AL406" s="60">
        <v>788000</v>
      </c>
      <c r="AM406" s="60">
        <f t="shared" si="217"/>
        <v>788000</v>
      </c>
      <c r="AN406" s="59">
        <v>298576</v>
      </c>
      <c r="AO406" s="148">
        <f t="shared" si="218"/>
        <v>-298576</v>
      </c>
      <c r="AP406" s="58">
        <v>39076.602739726077</v>
      </c>
      <c r="AQ406" s="143">
        <f t="shared" si="219"/>
        <v>-39076.6</v>
      </c>
    </row>
    <row r="407" spans="1:43" x14ac:dyDescent="0.35">
      <c r="A407" s="69" t="s">
        <v>43</v>
      </c>
      <c r="B407" s="15" t="s">
        <v>1238</v>
      </c>
      <c r="C407" s="15"/>
      <c r="D407" s="69"/>
      <c r="E407" s="76">
        <v>0</v>
      </c>
      <c r="F407" s="69" t="s">
        <v>1151</v>
      </c>
      <c r="G407" s="92" t="s">
        <v>1152</v>
      </c>
      <c r="H407" s="15">
        <v>9008000010</v>
      </c>
      <c r="I407" s="92" t="s">
        <v>593</v>
      </c>
      <c r="J407" s="92">
        <v>1202020101</v>
      </c>
      <c r="K407" s="23" t="s">
        <v>1239</v>
      </c>
      <c r="L407" s="95" t="s">
        <v>1240</v>
      </c>
      <c r="M407" s="69" t="s">
        <v>49</v>
      </c>
      <c r="N407" s="69"/>
      <c r="O407" s="94">
        <v>1</v>
      </c>
      <c r="P407" s="69" t="s">
        <v>50</v>
      </c>
      <c r="Q407" s="69" t="s">
        <v>51</v>
      </c>
      <c r="R407" s="69"/>
      <c r="S407" s="46">
        <v>40509</v>
      </c>
      <c r="T407" s="48">
        <v>43191</v>
      </c>
      <c r="U407" s="69"/>
      <c r="V407" s="69"/>
      <c r="W407" s="69"/>
      <c r="X407" s="69"/>
      <c r="Y407" s="69" t="s">
        <v>4125</v>
      </c>
      <c r="Z407" s="43">
        <v>2875000</v>
      </c>
      <c r="AA407" s="43" t="s">
        <v>52</v>
      </c>
      <c r="AB407" s="43" t="s">
        <v>53</v>
      </c>
      <c r="AC407" s="43">
        <v>2811</v>
      </c>
      <c r="AD407" s="141">
        <v>7</v>
      </c>
      <c r="AE407" s="142">
        <v>9</v>
      </c>
      <c r="AF407" s="142"/>
      <c r="AG407" s="69" t="str">
        <f t="shared" ref="AG407:AG410" si="220">_xlfn.CONCAT(AH407," years ",AI407," days")</f>
        <v>6 years 277 days</v>
      </c>
      <c r="AH407" s="69">
        <v>6</v>
      </c>
      <c r="AI407" s="69">
        <v>277</v>
      </c>
      <c r="AJ407" s="69">
        <v>0</v>
      </c>
      <c r="AK407" s="69">
        <v>0</v>
      </c>
      <c r="AL407" s="60">
        <v>2875000</v>
      </c>
      <c r="AM407" s="60">
        <f t="shared" ref="AM407:AM410" si="221">ROUND(AL407,2)</f>
        <v>2875000</v>
      </c>
      <c r="AN407" s="59">
        <v>2523168</v>
      </c>
      <c r="AO407" s="148">
        <f t="shared" ref="AO407:AO410" si="222">ROUND(AN407,2)*-1</f>
        <v>-2523168</v>
      </c>
      <c r="AP407" s="58">
        <v>185120.86517253611</v>
      </c>
      <c r="AQ407" s="143">
        <f t="shared" ref="AQ407:AQ410" si="223">ROUND(AP407,2)*-1</f>
        <v>-185120.87</v>
      </c>
    </row>
    <row r="408" spans="1:43" x14ac:dyDescent="0.35">
      <c r="A408" s="69" t="s">
        <v>43</v>
      </c>
      <c r="B408" s="15" t="s">
        <v>1241</v>
      </c>
      <c r="C408" s="15"/>
      <c r="D408" s="69" t="e">
        <f>_xlfn.XLOOKUP(B408,SOM!B:B,SOM!D:D,,0)</f>
        <v>#N/A</v>
      </c>
      <c r="E408" s="76">
        <v>1</v>
      </c>
      <c r="F408" s="69" t="s">
        <v>1151</v>
      </c>
      <c r="G408" s="92" t="s">
        <v>1152</v>
      </c>
      <c r="H408" s="15">
        <v>9008000010</v>
      </c>
      <c r="I408" s="92" t="s">
        <v>593</v>
      </c>
      <c r="J408" s="92">
        <v>1202020101</v>
      </c>
      <c r="K408" s="23" t="s">
        <v>1242</v>
      </c>
      <c r="L408" s="95" t="s">
        <v>1243</v>
      </c>
      <c r="M408" s="69" t="s">
        <v>1244</v>
      </c>
      <c r="N408" s="69"/>
      <c r="O408" s="94">
        <v>8</v>
      </c>
      <c r="P408" s="69" t="s">
        <v>50</v>
      </c>
      <c r="Q408" s="69" t="s">
        <v>51</v>
      </c>
      <c r="R408" s="69"/>
      <c r="S408" s="46">
        <v>41165</v>
      </c>
      <c r="T408" s="48">
        <v>43191</v>
      </c>
      <c r="U408" s="69"/>
      <c r="V408" s="69"/>
      <c r="W408" s="69"/>
      <c r="X408" s="69"/>
      <c r="Y408" s="69" t="s">
        <v>4125</v>
      </c>
      <c r="Z408" s="43">
        <v>280000</v>
      </c>
      <c r="AA408" s="43" t="s">
        <v>52</v>
      </c>
      <c r="AB408" s="43" t="s">
        <v>53</v>
      </c>
      <c r="AC408" s="43">
        <v>1606</v>
      </c>
      <c r="AD408" s="141">
        <v>4</v>
      </c>
      <c r="AE408" s="142">
        <v>5</v>
      </c>
      <c r="AF408" s="142"/>
      <c r="AG408" s="69" t="str">
        <f t="shared" si="220"/>
        <v>4 years 146 days</v>
      </c>
      <c r="AH408" s="69">
        <v>4</v>
      </c>
      <c r="AI408" s="69">
        <v>146</v>
      </c>
      <c r="AJ408" s="69">
        <v>0</v>
      </c>
      <c r="AK408" s="69">
        <v>0</v>
      </c>
      <c r="AL408" s="60">
        <v>280000</v>
      </c>
      <c r="AM408" s="60">
        <f t="shared" si="221"/>
        <v>280000</v>
      </c>
      <c r="AN408" s="59">
        <v>280000</v>
      </c>
      <c r="AO408" s="148">
        <f t="shared" si="222"/>
        <v>-280000</v>
      </c>
      <c r="AP408" s="58">
        <v>0</v>
      </c>
      <c r="AQ408" s="143">
        <f t="shared" si="223"/>
        <v>0</v>
      </c>
    </row>
    <row r="409" spans="1:43" x14ac:dyDescent="0.35">
      <c r="A409" s="69" t="s">
        <v>43</v>
      </c>
      <c r="B409" s="15" t="s">
        <v>1245</v>
      </c>
      <c r="C409" s="15"/>
      <c r="D409" s="69" t="e">
        <f>_xlfn.XLOOKUP(B409,SOM!B:B,SOM!D:D,,0)</f>
        <v>#N/A</v>
      </c>
      <c r="E409" s="76">
        <v>2</v>
      </c>
      <c r="F409" s="69" t="s">
        <v>1151</v>
      </c>
      <c r="G409" s="92" t="s">
        <v>1152</v>
      </c>
      <c r="H409" s="15">
        <v>9008000010</v>
      </c>
      <c r="I409" s="92" t="s">
        <v>593</v>
      </c>
      <c r="J409" s="92">
        <v>1202020101</v>
      </c>
      <c r="K409" s="102" t="s">
        <v>1246</v>
      </c>
      <c r="L409" s="95" t="s">
        <v>1247</v>
      </c>
      <c r="M409" s="69" t="s">
        <v>1237</v>
      </c>
      <c r="N409" s="69"/>
      <c r="O409" s="94">
        <v>3</v>
      </c>
      <c r="P409" s="69" t="s">
        <v>50</v>
      </c>
      <c r="Q409" s="69" t="s">
        <v>51</v>
      </c>
      <c r="R409" s="69"/>
      <c r="S409" s="46">
        <v>44180</v>
      </c>
      <c r="T409" s="48">
        <v>44180</v>
      </c>
      <c r="U409" s="69"/>
      <c r="V409" s="69"/>
      <c r="W409" s="69"/>
      <c r="X409" s="69"/>
      <c r="Y409" s="69" t="s">
        <v>4127</v>
      </c>
      <c r="Z409" s="43">
        <v>900000</v>
      </c>
      <c r="AA409" s="43" t="s">
        <v>52</v>
      </c>
      <c r="AB409" s="43" t="s">
        <v>53</v>
      </c>
      <c r="AC409" s="43">
        <v>3650</v>
      </c>
      <c r="AD409" s="141">
        <v>10</v>
      </c>
      <c r="AE409" s="142">
        <v>0</v>
      </c>
      <c r="AF409" s="142"/>
      <c r="AG409" s="69" t="str">
        <f t="shared" si="220"/>
        <v>4 years 18 days</v>
      </c>
      <c r="AH409" s="69">
        <v>4</v>
      </c>
      <c r="AI409" s="69">
        <v>18</v>
      </c>
      <c r="AJ409" s="69">
        <v>0</v>
      </c>
      <c r="AK409" s="69">
        <v>0</v>
      </c>
      <c r="AL409" s="60">
        <v>900000</v>
      </c>
      <c r="AM409" s="60">
        <f t="shared" si="221"/>
        <v>900000</v>
      </c>
      <c r="AN409" s="59">
        <v>364438</v>
      </c>
      <c r="AO409" s="148">
        <f t="shared" si="222"/>
        <v>-364438</v>
      </c>
      <c r="AP409" s="58">
        <v>44630.493150684983</v>
      </c>
      <c r="AQ409" s="143">
        <f t="shared" si="223"/>
        <v>-44630.49</v>
      </c>
    </row>
    <row r="410" spans="1:43" x14ac:dyDescent="0.35">
      <c r="A410" s="69" t="s">
        <v>43</v>
      </c>
      <c r="B410" s="15" t="s">
        <v>1248</v>
      </c>
      <c r="C410" s="15"/>
      <c r="D410" s="69" t="e">
        <f>_xlfn.XLOOKUP(B410,SOM!B:B,SOM!D:D,,0)</f>
        <v>#N/A</v>
      </c>
      <c r="E410" s="76">
        <v>3</v>
      </c>
      <c r="F410" s="69" t="s">
        <v>1151</v>
      </c>
      <c r="G410" s="92" t="s">
        <v>1152</v>
      </c>
      <c r="H410" s="15">
        <v>9008000010</v>
      </c>
      <c r="I410" s="92" t="s">
        <v>593</v>
      </c>
      <c r="J410" s="92">
        <v>1202020101</v>
      </c>
      <c r="K410" s="28"/>
      <c r="L410" s="95" t="s">
        <v>1249</v>
      </c>
      <c r="M410" s="69" t="s">
        <v>1250</v>
      </c>
      <c r="N410" s="69"/>
      <c r="O410" s="94">
        <v>1</v>
      </c>
      <c r="P410" s="69" t="s">
        <v>50</v>
      </c>
      <c r="Q410" s="69" t="s">
        <v>51</v>
      </c>
      <c r="R410" s="69"/>
      <c r="S410" s="46">
        <v>44296</v>
      </c>
      <c r="T410" s="48">
        <v>44296</v>
      </c>
      <c r="U410" s="69"/>
      <c r="V410" s="69"/>
      <c r="W410" s="69"/>
      <c r="X410" s="69"/>
      <c r="Y410" s="69" t="s">
        <v>4128</v>
      </c>
      <c r="Z410" s="43">
        <v>245846</v>
      </c>
      <c r="AA410" s="43" t="s">
        <v>52</v>
      </c>
      <c r="AB410" s="43" t="s">
        <v>53</v>
      </c>
      <c r="AC410" s="43">
        <v>3650</v>
      </c>
      <c r="AD410" s="141">
        <v>10</v>
      </c>
      <c r="AE410" s="142">
        <v>0</v>
      </c>
      <c r="AF410" s="142"/>
      <c r="AG410" s="69" t="str">
        <f t="shared" si="220"/>
        <v>3 years 267 days</v>
      </c>
      <c r="AH410" s="69">
        <v>3</v>
      </c>
      <c r="AI410" s="69">
        <v>267</v>
      </c>
      <c r="AJ410" s="69">
        <v>0</v>
      </c>
      <c r="AK410" s="69">
        <v>0</v>
      </c>
      <c r="AL410" s="60">
        <v>245846</v>
      </c>
      <c r="AM410" s="60">
        <f t="shared" si="221"/>
        <v>245846</v>
      </c>
      <c r="AN410" s="59">
        <v>91738</v>
      </c>
      <c r="AO410" s="148">
        <f t="shared" si="222"/>
        <v>-91738</v>
      </c>
      <c r="AP410" s="58">
        <v>12190.870684931506</v>
      </c>
      <c r="AQ410" s="143">
        <f t="shared" si="223"/>
        <v>-12190.87</v>
      </c>
    </row>
    <row r="411" spans="1:43" x14ac:dyDescent="0.35">
      <c r="A411" s="69" t="s">
        <v>43</v>
      </c>
      <c r="B411" s="15" t="s">
        <v>1251</v>
      </c>
      <c r="C411" s="15"/>
      <c r="D411" s="69"/>
      <c r="E411" s="76">
        <v>0</v>
      </c>
      <c r="F411" s="69" t="s">
        <v>1151</v>
      </c>
      <c r="G411" s="92" t="s">
        <v>1152</v>
      </c>
      <c r="H411" s="15">
        <v>9008000011</v>
      </c>
      <c r="I411" s="92" t="s">
        <v>593</v>
      </c>
      <c r="J411" s="92">
        <v>1202020101</v>
      </c>
      <c r="K411" s="23" t="s">
        <v>1252</v>
      </c>
      <c r="L411" s="95" t="s">
        <v>1253</v>
      </c>
      <c r="M411" s="69" t="s">
        <v>49</v>
      </c>
      <c r="N411" s="69"/>
      <c r="O411" s="94">
        <v>1</v>
      </c>
      <c r="P411" s="69" t="s">
        <v>50</v>
      </c>
      <c r="Q411" s="69" t="s">
        <v>51</v>
      </c>
      <c r="R411" s="69"/>
      <c r="S411" s="46">
        <v>40516</v>
      </c>
      <c r="T411" s="48">
        <v>43191</v>
      </c>
      <c r="U411" s="69"/>
      <c r="V411" s="69"/>
      <c r="W411" s="69"/>
      <c r="X411" s="69"/>
      <c r="Y411" s="69" t="s">
        <v>4125</v>
      </c>
      <c r="Z411" s="43">
        <v>2875000</v>
      </c>
      <c r="AA411" s="43" t="s">
        <v>52</v>
      </c>
      <c r="AB411" s="43" t="s">
        <v>53</v>
      </c>
      <c r="AC411" s="43">
        <v>2811</v>
      </c>
      <c r="AD411" s="141">
        <v>7</v>
      </c>
      <c r="AE411" s="142">
        <v>9</v>
      </c>
      <c r="AF411" s="142"/>
      <c r="AG411" s="69" t="str">
        <f t="shared" ref="AG411:AG412" si="224">_xlfn.CONCAT(AH411," years ",AI411," days")</f>
        <v>6 years 277 days</v>
      </c>
      <c r="AH411" s="69">
        <v>6</v>
      </c>
      <c r="AI411" s="69">
        <v>277</v>
      </c>
      <c r="AJ411" s="69">
        <v>0</v>
      </c>
      <c r="AK411" s="69">
        <v>0</v>
      </c>
      <c r="AL411" s="60">
        <v>2875000</v>
      </c>
      <c r="AM411" s="60">
        <f t="shared" ref="AM411:AM412" si="225">ROUND(AL411,2)</f>
        <v>2875000</v>
      </c>
      <c r="AN411" s="59">
        <v>2523168</v>
      </c>
      <c r="AO411" s="148">
        <f t="shared" ref="AO411:AO412" si="226">ROUND(AN411,2)*-1</f>
        <v>-2523168</v>
      </c>
      <c r="AP411" s="58">
        <v>185120.86517253611</v>
      </c>
      <c r="AQ411" s="143">
        <f t="shared" ref="AQ411:AQ412" si="227">ROUND(AP411,2)*-1</f>
        <v>-185120.87</v>
      </c>
    </row>
    <row r="412" spans="1:43" x14ac:dyDescent="0.35">
      <c r="A412" s="69" t="s">
        <v>43</v>
      </c>
      <c r="B412" s="15" t="s">
        <v>1254</v>
      </c>
      <c r="C412" s="15"/>
      <c r="D412" s="69" t="e">
        <f>_xlfn.XLOOKUP(B412,SOM!B:B,SOM!D:D,,0)</f>
        <v>#N/A</v>
      </c>
      <c r="E412" s="76">
        <v>1</v>
      </c>
      <c r="F412" s="69" t="s">
        <v>1151</v>
      </c>
      <c r="G412" s="92" t="s">
        <v>1152</v>
      </c>
      <c r="H412" s="15">
        <v>9008000011</v>
      </c>
      <c r="I412" s="92" t="s">
        <v>593</v>
      </c>
      <c r="J412" s="92">
        <v>1202020101</v>
      </c>
      <c r="K412" s="17" t="s">
        <v>1255</v>
      </c>
      <c r="L412" s="95" t="s">
        <v>1256</v>
      </c>
      <c r="M412" s="69" t="s">
        <v>49</v>
      </c>
      <c r="N412" s="69"/>
      <c r="O412" s="94">
        <v>1</v>
      </c>
      <c r="P412" s="69" t="s">
        <v>50</v>
      </c>
      <c r="Q412" s="69" t="s">
        <v>51</v>
      </c>
      <c r="R412" s="69"/>
      <c r="S412" s="46">
        <v>40568</v>
      </c>
      <c r="T412" s="48">
        <v>43191</v>
      </c>
      <c r="U412" s="69"/>
      <c r="V412" s="69"/>
      <c r="W412" s="69"/>
      <c r="X412" s="69"/>
      <c r="Y412" s="69" t="s">
        <v>4125</v>
      </c>
      <c r="Z412" s="43">
        <v>87500</v>
      </c>
      <c r="AA412" s="43" t="s">
        <v>52</v>
      </c>
      <c r="AB412" s="43" t="s">
        <v>53</v>
      </c>
      <c r="AC412" s="43">
        <v>1022</v>
      </c>
      <c r="AD412" s="141">
        <v>2</v>
      </c>
      <c r="AE412" s="142">
        <v>10</v>
      </c>
      <c r="AF412" s="142"/>
      <c r="AG412" s="69" t="str">
        <f t="shared" si="224"/>
        <v>2 years 292 days</v>
      </c>
      <c r="AH412" s="69">
        <v>2</v>
      </c>
      <c r="AI412" s="69">
        <v>292</v>
      </c>
      <c r="AJ412" s="69">
        <v>0</v>
      </c>
      <c r="AK412" s="69">
        <v>0</v>
      </c>
      <c r="AL412" s="60">
        <v>87500</v>
      </c>
      <c r="AM412" s="60">
        <f t="shared" si="225"/>
        <v>87500</v>
      </c>
      <c r="AN412" s="59">
        <v>87500</v>
      </c>
      <c r="AO412" s="148">
        <f t="shared" si="226"/>
        <v>-87500</v>
      </c>
      <c r="AP412" s="58">
        <v>0</v>
      </c>
      <c r="AQ412" s="143">
        <f t="shared" si="227"/>
        <v>0</v>
      </c>
    </row>
    <row r="413" spans="1:43" x14ac:dyDescent="0.35">
      <c r="A413" s="69" t="s">
        <v>43</v>
      </c>
      <c r="B413" s="15" t="s">
        <v>1257</v>
      </c>
      <c r="C413" s="15"/>
      <c r="D413" s="69"/>
      <c r="E413" s="76">
        <v>0</v>
      </c>
      <c r="F413" s="69" t="s">
        <v>1151</v>
      </c>
      <c r="G413" s="92" t="s">
        <v>1152</v>
      </c>
      <c r="H413" s="15">
        <v>9008000012</v>
      </c>
      <c r="I413" s="92" t="s">
        <v>593</v>
      </c>
      <c r="J413" s="92">
        <v>1202020101</v>
      </c>
      <c r="K413" s="23" t="s">
        <v>1258</v>
      </c>
      <c r="L413" s="95" t="s">
        <v>1259</v>
      </c>
      <c r="M413" s="69" t="s">
        <v>1260</v>
      </c>
      <c r="N413" s="69"/>
      <c r="O413" s="94">
        <v>2</v>
      </c>
      <c r="P413" s="69" t="s">
        <v>50</v>
      </c>
      <c r="Q413" s="69" t="s">
        <v>51</v>
      </c>
      <c r="R413" s="69"/>
      <c r="S413" s="46">
        <v>44145</v>
      </c>
      <c r="T413" s="48">
        <v>44145</v>
      </c>
      <c r="U413" s="69"/>
      <c r="V413" s="69"/>
      <c r="W413" s="69"/>
      <c r="X413" s="69"/>
      <c r="Y413" s="69" t="s">
        <v>4127</v>
      </c>
      <c r="Z413" s="43">
        <v>6384188</v>
      </c>
      <c r="AA413" s="43" t="s">
        <v>52</v>
      </c>
      <c r="AB413" s="43" t="s">
        <v>53</v>
      </c>
      <c r="AC413" s="43">
        <v>3650</v>
      </c>
      <c r="AD413" s="141">
        <v>10</v>
      </c>
      <c r="AE413" s="142">
        <v>0</v>
      </c>
      <c r="AF413" s="142"/>
      <c r="AG413" s="69" t="str">
        <f>_xlfn.CONCAT(AH413," years ",AI413," days")</f>
        <v>4 years 53 days</v>
      </c>
      <c r="AH413" s="69">
        <v>4</v>
      </c>
      <c r="AI413" s="69">
        <v>53</v>
      </c>
      <c r="AJ413" s="69">
        <v>0</v>
      </c>
      <c r="AK413" s="69">
        <v>0</v>
      </c>
      <c r="AL413" s="60">
        <v>6384188</v>
      </c>
      <c r="AM413" s="60">
        <f>ROUND(AL413,2)</f>
        <v>6384188</v>
      </c>
      <c r="AN413" s="59">
        <v>2646377</v>
      </c>
      <c r="AO413" s="148">
        <f>ROUND(AN413,2)*-1</f>
        <v>-2646377</v>
      </c>
      <c r="AP413" s="58">
        <v>316585.86904109642</v>
      </c>
      <c r="AQ413" s="143">
        <f>ROUND(AP413,2)*-1</f>
        <v>-316585.87</v>
      </c>
    </row>
    <row r="414" spans="1:43" x14ac:dyDescent="0.35">
      <c r="A414" s="69" t="s">
        <v>43</v>
      </c>
      <c r="B414" s="134" t="s">
        <v>1261</v>
      </c>
      <c r="C414" s="134"/>
      <c r="D414" s="69"/>
      <c r="E414" s="76">
        <v>0</v>
      </c>
      <c r="F414" s="69" t="s">
        <v>1151</v>
      </c>
      <c r="G414" s="92" t="s">
        <v>1152</v>
      </c>
      <c r="H414" s="15">
        <v>9008000013</v>
      </c>
      <c r="I414" s="92" t="s">
        <v>593</v>
      </c>
      <c r="J414" s="92">
        <v>1202020101</v>
      </c>
      <c r="K414" s="23" t="s">
        <v>1262</v>
      </c>
      <c r="L414" s="95" t="s">
        <v>1263</v>
      </c>
      <c r="M414" s="69" t="s">
        <v>1264</v>
      </c>
      <c r="N414" s="69"/>
      <c r="O414" s="94">
        <v>1</v>
      </c>
      <c r="P414" s="69" t="s">
        <v>50</v>
      </c>
      <c r="Q414" s="69" t="s">
        <v>51</v>
      </c>
      <c r="R414" s="69"/>
      <c r="S414" s="46">
        <v>42624</v>
      </c>
      <c r="T414" s="48">
        <v>43191</v>
      </c>
      <c r="U414" s="69"/>
      <c r="V414" s="69"/>
      <c r="W414" s="69"/>
      <c r="X414" s="69"/>
      <c r="Y414" s="69" t="s">
        <v>4125</v>
      </c>
      <c r="Z414" s="55">
        <v>5975000</v>
      </c>
      <c r="AA414" s="43" t="s">
        <v>52</v>
      </c>
      <c r="AB414" s="43" t="s">
        <v>53</v>
      </c>
      <c r="AC414" s="43">
        <v>4891</v>
      </c>
      <c r="AD414" s="141">
        <v>13</v>
      </c>
      <c r="AE414" s="142">
        <v>5</v>
      </c>
      <c r="AF414" s="142"/>
      <c r="AG414" s="69" t="str">
        <f t="shared" ref="AG414:AG415" si="228">_xlfn.CONCAT(AH414," years ",AI414," days")</f>
        <v>6 years 277 days</v>
      </c>
      <c r="AH414" s="69">
        <v>6</v>
      </c>
      <c r="AI414" s="69">
        <v>277</v>
      </c>
      <c r="AJ414" s="69">
        <v>0</v>
      </c>
      <c r="AK414" s="69">
        <v>0</v>
      </c>
      <c r="AL414" s="63">
        <v>5975000</v>
      </c>
      <c r="AM414" s="60">
        <f t="shared" ref="AM414:AM415" si="229">ROUND(AL414,2)</f>
        <v>5975000</v>
      </c>
      <c r="AN414" s="59">
        <v>3013765</v>
      </c>
      <c r="AO414" s="148">
        <f t="shared" ref="AO414:AO415" si="230">ROUND(AN414,2)*-1</f>
        <v>-3013765</v>
      </c>
      <c r="AP414" s="58">
        <v>221115.3925577593</v>
      </c>
      <c r="AQ414" s="143">
        <f t="shared" ref="AQ414:AQ415" si="231">ROUND(AP414,2)*-1</f>
        <v>-221115.39</v>
      </c>
    </row>
    <row r="415" spans="1:43" x14ac:dyDescent="0.35">
      <c r="A415" s="69" t="s">
        <v>43</v>
      </c>
      <c r="B415" s="15" t="s">
        <v>1265</v>
      </c>
      <c r="C415" s="15"/>
      <c r="D415" s="69" t="e">
        <f>_xlfn.XLOOKUP(B415,SOM!B:B,SOM!D:D,,0)</f>
        <v>#N/A</v>
      </c>
      <c r="E415" s="76">
        <v>1</v>
      </c>
      <c r="F415" s="69" t="s">
        <v>1151</v>
      </c>
      <c r="G415" s="92" t="s">
        <v>1152</v>
      </c>
      <c r="H415" s="15">
        <v>9008000013</v>
      </c>
      <c r="I415" s="92" t="s">
        <v>593</v>
      </c>
      <c r="J415" s="92">
        <v>1202020101</v>
      </c>
      <c r="K415" s="23" t="s">
        <v>1266</v>
      </c>
      <c r="L415" s="95" t="s">
        <v>1267</v>
      </c>
      <c r="M415" s="69" t="s">
        <v>49</v>
      </c>
      <c r="N415" s="69"/>
      <c r="O415" s="94">
        <v>1</v>
      </c>
      <c r="P415" s="69" t="s">
        <v>50</v>
      </c>
      <c r="Q415" s="69" t="s">
        <v>51</v>
      </c>
      <c r="R415" s="69"/>
      <c r="S415" s="46">
        <v>40576</v>
      </c>
      <c r="T415" s="48">
        <v>43191</v>
      </c>
      <c r="U415" s="69"/>
      <c r="V415" s="69"/>
      <c r="W415" s="69"/>
      <c r="X415" s="69"/>
      <c r="Y415" s="69" t="s">
        <v>4125</v>
      </c>
      <c r="Z415" s="43">
        <v>180000</v>
      </c>
      <c r="AA415" s="43" t="s">
        <v>52</v>
      </c>
      <c r="AB415" s="43" t="s">
        <v>53</v>
      </c>
      <c r="AC415" s="43">
        <v>2847</v>
      </c>
      <c r="AD415" s="141">
        <v>7</v>
      </c>
      <c r="AE415" s="142">
        <v>10</v>
      </c>
      <c r="AF415" s="142"/>
      <c r="AG415" s="69" t="str">
        <f t="shared" si="228"/>
        <v>6 years 277 days</v>
      </c>
      <c r="AH415" s="69">
        <v>6</v>
      </c>
      <c r="AI415" s="69">
        <v>277</v>
      </c>
      <c r="AJ415" s="69">
        <v>0</v>
      </c>
      <c r="AK415" s="69">
        <v>0</v>
      </c>
      <c r="AL415" s="60">
        <v>180000</v>
      </c>
      <c r="AM415" s="60">
        <f t="shared" si="229"/>
        <v>180000</v>
      </c>
      <c r="AN415" s="59">
        <v>155975</v>
      </c>
      <c r="AO415" s="148">
        <f t="shared" si="230"/>
        <v>-155975</v>
      </c>
      <c r="AP415" s="58">
        <v>11443.335089567961</v>
      </c>
      <c r="AQ415" s="143">
        <f t="shared" si="231"/>
        <v>-11443.34</v>
      </c>
    </row>
    <row r="416" spans="1:43" x14ac:dyDescent="0.35">
      <c r="A416" s="69" t="s">
        <v>43</v>
      </c>
      <c r="B416" s="15" t="s">
        <v>1268</v>
      </c>
      <c r="C416" s="15"/>
      <c r="D416" s="69"/>
      <c r="E416" s="76">
        <v>0</v>
      </c>
      <c r="F416" s="69" t="s">
        <v>1151</v>
      </c>
      <c r="G416" s="92" t="s">
        <v>1152</v>
      </c>
      <c r="H416" s="15">
        <v>9008000014</v>
      </c>
      <c r="I416" s="92" t="s">
        <v>593</v>
      </c>
      <c r="J416" s="92">
        <v>1202020101</v>
      </c>
      <c r="K416" s="23" t="s">
        <v>1269</v>
      </c>
      <c r="L416" s="95" t="s">
        <v>1270</v>
      </c>
      <c r="M416" s="69" t="s">
        <v>1264</v>
      </c>
      <c r="N416" s="69"/>
      <c r="O416" s="94">
        <v>1</v>
      </c>
      <c r="P416" s="69" t="s">
        <v>50</v>
      </c>
      <c r="Q416" s="69" t="s">
        <v>51</v>
      </c>
      <c r="R416" s="69"/>
      <c r="S416" s="46">
        <v>42618</v>
      </c>
      <c r="T416" s="48">
        <v>43191</v>
      </c>
      <c r="U416" s="69"/>
      <c r="V416" s="69"/>
      <c r="W416" s="69"/>
      <c r="X416" s="69"/>
      <c r="Y416" s="69" t="s">
        <v>4125</v>
      </c>
      <c r="Z416" s="43">
        <v>5975000</v>
      </c>
      <c r="AA416" s="43" t="s">
        <v>52</v>
      </c>
      <c r="AB416" s="43" t="s">
        <v>53</v>
      </c>
      <c r="AC416" s="43">
        <v>4891</v>
      </c>
      <c r="AD416" s="141">
        <v>13</v>
      </c>
      <c r="AE416" s="142">
        <v>5</v>
      </c>
      <c r="AF416" s="142"/>
      <c r="AG416" s="69" t="str">
        <f>_xlfn.CONCAT(AH416," years ",AI416," days")</f>
        <v>6 years 277 days</v>
      </c>
      <c r="AH416" s="69">
        <v>6</v>
      </c>
      <c r="AI416" s="69">
        <v>277</v>
      </c>
      <c r="AJ416" s="69">
        <v>0</v>
      </c>
      <c r="AK416" s="69">
        <v>0</v>
      </c>
      <c r="AL416" s="60">
        <v>5975000</v>
      </c>
      <c r="AM416" s="60">
        <f>ROUND(AL416,2)</f>
        <v>5975000</v>
      </c>
      <c r="AN416" s="59">
        <v>3013765</v>
      </c>
      <c r="AO416" s="148">
        <f>ROUND(AN416,2)*-1</f>
        <v>-3013765</v>
      </c>
      <c r="AP416" s="58">
        <v>221115.3925577593</v>
      </c>
      <c r="AQ416" s="143">
        <f>ROUND(AP416,2)*-1</f>
        <v>-221115.39</v>
      </c>
    </row>
    <row r="417" spans="1:43" x14ac:dyDescent="0.35">
      <c r="A417" s="69" t="s">
        <v>43</v>
      </c>
      <c r="B417" s="15" t="s">
        <v>1271</v>
      </c>
      <c r="C417" s="15"/>
      <c r="D417" s="69"/>
      <c r="E417" s="76">
        <v>0</v>
      </c>
      <c r="F417" s="69" t="s">
        <v>1151</v>
      </c>
      <c r="G417" s="92" t="s">
        <v>1152</v>
      </c>
      <c r="H417" s="15">
        <v>9008000015</v>
      </c>
      <c r="I417" s="92" t="s">
        <v>593</v>
      </c>
      <c r="J417" s="92">
        <v>1202020101</v>
      </c>
      <c r="K417" s="17" t="s">
        <v>1272</v>
      </c>
      <c r="L417" s="95" t="s">
        <v>1273</v>
      </c>
      <c r="M417" s="69" t="s">
        <v>49</v>
      </c>
      <c r="N417" s="69"/>
      <c r="O417" s="94">
        <v>1</v>
      </c>
      <c r="P417" s="69" t="s">
        <v>50</v>
      </c>
      <c r="Q417" s="69" t="s">
        <v>51</v>
      </c>
      <c r="R417" s="69"/>
      <c r="S417" s="46">
        <v>40536</v>
      </c>
      <c r="T417" s="48">
        <v>43191</v>
      </c>
      <c r="U417" s="69"/>
      <c r="V417" s="69"/>
      <c r="W417" s="69"/>
      <c r="X417" s="69"/>
      <c r="Y417" s="69" t="s">
        <v>4125</v>
      </c>
      <c r="Z417" s="43">
        <v>2875000</v>
      </c>
      <c r="AA417" s="43" t="s">
        <v>52</v>
      </c>
      <c r="AB417" s="43" t="s">
        <v>53</v>
      </c>
      <c r="AC417" s="43">
        <v>2811</v>
      </c>
      <c r="AD417" s="141">
        <v>7</v>
      </c>
      <c r="AE417" s="142">
        <v>9</v>
      </c>
      <c r="AF417" s="142"/>
      <c r="AG417" s="69" t="str">
        <f>_xlfn.CONCAT(AH417," years ",AI417," days")</f>
        <v>6 years 277 days</v>
      </c>
      <c r="AH417" s="69">
        <v>6</v>
      </c>
      <c r="AI417" s="69">
        <v>277</v>
      </c>
      <c r="AJ417" s="69">
        <v>0</v>
      </c>
      <c r="AK417" s="69">
        <v>0</v>
      </c>
      <c r="AL417" s="60">
        <v>2875000</v>
      </c>
      <c r="AM417" s="60">
        <f>ROUND(AL417,2)</f>
        <v>2875000</v>
      </c>
      <c r="AN417" s="59">
        <v>2523168</v>
      </c>
      <c r="AO417" s="148">
        <f>ROUND(AN417,2)*-1</f>
        <v>-2523168</v>
      </c>
      <c r="AP417" s="58">
        <v>185120.86517253611</v>
      </c>
      <c r="AQ417" s="143">
        <f>ROUND(AP417,2)*-1</f>
        <v>-185120.87</v>
      </c>
    </row>
    <row r="418" spans="1:43" x14ac:dyDescent="0.35">
      <c r="A418" s="69" t="s">
        <v>43</v>
      </c>
      <c r="B418" s="15" t="s">
        <v>1274</v>
      </c>
      <c r="C418" s="15"/>
      <c r="D418" s="69"/>
      <c r="E418" s="76">
        <v>0</v>
      </c>
      <c r="F418" s="69" t="s">
        <v>1151</v>
      </c>
      <c r="G418" s="92" t="s">
        <v>1152</v>
      </c>
      <c r="H418" s="15">
        <v>9008000016</v>
      </c>
      <c r="I418" s="92" t="s">
        <v>593</v>
      </c>
      <c r="J418" s="92">
        <v>1202020101</v>
      </c>
      <c r="K418" s="23" t="s">
        <v>1275</v>
      </c>
      <c r="L418" s="95" t="s">
        <v>1276</v>
      </c>
      <c r="M418" s="69" t="s">
        <v>1277</v>
      </c>
      <c r="N418" s="69"/>
      <c r="O418" s="94">
        <v>1</v>
      </c>
      <c r="P418" s="69" t="s">
        <v>50</v>
      </c>
      <c r="Q418" s="69" t="s">
        <v>51</v>
      </c>
      <c r="R418" s="69"/>
      <c r="S418" s="46">
        <v>44029</v>
      </c>
      <c r="T418" s="48">
        <v>43191</v>
      </c>
      <c r="U418" s="69"/>
      <c r="V418" s="69"/>
      <c r="W418" s="69"/>
      <c r="X418" s="69"/>
      <c r="Y418" s="69" t="s">
        <v>4125</v>
      </c>
      <c r="Z418" s="43">
        <v>5850000</v>
      </c>
      <c r="AA418" s="43" t="s">
        <v>52</v>
      </c>
      <c r="AB418" s="43" t="s">
        <v>53</v>
      </c>
      <c r="AC418" s="43">
        <v>4782</v>
      </c>
      <c r="AD418" s="141">
        <v>13</v>
      </c>
      <c r="AE418" s="142">
        <v>1</v>
      </c>
      <c r="AF418" s="142"/>
      <c r="AG418" s="69" t="str">
        <f t="shared" ref="AG418:AG420" si="232">_xlfn.CONCAT(AH418," years ",AI418," days")</f>
        <v>6 years 277 days</v>
      </c>
      <c r="AH418" s="69">
        <v>6</v>
      </c>
      <c r="AI418" s="69">
        <v>277</v>
      </c>
      <c r="AJ418" s="69">
        <v>0</v>
      </c>
      <c r="AK418" s="69">
        <v>0</v>
      </c>
      <c r="AL418" s="60">
        <v>5850000</v>
      </c>
      <c r="AM418" s="60">
        <f t="shared" ref="AM418:AM420" si="233">ROUND(AL418,2)</f>
        <v>5850000</v>
      </c>
      <c r="AN418" s="59">
        <v>3019197</v>
      </c>
      <c r="AO418" s="148">
        <f t="shared" ref="AO418:AO420" si="234">ROUND(AN418,2)*-1</f>
        <v>-3019197</v>
      </c>
      <c r="AP418" s="58">
        <v>221424.07904642401</v>
      </c>
      <c r="AQ418" s="143">
        <f t="shared" ref="AQ418:AQ420" si="235">ROUND(AP418,2)*-1</f>
        <v>-221424.08</v>
      </c>
    </row>
    <row r="419" spans="1:43" x14ac:dyDescent="0.35">
      <c r="A419" s="69" t="s">
        <v>43</v>
      </c>
      <c r="B419" s="15" t="s">
        <v>1278</v>
      </c>
      <c r="C419" s="15"/>
      <c r="D419" s="69" t="e">
        <f>_xlfn.XLOOKUP(B419,SOM!B:B,SOM!D:D,,0)</f>
        <v>#N/A</v>
      </c>
      <c r="E419" s="76">
        <v>1</v>
      </c>
      <c r="F419" s="69" t="s">
        <v>1151</v>
      </c>
      <c r="G419" s="92" t="s">
        <v>1152</v>
      </c>
      <c r="H419" s="8">
        <v>9008000016</v>
      </c>
      <c r="I419" s="92" t="s">
        <v>593</v>
      </c>
      <c r="J419" s="92">
        <v>1202020101</v>
      </c>
      <c r="K419" s="23" t="s">
        <v>1279</v>
      </c>
      <c r="L419" s="95" t="s">
        <v>1280</v>
      </c>
      <c r="M419" s="69" t="s">
        <v>1281</v>
      </c>
      <c r="N419" s="69"/>
      <c r="O419" s="94">
        <v>2</v>
      </c>
      <c r="P419" s="69" t="s">
        <v>50</v>
      </c>
      <c r="Q419" s="69" t="s">
        <v>51</v>
      </c>
      <c r="R419" s="69"/>
      <c r="S419" s="46">
        <v>42597</v>
      </c>
      <c r="T419" s="48">
        <v>43191</v>
      </c>
      <c r="U419" s="69"/>
      <c r="V419" s="69"/>
      <c r="W419" s="69"/>
      <c r="X419" s="69"/>
      <c r="Y419" s="69" t="s">
        <v>4125</v>
      </c>
      <c r="Z419" s="43">
        <v>150000</v>
      </c>
      <c r="AA419" s="43" t="s">
        <v>52</v>
      </c>
      <c r="AB419" s="43" t="s">
        <v>53</v>
      </c>
      <c r="AC419" s="43">
        <v>2993</v>
      </c>
      <c r="AD419" s="141">
        <v>8</v>
      </c>
      <c r="AE419" s="142">
        <v>2</v>
      </c>
      <c r="AF419" s="142"/>
      <c r="AG419" s="69" t="str">
        <f t="shared" si="232"/>
        <v>6 years 277 days</v>
      </c>
      <c r="AH419" s="69">
        <v>6</v>
      </c>
      <c r="AI419" s="69">
        <v>277</v>
      </c>
      <c r="AJ419" s="69">
        <v>0</v>
      </c>
      <c r="AK419" s="69">
        <v>0</v>
      </c>
      <c r="AL419" s="60">
        <v>150000</v>
      </c>
      <c r="AM419" s="60">
        <f t="shared" si="233"/>
        <v>150000</v>
      </c>
      <c r="AN419" s="59">
        <v>123638</v>
      </c>
      <c r="AO419" s="148">
        <f t="shared" si="234"/>
        <v>-123638</v>
      </c>
      <c r="AP419" s="58">
        <v>9071.6558636819245</v>
      </c>
      <c r="AQ419" s="143">
        <f t="shared" si="235"/>
        <v>-9071.66</v>
      </c>
    </row>
    <row r="420" spans="1:43" x14ac:dyDescent="0.35">
      <c r="A420" s="69" t="s">
        <v>43</v>
      </c>
      <c r="B420" s="15" t="s">
        <v>1282</v>
      </c>
      <c r="C420" s="15"/>
      <c r="D420" s="69" t="e">
        <f>_xlfn.XLOOKUP(B420,SOM!B:B,SOM!D:D,,0)</f>
        <v>#N/A</v>
      </c>
      <c r="E420" s="76">
        <v>2</v>
      </c>
      <c r="F420" s="69" t="s">
        <v>1151</v>
      </c>
      <c r="G420" s="92" t="s">
        <v>1152</v>
      </c>
      <c r="H420" s="15">
        <v>9008000016</v>
      </c>
      <c r="I420" s="92" t="s">
        <v>593</v>
      </c>
      <c r="J420" s="92">
        <v>1202020101</v>
      </c>
      <c r="K420" s="28"/>
      <c r="L420" s="95" t="s">
        <v>1283</v>
      </c>
      <c r="M420" s="69" t="s">
        <v>1284</v>
      </c>
      <c r="N420" s="69"/>
      <c r="O420" s="94">
        <v>3</v>
      </c>
      <c r="P420" s="69" t="s">
        <v>50</v>
      </c>
      <c r="Q420" s="69" t="s">
        <v>51</v>
      </c>
      <c r="R420" s="69"/>
      <c r="S420" s="46">
        <v>45108</v>
      </c>
      <c r="T420" s="48">
        <v>45108</v>
      </c>
      <c r="U420" s="69"/>
      <c r="V420" s="69"/>
      <c r="W420" s="69"/>
      <c r="X420" s="69"/>
      <c r="Y420" s="69" t="s">
        <v>4129</v>
      </c>
      <c r="Z420" s="43">
        <v>184210</v>
      </c>
      <c r="AA420" s="43" t="s">
        <v>52</v>
      </c>
      <c r="AB420" s="43" t="s">
        <v>53</v>
      </c>
      <c r="AC420" s="43">
        <v>3650</v>
      </c>
      <c r="AD420" s="141">
        <v>10</v>
      </c>
      <c r="AE420" s="142">
        <v>0</v>
      </c>
      <c r="AF420" s="142"/>
      <c r="AG420" s="69" t="str">
        <f t="shared" si="232"/>
        <v>1 years 185 days</v>
      </c>
      <c r="AH420" s="69">
        <v>1</v>
      </c>
      <c r="AI420" s="69">
        <v>185</v>
      </c>
      <c r="AJ420" s="69">
        <v>0</v>
      </c>
      <c r="AK420" s="69">
        <v>0</v>
      </c>
      <c r="AL420" s="60">
        <v>184210</v>
      </c>
      <c r="AM420" s="60">
        <f t="shared" si="233"/>
        <v>184210</v>
      </c>
      <c r="AN420" s="59">
        <v>27758</v>
      </c>
      <c r="AO420" s="148">
        <f t="shared" si="234"/>
        <v>-27758</v>
      </c>
      <c r="AP420" s="58">
        <v>9134.4684931506854</v>
      </c>
      <c r="AQ420" s="143">
        <f t="shared" si="235"/>
        <v>-9134.4699999999993</v>
      </c>
    </row>
    <row r="421" spans="1:43" x14ac:dyDescent="0.35">
      <c r="A421" s="69" t="s">
        <v>43</v>
      </c>
      <c r="B421" s="15" t="s">
        <v>1285</v>
      </c>
      <c r="C421" s="15"/>
      <c r="D421" s="69"/>
      <c r="E421" s="76">
        <v>0</v>
      </c>
      <c r="F421" s="69" t="s">
        <v>1151</v>
      </c>
      <c r="G421" s="92" t="s">
        <v>1152</v>
      </c>
      <c r="H421" s="15">
        <v>9008000017</v>
      </c>
      <c r="I421" s="92" t="s">
        <v>593</v>
      </c>
      <c r="J421" s="92">
        <v>1202020101</v>
      </c>
      <c r="K421" s="23" t="s">
        <v>1286</v>
      </c>
      <c r="L421" s="95" t="s">
        <v>1287</v>
      </c>
      <c r="M421" s="69" t="s">
        <v>1288</v>
      </c>
      <c r="N421" s="69"/>
      <c r="O421" s="94">
        <v>1</v>
      </c>
      <c r="P421" s="69" t="s">
        <v>50</v>
      </c>
      <c r="Q421" s="69" t="s">
        <v>51</v>
      </c>
      <c r="R421" s="69"/>
      <c r="S421" s="46">
        <v>41261</v>
      </c>
      <c r="T421" s="48">
        <v>43191</v>
      </c>
      <c r="U421" s="69"/>
      <c r="V421" s="69"/>
      <c r="W421" s="69"/>
      <c r="X421" s="69"/>
      <c r="Y421" s="69" t="s">
        <v>4125</v>
      </c>
      <c r="Z421" s="43">
        <v>3550000</v>
      </c>
      <c r="AA421" s="43" t="s">
        <v>52</v>
      </c>
      <c r="AB421" s="43" t="s">
        <v>53</v>
      </c>
      <c r="AC421" s="43">
        <v>3541</v>
      </c>
      <c r="AD421" s="141">
        <v>9</v>
      </c>
      <c r="AE421" s="142">
        <v>9</v>
      </c>
      <c r="AF421" s="142"/>
      <c r="AG421" s="69" t="str">
        <f t="shared" ref="AG421:AG425" si="236">_xlfn.CONCAT(AH421," years ",AI421," days")</f>
        <v>6 years 277 days</v>
      </c>
      <c r="AH421" s="69">
        <v>6</v>
      </c>
      <c r="AI421" s="69">
        <v>277</v>
      </c>
      <c r="AJ421" s="69">
        <v>0</v>
      </c>
      <c r="AK421" s="69">
        <v>0</v>
      </c>
      <c r="AL421" s="60">
        <v>3550000</v>
      </c>
      <c r="AM421" s="60">
        <f t="shared" ref="AM421:AM425" si="237">ROUND(AL421,2)</f>
        <v>3550000</v>
      </c>
      <c r="AN421" s="59">
        <v>2473270</v>
      </c>
      <c r="AO421" s="148">
        <f t="shared" ref="AO421:AO425" si="238">ROUND(AN421,2)*-1</f>
        <v>-2473270</v>
      </c>
      <c r="AP421" s="58">
        <v>181460.3021745272</v>
      </c>
      <c r="AQ421" s="143">
        <f t="shared" ref="AQ421:AQ425" si="239">ROUND(AP421,2)*-1</f>
        <v>-181460.3</v>
      </c>
    </row>
    <row r="422" spans="1:43" x14ac:dyDescent="0.35">
      <c r="A422" s="69" t="s">
        <v>43</v>
      </c>
      <c r="B422" s="15" t="s">
        <v>1289</v>
      </c>
      <c r="C422" s="15"/>
      <c r="D422" s="69" t="e">
        <f>_xlfn.XLOOKUP(B422,SOM!B:B,SOM!D:D,,0)</f>
        <v>#N/A</v>
      </c>
      <c r="E422" s="76">
        <v>1</v>
      </c>
      <c r="F422" s="69" t="s">
        <v>1151</v>
      </c>
      <c r="G422" s="92" t="s">
        <v>1152</v>
      </c>
      <c r="H422" s="15">
        <v>9008000017</v>
      </c>
      <c r="I422" s="92" t="s">
        <v>593</v>
      </c>
      <c r="J422" s="92">
        <v>1202020101</v>
      </c>
      <c r="K422" s="17" t="s">
        <v>1290</v>
      </c>
      <c r="L422" s="95" t="s">
        <v>1291</v>
      </c>
      <c r="M422" s="69" t="s">
        <v>49</v>
      </c>
      <c r="N422" s="69"/>
      <c r="O422" s="94">
        <v>1</v>
      </c>
      <c r="P422" s="69" t="s">
        <v>50</v>
      </c>
      <c r="Q422" s="69" t="s">
        <v>51</v>
      </c>
      <c r="R422" s="69"/>
      <c r="S422" s="46">
        <v>40794</v>
      </c>
      <c r="T422" s="48">
        <v>43191</v>
      </c>
      <c r="U422" s="69"/>
      <c r="V422" s="69"/>
      <c r="W422" s="69"/>
      <c r="X422" s="69"/>
      <c r="Y422" s="69" t="s">
        <v>4125</v>
      </c>
      <c r="Z422" s="43">
        <v>15000</v>
      </c>
      <c r="AA422" s="43" t="s">
        <v>52</v>
      </c>
      <c r="AB422" s="43" t="s">
        <v>53</v>
      </c>
      <c r="AC422" s="43">
        <v>1241</v>
      </c>
      <c r="AD422" s="141">
        <v>3</v>
      </c>
      <c r="AE422" s="142">
        <v>5</v>
      </c>
      <c r="AF422" s="142"/>
      <c r="AG422" s="69" t="str">
        <f t="shared" si="236"/>
        <v>3 years 146 days</v>
      </c>
      <c r="AH422" s="69">
        <v>3</v>
      </c>
      <c r="AI422" s="69">
        <v>146</v>
      </c>
      <c r="AJ422" s="69">
        <v>0</v>
      </c>
      <c r="AK422" s="69">
        <v>0</v>
      </c>
      <c r="AL422" s="60">
        <v>15000</v>
      </c>
      <c r="AM422" s="60">
        <f t="shared" si="237"/>
        <v>15000</v>
      </c>
      <c r="AN422" s="59">
        <v>15000</v>
      </c>
      <c r="AO422" s="148">
        <f t="shared" si="238"/>
        <v>-15000</v>
      </c>
      <c r="AP422" s="58">
        <v>0</v>
      </c>
      <c r="AQ422" s="143">
        <f t="shared" si="239"/>
        <v>0</v>
      </c>
    </row>
    <row r="423" spans="1:43" x14ac:dyDescent="0.35">
      <c r="A423" s="69" t="s">
        <v>43</v>
      </c>
      <c r="B423" s="15" t="s">
        <v>1292</v>
      </c>
      <c r="C423" s="15"/>
      <c r="D423" s="69" t="e">
        <f>_xlfn.XLOOKUP(B423,SOM!B:B,SOM!D:D,,0)</f>
        <v>#N/A</v>
      </c>
      <c r="E423" s="76">
        <v>2</v>
      </c>
      <c r="F423" s="69" t="s">
        <v>1151</v>
      </c>
      <c r="G423" s="92" t="s">
        <v>1152</v>
      </c>
      <c r="H423" s="15">
        <v>9008000017</v>
      </c>
      <c r="I423" s="92" t="s">
        <v>593</v>
      </c>
      <c r="J423" s="92">
        <v>1202020101</v>
      </c>
      <c r="K423" s="23" t="s">
        <v>1293</v>
      </c>
      <c r="L423" s="95" t="s">
        <v>1294</v>
      </c>
      <c r="M423" s="69" t="s">
        <v>1295</v>
      </c>
      <c r="N423" s="69"/>
      <c r="O423" s="94">
        <v>1</v>
      </c>
      <c r="P423" s="69" t="s">
        <v>50</v>
      </c>
      <c r="Q423" s="69" t="s">
        <v>51</v>
      </c>
      <c r="R423" s="69"/>
      <c r="S423" s="46">
        <v>41157</v>
      </c>
      <c r="T423" s="48">
        <v>43191</v>
      </c>
      <c r="U423" s="69"/>
      <c r="V423" s="69"/>
      <c r="W423" s="69"/>
      <c r="X423" s="69"/>
      <c r="Y423" s="69" t="s">
        <v>4125</v>
      </c>
      <c r="Z423" s="43">
        <v>720000</v>
      </c>
      <c r="AA423" s="43" t="s">
        <v>52</v>
      </c>
      <c r="AB423" s="43" t="s">
        <v>53</v>
      </c>
      <c r="AC423" s="43">
        <v>3431</v>
      </c>
      <c r="AD423" s="141">
        <v>9</v>
      </c>
      <c r="AE423" s="142">
        <v>5</v>
      </c>
      <c r="AF423" s="142"/>
      <c r="AG423" s="69" t="str">
        <f t="shared" si="236"/>
        <v>6 years 277 days</v>
      </c>
      <c r="AH423" s="69">
        <v>6</v>
      </c>
      <c r="AI423" s="69">
        <v>277</v>
      </c>
      <c r="AJ423" s="69">
        <v>0</v>
      </c>
      <c r="AK423" s="69">
        <v>0</v>
      </c>
      <c r="AL423" s="60">
        <v>720000</v>
      </c>
      <c r="AM423" s="60">
        <f t="shared" si="237"/>
        <v>720000</v>
      </c>
      <c r="AN423" s="59">
        <v>517703</v>
      </c>
      <c r="AO423" s="148">
        <f t="shared" si="238"/>
        <v>-517703</v>
      </c>
      <c r="AP423" s="58">
        <v>37983.38880792784</v>
      </c>
      <c r="AQ423" s="143">
        <f t="shared" si="239"/>
        <v>-37983.39</v>
      </c>
    </row>
    <row r="424" spans="1:43" x14ac:dyDescent="0.35">
      <c r="A424" s="69" t="s">
        <v>43</v>
      </c>
      <c r="B424" s="15" t="s">
        <v>1296</v>
      </c>
      <c r="C424" s="15"/>
      <c r="D424" s="69" t="e">
        <f>_xlfn.XLOOKUP(B424,SOM!B:B,SOM!D:D,,0)</f>
        <v>#N/A</v>
      </c>
      <c r="E424" s="76">
        <v>3</v>
      </c>
      <c r="F424" s="69" t="s">
        <v>1151</v>
      </c>
      <c r="G424" s="92" t="s">
        <v>1152</v>
      </c>
      <c r="H424" s="15">
        <v>9008000017</v>
      </c>
      <c r="I424" s="92" t="s">
        <v>593</v>
      </c>
      <c r="J424" s="92">
        <v>1202020101</v>
      </c>
      <c r="K424" s="23" t="s">
        <v>1297</v>
      </c>
      <c r="L424" s="95" t="s">
        <v>1298</v>
      </c>
      <c r="M424" s="69" t="s">
        <v>1299</v>
      </c>
      <c r="N424" s="69"/>
      <c r="O424" s="94">
        <v>1</v>
      </c>
      <c r="P424" s="69" t="s">
        <v>50</v>
      </c>
      <c r="Q424" s="69" t="s">
        <v>51</v>
      </c>
      <c r="R424" s="69"/>
      <c r="S424" s="46">
        <v>41302</v>
      </c>
      <c r="T424" s="48">
        <v>43191</v>
      </c>
      <c r="U424" s="69"/>
      <c r="V424" s="69"/>
      <c r="W424" s="69"/>
      <c r="X424" s="69"/>
      <c r="Y424" s="69" t="s">
        <v>4125</v>
      </c>
      <c r="Z424" s="43">
        <v>175000</v>
      </c>
      <c r="AA424" s="43" t="s">
        <v>52</v>
      </c>
      <c r="AB424" s="43" t="s">
        <v>53</v>
      </c>
      <c r="AC424" s="43">
        <v>3577</v>
      </c>
      <c r="AD424" s="141">
        <v>9</v>
      </c>
      <c r="AE424" s="142">
        <v>10</v>
      </c>
      <c r="AF424" s="142"/>
      <c r="AG424" s="69" t="str">
        <f t="shared" si="236"/>
        <v>6 years 277 days</v>
      </c>
      <c r="AH424" s="69">
        <v>6</v>
      </c>
      <c r="AI424" s="69">
        <v>277</v>
      </c>
      <c r="AJ424" s="69">
        <v>0</v>
      </c>
      <c r="AK424" s="69">
        <v>0</v>
      </c>
      <c r="AL424" s="60">
        <v>175000</v>
      </c>
      <c r="AM424" s="60">
        <f t="shared" si="237"/>
        <v>175000</v>
      </c>
      <c r="AN424" s="59">
        <v>120695</v>
      </c>
      <c r="AO424" s="148">
        <f t="shared" si="238"/>
        <v>-120695</v>
      </c>
      <c r="AP424" s="58">
        <v>8854.9021526418655</v>
      </c>
      <c r="AQ424" s="143">
        <f t="shared" si="239"/>
        <v>-8854.9</v>
      </c>
    </row>
    <row r="425" spans="1:43" x14ac:dyDescent="0.35">
      <c r="A425" s="69" t="s">
        <v>43</v>
      </c>
      <c r="B425" s="15" t="s">
        <v>1300</v>
      </c>
      <c r="C425" s="15"/>
      <c r="D425" s="69" t="e">
        <f>_xlfn.XLOOKUP(B425,SOM!B:B,SOM!D:D,,0)</f>
        <v>#N/A</v>
      </c>
      <c r="E425" s="76">
        <v>4</v>
      </c>
      <c r="F425" s="69" t="s">
        <v>1151</v>
      </c>
      <c r="G425" s="92" t="s">
        <v>1152</v>
      </c>
      <c r="H425" s="135">
        <v>9008000017</v>
      </c>
      <c r="I425" s="92" t="s">
        <v>593</v>
      </c>
      <c r="J425" s="92">
        <v>1202020101</v>
      </c>
      <c r="K425" s="28"/>
      <c r="L425" s="95" t="s">
        <v>1301</v>
      </c>
      <c r="M425" s="69" t="s">
        <v>1302</v>
      </c>
      <c r="N425" s="69"/>
      <c r="O425" s="94">
        <v>1</v>
      </c>
      <c r="P425" s="69" t="s">
        <v>50</v>
      </c>
      <c r="Q425" s="69" t="s">
        <v>51</v>
      </c>
      <c r="R425" s="69"/>
      <c r="S425" s="46">
        <v>44426</v>
      </c>
      <c r="T425" s="48">
        <v>44426</v>
      </c>
      <c r="U425" s="69"/>
      <c r="V425" s="69"/>
      <c r="W425" s="69"/>
      <c r="X425" s="69"/>
      <c r="Y425" s="69" t="s">
        <v>4128</v>
      </c>
      <c r="Z425" s="43">
        <v>121325</v>
      </c>
      <c r="AA425" s="43" t="s">
        <v>52</v>
      </c>
      <c r="AB425" s="43" t="s">
        <v>53</v>
      </c>
      <c r="AC425" s="43">
        <v>3650</v>
      </c>
      <c r="AD425" s="141">
        <v>10</v>
      </c>
      <c r="AE425" s="142">
        <v>0</v>
      </c>
      <c r="AF425" s="142"/>
      <c r="AG425" s="69" t="str">
        <f t="shared" si="236"/>
        <v>3 years 137 days</v>
      </c>
      <c r="AH425" s="69">
        <v>3</v>
      </c>
      <c r="AI425" s="69">
        <v>137</v>
      </c>
      <c r="AJ425" s="69">
        <v>0</v>
      </c>
      <c r="AK425" s="69">
        <v>0</v>
      </c>
      <c r="AL425" s="60">
        <v>121325</v>
      </c>
      <c r="AM425" s="60">
        <f t="shared" si="237"/>
        <v>121325</v>
      </c>
      <c r="AN425" s="59">
        <v>40951</v>
      </c>
      <c r="AO425" s="148">
        <f t="shared" si="238"/>
        <v>-40951</v>
      </c>
      <c r="AP425" s="58">
        <v>6016.7328767123327</v>
      </c>
      <c r="AQ425" s="143">
        <f t="shared" si="239"/>
        <v>-6016.73</v>
      </c>
    </row>
    <row r="426" spans="1:43" x14ac:dyDescent="0.35">
      <c r="A426" s="69" t="s">
        <v>43</v>
      </c>
      <c r="B426" s="15" t="s">
        <v>1303</v>
      </c>
      <c r="C426" s="15"/>
      <c r="D426" s="69"/>
      <c r="E426" s="76">
        <v>0</v>
      </c>
      <c r="F426" s="69" t="s">
        <v>1151</v>
      </c>
      <c r="G426" s="92" t="s">
        <v>1152</v>
      </c>
      <c r="H426" s="15">
        <v>9008000018</v>
      </c>
      <c r="I426" s="92" t="s">
        <v>593</v>
      </c>
      <c r="J426" s="92">
        <v>1202020101</v>
      </c>
      <c r="K426" s="23" t="s">
        <v>1304</v>
      </c>
      <c r="L426" s="95" t="s">
        <v>1305</v>
      </c>
      <c r="M426" s="69" t="s">
        <v>1306</v>
      </c>
      <c r="N426" s="69"/>
      <c r="O426" s="94">
        <v>1</v>
      </c>
      <c r="P426" s="69" t="s">
        <v>50</v>
      </c>
      <c r="Q426" s="69" t="s">
        <v>51</v>
      </c>
      <c r="R426" s="69"/>
      <c r="S426" s="46">
        <v>41261</v>
      </c>
      <c r="T426" s="48">
        <v>43191</v>
      </c>
      <c r="U426" s="69"/>
      <c r="V426" s="69"/>
      <c r="W426" s="69"/>
      <c r="X426" s="69"/>
      <c r="Y426" s="69" t="s">
        <v>4125</v>
      </c>
      <c r="Z426" s="43">
        <v>3550000</v>
      </c>
      <c r="AA426" s="43" t="s">
        <v>52</v>
      </c>
      <c r="AB426" s="43" t="s">
        <v>53</v>
      </c>
      <c r="AC426" s="43">
        <v>3541</v>
      </c>
      <c r="AD426" s="141">
        <v>9</v>
      </c>
      <c r="AE426" s="142">
        <v>9</v>
      </c>
      <c r="AF426" s="142"/>
      <c r="AG426" s="69" t="str">
        <f t="shared" ref="AG426:AG428" si="240">_xlfn.CONCAT(AH426," years ",AI426," days")</f>
        <v>6 years 277 days</v>
      </c>
      <c r="AH426" s="69">
        <v>6</v>
      </c>
      <c r="AI426" s="69">
        <v>277</v>
      </c>
      <c r="AJ426" s="69">
        <v>0</v>
      </c>
      <c r="AK426" s="69">
        <v>0</v>
      </c>
      <c r="AL426" s="60">
        <v>3550000</v>
      </c>
      <c r="AM426" s="60">
        <f t="shared" ref="AM426:AM428" si="241">ROUND(AL426,2)</f>
        <v>3550000</v>
      </c>
      <c r="AN426" s="59">
        <v>2473270</v>
      </c>
      <c r="AO426" s="148">
        <f t="shared" ref="AO426:AO428" si="242">ROUND(AN426,2)*-1</f>
        <v>-2473270</v>
      </c>
      <c r="AP426" s="58">
        <v>181460.3021745272</v>
      </c>
      <c r="AQ426" s="143">
        <f t="shared" ref="AQ426:AQ428" si="243">ROUND(AP426,2)*-1</f>
        <v>-181460.3</v>
      </c>
    </row>
    <row r="427" spans="1:43" x14ac:dyDescent="0.35">
      <c r="A427" s="69" t="s">
        <v>43</v>
      </c>
      <c r="B427" s="15" t="s">
        <v>1307</v>
      </c>
      <c r="C427" s="15"/>
      <c r="D427" s="69" t="e">
        <f>_xlfn.XLOOKUP(B427,SOM!B:B,SOM!D:D,,0)</f>
        <v>#N/A</v>
      </c>
      <c r="E427" s="76">
        <v>1</v>
      </c>
      <c r="F427" s="69" t="s">
        <v>1151</v>
      </c>
      <c r="G427" s="92" t="s">
        <v>1152</v>
      </c>
      <c r="H427" s="15">
        <v>9008000018</v>
      </c>
      <c r="I427" s="92" t="s">
        <v>593</v>
      </c>
      <c r="J427" s="92">
        <v>1202020101</v>
      </c>
      <c r="K427" s="17" t="s">
        <v>1308</v>
      </c>
      <c r="L427" s="95" t="s">
        <v>1309</v>
      </c>
      <c r="M427" s="69" t="s">
        <v>1310</v>
      </c>
      <c r="N427" s="69"/>
      <c r="O427" s="94">
        <v>1</v>
      </c>
      <c r="P427" s="69" t="s">
        <v>50</v>
      </c>
      <c r="Q427" s="69" t="s">
        <v>51</v>
      </c>
      <c r="R427" s="69"/>
      <c r="S427" s="46">
        <v>41286</v>
      </c>
      <c r="T427" s="48">
        <v>43191</v>
      </c>
      <c r="U427" s="69"/>
      <c r="V427" s="69"/>
      <c r="W427" s="69"/>
      <c r="X427" s="69"/>
      <c r="Y427" s="69" t="s">
        <v>4125</v>
      </c>
      <c r="Z427" s="43">
        <v>245000</v>
      </c>
      <c r="AA427" s="43" t="s">
        <v>52</v>
      </c>
      <c r="AB427" s="43" t="s">
        <v>53</v>
      </c>
      <c r="AC427" s="43">
        <v>1752</v>
      </c>
      <c r="AD427" s="141">
        <v>4</v>
      </c>
      <c r="AE427" s="142">
        <v>10</v>
      </c>
      <c r="AF427" s="142"/>
      <c r="AG427" s="69" t="str">
        <f t="shared" si="240"/>
        <v>4 years 292 days</v>
      </c>
      <c r="AH427" s="69">
        <v>4</v>
      </c>
      <c r="AI427" s="69">
        <v>292</v>
      </c>
      <c r="AJ427" s="69">
        <v>0</v>
      </c>
      <c r="AK427" s="69">
        <v>0</v>
      </c>
      <c r="AL427" s="60">
        <v>245000</v>
      </c>
      <c r="AM427" s="60">
        <f t="shared" si="241"/>
        <v>245000</v>
      </c>
      <c r="AN427" s="59">
        <v>245000</v>
      </c>
      <c r="AO427" s="148">
        <f t="shared" si="242"/>
        <v>-245000</v>
      </c>
      <c r="AP427" s="58">
        <v>0</v>
      </c>
      <c r="AQ427" s="143">
        <f t="shared" si="243"/>
        <v>0</v>
      </c>
    </row>
    <row r="428" spans="1:43" x14ac:dyDescent="0.35">
      <c r="A428" s="69" t="s">
        <v>43</v>
      </c>
      <c r="B428" s="15" t="s">
        <v>1311</v>
      </c>
      <c r="C428" s="15"/>
      <c r="D428" s="69" t="e">
        <f>_xlfn.XLOOKUP(B428,SOM!B:B,SOM!D:D,,0)</f>
        <v>#N/A</v>
      </c>
      <c r="E428" s="76">
        <v>2</v>
      </c>
      <c r="F428" s="69" t="s">
        <v>1151</v>
      </c>
      <c r="G428" s="92" t="s">
        <v>1152</v>
      </c>
      <c r="H428" s="15">
        <v>9008000018</v>
      </c>
      <c r="I428" s="92" t="s">
        <v>593</v>
      </c>
      <c r="J428" s="92">
        <v>1202020101</v>
      </c>
      <c r="K428" s="23" t="s">
        <v>1312</v>
      </c>
      <c r="L428" s="95" t="s">
        <v>1313</v>
      </c>
      <c r="M428" s="69" t="s">
        <v>1314</v>
      </c>
      <c r="N428" s="69"/>
      <c r="O428" s="94">
        <v>2</v>
      </c>
      <c r="P428" s="69" t="s">
        <v>50</v>
      </c>
      <c r="Q428" s="69" t="s">
        <v>51</v>
      </c>
      <c r="R428" s="69"/>
      <c r="S428" s="46">
        <v>41302</v>
      </c>
      <c r="T428" s="48">
        <v>43191</v>
      </c>
      <c r="U428" s="69"/>
      <c r="V428" s="69"/>
      <c r="W428" s="69"/>
      <c r="X428" s="69"/>
      <c r="Y428" s="69" t="s">
        <v>4125</v>
      </c>
      <c r="Z428" s="43">
        <v>350000</v>
      </c>
      <c r="AA428" s="43" t="s">
        <v>52</v>
      </c>
      <c r="AB428" s="43" t="s">
        <v>53</v>
      </c>
      <c r="AC428" s="43">
        <v>3577</v>
      </c>
      <c r="AD428" s="141">
        <v>9</v>
      </c>
      <c r="AE428" s="142">
        <v>10</v>
      </c>
      <c r="AF428" s="142"/>
      <c r="AG428" s="69" t="str">
        <f t="shared" si="240"/>
        <v>6 years 277 days</v>
      </c>
      <c r="AH428" s="69">
        <v>6</v>
      </c>
      <c r="AI428" s="69">
        <v>277</v>
      </c>
      <c r="AJ428" s="69">
        <v>0</v>
      </c>
      <c r="AK428" s="69">
        <v>0</v>
      </c>
      <c r="AL428" s="60">
        <v>350000</v>
      </c>
      <c r="AM428" s="60">
        <f t="shared" si="241"/>
        <v>350000</v>
      </c>
      <c r="AN428" s="59">
        <v>241389</v>
      </c>
      <c r="AO428" s="148">
        <f t="shared" si="242"/>
        <v>-241389</v>
      </c>
      <c r="AP428" s="58">
        <v>17710.804305283731</v>
      </c>
      <c r="AQ428" s="143">
        <f t="shared" si="243"/>
        <v>-17710.8</v>
      </c>
    </row>
    <row r="429" spans="1:43" x14ac:dyDescent="0.35">
      <c r="A429" s="69" t="s">
        <v>43</v>
      </c>
      <c r="B429" s="15" t="s">
        <v>1315</v>
      </c>
      <c r="C429" s="15"/>
      <c r="D429" s="69"/>
      <c r="E429" s="76">
        <v>0</v>
      </c>
      <c r="F429" s="69" t="s">
        <v>1151</v>
      </c>
      <c r="G429" s="92" t="s">
        <v>1152</v>
      </c>
      <c r="H429" s="15">
        <v>9008000019</v>
      </c>
      <c r="I429" s="92" t="s">
        <v>593</v>
      </c>
      <c r="J429" s="92">
        <v>1202020101</v>
      </c>
      <c r="K429" s="23" t="s">
        <v>1316</v>
      </c>
      <c r="L429" s="95" t="s">
        <v>1317</v>
      </c>
      <c r="M429" s="69" t="s">
        <v>1306</v>
      </c>
      <c r="N429" s="69"/>
      <c r="O429" s="94">
        <v>1</v>
      </c>
      <c r="P429" s="69" t="s">
        <v>50</v>
      </c>
      <c r="Q429" s="69" t="s">
        <v>51</v>
      </c>
      <c r="R429" s="69"/>
      <c r="S429" s="46">
        <v>41277</v>
      </c>
      <c r="T429" s="48">
        <v>43191</v>
      </c>
      <c r="U429" s="69"/>
      <c r="V429" s="69"/>
      <c r="W429" s="69"/>
      <c r="X429" s="69"/>
      <c r="Y429" s="69" t="s">
        <v>4125</v>
      </c>
      <c r="Z429" s="43">
        <v>3600000</v>
      </c>
      <c r="AA429" s="43" t="s">
        <v>52</v>
      </c>
      <c r="AB429" s="43" t="s">
        <v>53</v>
      </c>
      <c r="AC429" s="43">
        <v>3577</v>
      </c>
      <c r="AD429" s="141">
        <v>9</v>
      </c>
      <c r="AE429" s="142">
        <v>10</v>
      </c>
      <c r="AF429" s="142"/>
      <c r="AG429" s="69" t="str">
        <f t="shared" ref="AG429:AG430" si="244">_xlfn.CONCAT(AH429," years ",AI429," days")</f>
        <v>6 years 277 days</v>
      </c>
      <c r="AH429" s="69">
        <v>6</v>
      </c>
      <c r="AI429" s="69">
        <v>277</v>
      </c>
      <c r="AJ429" s="69">
        <v>0</v>
      </c>
      <c r="AK429" s="69">
        <v>0</v>
      </c>
      <c r="AL429" s="60">
        <v>3600000</v>
      </c>
      <c r="AM429" s="60">
        <f t="shared" ref="AM429:AM430" si="245">ROUND(AL429,2)</f>
        <v>3600000</v>
      </c>
      <c r="AN429" s="59">
        <v>2482863</v>
      </c>
      <c r="AO429" s="148">
        <f t="shared" ref="AO429:AO430" si="246">ROUND(AN429,2)*-1</f>
        <v>-2482863</v>
      </c>
      <c r="AP429" s="58">
        <v>182163.5585686327</v>
      </c>
      <c r="AQ429" s="143">
        <f t="shared" ref="AQ429:AQ430" si="247">ROUND(AP429,2)*-1</f>
        <v>-182163.56</v>
      </c>
    </row>
    <row r="430" spans="1:43" x14ac:dyDescent="0.35">
      <c r="A430" s="69" t="s">
        <v>43</v>
      </c>
      <c r="B430" s="15" t="s">
        <v>1318</v>
      </c>
      <c r="C430" s="15"/>
      <c r="D430" s="69" t="e">
        <f>_xlfn.XLOOKUP(B430,SOM!B:B,SOM!D:D,,0)</f>
        <v>#N/A</v>
      </c>
      <c r="E430" s="76">
        <v>1</v>
      </c>
      <c r="F430" s="69" t="s">
        <v>1151</v>
      </c>
      <c r="G430" s="92" t="s">
        <v>1152</v>
      </c>
      <c r="H430" s="135">
        <v>9008000019</v>
      </c>
      <c r="I430" s="92" t="s">
        <v>593</v>
      </c>
      <c r="J430" s="92">
        <v>1202020101</v>
      </c>
      <c r="K430" s="28"/>
      <c r="L430" s="95" t="s">
        <v>1319</v>
      </c>
      <c r="M430" s="69" t="s">
        <v>1320</v>
      </c>
      <c r="N430" s="69"/>
      <c r="O430" s="94">
        <v>12</v>
      </c>
      <c r="P430" s="69" t="s">
        <v>50</v>
      </c>
      <c r="Q430" s="69" t="s">
        <v>51</v>
      </c>
      <c r="R430" s="69"/>
      <c r="S430" s="46">
        <v>45333</v>
      </c>
      <c r="T430" s="48">
        <v>45333</v>
      </c>
      <c r="U430" s="69"/>
      <c r="V430" s="69"/>
      <c r="W430" s="69"/>
      <c r="X430" s="69"/>
      <c r="Y430" s="69" t="s">
        <v>4130</v>
      </c>
      <c r="Z430" s="43">
        <v>137158.5</v>
      </c>
      <c r="AA430" s="43" t="s">
        <v>52</v>
      </c>
      <c r="AB430" s="43" t="s">
        <v>53</v>
      </c>
      <c r="AC430" s="43">
        <v>3650</v>
      </c>
      <c r="AD430" s="141">
        <v>10</v>
      </c>
      <c r="AE430" s="142">
        <v>0</v>
      </c>
      <c r="AF430" s="142"/>
      <c r="AG430" s="69" t="str">
        <f t="shared" si="244"/>
        <v>0 years 325 days</v>
      </c>
      <c r="AH430" s="69">
        <v>0</v>
      </c>
      <c r="AI430" s="69">
        <v>325</v>
      </c>
      <c r="AJ430" s="69">
        <v>0</v>
      </c>
      <c r="AK430" s="69">
        <v>0</v>
      </c>
      <c r="AL430" s="60">
        <v>137158.5</v>
      </c>
      <c r="AM430" s="60">
        <f t="shared" si="245"/>
        <v>137158.5</v>
      </c>
      <c r="AN430" s="59">
        <v>12213</v>
      </c>
      <c r="AO430" s="148">
        <f t="shared" si="246"/>
        <v>-12213</v>
      </c>
      <c r="AP430" s="58">
        <v>6801.3016438356171</v>
      </c>
      <c r="AQ430" s="143">
        <f t="shared" si="247"/>
        <v>-6801.3</v>
      </c>
    </row>
    <row r="431" spans="1:43" x14ac:dyDescent="0.35">
      <c r="A431" s="69" t="s">
        <v>43</v>
      </c>
      <c r="B431" s="15" t="s">
        <v>1321</v>
      </c>
      <c r="C431" s="15"/>
      <c r="D431" s="69"/>
      <c r="E431" s="76">
        <v>0</v>
      </c>
      <c r="F431" s="69" t="s">
        <v>1151</v>
      </c>
      <c r="G431" s="92" t="s">
        <v>1152</v>
      </c>
      <c r="H431" s="15">
        <v>9008000020</v>
      </c>
      <c r="I431" s="92" t="s">
        <v>593</v>
      </c>
      <c r="J431" s="92">
        <v>1202020101</v>
      </c>
      <c r="K431" s="23" t="s">
        <v>1322</v>
      </c>
      <c r="L431" s="95" t="s">
        <v>1323</v>
      </c>
      <c r="M431" s="69" t="s">
        <v>1306</v>
      </c>
      <c r="N431" s="69"/>
      <c r="O431" s="94">
        <v>1</v>
      </c>
      <c r="P431" s="69" t="s">
        <v>50</v>
      </c>
      <c r="Q431" s="69" t="s">
        <v>51</v>
      </c>
      <c r="R431" s="69"/>
      <c r="S431" s="46">
        <v>41277</v>
      </c>
      <c r="T431" s="48">
        <v>43191</v>
      </c>
      <c r="U431" s="69"/>
      <c r="V431" s="69"/>
      <c r="W431" s="69"/>
      <c r="X431" s="69"/>
      <c r="Y431" s="69" t="s">
        <v>4125</v>
      </c>
      <c r="Z431" s="43">
        <v>3600000</v>
      </c>
      <c r="AA431" s="43" t="s">
        <v>52</v>
      </c>
      <c r="AB431" s="43" t="s">
        <v>53</v>
      </c>
      <c r="AC431" s="43">
        <v>3577</v>
      </c>
      <c r="AD431" s="141">
        <v>9</v>
      </c>
      <c r="AE431" s="142">
        <v>10</v>
      </c>
      <c r="AF431" s="142"/>
      <c r="AG431" s="69" t="str">
        <f t="shared" ref="AG431:AG432" si="248">_xlfn.CONCAT(AH431," years ",AI431," days")</f>
        <v>6 years 277 days</v>
      </c>
      <c r="AH431" s="69">
        <v>6</v>
      </c>
      <c r="AI431" s="69">
        <v>277</v>
      </c>
      <c r="AJ431" s="69">
        <v>0</v>
      </c>
      <c r="AK431" s="69">
        <v>0</v>
      </c>
      <c r="AL431" s="60">
        <v>3600000</v>
      </c>
      <c r="AM431" s="60">
        <f t="shared" ref="AM431:AM432" si="249">ROUND(AL431,2)</f>
        <v>3600000</v>
      </c>
      <c r="AN431" s="59">
        <v>2482863</v>
      </c>
      <c r="AO431" s="148">
        <f t="shared" ref="AO431:AO432" si="250">ROUND(AN431,2)*-1</f>
        <v>-2482863</v>
      </c>
      <c r="AP431" s="58">
        <v>182163.5585686327</v>
      </c>
      <c r="AQ431" s="143">
        <f t="shared" ref="AQ431:AQ432" si="251">ROUND(AP431,2)*-1</f>
        <v>-182163.56</v>
      </c>
    </row>
    <row r="432" spans="1:43" x14ac:dyDescent="0.35">
      <c r="A432" s="69" t="s">
        <v>43</v>
      </c>
      <c r="B432" s="15" t="s">
        <v>1324</v>
      </c>
      <c r="C432" s="15"/>
      <c r="D432" s="69" t="e">
        <f>_xlfn.XLOOKUP(B432,SOM!B:B,SOM!D:D,,0)</f>
        <v>#N/A</v>
      </c>
      <c r="E432" s="76">
        <v>1</v>
      </c>
      <c r="F432" s="69" t="s">
        <v>1151</v>
      </c>
      <c r="G432" s="92" t="s">
        <v>1152</v>
      </c>
      <c r="H432" s="135">
        <v>9008000020</v>
      </c>
      <c r="I432" s="92" t="s">
        <v>593</v>
      </c>
      <c r="J432" s="92">
        <v>1202020101</v>
      </c>
      <c r="K432" s="28"/>
      <c r="L432" s="95" t="s">
        <v>1325</v>
      </c>
      <c r="M432" s="69" t="s">
        <v>49</v>
      </c>
      <c r="N432" s="69"/>
      <c r="O432" s="94">
        <v>1</v>
      </c>
      <c r="P432" s="69" t="s">
        <v>50</v>
      </c>
      <c r="Q432" s="69" t="s">
        <v>51</v>
      </c>
      <c r="R432" s="69"/>
      <c r="S432" s="46">
        <v>42521</v>
      </c>
      <c r="T432" s="48">
        <v>43191</v>
      </c>
      <c r="U432" s="69"/>
      <c r="V432" s="69"/>
      <c r="W432" s="69"/>
      <c r="X432" s="69"/>
      <c r="Y432" s="69" t="s">
        <v>4125</v>
      </c>
      <c r="Z432" s="43">
        <v>77500</v>
      </c>
      <c r="AA432" s="43" t="s">
        <v>52</v>
      </c>
      <c r="AB432" s="43" t="s">
        <v>53</v>
      </c>
      <c r="AC432" s="43">
        <v>4782</v>
      </c>
      <c r="AD432" s="141">
        <v>13</v>
      </c>
      <c r="AE432" s="142">
        <v>1</v>
      </c>
      <c r="AF432" s="142"/>
      <c r="AG432" s="69" t="str">
        <f t="shared" si="248"/>
        <v>6 years 277 days</v>
      </c>
      <c r="AH432" s="69">
        <v>6</v>
      </c>
      <c r="AI432" s="69">
        <v>277</v>
      </c>
      <c r="AJ432" s="69">
        <v>0</v>
      </c>
      <c r="AK432" s="69">
        <v>0</v>
      </c>
      <c r="AL432" s="60">
        <v>77500</v>
      </c>
      <c r="AM432" s="60">
        <f t="shared" si="249"/>
        <v>77500</v>
      </c>
      <c r="AN432" s="59">
        <v>39982</v>
      </c>
      <c r="AO432" s="148">
        <f t="shared" si="250"/>
        <v>-39982</v>
      </c>
      <c r="AP432" s="58">
        <v>2933.0982852363013</v>
      </c>
      <c r="AQ432" s="143">
        <f t="shared" si="251"/>
        <v>-2933.1</v>
      </c>
    </row>
    <row r="433" spans="1:43" x14ac:dyDescent="0.35">
      <c r="A433" s="69" t="s">
        <v>43</v>
      </c>
      <c r="B433" s="15" t="s">
        <v>1326</v>
      </c>
      <c r="C433" s="15"/>
      <c r="D433" s="69"/>
      <c r="E433" s="76">
        <v>0</v>
      </c>
      <c r="F433" s="69" t="s">
        <v>1151</v>
      </c>
      <c r="G433" s="92" t="s">
        <v>1152</v>
      </c>
      <c r="H433" s="15">
        <v>9008000021</v>
      </c>
      <c r="I433" s="92" t="s">
        <v>593</v>
      </c>
      <c r="J433" s="92">
        <v>1202020101</v>
      </c>
      <c r="K433" s="23" t="s">
        <v>1327</v>
      </c>
      <c r="L433" s="95" t="s">
        <v>1328</v>
      </c>
      <c r="M433" s="69" t="s">
        <v>1306</v>
      </c>
      <c r="N433" s="69"/>
      <c r="O433" s="94">
        <v>1</v>
      </c>
      <c r="P433" s="69" t="s">
        <v>50</v>
      </c>
      <c r="Q433" s="69" t="s">
        <v>51</v>
      </c>
      <c r="R433" s="69"/>
      <c r="S433" s="46">
        <v>41261</v>
      </c>
      <c r="T433" s="48">
        <v>43191</v>
      </c>
      <c r="U433" s="69"/>
      <c r="V433" s="69"/>
      <c r="W433" s="69"/>
      <c r="X433" s="69"/>
      <c r="Y433" s="69" t="s">
        <v>4125</v>
      </c>
      <c r="Z433" s="43">
        <v>3550000</v>
      </c>
      <c r="AA433" s="43" t="s">
        <v>52</v>
      </c>
      <c r="AB433" s="43" t="s">
        <v>53</v>
      </c>
      <c r="AC433" s="43">
        <v>3541</v>
      </c>
      <c r="AD433" s="141">
        <v>9</v>
      </c>
      <c r="AE433" s="142">
        <v>9</v>
      </c>
      <c r="AF433" s="142"/>
      <c r="AG433" s="69" t="str">
        <f t="shared" ref="AG433:AG436" si="252">_xlfn.CONCAT(AH433," years ",AI433," days")</f>
        <v>6 years 277 days</v>
      </c>
      <c r="AH433" s="69">
        <v>6</v>
      </c>
      <c r="AI433" s="69">
        <v>277</v>
      </c>
      <c r="AJ433" s="69">
        <v>0</v>
      </c>
      <c r="AK433" s="69">
        <v>0</v>
      </c>
      <c r="AL433" s="60">
        <v>3550000</v>
      </c>
      <c r="AM433" s="60">
        <f t="shared" ref="AM433:AM436" si="253">ROUND(AL433,2)</f>
        <v>3550000</v>
      </c>
      <c r="AN433" s="59">
        <v>2473270</v>
      </c>
      <c r="AO433" s="148">
        <f t="shared" ref="AO433:AO436" si="254">ROUND(AN433,2)*-1</f>
        <v>-2473270</v>
      </c>
      <c r="AP433" s="58">
        <v>181460.3021745272</v>
      </c>
      <c r="AQ433" s="143">
        <f t="shared" ref="AQ433:AQ436" si="255">ROUND(AP433,2)*-1</f>
        <v>-181460.3</v>
      </c>
    </row>
    <row r="434" spans="1:43" x14ac:dyDescent="0.35">
      <c r="A434" s="69" t="s">
        <v>43</v>
      </c>
      <c r="B434" s="15" t="s">
        <v>1329</v>
      </c>
      <c r="C434" s="15"/>
      <c r="D434" s="69" t="e">
        <f>_xlfn.XLOOKUP(B434,SOM!B:B,SOM!D:D,,0)</f>
        <v>#N/A</v>
      </c>
      <c r="E434" s="76">
        <v>1</v>
      </c>
      <c r="F434" s="69" t="s">
        <v>1151</v>
      </c>
      <c r="G434" s="92" t="s">
        <v>1152</v>
      </c>
      <c r="H434" s="15">
        <v>9008000021</v>
      </c>
      <c r="I434" s="92" t="s">
        <v>593</v>
      </c>
      <c r="J434" s="92">
        <v>1202020101</v>
      </c>
      <c r="K434" s="23" t="s">
        <v>1330</v>
      </c>
      <c r="L434" s="95" t="s">
        <v>1331</v>
      </c>
      <c r="M434" s="69" t="s">
        <v>1332</v>
      </c>
      <c r="N434" s="69"/>
      <c r="O434" s="94">
        <v>2</v>
      </c>
      <c r="P434" s="69" t="s">
        <v>50</v>
      </c>
      <c r="Q434" s="69" t="s">
        <v>51</v>
      </c>
      <c r="R434" s="69"/>
      <c r="S434" s="46">
        <v>41171</v>
      </c>
      <c r="T434" s="48">
        <v>43191</v>
      </c>
      <c r="U434" s="69"/>
      <c r="V434" s="69"/>
      <c r="W434" s="69"/>
      <c r="X434" s="69"/>
      <c r="Y434" s="69" t="s">
        <v>4125</v>
      </c>
      <c r="Z434" s="43">
        <v>75000</v>
      </c>
      <c r="AA434" s="43" t="s">
        <v>52</v>
      </c>
      <c r="AB434" s="43" t="s">
        <v>53</v>
      </c>
      <c r="AC434" s="43">
        <v>1643</v>
      </c>
      <c r="AD434" s="141">
        <v>4</v>
      </c>
      <c r="AE434" s="142">
        <v>6</v>
      </c>
      <c r="AF434" s="142"/>
      <c r="AG434" s="69" t="str">
        <f t="shared" si="252"/>
        <v>4 years 183 days</v>
      </c>
      <c r="AH434" s="69">
        <v>4</v>
      </c>
      <c r="AI434" s="69">
        <v>183</v>
      </c>
      <c r="AJ434" s="69">
        <v>0</v>
      </c>
      <c r="AK434" s="69">
        <v>0</v>
      </c>
      <c r="AL434" s="60">
        <v>75000</v>
      </c>
      <c r="AM434" s="60">
        <f t="shared" si="253"/>
        <v>75000</v>
      </c>
      <c r="AN434" s="59">
        <v>75000</v>
      </c>
      <c r="AO434" s="148">
        <f t="shared" si="254"/>
        <v>-75000</v>
      </c>
      <c r="AP434" s="58">
        <v>0</v>
      </c>
      <c r="AQ434" s="143">
        <f t="shared" si="255"/>
        <v>0</v>
      </c>
    </row>
    <row r="435" spans="1:43" x14ac:dyDescent="0.35">
      <c r="A435" s="69" t="s">
        <v>43</v>
      </c>
      <c r="B435" s="15" t="s">
        <v>1333</v>
      </c>
      <c r="C435" s="15"/>
      <c r="D435" s="69" t="e">
        <f>_xlfn.XLOOKUP(B435,SOM!B:B,SOM!D:D,,0)</f>
        <v>#N/A</v>
      </c>
      <c r="E435" s="76">
        <v>2</v>
      </c>
      <c r="F435" s="69" t="s">
        <v>1151</v>
      </c>
      <c r="G435" s="92" t="s">
        <v>1152</v>
      </c>
      <c r="H435" s="15">
        <v>9008000021</v>
      </c>
      <c r="I435" s="92" t="s">
        <v>593</v>
      </c>
      <c r="J435" s="92">
        <v>1202020101</v>
      </c>
      <c r="K435" s="23" t="s">
        <v>1334</v>
      </c>
      <c r="L435" s="95" t="s">
        <v>1335</v>
      </c>
      <c r="M435" s="69" t="s">
        <v>1336</v>
      </c>
      <c r="N435" s="69"/>
      <c r="O435" s="94">
        <v>2</v>
      </c>
      <c r="P435" s="69" t="s">
        <v>50</v>
      </c>
      <c r="Q435" s="69" t="s">
        <v>51</v>
      </c>
      <c r="R435" s="69"/>
      <c r="S435" s="46">
        <v>41302</v>
      </c>
      <c r="T435" s="48">
        <v>43191</v>
      </c>
      <c r="U435" s="69"/>
      <c r="V435" s="69"/>
      <c r="W435" s="69"/>
      <c r="X435" s="69"/>
      <c r="Y435" s="69" t="s">
        <v>4125</v>
      </c>
      <c r="Z435" s="43">
        <v>350000</v>
      </c>
      <c r="AA435" s="43" t="s">
        <v>52</v>
      </c>
      <c r="AB435" s="43" t="s">
        <v>53</v>
      </c>
      <c r="AC435" s="43">
        <v>3577</v>
      </c>
      <c r="AD435" s="141">
        <v>9</v>
      </c>
      <c r="AE435" s="142">
        <v>10</v>
      </c>
      <c r="AF435" s="142"/>
      <c r="AG435" s="69" t="str">
        <f t="shared" si="252"/>
        <v>6 years 277 days</v>
      </c>
      <c r="AH435" s="69">
        <v>6</v>
      </c>
      <c r="AI435" s="69">
        <v>277</v>
      </c>
      <c r="AJ435" s="69">
        <v>0</v>
      </c>
      <c r="AK435" s="69">
        <v>0</v>
      </c>
      <c r="AL435" s="60">
        <v>350000</v>
      </c>
      <c r="AM435" s="60">
        <f t="shared" si="253"/>
        <v>350000</v>
      </c>
      <c r="AN435" s="59">
        <v>241389</v>
      </c>
      <c r="AO435" s="148">
        <f t="shared" si="254"/>
        <v>-241389</v>
      </c>
      <c r="AP435" s="58">
        <v>17710.804305283731</v>
      </c>
      <c r="AQ435" s="143">
        <f t="shared" si="255"/>
        <v>-17710.8</v>
      </c>
    </row>
    <row r="436" spans="1:43" x14ac:dyDescent="0.35">
      <c r="A436" s="69" t="s">
        <v>43</v>
      </c>
      <c r="B436" s="15" t="s">
        <v>1337</v>
      </c>
      <c r="C436" s="15"/>
      <c r="D436" s="69" t="e">
        <f>_xlfn.XLOOKUP(B436,SOM!B:B,SOM!D:D,,0)</f>
        <v>#N/A</v>
      </c>
      <c r="E436" s="76">
        <v>3</v>
      </c>
      <c r="F436" s="69" t="s">
        <v>1151</v>
      </c>
      <c r="G436" s="92" t="s">
        <v>1152</v>
      </c>
      <c r="H436" s="15">
        <v>9008000021</v>
      </c>
      <c r="I436" s="92" t="s">
        <v>593</v>
      </c>
      <c r="J436" s="92">
        <v>1202020101</v>
      </c>
      <c r="K436" s="28"/>
      <c r="L436" s="95" t="s">
        <v>1338</v>
      </c>
      <c r="M436" s="69" t="s">
        <v>1339</v>
      </c>
      <c r="N436" s="69"/>
      <c r="O436" s="94">
        <v>2</v>
      </c>
      <c r="P436" s="69" t="s">
        <v>50</v>
      </c>
      <c r="Q436" s="69" t="s">
        <v>51</v>
      </c>
      <c r="R436" s="69"/>
      <c r="S436" s="46">
        <v>45322</v>
      </c>
      <c r="T436" s="48">
        <v>45322</v>
      </c>
      <c r="U436" s="69"/>
      <c r="V436" s="69"/>
      <c r="W436" s="69"/>
      <c r="X436" s="69"/>
      <c r="Y436" s="69" t="s">
        <v>4130</v>
      </c>
      <c r="Z436" s="43">
        <v>257540</v>
      </c>
      <c r="AA436" s="43" t="s">
        <v>52</v>
      </c>
      <c r="AB436" s="43" t="s">
        <v>53</v>
      </c>
      <c r="AC436" s="43">
        <v>3650</v>
      </c>
      <c r="AD436" s="141">
        <v>10</v>
      </c>
      <c r="AE436" s="142">
        <v>0</v>
      </c>
      <c r="AF436" s="142"/>
      <c r="AG436" s="69" t="str">
        <f t="shared" si="252"/>
        <v>0 years 336 days</v>
      </c>
      <c r="AH436" s="69">
        <v>0</v>
      </c>
      <c r="AI436" s="69">
        <v>336</v>
      </c>
      <c r="AJ436" s="69">
        <v>0</v>
      </c>
      <c r="AK436" s="69">
        <v>0</v>
      </c>
      <c r="AL436" s="60">
        <v>257540</v>
      </c>
      <c r="AM436" s="60">
        <f t="shared" si="253"/>
        <v>257540</v>
      </c>
      <c r="AN436" s="59">
        <v>23708</v>
      </c>
      <c r="AO436" s="148">
        <f t="shared" si="254"/>
        <v>-23708</v>
      </c>
      <c r="AP436" s="58">
        <v>12770.953424657535</v>
      </c>
      <c r="AQ436" s="143">
        <f t="shared" si="255"/>
        <v>-12770.95</v>
      </c>
    </row>
    <row r="437" spans="1:43" x14ac:dyDescent="0.35">
      <c r="A437" s="69" t="s">
        <v>43</v>
      </c>
      <c r="B437" s="15" t="s">
        <v>1340</v>
      </c>
      <c r="C437" s="15"/>
      <c r="D437" s="69"/>
      <c r="E437" s="76">
        <v>0</v>
      </c>
      <c r="F437" s="69" t="s">
        <v>1151</v>
      </c>
      <c r="G437" s="92" t="s">
        <v>1152</v>
      </c>
      <c r="H437" s="15">
        <v>9008000022</v>
      </c>
      <c r="I437" s="92" t="s">
        <v>593</v>
      </c>
      <c r="J437" s="92">
        <v>1202020101</v>
      </c>
      <c r="K437" s="23" t="s">
        <v>1341</v>
      </c>
      <c r="L437" s="95" t="s">
        <v>1342</v>
      </c>
      <c r="M437" s="69" t="s">
        <v>1343</v>
      </c>
      <c r="N437" s="69"/>
      <c r="O437" s="94">
        <v>1</v>
      </c>
      <c r="P437" s="69" t="s">
        <v>50</v>
      </c>
      <c r="Q437" s="69" t="s">
        <v>51</v>
      </c>
      <c r="R437" s="69"/>
      <c r="S437" s="46">
        <v>41261</v>
      </c>
      <c r="T437" s="48">
        <v>43191</v>
      </c>
      <c r="U437" s="69"/>
      <c r="V437" s="69"/>
      <c r="W437" s="69"/>
      <c r="X437" s="69"/>
      <c r="Y437" s="69" t="s">
        <v>4125</v>
      </c>
      <c r="Z437" s="43">
        <v>3550000</v>
      </c>
      <c r="AA437" s="43" t="s">
        <v>52</v>
      </c>
      <c r="AB437" s="43" t="s">
        <v>53</v>
      </c>
      <c r="AC437" s="43">
        <v>3541</v>
      </c>
      <c r="AD437" s="141">
        <v>9</v>
      </c>
      <c r="AE437" s="142">
        <v>9</v>
      </c>
      <c r="AF437" s="142"/>
      <c r="AG437" s="69" t="str">
        <f t="shared" ref="AG437:AG438" si="256">_xlfn.CONCAT(AH437," years ",AI437," days")</f>
        <v>6 years 277 days</v>
      </c>
      <c r="AH437" s="69">
        <v>6</v>
      </c>
      <c r="AI437" s="69">
        <v>277</v>
      </c>
      <c r="AJ437" s="69">
        <v>0</v>
      </c>
      <c r="AK437" s="69">
        <v>0</v>
      </c>
      <c r="AL437" s="60">
        <v>3550000</v>
      </c>
      <c r="AM437" s="60">
        <f t="shared" ref="AM437:AM438" si="257">ROUND(AL437,2)</f>
        <v>3550000</v>
      </c>
      <c r="AN437" s="59">
        <v>2473270</v>
      </c>
      <c r="AO437" s="148">
        <f t="shared" ref="AO437:AO438" si="258">ROUND(AN437,2)*-1</f>
        <v>-2473270</v>
      </c>
      <c r="AP437" s="58">
        <v>181460.3021745272</v>
      </c>
      <c r="AQ437" s="143">
        <f t="shared" ref="AQ437:AQ438" si="259">ROUND(AP437,2)*-1</f>
        <v>-181460.3</v>
      </c>
    </row>
    <row r="438" spans="1:43" x14ac:dyDescent="0.35">
      <c r="A438" s="69" t="s">
        <v>43</v>
      </c>
      <c r="B438" s="15" t="s">
        <v>1344</v>
      </c>
      <c r="C438" s="15"/>
      <c r="D438" s="69" t="e">
        <f>_xlfn.XLOOKUP(B438,SOM!B:B,SOM!D:D,,0)</f>
        <v>#N/A</v>
      </c>
      <c r="E438" s="76">
        <v>1</v>
      </c>
      <c r="F438" s="69" t="s">
        <v>1151</v>
      </c>
      <c r="G438" s="92" t="s">
        <v>1152</v>
      </c>
      <c r="H438" s="15">
        <v>9008000022</v>
      </c>
      <c r="I438" s="92" t="s">
        <v>593</v>
      </c>
      <c r="J438" s="92">
        <v>1202020101</v>
      </c>
      <c r="K438" s="23" t="s">
        <v>1345</v>
      </c>
      <c r="L438" s="95" t="s">
        <v>1346</v>
      </c>
      <c r="M438" s="69" t="s">
        <v>49</v>
      </c>
      <c r="N438" s="69"/>
      <c r="O438" s="94">
        <v>1</v>
      </c>
      <c r="P438" s="69" t="s">
        <v>50</v>
      </c>
      <c r="Q438" s="69" t="s">
        <v>51</v>
      </c>
      <c r="R438" s="69"/>
      <c r="S438" s="46">
        <v>40617</v>
      </c>
      <c r="T438" s="48">
        <v>43191</v>
      </c>
      <c r="U438" s="69"/>
      <c r="V438" s="69"/>
      <c r="W438" s="69"/>
      <c r="X438" s="69"/>
      <c r="Y438" s="69" t="s">
        <v>4125</v>
      </c>
      <c r="Z438" s="43">
        <v>145000</v>
      </c>
      <c r="AA438" s="43" t="s">
        <v>52</v>
      </c>
      <c r="AB438" s="43" t="s">
        <v>53</v>
      </c>
      <c r="AC438" s="43">
        <v>2920</v>
      </c>
      <c r="AD438" s="141">
        <v>8</v>
      </c>
      <c r="AE438" s="142">
        <v>0</v>
      </c>
      <c r="AF438" s="142"/>
      <c r="AG438" s="69" t="str">
        <f t="shared" si="256"/>
        <v>6 years 277 days</v>
      </c>
      <c r="AH438" s="69">
        <v>6</v>
      </c>
      <c r="AI438" s="69">
        <v>277</v>
      </c>
      <c r="AJ438" s="69">
        <v>0</v>
      </c>
      <c r="AK438" s="69">
        <v>0</v>
      </c>
      <c r="AL438" s="60">
        <v>145000</v>
      </c>
      <c r="AM438" s="60">
        <f t="shared" si="257"/>
        <v>145000</v>
      </c>
      <c r="AN438" s="59">
        <v>122505</v>
      </c>
      <c r="AO438" s="148">
        <f t="shared" si="258"/>
        <v>-122505</v>
      </c>
      <c r="AP438" s="58">
        <v>8988.1506849315192</v>
      </c>
      <c r="AQ438" s="143">
        <f t="shared" si="259"/>
        <v>-8988.15</v>
      </c>
    </row>
    <row r="439" spans="1:43" x14ac:dyDescent="0.35">
      <c r="A439" s="69" t="s">
        <v>43</v>
      </c>
      <c r="B439" s="15" t="s">
        <v>1347</v>
      </c>
      <c r="C439" s="15"/>
      <c r="D439" s="69"/>
      <c r="E439" s="76">
        <v>0</v>
      </c>
      <c r="F439" s="69" t="s">
        <v>1151</v>
      </c>
      <c r="G439" s="92" t="s">
        <v>1152</v>
      </c>
      <c r="H439" s="15">
        <v>9008000023</v>
      </c>
      <c r="I439" s="92" t="s">
        <v>593</v>
      </c>
      <c r="J439" s="92">
        <v>1202020101</v>
      </c>
      <c r="K439" s="17" t="s">
        <v>1348</v>
      </c>
      <c r="L439" s="95" t="s">
        <v>1349</v>
      </c>
      <c r="M439" s="69" t="s">
        <v>1350</v>
      </c>
      <c r="N439" s="69"/>
      <c r="O439" s="94">
        <v>1</v>
      </c>
      <c r="P439" s="69" t="s">
        <v>50</v>
      </c>
      <c r="Q439" s="69" t="s">
        <v>51</v>
      </c>
      <c r="R439" s="69"/>
      <c r="S439" s="46">
        <v>41261</v>
      </c>
      <c r="T439" s="48">
        <v>43191</v>
      </c>
      <c r="U439" s="69"/>
      <c r="V439" s="69"/>
      <c r="W439" s="69"/>
      <c r="X439" s="69"/>
      <c r="Y439" s="69" t="s">
        <v>4125</v>
      </c>
      <c r="Z439" s="43">
        <v>3425000</v>
      </c>
      <c r="AA439" s="43" t="s">
        <v>52</v>
      </c>
      <c r="AB439" s="43" t="s">
        <v>53</v>
      </c>
      <c r="AC439" s="43">
        <v>3395</v>
      </c>
      <c r="AD439" s="141">
        <v>9</v>
      </c>
      <c r="AE439" s="142">
        <v>4</v>
      </c>
      <c r="AF439" s="142"/>
      <c r="AG439" s="69" t="str">
        <f t="shared" ref="AG439:AG441" si="260">_xlfn.CONCAT(AH439," years ",AI439," days")</f>
        <v>6 years 277 days</v>
      </c>
      <c r="AH439" s="69">
        <v>6</v>
      </c>
      <c r="AI439" s="69">
        <v>277</v>
      </c>
      <c r="AJ439" s="69">
        <v>0</v>
      </c>
      <c r="AK439" s="69">
        <v>0</v>
      </c>
      <c r="AL439" s="60">
        <v>3425000</v>
      </c>
      <c r="AM439" s="60">
        <f t="shared" ref="AM439:AM441" si="261">ROUND(AL439,2)</f>
        <v>3425000</v>
      </c>
      <c r="AN439" s="59">
        <v>2488800</v>
      </c>
      <c r="AO439" s="148">
        <f t="shared" ref="AO439:AO441" si="262">ROUND(AN439,2)*-1</f>
        <v>-2488800</v>
      </c>
      <c r="AP439" s="58">
        <v>182599.11634756997</v>
      </c>
      <c r="AQ439" s="143">
        <f t="shared" ref="AQ439:AQ441" si="263">ROUND(AP439,2)*-1</f>
        <v>-182599.12</v>
      </c>
    </row>
    <row r="440" spans="1:43" x14ac:dyDescent="0.35">
      <c r="A440" s="69" t="s">
        <v>43</v>
      </c>
      <c r="B440" s="15" t="s">
        <v>1351</v>
      </c>
      <c r="C440" s="15"/>
      <c r="D440" s="69" t="e">
        <f>_xlfn.XLOOKUP(B440,SOM!B:B,SOM!D:D,,0)</f>
        <v>#N/A</v>
      </c>
      <c r="E440" s="76">
        <v>1</v>
      </c>
      <c r="F440" s="69" t="s">
        <v>1151</v>
      </c>
      <c r="G440" s="92" t="s">
        <v>1152</v>
      </c>
      <c r="H440" s="15">
        <v>9008000023</v>
      </c>
      <c r="I440" s="92" t="s">
        <v>593</v>
      </c>
      <c r="J440" s="92">
        <v>1202020101</v>
      </c>
      <c r="K440" s="23" t="s">
        <v>1352</v>
      </c>
      <c r="L440" s="95" t="s">
        <v>1353</v>
      </c>
      <c r="M440" s="69" t="s">
        <v>1354</v>
      </c>
      <c r="N440" s="69"/>
      <c r="O440" s="94">
        <v>1</v>
      </c>
      <c r="P440" s="69" t="s">
        <v>50</v>
      </c>
      <c r="Q440" s="69" t="s">
        <v>51</v>
      </c>
      <c r="R440" s="69"/>
      <c r="S440" s="46">
        <v>41100</v>
      </c>
      <c r="T440" s="48">
        <v>43191</v>
      </c>
      <c r="U440" s="69"/>
      <c r="V440" s="69"/>
      <c r="W440" s="69"/>
      <c r="X440" s="69"/>
      <c r="Y440" s="69" t="s">
        <v>4125</v>
      </c>
      <c r="Z440" s="43">
        <v>18500</v>
      </c>
      <c r="AA440" s="43" t="s">
        <v>52</v>
      </c>
      <c r="AB440" s="43" t="s">
        <v>53</v>
      </c>
      <c r="AC440" s="43">
        <v>3395</v>
      </c>
      <c r="AD440" s="141">
        <v>9</v>
      </c>
      <c r="AE440" s="142">
        <v>4</v>
      </c>
      <c r="AF440" s="142"/>
      <c r="AG440" s="69" t="str">
        <f t="shared" si="260"/>
        <v>6 years 277 days</v>
      </c>
      <c r="AH440" s="69">
        <v>6</v>
      </c>
      <c r="AI440" s="69">
        <v>277</v>
      </c>
      <c r="AJ440" s="69">
        <v>0</v>
      </c>
      <c r="AK440" s="69">
        <v>0</v>
      </c>
      <c r="AL440" s="60">
        <v>18500</v>
      </c>
      <c r="AM440" s="60">
        <f t="shared" si="261"/>
        <v>18500</v>
      </c>
      <c r="AN440" s="59">
        <v>13443</v>
      </c>
      <c r="AO440" s="148">
        <f t="shared" si="262"/>
        <v>-13443</v>
      </c>
      <c r="AP440" s="58">
        <v>986.45508100147345</v>
      </c>
      <c r="AQ440" s="143">
        <f t="shared" si="263"/>
        <v>-986.46</v>
      </c>
    </row>
    <row r="441" spans="1:43" x14ac:dyDescent="0.35">
      <c r="A441" s="69" t="s">
        <v>43</v>
      </c>
      <c r="B441" s="15" t="s">
        <v>1355</v>
      </c>
      <c r="C441" s="15"/>
      <c r="D441" s="69" t="e">
        <f>_xlfn.XLOOKUP(B441,SOM!B:B,SOM!D:D,,0)</f>
        <v>#N/A</v>
      </c>
      <c r="E441" s="76">
        <v>2</v>
      </c>
      <c r="F441" s="69" t="s">
        <v>1151</v>
      </c>
      <c r="G441" s="92" t="s">
        <v>1152</v>
      </c>
      <c r="H441" s="15">
        <v>9008000023</v>
      </c>
      <c r="I441" s="92" t="s">
        <v>593</v>
      </c>
      <c r="J441" s="92">
        <v>1202020101</v>
      </c>
      <c r="K441" s="23" t="s">
        <v>1356</v>
      </c>
      <c r="L441" s="95" t="s">
        <v>1357</v>
      </c>
      <c r="M441" s="69" t="s">
        <v>1358</v>
      </c>
      <c r="N441" s="69"/>
      <c r="O441" s="94">
        <v>4</v>
      </c>
      <c r="P441" s="69" t="s">
        <v>50</v>
      </c>
      <c r="Q441" s="69" t="s">
        <v>51</v>
      </c>
      <c r="R441" s="69"/>
      <c r="S441" s="46">
        <v>41181</v>
      </c>
      <c r="T441" s="48">
        <v>43191</v>
      </c>
      <c r="U441" s="69"/>
      <c r="V441" s="69"/>
      <c r="W441" s="69"/>
      <c r="X441" s="69"/>
      <c r="Y441" s="69" t="s">
        <v>4125</v>
      </c>
      <c r="Z441" s="43">
        <v>140000</v>
      </c>
      <c r="AA441" s="43" t="s">
        <v>52</v>
      </c>
      <c r="AB441" s="43" t="s">
        <v>53</v>
      </c>
      <c r="AC441" s="43">
        <v>1643</v>
      </c>
      <c r="AD441" s="141">
        <v>4</v>
      </c>
      <c r="AE441" s="142">
        <v>6</v>
      </c>
      <c r="AF441" s="142"/>
      <c r="AG441" s="69" t="str">
        <f t="shared" si="260"/>
        <v>4 years 183 days</v>
      </c>
      <c r="AH441" s="69">
        <v>4</v>
      </c>
      <c r="AI441" s="69">
        <v>183</v>
      </c>
      <c r="AJ441" s="69">
        <v>0</v>
      </c>
      <c r="AK441" s="69">
        <v>0</v>
      </c>
      <c r="AL441" s="60">
        <v>140000</v>
      </c>
      <c r="AM441" s="60">
        <f t="shared" si="261"/>
        <v>140000</v>
      </c>
      <c r="AN441" s="59">
        <v>140000</v>
      </c>
      <c r="AO441" s="148">
        <f t="shared" si="262"/>
        <v>-140000</v>
      </c>
      <c r="AP441" s="58">
        <v>0</v>
      </c>
      <c r="AQ441" s="143">
        <f t="shared" si="263"/>
        <v>0</v>
      </c>
    </row>
    <row r="442" spans="1:43" x14ac:dyDescent="0.35">
      <c r="A442" s="69" t="s">
        <v>43</v>
      </c>
      <c r="B442" s="15" t="s">
        <v>1359</v>
      </c>
      <c r="C442" s="15"/>
      <c r="D442" s="69"/>
      <c r="E442" s="76">
        <v>0</v>
      </c>
      <c r="F442" s="69" t="s">
        <v>1151</v>
      </c>
      <c r="G442" s="92" t="s">
        <v>1152</v>
      </c>
      <c r="H442" s="15">
        <v>9008000024</v>
      </c>
      <c r="I442" s="92" t="s">
        <v>593</v>
      </c>
      <c r="J442" s="92">
        <v>1202020101</v>
      </c>
      <c r="K442" s="23" t="s">
        <v>1360</v>
      </c>
      <c r="L442" s="95" t="s">
        <v>1361</v>
      </c>
      <c r="M442" s="69" t="s">
        <v>1306</v>
      </c>
      <c r="N442" s="69"/>
      <c r="O442" s="94">
        <v>1</v>
      </c>
      <c r="P442" s="69" t="s">
        <v>50</v>
      </c>
      <c r="Q442" s="69" t="s">
        <v>51</v>
      </c>
      <c r="R442" s="69"/>
      <c r="S442" s="46">
        <v>41338</v>
      </c>
      <c r="T442" s="48">
        <v>43191</v>
      </c>
      <c r="U442" s="69"/>
      <c r="V442" s="69"/>
      <c r="W442" s="69"/>
      <c r="X442" s="69"/>
      <c r="Y442" s="69" t="s">
        <v>4125</v>
      </c>
      <c r="Z442" s="43">
        <v>3625000</v>
      </c>
      <c r="AA442" s="43" t="s">
        <v>52</v>
      </c>
      <c r="AB442" s="43" t="s">
        <v>53</v>
      </c>
      <c r="AC442" s="43">
        <v>3614</v>
      </c>
      <c r="AD442" s="141">
        <v>9</v>
      </c>
      <c r="AE442" s="142">
        <v>11</v>
      </c>
      <c r="AF442" s="142"/>
      <c r="AG442" s="69" t="str">
        <f t="shared" ref="AG442:AG443" si="264">_xlfn.CONCAT(AH442," years ",AI442," days")</f>
        <v>6 years 277 days</v>
      </c>
      <c r="AH442" s="69">
        <v>6</v>
      </c>
      <c r="AI442" s="69">
        <v>277</v>
      </c>
      <c r="AJ442" s="69">
        <v>0</v>
      </c>
      <c r="AK442" s="69">
        <v>0</v>
      </c>
      <c r="AL442" s="60">
        <v>3625000</v>
      </c>
      <c r="AM442" s="60">
        <f t="shared" ref="AM442:AM443" si="265">ROUND(AL442,2)</f>
        <v>3625000</v>
      </c>
      <c r="AN442" s="59">
        <v>2474509</v>
      </c>
      <c r="AO442" s="148">
        <f t="shared" ref="AO442:AO443" si="266">ROUND(AN442,2)*-1</f>
        <v>-2474509</v>
      </c>
      <c r="AP442" s="58">
        <v>181550.76757055894</v>
      </c>
      <c r="AQ442" s="143">
        <f t="shared" ref="AQ442:AQ443" si="267">ROUND(AP442,2)*-1</f>
        <v>-181550.77</v>
      </c>
    </row>
    <row r="443" spans="1:43" x14ac:dyDescent="0.35">
      <c r="A443" s="69" t="s">
        <v>43</v>
      </c>
      <c r="B443" s="15" t="s">
        <v>1362</v>
      </c>
      <c r="C443" s="15"/>
      <c r="D443" s="69" t="e">
        <f>_xlfn.XLOOKUP(B443,SOM!B:B,SOM!D:D,,0)</f>
        <v>#N/A</v>
      </c>
      <c r="E443" s="76">
        <v>1</v>
      </c>
      <c r="F443" s="69" t="s">
        <v>1151</v>
      </c>
      <c r="G443" s="92" t="s">
        <v>1152</v>
      </c>
      <c r="H443" s="15">
        <v>9008000024</v>
      </c>
      <c r="I443" s="92" t="s">
        <v>593</v>
      </c>
      <c r="J443" s="92">
        <v>1202020101</v>
      </c>
      <c r="K443" s="23" t="s">
        <v>1363</v>
      </c>
      <c r="L443" s="95" t="s">
        <v>1364</v>
      </c>
      <c r="M443" s="69" t="s">
        <v>1365</v>
      </c>
      <c r="N443" s="69"/>
      <c r="O443" s="94">
        <v>1</v>
      </c>
      <c r="P443" s="69" t="s">
        <v>50</v>
      </c>
      <c r="Q443" s="69" t="s">
        <v>51</v>
      </c>
      <c r="R443" s="69"/>
      <c r="S443" s="46">
        <v>41118</v>
      </c>
      <c r="T443" s="48">
        <v>43191</v>
      </c>
      <c r="U443" s="69"/>
      <c r="V443" s="69"/>
      <c r="W443" s="69"/>
      <c r="X443" s="69"/>
      <c r="Y443" s="69" t="s">
        <v>4125</v>
      </c>
      <c r="Z443" s="43">
        <v>20000</v>
      </c>
      <c r="AA443" s="43" t="s">
        <v>52</v>
      </c>
      <c r="AB443" s="43" t="s">
        <v>53</v>
      </c>
      <c r="AC443" s="43">
        <v>3395</v>
      </c>
      <c r="AD443" s="141">
        <v>9</v>
      </c>
      <c r="AE443" s="142">
        <v>4</v>
      </c>
      <c r="AF443" s="142"/>
      <c r="AG443" s="69" t="str">
        <f t="shared" si="264"/>
        <v>6 years 277 days</v>
      </c>
      <c r="AH443" s="69">
        <v>6</v>
      </c>
      <c r="AI443" s="69">
        <v>277</v>
      </c>
      <c r="AJ443" s="69">
        <v>0</v>
      </c>
      <c r="AK443" s="69">
        <v>0</v>
      </c>
      <c r="AL443" s="60">
        <v>20000</v>
      </c>
      <c r="AM443" s="60">
        <f t="shared" si="265"/>
        <v>20000</v>
      </c>
      <c r="AN443" s="59">
        <v>14533</v>
      </c>
      <c r="AO443" s="148">
        <f t="shared" si="266"/>
        <v>-14533</v>
      </c>
      <c r="AP443" s="58">
        <v>1066.4108983799706</v>
      </c>
      <c r="AQ443" s="143">
        <f t="shared" si="267"/>
        <v>-1066.4100000000001</v>
      </c>
    </row>
    <row r="444" spans="1:43" x14ac:dyDescent="0.35">
      <c r="A444" s="69" t="s">
        <v>43</v>
      </c>
      <c r="B444" s="15" t="s">
        <v>1366</v>
      </c>
      <c r="C444" s="15"/>
      <c r="D444" s="69"/>
      <c r="E444" s="76">
        <v>0</v>
      </c>
      <c r="F444" s="69" t="s">
        <v>1151</v>
      </c>
      <c r="G444" s="92" t="s">
        <v>1152</v>
      </c>
      <c r="H444" s="15">
        <v>9008000025</v>
      </c>
      <c r="I444" s="92" t="s">
        <v>593</v>
      </c>
      <c r="J444" s="92">
        <v>1202020101</v>
      </c>
      <c r="K444" s="23" t="s">
        <v>1367</v>
      </c>
      <c r="L444" s="95" t="s">
        <v>1368</v>
      </c>
      <c r="M444" s="69" t="s">
        <v>1369</v>
      </c>
      <c r="N444" s="69"/>
      <c r="O444" s="94">
        <v>1</v>
      </c>
      <c r="P444" s="69" t="s">
        <v>50</v>
      </c>
      <c r="Q444" s="69" t="s">
        <v>51</v>
      </c>
      <c r="R444" s="69"/>
      <c r="S444" s="46">
        <v>41917</v>
      </c>
      <c r="T444" s="48">
        <v>43191</v>
      </c>
      <c r="U444" s="69"/>
      <c r="V444" s="69"/>
      <c r="W444" s="69"/>
      <c r="X444" s="69"/>
      <c r="Y444" s="69" t="s">
        <v>4125</v>
      </c>
      <c r="Z444" s="43">
        <v>5700000</v>
      </c>
      <c r="AA444" s="43" t="s">
        <v>52</v>
      </c>
      <c r="AB444" s="43" t="s">
        <v>53</v>
      </c>
      <c r="AC444" s="43">
        <v>4198</v>
      </c>
      <c r="AD444" s="141">
        <v>11</v>
      </c>
      <c r="AE444" s="142">
        <v>6</v>
      </c>
      <c r="AF444" s="142"/>
      <c r="AG444" s="69" t="str">
        <f t="shared" ref="AG444:AG447" si="268">_xlfn.CONCAT(AH444," years ",AI444," days")</f>
        <v>6 years 277 days</v>
      </c>
      <c r="AH444" s="69">
        <v>6</v>
      </c>
      <c r="AI444" s="69">
        <v>277</v>
      </c>
      <c r="AJ444" s="69">
        <v>0</v>
      </c>
      <c r="AK444" s="69">
        <v>0</v>
      </c>
      <c r="AL444" s="60">
        <v>5700000</v>
      </c>
      <c r="AM444" s="60">
        <f t="shared" ref="AM444:AM447" si="269">ROUND(AL444,2)</f>
        <v>5700000</v>
      </c>
      <c r="AN444" s="59">
        <v>3349667</v>
      </c>
      <c r="AO444" s="148">
        <f t="shared" ref="AO444:AO447" si="270">ROUND(AN444,2)*-1</f>
        <v>-3349667</v>
      </c>
      <c r="AP444" s="58">
        <v>245759.39352072403</v>
      </c>
      <c r="AQ444" s="143">
        <f t="shared" ref="AQ444:AQ447" si="271">ROUND(AP444,2)*-1</f>
        <v>-245759.39</v>
      </c>
    </row>
    <row r="445" spans="1:43" x14ac:dyDescent="0.35">
      <c r="A445" s="69" t="s">
        <v>43</v>
      </c>
      <c r="B445" s="15" t="s">
        <v>1370</v>
      </c>
      <c r="C445" s="15"/>
      <c r="D445" s="69" t="e">
        <f>_xlfn.XLOOKUP(B445,SOM!B:B,SOM!D:D,,0)</f>
        <v>#N/A</v>
      </c>
      <c r="E445" s="76">
        <v>1</v>
      </c>
      <c r="F445" s="69" t="s">
        <v>1151</v>
      </c>
      <c r="G445" s="92" t="s">
        <v>1152</v>
      </c>
      <c r="H445" s="15">
        <v>9008000025</v>
      </c>
      <c r="I445" s="92" t="s">
        <v>593</v>
      </c>
      <c r="J445" s="92">
        <v>1202020101</v>
      </c>
      <c r="K445" s="23" t="s">
        <v>1371</v>
      </c>
      <c r="L445" s="95" t="s">
        <v>1372</v>
      </c>
      <c r="M445" s="69" t="s">
        <v>1373</v>
      </c>
      <c r="N445" s="69"/>
      <c r="O445" s="94">
        <v>1</v>
      </c>
      <c r="P445" s="69" t="s">
        <v>50</v>
      </c>
      <c r="Q445" s="69" t="s">
        <v>51</v>
      </c>
      <c r="R445" s="69"/>
      <c r="S445" s="46">
        <v>41912</v>
      </c>
      <c r="T445" s="48">
        <v>43191</v>
      </c>
      <c r="U445" s="69"/>
      <c r="V445" s="69"/>
      <c r="W445" s="69"/>
      <c r="X445" s="69"/>
      <c r="Y445" s="69" t="s">
        <v>4125</v>
      </c>
      <c r="Z445" s="43">
        <v>900000</v>
      </c>
      <c r="AA445" s="43" t="s">
        <v>52</v>
      </c>
      <c r="AB445" s="43" t="s">
        <v>53</v>
      </c>
      <c r="AC445" s="43">
        <v>4198</v>
      </c>
      <c r="AD445" s="141">
        <v>11</v>
      </c>
      <c r="AE445" s="142">
        <v>6</v>
      </c>
      <c r="AF445" s="142"/>
      <c r="AG445" s="69" t="str">
        <f t="shared" si="268"/>
        <v>6 years 277 days</v>
      </c>
      <c r="AH445" s="69">
        <v>6</v>
      </c>
      <c r="AI445" s="69">
        <v>277</v>
      </c>
      <c r="AJ445" s="69">
        <v>0</v>
      </c>
      <c r="AK445" s="69">
        <v>0</v>
      </c>
      <c r="AL445" s="60">
        <v>900000</v>
      </c>
      <c r="AM445" s="60">
        <f t="shared" si="269"/>
        <v>900000</v>
      </c>
      <c r="AN445" s="59">
        <v>528895</v>
      </c>
      <c r="AO445" s="148">
        <f t="shared" si="270"/>
        <v>-528895</v>
      </c>
      <c r="AP445" s="58">
        <v>38803.904240114382</v>
      </c>
      <c r="AQ445" s="143">
        <f t="shared" si="271"/>
        <v>-38803.9</v>
      </c>
    </row>
    <row r="446" spans="1:43" x14ac:dyDescent="0.35">
      <c r="A446" s="69" t="s">
        <v>43</v>
      </c>
      <c r="B446" s="15" t="s">
        <v>1374</v>
      </c>
      <c r="C446" s="15"/>
      <c r="D446" s="69" t="e">
        <f>_xlfn.XLOOKUP(B446,SOM!B:B,SOM!D:D,,0)</f>
        <v>#N/A</v>
      </c>
      <c r="E446" s="76">
        <v>2</v>
      </c>
      <c r="F446" s="69" t="s">
        <v>1151</v>
      </c>
      <c r="G446" s="92" t="s">
        <v>1152</v>
      </c>
      <c r="H446" s="15">
        <v>9008000025</v>
      </c>
      <c r="I446" s="92" t="s">
        <v>593</v>
      </c>
      <c r="J446" s="92">
        <v>1202020101</v>
      </c>
      <c r="K446" s="17" t="s">
        <v>1375</v>
      </c>
      <c r="L446" s="95" t="s">
        <v>1376</v>
      </c>
      <c r="M446" s="69" t="s">
        <v>1377</v>
      </c>
      <c r="N446" s="69"/>
      <c r="O446" s="94">
        <v>4</v>
      </c>
      <c r="P446" s="69" t="s">
        <v>50</v>
      </c>
      <c r="Q446" s="69" t="s">
        <v>51</v>
      </c>
      <c r="R446" s="69"/>
      <c r="S446" s="46">
        <v>41912</v>
      </c>
      <c r="T446" s="48">
        <v>43191</v>
      </c>
      <c r="U446" s="69"/>
      <c r="V446" s="69"/>
      <c r="W446" s="69"/>
      <c r="X446" s="69"/>
      <c r="Y446" s="69" t="s">
        <v>4125</v>
      </c>
      <c r="Z446" s="43">
        <v>195000</v>
      </c>
      <c r="AA446" s="43" t="s">
        <v>52</v>
      </c>
      <c r="AB446" s="43" t="s">
        <v>53</v>
      </c>
      <c r="AC446" s="43">
        <v>2373</v>
      </c>
      <c r="AD446" s="141">
        <v>6</v>
      </c>
      <c r="AE446" s="142">
        <v>6</v>
      </c>
      <c r="AF446" s="142"/>
      <c r="AG446" s="69" t="str">
        <f t="shared" si="268"/>
        <v>6 years 183 days</v>
      </c>
      <c r="AH446" s="69">
        <v>6</v>
      </c>
      <c r="AI446" s="69">
        <v>183</v>
      </c>
      <c r="AJ446" s="69">
        <v>0</v>
      </c>
      <c r="AK446" s="69">
        <v>0</v>
      </c>
      <c r="AL446" s="60">
        <v>195000</v>
      </c>
      <c r="AM446" s="60">
        <f t="shared" si="269"/>
        <v>195000</v>
      </c>
      <c r="AN446" s="59">
        <v>195000</v>
      </c>
      <c r="AO446" s="148">
        <f t="shared" si="270"/>
        <v>-195000</v>
      </c>
      <c r="AP446" s="58">
        <v>0</v>
      </c>
      <c r="AQ446" s="143">
        <f t="shared" si="271"/>
        <v>0</v>
      </c>
    </row>
    <row r="447" spans="1:43" x14ac:dyDescent="0.35">
      <c r="A447" s="69" t="s">
        <v>43</v>
      </c>
      <c r="B447" s="15" t="s">
        <v>1378</v>
      </c>
      <c r="C447" s="15"/>
      <c r="D447" s="69" t="e">
        <f>_xlfn.XLOOKUP(B447,SOM!B:B,SOM!D:D,,0)</f>
        <v>#N/A</v>
      </c>
      <c r="E447" s="76">
        <v>3</v>
      </c>
      <c r="F447" s="69" t="s">
        <v>1151</v>
      </c>
      <c r="G447" s="92" t="s">
        <v>1152</v>
      </c>
      <c r="H447" s="135">
        <v>9008000025</v>
      </c>
      <c r="I447" s="92" t="s">
        <v>593</v>
      </c>
      <c r="J447" s="92">
        <v>1202020101</v>
      </c>
      <c r="K447" s="28"/>
      <c r="L447" s="95" t="s">
        <v>1379</v>
      </c>
      <c r="M447" s="69" t="s">
        <v>1380</v>
      </c>
      <c r="N447" s="69"/>
      <c r="O447" s="94">
        <v>1</v>
      </c>
      <c r="P447" s="69" t="s">
        <v>50</v>
      </c>
      <c r="Q447" s="69" t="s">
        <v>51</v>
      </c>
      <c r="R447" s="69"/>
      <c r="S447" s="46">
        <v>44075</v>
      </c>
      <c r="T447" s="48">
        <v>44075</v>
      </c>
      <c r="U447" s="69"/>
      <c r="V447" s="69"/>
      <c r="W447" s="69"/>
      <c r="X447" s="69"/>
      <c r="Y447" s="69" t="s">
        <v>4127</v>
      </c>
      <c r="Z447" s="43">
        <v>213579</v>
      </c>
      <c r="AA447" s="43" t="s">
        <v>52</v>
      </c>
      <c r="AB447" s="43" t="s">
        <v>53</v>
      </c>
      <c r="AC447" s="43">
        <v>3650</v>
      </c>
      <c r="AD447" s="141">
        <v>10</v>
      </c>
      <c r="AE447" s="142">
        <v>0</v>
      </c>
      <c r="AF447" s="142"/>
      <c r="AG447" s="69" t="str">
        <f t="shared" si="268"/>
        <v>4 years 123 days</v>
      </c>
      <c r="AH447" s="69">
        <v>4</v>
      </c>
      <c r="AI447" s="69">
        <v>123</v>
      </c>
      <c r="AJ447" s="69">
        <v>0</v>
      </c>
      <c r="AK447" s="69">
        <v>0</v>
      </c>
      <c r="AL447" s="60">
        <v>213579</v>
      </c>
      <c r="AM447" s="60">
        <f t="shared" si="269"/>
        <v>213579</v>
      </c>
      <c r="AN447" s="59">
        <v>92629</v>
      </c>
      <c r="AO447" s="148">
        <f t="shared" si="270"/>
        <v>-92629</v>
      </c>
      <c r="AP447" s="58">
        <v>10591.097534246568</v>
      </c>
      <c r="AQ447" s="143">
        <f t="shared" si="271"/>
        <v>-10591.1</v>
      </c>
    </row>
    <row r="448" spans="1:43" x14ac:dyDescent="0.35">
      <c r="A448" s="69" t="s">
        <v>43</v>
      </c>
      <c r="B448" s="15" t="s">
        <v>1381</v>
      </c>
      <c r="C448" s="15"/>
      <c r="D448" s="69"/>
      <c r="E448" s="76">
        <v>0</v>
      </c>
      <c r="F448" s="69" t="s">
        <v>1151</v>
      </c>
      <c r="G448" s="92" t="s">
        <v>1152</v>
      </c>
      <c r="H448" s="15">
        <v>9008000026</v>
      </c>
      <c r="I448" s="92" t="s">
        <v>593</v>
      </c>
      <c r="J448" s="92">
        <v>1202020101</v>
      </c>
      <c r="K448" s="23" t="s">
        <v>1382</v>
      </c>
      <c r="L448" s="95" t="s">
        <v>1383</v>
      </c>
      <c r="M448" s="69" t="s">
        <v>1384</v>
      </c>
      <c r="N448" s="69"/>
      <c r="O448" s="94">
        <v>1</v>
      </c>
      <c r="P448" s="69" t="s">
        <v>50</v>
      </c>
      <c r="Q448" s="69" t="s">
        <v>51</v>
      </c>
      <c r="R448" s="69"/>
      <c r="S448" s="46">
        <v>41937</v>
      </c>
      <c r="T448" s="48">
        <v>43191</v>
      </c>
      <c r="U448" s="69"/>
      <c r="V448" s="69"/>
      <c r="W448" s="69"/>
      <c r="X448" s="69"/>
      <c r="Y448" s="69" t="s">
        <v>4125</v>
      </c>
      <c r="Z448" s="43">
        <v>5750000</v>
      </c>
      <c r="AA448" s="43" t="s">
        <v>52</v>
      </c>
      <c r="AB448" s="43" t="s">
        <v>53</v>
      </c>
      <c r="AC448" s="43">
        <v>4234</v>
      </c>
      <c r="AD448" s="141">
        <v>11</v>
      </c>
      <c r="AE448" s="142">
        <v>7</v>
      </c>
      <c r="AF448" s="142"/>
      <c r="AG448" s="69" t="str">
        <f t="shared" ref="AG448:AG449" si="272">_xlfn.CONCAT(AH448," years ",AI448," days")</f>
        <v>6 years 277 days</v>
      </c>
      <c r="AH448" s="69">
        <v>6</v>
      </c>
      <c r="AI448" s="69">
        <v>277</v>
      </c>
      <c r="AJ448" s="69">
        <v>0</v>
      </c>
      <c r="AK448" s="69">
        <v>0</v>
      </c>
      <c r="AL448" s="60">
        <v>5750000</v>
      </c>
      <c r="AM448" s="60">
        <f t="shared" ref="AM448:AM449" si="273">ROUND(AL448,2)</f>
        <v>5750000</v>
      </c>
      <c r="AN448" s="59">
        <v>3350319</v>
      </c>
      <c r="AO448" s="148">
        <f t="shared" ref="AO448:AO449" si="274">ROUND(AN448,2)*-1</f>
        <v>-3350319</v>
      </c>
      <c r="AP448" s="58">
        <v>245807.59423712781</v>
      </c>
      <c r="AQ448" s="143">
        <f t="shared" ref="AQ448:AQ449" si="275">ROUND(AP448,2)*-1</f>
        <v>-245807.59</v>
      </c>
    </row>
    <row r="449" spans="1:43" x14ac:dyDescent="0.35">
      <c r="A449" s="69" t="s">
        <v>43</v>
      </c>
      <c r="B449" s="15" t="s">
        <v>1385</v>
      </c>
      <c r="C449" s="15"/>
      <c r="D449" s="69" t="e">
        <f>_xlfn.XLOOKUP(B449,SOM!B:B,SOM!D:D,,0)</f>
        <v>#N/A</v>
      </c>
      <c r="E449" s="76">
        <v>1</v>
      </c>
      <c r="F449" s="69" t="s">
        <v>1151</v>
      </c>
      <c r="G449" s="92" t="s">
        <v>1152</v>
      </c>
      <c r="H449" s="135">
        <v>9008000026</v>
      </c>
      <c r="I449" s="92" t="s">
        <v>593</v>
      </c>
      <c r="J449" s="92">
        <v>1202020101</v>
      </c>
      <c r="K449" s="28"/>
      <c r="L449" s="95" t="s">
        <v>1386</v>
      </c>
      <c r="M449" s="69" t="s">
        <v>1387</v>
      </c>
      <c r="N449" s="69"/>
      <c r="O449" s="94">
        <v>28</v>
      </c>
      <c r="P449" s="69" t="s">
        <v>50</v>
      </c>
      <c r="Q449" s="69" t="s">
        <v>51</v>
      </c>
      <c r="R449" s="69"/>
      <c r="S449" s="46">
        <v>45347</v>
      </c>
      <c r="T449" s="48">
        <v>45347</v>
      </c>
      <c r="U449" s="69"/>
      <c r="V449" s="69"/>
      <c r="W449" s="69"/>
      <c r="X449" s="69"/>
      <c r="Y449" s="69" t="s">
        <v>4130</v>
      </c>
      <c r="Z449" s="43">
        <v>90640</v>
      </c>
      <c r="AA449" s="43" t="s">
        <v>52</v>
      </c>
      <c r="AB449" s="43" t="s">
        <v>53</v>
      </c>
      <c r="AC449" s="43">
        <v>3650</v>
      </c>
      <c r="AD449" s="141">
        <v>10</v>
      </c>
      <c r="AE449" s="142">
        <v>0</v>
      </c>
      <c r="AF449" s="142"/>
      <c r="AG449" s="69" t="str">
        <f t="shared" si="272"/>
        <v>0 years 311 days</v>
      </c>
      <c r="AH449" s="69">
        <v>0</v>
      </c>
      <c r="AI449" s="69">
        <v>311</v>
      </c>
      <c r="AJ449" s="69">
        <v>0</v>
      </c>
      <c r="AK449" s="69">
        <v>0</v>
      </c>
      <c r="AL449" s="60">
        <v>90640</v>
      </c>
      <c r="AM449" s="60">
        <f t="shared" si="273"/>
        <v>90640</v>
      </c>
      <c r="AN449" s="59">
        <v>7723</v>
      </c>
      <c r="AO449" s="148">
        <f t="shared" si="274"/>
        <v>-7723</v>
      </c>
      <c r="AP449" s="58">
        <v>4494.7753424657531</v>
      </c>
      <c r="AQ449" s="143">
        <f t="shared" si="275"/>
        <v>-4494.78</v>
      </c>
    </row>
    <row r="450" spans="1:43" x14ac:dyDescent="0.35">
      <c r="A450" s="69" t="s">
        <v>43</v>
      </c>
      <c r="B450" s="15" t="s">
        <v>1388</v>
      </c>
      <c r="C450" s="15"/>
      <c r="D450" s="69"/>
      <c r="E450" s="76">
        <v>0</v>
      </c>
      <c r="F450" s="69" t="s">
        <v>1151</v>
      </c>
      <c r="G450" s="92" t="s">
        <v>1152</v>
      </c>
      <c r="H450" s="15">
        <v>9008000027</v>
      </c>
      <c r="I450" s="92" t="s">
        <v>593</v>
      </c>
      <c r="J450" s="92">
        <v>1202020101</v>
      </c>
      <c r="K450" s="23" t="s">
        <v>1389</v>
      </c>
      <c r="L450" s="95" t="s">
        <v>1390</v>
      </c>
      <c r="M450" s="69" t="s">
        <v>1391</v>
      </c>
      <c r="N450" s="69"/>
      <c r="O450" s="94">
        <v>1</v>
      </c>
      <c r="P450" s="69" t="s">
        <v>50</v>
      </c>
      <c r="Q450" s="69" t="s">
        <v>51</v>
      </c>
      <c r="R450" s="69"/>
      <c r="S450" s="46">
        <v>41974</v>
      </c>
      <c r="T450" s="48">
        <v>43191</v>
      </c>
      <c r="U450" s="69"/>
      <c r="V450" s="69"/>
      <c r="W450" s="69"/>
      <c r="X450" s="69"/>
      <c r="Y450" s="69" t="s">
        <v>4125</v>
      </c>
      <c r="Z450" s="43">
        <v>5775000</v>
      </c>
      <c r="AA450" s="43" t="s">
        <v>52</v>
      </c>
      <c r="AB450" s="43" t="s">
        <v>53</v>
      </c>
      <c r="AC450" s="43">
        <v>4271</v>
      </c>
      <c r="AD450" s="141">
        <v>11</v>
      </c>
      <c r="AE450" s="142">
        <v>9</v>
      </c>
      <c r="AF450" s="142"/>
      <c r="AG450" s="69" t="str">
        <f>_xlfn.CONCAT(AH450," years ",AI450," days")</f>
        <v>6 years 277 days</v>
      </c>
      <c r="AH450" s="69">
        <v>6</v>
      </c>
      <c r="AI450" s="69">
        <v>277</v>
      </c>
      <c r="AJ450" s="69">
        <v>0</v>
      </c>
      <c r="AK450" s="69">
        <v>0</v>
      </c>
      <c r="AL450" s="60">
        <v>5775000</v>
      </c>
      <c r="AM450" s="60">
        <f>ROUND(AL450,2)</f>
        <v>5775000</v>
      </c>
      <c r="AN450" s="59">
        <v>3335735</v>
      </c>
      <c r="AO450" s="148">
        <f>ROUND(AN450,2)*-1</f>
        <v>-3335735</v>
      </c>
      <c r="AP450" s="58">
        <v>244737.9571528919</v>
      </c>
      <c r="AQ450" s="143">
        <f>ROUND(AP450,2)*-1</f>
        <v>-244737.96</v>
      </c>
    </row>
    <row r="451" spans="1:43" x14ac:dyDescent="0.35">
      <c r="A451" s="69" t="s">
        <v>43</v>
      </c>
      <c r="B451" s="15" t="s">
        <v>1392</v>
      </c>
      <c r="C451" s="15"/>
      <c r="D451" s="69"/>
      <c r="E451" s="76">
        <v>0</v>
      </c>
      <c r="F451" s="69" t="s">
        <v>1151</v>
      </c>
      <c r="G451" s="92" t="s">
        <v>1152</v>
      </c>
      <c r="H451" s="15">
        <v>9008000028</v>
      </c>
      <c r="I451" s="92" t="s">
        <v>593</v>
      </c>
      <c r="J451" s="92">
        <v>1202020101</v>
      </c>
      <c r="K451" s="23" t="s">
        <v>1393</v>
      </c>
      <c r="L451" s="95" t="s">
        <v>1394</v>
      </c>
      <c r="M451" s="69" t="s">
        <v>1395</v>
      </c>
      <c r="N451" s="69"/>
      <c r="O451" s="94">
        <v>1</v>
      </c>
      <c r="P451" s="69" t="s">
        <v>50</v>
      </c>
      <c r="Q451" s="69" t="s">
        <v>51</v>
      </c>
      <c r="R451" s="69"/>
      <c r="S451" s="46">
        <v>42159</v>
      </c>
      <c r="T451" s="48">
        <v>43191</v>
      </c>
      <c r="U451" s="69"/>
      <c r="V451" s="69"/>
      <c r="W451" s="69"/>
      <c r="X451" s="69"/>
      <c r="Y451" s="69" t="s">
        <v>4125</v>
      </c>
      <c r="Z451" s="43">
        <v>6025000</v>
      </c>
      <c r="AA451" s="43" t="s">
        <v>52</v>
      </c>
      <c r="AB451" s="43" t="s">
        <v>53</v>
      </c>
      <c r="AC451" s="43">
        <v>4453</v>
      </c>
      <c r="AD451" s="141">
        <v>12</v>
      </c>
      <c r="AE451" s="142">
        <v>2</v>
      </c>
      <c r="AF451" s="142"/>
      <c r="AG451" s="69" t="str">
        <f>_xlfn.CONCAT(AH451," years ",AI451," days")</f>
        <v>6 years 277 days</v>
      </c>
      <c r="AH451" s="69">
        <v>6</v>
      </c>
      <c r="AI451" s="69">
        <v>277</v>
      </c>
      <c r="AJ451" s="69">
        <v>0</v>
      </c>
      <c r="AK451" s="69">
        <v>0</v>
      </c>
      <c r="AL451" s="60">
        <v>6025000</v>
      </c>
      <c r="AM451" s="60">
        <f>ROUND(AL451,2)</f>
        <v>6025000</v>
      </c>
      <c r="AN451" s="59">
        <v>3337901</v>
      </c>
      <c r="AO451" s="148">
        <f>ROUND(AN451,2)*-1</f>
        <v>-3337901</v>
      </c>
      <c r="AP451" s="58">
        <v>244897.11363126012</v>
      </c>
      <c r="AQ451" s="143">
        <f>ROUND(AP451,2)*-1</f>
        <v>-244897.11</v>
      </c>
    </row>
    <row r="452" spans="1:43" x14ac:dyDescent="0.35">
      <c r="A452" s="69" t="s">
        <v>43</v>
      </c>
      <c r="B452" s="15" t="s">
        <v>1396</v>
      </c>
      <c r="C452" s="15"/>
      <c r="D452" s="69"/>
      <c r="E452" s="76">
        <v>0</v>
      </c>
      <c r="F452" s="69" t="s">
        <v>1151</v>
      </c>
      <c r="G452" s="92" t="s">
        <v>1152</v>
      </c>
      <c r="H452" s="15">
        <v>9008000029</v>
      </c>
      <c r="I452" s="92" t="s">
        <v>593</v>
      </c>
      <c r="J452" s="92">
        <v>1202020101</v>
      </c>
      <c r="K452" s="23" t="s">
        <v>1397</v>
      </c>
      <c r="L452" s="95" t="s">
        <v>1398</v>
      </c>
      <c r="M452" s="69" t="s">
        <v>1399</v>
      </c>
      <c r="N452" s="69"/>
      <c r="O452" s="94">
        <v>1</v>
      </c>
      <c r="P452" s="69" t="s">
        <v>50</v>
      </c>
      <c r="Q452" s="69" t="s">
        <v>51</v>
      </c>
      <c r="R452" s="69"/>
      <c r="S452" s="46">
        <v>42161</v>
      </c>
      <c r="T452" s="48">
        <v>43191</v>
      </c>
      <c r="U452" s="69"/>
      <c r="V452" s="69"/>
      <c r="W452" s="69"/>
      <c r="X452" s="69"/>
      <c r="Y452" s="69" t="s">
        <v>4125</v>
      </c>
      <c r="Z452" s="43">
        <v>6025000</v>
      </c>
      <c r="AA452" s="43" t="s">
        <v>52</v>
      </c>
      <c r="AB452" s="43" t="s">
        <v>53</v>
      </c>
      <c r="AC452" s="43">
        <v>4453</v>
      </c>
      <c r="AD452" s="141">
        <v>12</v>
      </c>
      <c r="AE452" s="142">
        <v>2</v>
      </c>
      <c r="AF452" s="142"/>
      <c r="AG452" s="69" t="str">
        <f t="shared" ref="AG452:AG453" si="276">_xlfn.CONCAT(AH452," years ",AI452," days")</f>
        <v>6 years 277 days</v>
      </c>
      <c r="AH452" s="69">
        <v>6</v>
      </c>
      <c r="AI452" s="69">
        <v>277</v>
      </c>
      <c r="AJ452" s="69">
        <v>0</v>
      </c>
      <c r="AK452" s="69">
        <v>0</v>
      </c>
      <c r="AL452" s="60">
        <v>6025000</v>
      </c>
      <c r="AM452" s="60">
        <f t="shared" ref="AM452:AM453" si="277">ROUND(AL452,2)</f>
        <v>6025000</v>
      </c>
      <c r="AN452" s="59">
        <v>3337901</v>
      </c>
      <c r="AO452" s="148">
        <f t="shared" ref="AO452:AO453" si="278">ROUND(AN452,2)*-1</f>
        <v>-3337901</v>
      </c>
      <c r="AP452" s="58">
        <v>244897.11363126012</v>
      </c>
      <c r="AQ452" s="143">
        <f t="shared" ref="AQ452:AQ453" si="279">ROUND(AP452,2)*-1</f>
        <v>-244897.11</v>
      </c>
    </row>
    <row r="453" spans="1:43" x14ac:dyDescent="0.35">
      <c r="A453" s="69" t="s">
        <v>43</v>
      </c>
      <c r="B453" s="15" t="s">
        <v>1400</v>
      </c>
      <c r="C453" s="15"/>
      <c r="D453" s="69" t="e">
        <f>_xlfn.XLOOKUP(B453,SOM!B:B,SOM!D:D,,0)</f>
        <v>#N/A</v>
      </c>
      <c r="E453" s="76">
        <v>1</v>
      </c>
      <c r="F453" s="69" t="s">
        <v>1151</v>
      </c>
      <c r="G453" s="92" t="s">
        <v>1152</v>
      </c>
      <c r="H453" s="15">
        <v>9008000029</v>
      </c>
      <c r="I453" s="92" t="s">
        <v>593</v>
      </c>
      <c r="J453" s="92">
        <v>1202020101</v>
      </c>
      <c r="K453" s="17" t="s">
        <v>1401</v>
      </c>
      <c r="L453" s="95" t="s">
        <v>1402</v>
      </c>
      <c r="M453" s="69" t="s">
        <v>1377</v>
      </c>
      <c r="N453" s="69"/>
      <c r="O453" s="94">
        <v>4</v>
      </c>
      <c r="P453" s="69" t="s">
        <v>50</v>
      </c>
      <c r="Q453" s="69" t="s">
        <v>51</v>
      </c>
      <c r="R453" s="69"/>
      <c r="S453" s="46">
        <v>41917</v>
      </c>
      <c r="T453" s="48">
        <v>43191</v>
      </c>
      <c r="U453" s="69"/>
      <c r="V453" s="69"/>
      <c r="W453" s="69"/>
      <c r="X453" s="69"/>
      <c r="Y453" s="69" t="s">
        <v>4125</v>
      </c>
      <c r="Z453" s="43">
        <v>195000</v>
      </c>
      <c r="AA453" s="43" t="s">
        <v>52</v>
      </c>
      <c r="AB453" s="43" t="s">
        <v>53</v>
      </c>
      <c r="AC453" s="43">
        <v>2373</v>
      </c>
      <c r="AD453" s="141">
        <v>6</v>
      </c>
      <c r="AE453" s="142">
        <v>6</v>
      </c>
      <c r="AF453" s="142"/>
      <c r="AG453" s="69" t="str">
        <f t="shared" si="276"/>
        <v>6 years 183 days</v>
      </c>
      <c r="AH453" s="69">
        <v>6</v>
      </c>
      <c r="AI453" s="69">
        <v>183</v>
      </c>
      <c r="AJ453" s="69">
        <v>0</v>
      </c>
      <c r="AK453" s="69">
        <v>0</v>
      </c>
      <c r="AL453" s="60">
        <v>195000</v>
      </c>
      <c r="AM453" s="60">
        <f t="shared" si="277"/>
        <v>195000</v>
      </c>
      <c r="AN453" s="59">
        <v>195000</v>
      </c>
      <c r="AO453" s="148">
        <f t="shared" si="278"/>
        <v>-195000</v>
      </c>
      <c r="AP453" s="58">
        <v>0</v>
      </c>
      <c r="AQ453" s="143">
        <f t="shared" si="279"/>
        <v>0</v>
      </c>
    </row>
    <row r="454" spans="1:43" x14ac:dyDescent="0.35">
      <c r="A454" s="69" t="s">
        <v>43</v>
      </c>
      <c r="B454" s="15" t="s">
        <v>1403</v>
      </c>
      <c r="C454" s="15"/>
      <c r="D454" s="69"/>
      <c r="E454" s="76">
        <v>0</v>
      </c>
      <c r="F454" s="69" t="s">
        <v>1151</v>
      </c>
      <c r="G454" s="92" t="s">
        <v>1152</v>
      </c>
      <c r="H454" s="15">
        <v>9008000030</v>
      </c>
      <c r="I454" s="92" t="s">
        <v>593</v>
      </c>
      <c r="J454" s="92">
        <v>1202020101</v>
      </c>
      <c r="K454" s="23" t="s">
        <v>1404</v>
      </c>
      <c r="L454" s="95" t="s">
        <v>1405</v>
      </c>
      <c r="M454" s="69" t="s">
        <v>1406</v>
      </c>
      <c r="N454" s="69"/>
      <c r="O454" s="94">
        <v>1</v>
      </c>
      <c r="P454" s="69" t="s">
        <v>50</v>
      </c>
      <c r="Q454" s="69" t="s">
        <v>51</v>
      </c>
      <c r="R454" s="69"/>
      <c r="S454" s="46">
        <v>42167</v>
      </c>
      <c r="T454" s="48">
        <v>43191</v>
      </c>
      <c r="U454" s="69"/>
      <c r="V454" s="69"/>
      <c r="W454" s="69"/>
      <c r="X454" s="69"/>
      <c r="Y454" s="69" t="s">
        <v>4125</v>
      </c>
      <c r="Z454" s="43">
        <v>6025000</v>
      </c>
      <c r="AA454" s="43" t="s">
        <v>52</v>
      </c>
      <c r="AB454" s="43" t="s">
        <v>53</v>
      </c>
      <c r="AC454" s="43">
        <v>4453</v>
      </c>
      <c r="AD454" s="141">
        <v>12</v>
      </c>
      <c r="AE454" s="142">
        <v>2</v>
      </c>
      <c r="AF454" s="142"/>
      <c r="AG454" s="69" t="str">
        <f>_xlfn.CONCAT(AH454," years ",AI454," days")</f>
        <v>6 years 277 days</v>
      </c>
      <c r="AH454" s="69">
        <v>6</v>
      </c>
      <c r="AI454" s="69">
        <v>277</v>
      </c>
      <c r="AJ454" s="69">
        <v>0</v>
      </c>
      <c r="AK454" s="69">
        <v>0</v>
      </c>
      <c r="AL454" s="60">
        <v>6025000</v>
      </c>
      <c r="AM454" s="60">
        <f>ROUND(AL454,2)</f>
        <v>6025000</v>
      </c>
      <c r="AN454" s="59">
        <v>3337901</v>
      </c>
      <c r="AO454" s="148">
        <f>ROUND(AN454,2)*-1</f>
        <v>-3337901</v>
      </c>
      <c r="AP454" s="58">
        <v>244897.11363126012</v>
      </c>
      <c r="AQ454" s="143">
        <f>ROUND(AP454,2)*-1</f>
        <v>-244897.11</v>
      </c>
    </row>
    <row r="455" spans="1:43" x14ac:dyDescent="0.35">
      <c r="A455" s="69" t="s">
        <v>43</v>
      </c>
      <c r="B455" s="15" t="s">
        <v>1407</v>
      </c>
      <c r="C455" s="15"/>
      <c r="D455" s="69"/>
      <c r="E455" s="76">
        <v>0</v>
      </c>
      <c r="F455" s="69" t="s">
        <v>1151</v>
      </c>
      <c r="G455" s="92" t="s">
        <v>1152</v>
      </c>
      <c r="H455" s="15">
        <v>9008000031</v>
      </c>
      <c r="I455" s="92" t="s">
        <v>593</v>
      </c>
      <c r="J455" s="92">
        <v>1202020101</v>
      </c>
      <c r="K455" s="23" t="s">
        <v>1408</v>
      </c>
      <c r="L455" s="95" t="s">
        <v>1409</v>
      </c>
      <c r="M455" s="69" t="s">
        <v>1410</v>
      </c>
      <c r="N455" s="69"/>
      <c r="O455" s="94">
        <v>1</v>
      </c>
      <c r="P455" s="69" t="s">
        <v>50</v>
      </c>
      <c r="Q455" s="69" t="s">
        <v>51</v>
      </c>
      <c r="R455" s="69"/>
      <c r="S455" s="46">
        <v>42193</v>
      </c>
      <c r="T455" s="48">
        <v>43191</v>
      </c>
      <c r="U455" s="69"/>
      <c r="V455" s="69"/>
      <c r="W455" s="69"/>
      <c r="X455" s="69"/>
      <c r="Y455" s="69" t="s">
        <v>4125</v>
      </c>
      <c r="Z455" s="43">
        <v>6075000</v>
      </c>
      <c r="AA455" s="43" t="s">
        <v>52</v>
      </c>
      <c r="AB455" s="43" t="s">
        <v>53</v>
      </c>
      <c r="AC455" s="43">
        <v>4490</v>
      </c>
      <c r="AD455" s="141">
        <v>12</v>
      </c>
      <c r="AE455" s="142">
        <v>4</v>
      </c>
      <c r="AF455" s="142"/>
      <c r="AG455" s="69" t="str">
        <f>_xlfn.CONCAT(AH455," years ",AI455," days")</f>
        <v>6 years 277 days</v>
      </c>
      <c r="AH455" s="69">
        <v>6</v>
      </c>
      <c r="AI455" s="69">
        <v>277</v>
      </c>
      <c r="AJ455" s="69">
        <v>0</v>
      </c>
      <c r="AK455" s="69">
        <v>0</v>
      </c>
      <c r="AL455" s="60">
        <v>6075000</v>
      </c>
      <c r="AM455" s="60">
        <f>ROUND(AL455,2)</f>
        <v>6075000</v>
      </c>
      <c r="AN455" s="59">
        <v>3337867</v>
      </c>
      <c r="AO455" s="148">
        <f>ROUND(AN455,2)*-1</f>
        <v>-3337867</v>
      </c>
      <c r="AP455" s="58">
        <v>244894.69265033398</v>
      </c>
      <c r="AQ455" s="143">
        <f>ROUND(AP455,2)*-1</f>
        <v>-244894.69</v>
      </c>
    </row>
    <row r="456" spans="1:43" x14ac:dyDescent="0.35">
      <c r="A456" s="69" t="s">
        <v>43</v>
      </c>
      <c r="B456" s="15" t="s">
        <v>1411</v>
      </c>
      <c r="C456" s="15"/>
      <c r="D456" s="69"/>
      <c r="E456" s="76">
        <v>0</v>
      </c>
      <c r="F456" s="69" t="s">
        <v>1151</v>
      </c>
      <c r="G456" s="92" t="s">
        <v>1152</v>
      </c>
      <c r="H456" s="15">
        <v>9008000032</v>
      </c>
      <c r="I456" s="92" t="s">
        <v>593</v>
      </c>
      <c r="J456" s="92">
        <v>1202020101</v>
      </c>
      <c r="K456" s="23" t="s">
        <v>1412</v>
      </c>
      <c r="L456" s="95" t="s">
        <v>1413</v>
      </c>
      <c r="M456" s="69" t="s">
        <v>1414</v>
      </c>
      <c r="N456" s="69"/>
      <c r="O456" s="94">
        <v>1</v>
      </c>
      <c r="P456" s="69" t="s">
        <v>50</v>
      </c>
      <c r="Q456" s="69" t="s">
        <v>51</v>
      </c>
      <c r="R456" s="69"/>
      <c r="S456" s="46">
        <v>42193</v>
      </c>
      <c r="T456" s="48">
        <v>43191</v>
      </c>
      <c r="U456" s="69"/>
      <c r="V456" s="69"/>
      <c r="W456" s="69"/>
      <c r="X456" s="69"/>
      <c r="Y456" s="69" t="s">
        <v>4125</v>
      </c>
      <c r="Z456" s="43">
        <v>6075000</v>
      </c>
      <c r="AA456" s="43" t="s">
        <v>52</v>
      </c>
      <c r="AB456" s="43" t="s">
        <v>53</v>
      </c>
      <c r="AC456" s="43">
        <v>4490</v>
      </c>
      <c r="AD456" s="141">
        <v>12</v>
      </c>
      <c r="AE456" s="142">
        <v>4</v>
      </c>
      <c r="AF456" s="142"/>
      <c r="AG456" s="69" t="str">
        <f>_xlfn.CONCAT(AH456," years ",AI456," days")</f>
        <v>6 years 277 days</v>
      </c>
      <c r="AH456" s="69">
        <v>6</v>
      </c>
      <c r="AI456" s="69">
        <v>277</v>
      </c>
      <c r="AJ456" s="69">
        <v>0</v>
      </c>
      <c r="AK456" s="69">
        <v>0</v>
      </c>
      <c r="AL456" s="60">
        <v>6075000</v>
      </c>
      <c r="AM456" s="60">
        <f>ROUND(AL456,2)</f>
        <v>6075000</v>
      </c>
      <c r="AN456" s="59">
        <v>3337867</v>
      </c>
      <c r="AO456" s="148">
        <f>ROUND(AN456,2)*-1</f>
        <v>-3337867</v>
      </c>
      <c r="AP456" s="58">
        <v>244894.69265033398</v>
      </c>
      <c r="AQ456" s="143">
        <f>ROUND(AP456,2)*-1</f>
        <v>-244894.69</v>
      </c>
    </row>
    <row r="457" spans="1:43" x14ac:dyDescent="0.35">
      <c r="A457" s="69" t="s">
        <v>43</v>
      </c>
      <c r="B457" s="136" t="s">
        <v>1415</v>
      </c>
      <c r="C457" s="136"/>
      <c r="D457" s="69"/>
      <c r="E457" s="76">
        <v>0</v>
      </c>
      <c r="F457" s="69" t="s">
        <v>1151</v>
      </c>
      <c r="G457" s="92" t="s">
        <v>1152</v>
      </c>
      <c r="H457" s="116">
        <v>9008000033</v>
      </c>
      <c r="I457" s="92" t="s">
        <v>1416</v>
      </c>
      <c r="J457" s="92">
        <v>1202020104</v>
      </c>
      <c r="K457" s="29" t="s">
        <v>1417</v>
      </c>
      <c r="L457" s="95" t="s">
        <v>1418</v>
      </c>
      <c r="M457" s="69" t="s">
        <v>1419</v>
      </c>
      <c r="N457" s="69"/>
      <c r="O457" s="94">
        <v>1</v>
      </c>
      <c r="P457" s="69" t="s">
        <v>50</v>
      </c>
      <c r="Q457" s="69" t="s">
        <v>51</v>
      </c>
      <c r="R457" s="69"/>
      <c r="S457" s="46">
        <v>44726</v>
      </c>
      <c r="T457" s="48">
        <v>43191</v>
      </c>
      <c r="U457" s="69"/>
      <c r="V457" s="69"/>
      <c r="W457" s="69"/>
      <c r="X457" s="69"/>
      <c r="Y457" s="69" t="s">
        <v>4125</v>
      </c>
      <c r="Z457" s="56">
        <v>11300000</v>
      </c>
      <c r="AA457" s="43" t="s">
        <v>52</v>
      </c>
      <c r="AB457" s="43" t="s">
        <v>53</v>
      </c>
      <c r="AC457" s="43">
        <v>4198</v>
      </c>
      <c r="AD457" s="141">
        <v>11</v>
      </c>
      <c r="AE457" s="142">
        <v>6</v>
      </c>
      <c r="AF457" s="142"/>
      <c r="AG457" s="69" t="str">
        <f t="shared" ref="AG457:AG461" si="280">_xlfn.CONCAT(AH457," years ",AI457," days")</f>
        <v>6 years 277 days</v>
      </c>
      <c r="AH457" s="69">
        <v>6</v>
      </c>
      <c r="AI457" s="69">
        <v>277</v>
      </c>
      <c r="AJ457" s="69">
        <v>0</v>
      </c>
      <c r="AK457" s="69">
        <v>0</v>
      </c>
      <c r="AL457" s="66">
        <v>11300000</v>
      </c>
      <c r="AM457" s="60">
        <f t="shared" ref="AM457:AM461" si="281">ROUND(AL457,2)</f>
        <v>11300000</v>
      </c>
      <c r="AN457" s="59">
        <v>6643259</v>
      </c>
      <c r="AO457" s="148">
        <f t="shared" ref="AO457:AO461" si="282">ROUND(AN457,2)*-1</f>
        <v>-6643259</v>
      </c>
      <c r="AP457" s="58">
        <v>487207.88899475988</v>
      </c>
      <c r="AQ457" s="143">
        <f t="shared" ref="AQ457:AQ461" si="283">ROUND(AP457,2)*-1</f>
        <v>-487207.89</v>
      </c>
    </row>
    <row r="458" spans="1:43" x14ac:dyDescent="0.35">
      <c r="A458" s="69" t="s">
        <v>43</v>
      </c>
      <c r="B458" s="15" t="s">
        <v>1420</v>
      </c>
      <c r="C458" s="15"/>
      <c r="D458" s="69" t="e">
        <f>_xlfn.XLOOKUP(B458,SOM!B:B,SOM!D:D,,0)</f>
        <v>#N/A</v>
      </c>
      <c r="E458" s="76">
        <v>1</v>
      </c>
      <c r="F458" s="69" t="s">
        <v>1151</v>
      </c>
      <c r="G458" s="92" t="s">
        <v>1152</v>
      </c>
      <c r="H458" s="15">
        <v>9008000033</v>
      </c>
      <c r="I458" s="92" t="s">
        <v>1416</v>
      </c>
      <c r="J458" s="92">
        <v>1202020104</v>
      </c>
      <c r="K458" s="16" t="s">
        <v>1421</v>
      </c>
      <c r="L458" s="95" t="s">
        <v>1422</v>
      </c>
      <c r="M458" s="69" t="s">
        <v>49</v>
      </c>
      <c r="N458" s="69"/>
      <c r="O458" s="94">
        <v>1</v>
      </c>
      <c r="P458" s="69" t="s">
        <v>50</v>
      </c>
      <c r="Q458" s="69" t="s">
        <v>51</v>
      </c>
      <c r="R458" s="69"/>
      <c r="S458" s="46">
        <v>40690</v>
      </c>
      <c r="T458" s="48">
        <v>43191</v>
      </c>
      <c r="U458" s="69"/>
      <c r="V458" s="69"/>
      <c r="W458" s="69"/>
      <c r="X458" s="69"/>
      <c r="Y458" s="69" t="s">
        <v>4125</v>
      </c>
      <c r="Z458" s="43">
        <v>95000</v>
      </c>
      <c r="AA458" s="43" t="s">
        <v>52</v>
      </c>
      <c r="AB458" s="43" t="s">
        <v>53</v>
      </c>
      <c r="AC458" s="43">
        <v>2993</v>
      </c>
      <c r="AD458" s="141">
        <v>8</v>
      </c>
      <c r="AE458" s="142">
        <v>2</v>
      </c>
      <c r="AF458" s="142"/>
      <c r="AG458" s="69" t="str">
        <f t="shared" si="280"/>
        <v>6 years 277 days</v>
      </c>
      <c r="AH458" s="69">
        <v>6</v>
      </c>
      <c r="AI458" s="69">
        <v>277</v>
      </c>
      <c r="AJ458" s="69">
        <v>0</v>
      </c>
      <c r="AK458" s="69">
        <v>0</v>
      </c>
      <c r="AL458" s="60">
        <v>95000</v>
      </c>
      <c r="AM458" s="60">
        <f t="shared" si="281"/>
        <v>95000</v>
      </c>
      <c r="AN458" s="59">
        <v>78304</v>
      </c>
      <c r="AO458" s="148">
        <f t="shared" si="282"/>
        <v>-78304</v>
      </c>
      <c r="AP458" s="58">
        <v>5745.4487136652169</v>
      </c>
      <c r="AQ458" s="143">
        <f t="shared" si="283"/>
        <v>-5745.45</v>
      </c>
    </row>
    <row r="459" spans="1:43" x14ac:dyDescent="0.35">
      <c r="A459" s="69" t="s">
        <v>43</v>
      </c>
      <c r="B459" s="15" t="s">
        <v>1423</v>
      </c>
      <c r="C459" s="15"/>
      <c r="D459" s="69" t="e">
        <f>_xlfn.XLOOKUP(B459,SOM!B:B,SOM!D:D,,0)</f>
        <v>#N/A</v>
      </c>
      <c r="E459" s="76">
        <v>2</v>
      </c>
      <c r="F459" s="69" t="s">
        <v>1151</v>
      </c>
      <c r="G459" s="92" t="s">
        <v>1152</v>
      </c>
      <c r="H459" s="15">
        <v>9008000033</v>
      </c>
      <c r="I459" s="92" t="s">
        <v>1416</v>
      </c>
      <c r="J459" s="92">
        <v>1202020104</v>
      </c>
      <c r="K459" s="16" t="s">
        <v>1424</v>
      </c>
      <c r="L459" s="95" t="s">
        <v>1425</v>
      </c>
      <c r="M459" s="69" t="s">
        <v>1426</v>
      </c>
      <c r="N459" s="69"/>
      <c r="O459" s="94">
        <v>3</v>
      </c>
      <c r="P459" s="69" t="s">
        <v>50</v>
      </c>
      <c r="Q459" s="69" t="s">
        <v>51</v>
      </c>
      <c r="R459" s="69"/>
      <c r="S459" s="46">
        <v>44896</v>
      </c>
      <c r="T459" s="48">
        <v>44896</v>
      </c>
      <c r="U459" s="69"/>
      <c r="V459" s="69"/>
      <c r="W459" s="69"/>
      <c r="X459" s="69"/>
      <c r="Y459" s="69" t="s">
        <v>4131</v>
      </c>
      <c r="Z459" s="43">
        <v>793420</v>
      </c>
      <c r="AA459" s="43" t="s">
        <v>52</v>
      </c>
      <c r="AB459" s="43" t="s">
        <v>53</v>
      </c>
      <c r="AC459" s="43">
        <v>3650</v>
      </c>
      <c r="AD459" s="141">
        <v>10</v>
      </c>
      <c r="AE459" s="142">
        <v>0</v>
      </c>
      <c r="AF459" s="142"/>
      <c r="AG459" s="69" t="str">
        <f t="shared" si="280"/>
        <v>2 years 32 days</v>
      </c>
      <c r="AH459" s="69">
        <v>2</v>
      </c>
      <c r="AI459" s="69">
        <v>32</v>
      </c>
      <c r="AJ459" s="69">
        <v>0</v>
      </c>
      <c r="AK459" s="69">
        <v>0</v>
      </c>
      <c r="AL459" s="60">
        <v>793420</v>
      </c>
      <c r="AM459" s="60">
        <f t="shared" si="281"/>
        <v>793420</v>
      </c>
      <c r="AN459" s="59">
        <v>165640</v>
      </c>
      <c r="AO459" s="148">
        <f t="shared" si="282"/>
        <v>-165640</v>
      </c>
      <c r="AP459" s="58">
        <v>39344.947945205495</v>
      </c>
      <c r="AQ459" s="143">
        <f t="shared" si="283"/>
        <v>-39344.949999999997</v>
      </c>
    </row>
    <row r="460" spans="1:43" x14ac:dyDescent="0.35">
      <c r="A460" s="69" t="s">
        <v>43</v>
      </c>
      <c r="B460" s="15" t="s">
        <v>1427</v>
      </c>
      <c r="C460" s="15"/>
      <c r="D460" s="69" t="e">
        <f>_xlfn.XLOOKUP(B460,SOM!B:B,SOM!D:D,,0)</f>
        <v>#N/A</v>
      </c>
      <c r="E460" s="76">
        <v>3</v>
      </c>
      <c r="F460" s="69" t="s">
        <v>1151</v>
      </c>
      <c r="G460" s="92" t="s">
        <v>1152</v>
      </c>
      <c r="H460" s="15">
        <v>9008000033</v>
      </c>
      <c r="I460" s="92" t="s">
        <v>1416</v>
      </c>
      <c r="J460" s="92">
        <v>1202020104</v>
      </c>
      <c r="K460" s="17" t="s">
        <v>1428</v>
      </c>
      <c r="L460" s="95" t="s">
        <v>1429</v>
      </c>
      <c r="M460" s="69" t="s">
        <v>1430</v>
      </c>
      <c r="N460" s="69"/>
      <c r="O460" s="94">
        <v>1</v>
      </c>
      <c r="P460" s="69" t="s">
        <v>50</v>
      </c>
      <c r="Q460" s="69" t="s">
        <v>51</v>
      </c>
      <c r="R460" s="69"/>
      <c r="S460" s="46">
        <v>44986</v>
      </c>
      <c r="T460" s="48">
        <v>44986</v>
      </c>
      <c r="U460" s="69"/>
      <c r="V460" s="69"/>
      <c r="W460" s="69"/>
      <c r="X460" s="69"/>
      <c r="Y460" s="69" t="s">
        <v>4129</v>
      </c>
      <c r="Z460" s="43">
        <v>413400</v>
      </c>
      <c r="AA460" s="43" t="s">
        <v>52</v>
      </c>
      <c r="AB460" s="43" t="s">
        <v>53</v>
      </c>
      <c r="AC460" s="43">
        <v>3650</v>
      </c>
      <c r="AD460" s="141">
        <v>10</v>
      </c>
      <c r="AE460" s="142">
        <v>0</v>
      </c>
      <c r="AF460" s="142"/>
      <c r="AG460" s="69" t="str">
        <f t="shared" si="280"/>
        <v>1 years 307 days</v>
      </c>
      <c r="AH460" s="69">
        <v>1</v>
      </c>
      <c r="AI460" s="69">
        <v>307</v>
      </c>
      <c r="AJ460" s="69">
        <v>0</v>
      </c>
      <c r="AK460" s="69">
        <v>0</v>
      </c>
      <c r="AL460" s="60">
        <v>413400</v>
      </c>
      <c r="AM460" s="60">
        <f t="shared" si="281"/>
        <v>413400</v>
      </c>
      <c r="AN460" s="59">
        <v>76111</v>
      </c>
      <c r="AO460" s="148">
        <f t="shared" si="282"/>
        <v>-76111</v>
      </c>
      <c r="AP460" s="58">
        <v>20500.013698630137</v>
      </c>
      <c r="AQ460" s="143">
        <f t="shared" si="283"/>
        <v>-20500.009999999998</v>
      </c>
    </row>
    <row r="461" spans="1:43" x14ac:dyDescent="0.35">
      <c r="A461" s="69" t="s">
        <v>43</v>
      </c>
      <c r="B461" s="15" t="s">
        <v>1431</v>
      </c>
      <c r="C461" s="15"/>
      <c r="D461" s="69" t="e">
        <f>_xlfn.XLOOKUP(B461,SOM!B:B,SOM!D:D,,0)</f>
        <v>#N/A</v>
      </c>
      <c r="E461" s="76">
        <v>4</v>
      </c>
      <c r="F461" s="69" t="s">
        <v>1151</v>
      </c>
      <c r="G461" s="92" t="s">
        <v>1152</v>
      </c>
      <c r="H461" s="15">
        <v>9008000033</v>
      </c>
      <c r="I461" s="92" t="s">
        <v>1416</v>
      </c>
      <c r="J461" s="92">
        <v>1202020104</v>
      </c>
      <c r="K461" s="28"/>
      <c r="L461" s="95" t="s">
        <v>1432</v>
      </c>
      <c r="M461" s="69" t="s">
        <v>1433</v>
      </c>
      <c r="N461" s="69"/>
      <c r="O461" s="94">
        <v>2</v>
      </c>
      <c r="P461" s="69" t="s">
        <v>50</v>
      </c>
      <c r="Q461" s="69" t="s">
        <v>51</v>
      </c>
      <c r="R461" s="69"/>
      <c r="S461" s="46">
        <v>44593</v>
      </c>
      <c r="T461" s="48">
        <v>44593</v>
      </c>
      <c r="U461" s="69"/>
      <c r="V461" s="69"/>
      <c r="W461" s="69"/>
      <c r="X461" s="69"/>
      <c r="Y461" s="69" t="s">
        <v>4131</v>
      </c>
      <c r="Z461" s="43">
        <v>101450</v>
      </c>
      <c r="AA461" s="43" t="s">
        <v>52</v>
      </c>
      <c r="AB461" s="43" t="s">
        <v>53</v>
      </c>
      <c r="AC461" s="43">
        <v>3650</v>
      </c>
      <c r="AD461" s="141">
        <v>10</v>
      </c>
      <c r="AE461" s="142">
        <v>0</v>
      </c>
      <c r="AF461" s="142"/>
      <c r="AG461" s="69" t="str">
        <f t="shared" si="280"/>
        <v>2 years 335 days</v>
      </c>
      <c r="AH461" s="69">
        <v>2</v>
      </c>
      <c r="AI461" s="69">
        <v>335</v>
      </c>
      <c r="AJ461" s="69">
        <v>0</v>
      </c>
      <c r="AK461" s="69">
        <v>0</v>
      </c>
      <c r="AL461" s="60">
        <v>101450</v>
      </c>
      <c r="AM461" s="60">
        <f t="shared" si="281"/>
        <v>101450</v>
      </c>
      <c r="AN461" s="59">
        <v>29601</v>
      </c>
      <c r="AO461" s="148">
        <f t="shared" si="282"/>
        <v>-29601</v>
      </c>
      <c r="AP461" s="58">
        <v>5030.9726027397264</v>
      </c>
      <c r="AQ461" s="143">
        <f t="shared" si="283"/>
        <v>-5030.97</v>
      </c>
    </row>
    <row r="462" spans="1:43" x14ac:dyDescent="0.35">
      <c r="A462" s="69" t="s">
        <v>43</v>
      </c>
      <c r="B462" s="15" t="s">
        <v>1434</v>
      </c>
      <c r="C462" s="15"/>
      <c r="D462" s="69"/>
      <c r="E462" s="76">
        <v>0</v>
      </c>
      <c r="F462" s="69" t="s">
        <v>1151</v>
      </c>
      <c r="G462" s="92" t="s">
        <v>1152</v>
      </c>
      <c r="H462" s="15">
        <v>9008000034</v>
      </c>
      <c r="I462" s="92" t="s">
        <v>1416</v>
      </c>
      <c r="J462" s="92">
        <v>1202020104</v>
      </c>
      <c r="K462" s="30" t="s">
        <v>1435</v>
      </c>
      <c r="L462" s="95" t="s">
        <v>1436</v>
      </c>
      <c r="M462" s="69" t="s">
        <v>1437</v>
      </c>
      <c r="N462" s="69"/>
      <c r="O462" s="94">
        <v>1</v>
      </c>
      <c r="P462" s="69" t="s">
        <v>50</v>
      </c>
      <c r="Q462" s="69" t="s">
        <v>51</v>
      </c>
      <c r="R462" s="69"/>
      <c r="S462" s="46">
        <v>44847</v>
      </c>
      <c r="T462" s="48">
        <v>44847</v>
      </c>
      <c r="U462" s="69"/>
      <c r="V462" s="69"/>
      <c r="W462" s="69"/>
      <c r="X462" s="69"/>
      <c r="Y462" s="69" t="s">
        <v>4131</v>
      </c>
      <c r="Z462" s="43">
        <v>10475000</v>
      </c>
      <c r="AA462" s="43" t="s">
        <v>52</v>
      </c>
      <c r="AB462" s="43" t="s">
        <v>53</v>
      </c>
      <c r="AC462" s="43">
        <v>3650</v>
      </c>
      <c r="AD462" s="141">
        <v>10</v>
      </c>
      <c r="AE462" s="142">
        <v>0</v>
      </c>
      <c r="AF462" s="142"/>
      <c r="AG462" s="69" t="str">
        <f t="shared" ref="AG462:AG469" si="284">_xlfn.CONCAT(AH462," years ",AI462," days")</f>
        <v>2 years 81 days</v>
      </c>
      <c r="AH462" s="69">
        <v>2</v>
      </c>
      <c r="AI462" s="69">
        <v>81</v>
      </c>
      <c r="AJ462" s="69">
        <v>0</v>
      </c>
      <c r="AK462" s="69">
        <v>0</v>
      </c>
      <c r="AL462" s="60">
        <v>10475000</v>
      </c>
      <c r="AM462" s="60">
        <f t="shared" ref="AM462:AM469" si="285">ROUND(AL462,2)</f>
        <v>10475000</v>
      </c>
      <c r="AN462" s="59">
        <v>6810943</v>
      </c>
      <c r="AO462" s="148">
        <f t="shared" ref="AO462:AO469" si="286">ROUND(AN462,2)*-1</f>
        <v>-6810943</v>
      </c>
      <c r="AP462" s="58">
        <v>519445.21400878765</v>
      </c>
      <c r="AQ462" s="143">
        <f t="shared" ref="AQ462:AQ469" si="287">ROUND(AP462,2)*-1</f>
        <v>-519445.21</v>
      </c>
    </row>
    <row r="463" spans="1:43" x14ac:dyDescent="0.35">
      <c r="A463" s="69" t="s">
        <v>43</v>
      </c>
      <c r="B463" s="136" t="s">
        <v>1438</v>
      </c>
      <c r="C463" s="136"/>
      <c r="D463" s="69" t="e">
        <f>_xlfn.XLOOKUP(B463,SOM!B:B,SOM!D:D,,0)</f>
        <v>#N/A</v>
      </c>
      <c r="E463" s="76">
        <v>1</v>
      </c>
      <c r="F463" s="69" t="s">
        <v>1151</v>
      </c>
      <c r="G463" s="92" t="s">
        <v>1152</v>
      </c>
      <c r="H463" s="15">
        <v>9008000034</v>
      </c>
      <c r="I463" s="92" t="s">
        <v>1416</v>
      </c>
      <c r="J463" s="92">
        <v>1202020104</v>
      </c>
      <c r="K463" s="29" t="s">
        <v>1439</v>
      </c>
      <c r="L463" s="95" t="s">
        <v>1440</v>
      </c>
      <c r="M463" s="69" t="s">
        <v>49</v>
      </c>
      <c r="N463" s="69"/>
      <c r="O463" s="94">
        <v>1</v>
      </c>
      <c r="P463" s="69" t="s">
        <v>50</v>
      </c>
      <c r="Q463" s="69" t="s">
        <v>51</v>
      </c>
      <c r="R463" s="69"/>
      <c r="S463" s="46">
        <v>44847</v>
      </c>
      <c r="T463" s="48">
        <v>44847</v>
      </c>
      <c r="U463" s="69"/>
      <c r="V463" s="69"/>
      <c r="W463" s="69"/>
      <c r="X463" s="69"/>
      <c r="Y463" s="69" t="s">
        <v>4131</v>
      </c>
      <c r="Z463" s="56">
        <v>784721.85714285716</v>
      </c>
      <c r="AA463" s="43" t="s">
        <v>52</v>
      </c>
      <c r="AB463" s="43" t="s">
        <v>53</v>
      </c>
      <c r="AC463" s="43">
        <v>3650</v>
      </c>
      <c r="AD463" s="141">
        <v>10</v>
      </c>
      <c r="AE463" s="142">
        <v>0</v>
      </c>
      <c r="AF463" s="142"/>
      <c r="AG463" s="69" t="str">
        <f t="shared" si="284"/>
        <v>2 years 81 days</v>
      </c>
      <c r="AH463" s="69">
        <v>2</v>
      </c>
      <c r="AI463" s="69">
        <v>81</v>
      </c>
      <c r="AJ463" s="69">
        <v>0</v>
      </c>
      <c r="AK463" s="69">
        <v>0</v>
      </c>
      <c r="AL463" s="66">
        <v>784721.85714285716</v>
      </c>
      <c r="AM463" s="60">
        <f t="shared" si="285"/>
        <v>784721.86</v>
      </c>
      <c r="AN463" s="59">
        <v>228967</v>
      </c>
      <c r="AO463" s="148">
        <f t="shared" si="286"/>
        <v>-228967</v>
      </c>
      <c r="AP463" s="58">
        <v>38913.854442270065</v>
      </c>
      <c r="AQ463" s="143">
        <f t="shared" si="287"/>
        <v>-38913.85</v>
      </c>
    </row>
    <row r="464" spans="1:43" x14ac:dyDescent="0.35">
      <c r="A464" s="69" t="s">
        <v>43</v>
      </c>
      <c r="B464" s="15" t="s">
        <v>1441</v>
      </c>
      <c r="C464" s="15"/>
      <c r="D464" s="69"/>
      <c r="E464" s="76">
        <v>0</v>
      </c>
      <c r="F464" s="69" t="s">
        <v>1151</v>
      </c>
      <c r="G464" s="92" t="s">
        <v>1152</v>
      </c>
      <c r="H464" s="15">
        <v>9008000035</v>
      </c>
      <c r="I464" s="92" t="s">
        <v>1416</v>
      </c>
      <c r="J464" s="92">
        <v>1202020104</v>
      </c>
      <c r="K464" s="26" t="s">
        <v>1442</v>
      </c>
      <c r="L464" s="95" t="s">
        <v>1443</v>
      </c>
      <c r="M464" s="69" t="s">
        <v>49</v>
      </c>
      <c r="N464" s="69"/>
      <c r="O464" s="94">
        <v>1</v>
      </c>
      <c r="P464" s="69" t="s">
        <v>50</v>
      </c>
      <c r="Q464" s="69" t="s">
        <v>51</v>
      </c>
      <c r="R464" s="69"/>
      <c r="S464" s="46">
        <v>44854</v>
      </c>
      <c r="T464" s="48">
        <v>44854</v>
      </c>
      <c r="U464" s="69"/>
      <c r="V464" s="69"/>
      <c r="W464" s="69"/>
      <c r="X464" s="69"/>
      <c r="Y464" s="69" t="s">
        <v>4131</v>
      </c>
      <c r="Z464" s="43">
        <v>9750000</v>
      </c>
      <c r="AA464" s="43" t="s">
        <v>52</v>
      </c>
      <c r="AB464" s="43" t="s">
        <v>53</v>
      </c>
      <c r="AC464" s="43">
        <v>3650</v>
      </c>
      <c r="AD464" s="141">
        <v>10</v>
      </c>
      <c r="AE464" s="142">
        <v>0</v>
      </c>
      <c r="AF464" s="142"/>
      <c r="AG464" s="69" t="str">
        <f t="shared" si="284"/>
        <v>2 years 74 days</v>
      </c>
      <c r="AH464" s="69">
        <v>2</v>
      </c>
      <c r="AI464" s="69">
        <v>74</v>
      </c>
      <c r="AJ464" s="69">
        <v>0</v>
      </c>
      <c r="AK464" s="69">
        <v>0</v>
      </c>
      <c r="AL464" s="60">
        <v>9750000</v>
      </c>
      <c r="AM464" s="60">
        <f t="shared" si="285"/>
        <v>9750000</v>
      </c>
      <c r="AN464" s="59">
        <v>6680590</v>
      </c>
      <c r="AO464" s="148">
        <f t="shared" si="286"/>
        <v>-6680590</v>
      </c>
      <c r="AP464" s="58">
        <v>483493.03047246393</v>
      </c>
      <c r="AQ464" s="143">
        <f t="shared" si="287"/>
        <v>-483493.03</v>
      </c>
    </row>
    <row r="465" spans="1:43" x14ac:dyDescent="0.35">
      <c r="A465" s="69" t="s">
        <v>43</v>
      </c>
      <c r="B465" s="136" t="s">
        <v>1444</v>
      </c>
      <c r="C465" s="136"/>
      <c r="D465" s="69" t="e">
        <f>_xlfn.XLOOKUP(B465,SOM!B:B,SOM!D:D,,0)</f>
        <v>#N/A</v>
      </c>
      <c r="E465" s="76">
        <v>1</v>
      </c>
      <c r="F465" s="69" t="s">
        <v>1151</v>
      </c>
      <c r="G465" s="92" t="s">
        <v>1152</v>
      </c>
      <c r="H465" s="15">
        <v>9008000035</v>
      </c>
      <c r="I465" s="92" t="s">
        <v>1416</v>
      </c>
      <c r="J465" s="92">
        <v>1202020104</v>
      </c>
      <c r="K465" s="31" t="s">
        <v>1445</v>
      </c>
      <c r="L465" s="95" t="s">
        <v>1446</v>
      </c>
      <c r="M465" s="69" t="s">
        <v>1447</v>
      </c>
      <c r="N465" s="69"/>
      <c r="O465" s="94">
        <v>1</v>
      </c>
      <c r="P465" s="69" t="s">
        <v>50</v>
      </c>
      <c r="Q465" s="69" t="s">
        <v>51</v>
      </c>
      <c r="R465" s="69"/>
      <c r="S465" s="46">
        <v>44851</v>
      </c>
      <c r="T465" s="48">
        <v>44851</v>
      </c>
      <c r="U465" s="69"/>
      <c r="V465" s="69"/>
      <c r="W465" s="69"/>
      <c r="X465" s="69"/>
      <c r="Y465" s="69" t="s">
        <v>4131</v>
      </c>
      <c r="Z465" s="56">
        <v>784721.85714285716</v>
      </c>
      <c r="AA465" s="43" t="s">
        <v>52</v>
      </c>
      <c r="AB465" s="43" t="s">
        <v>53</v>
      </c>
      <c r="AC465" s="43">
        <v>3650</v>
      </c>
      <c r="AD465" s="141">
        <v>10</v>
      </c>
      <c r="AE465" s="142">
        <v>0</v>
      </c>
      <c r="AF465" s="142"/>
      <c r="AG465" s="69" t="str">
        <f t="shared" si="284"/>
        <v>2 years 77 days</v>
      </c>
      <c r="AH465" s="69">
        <v>2</v>
      </c>
      <c r="AI465" s="69">
        <v>77</v>
      </c>
      <c r="AJ465" s="69">
        <v>0</v>
      </c>
      <c r="AK465" s="69">
        <v>0</v>
      </c>
      <c r="AL465" s="66">
        <v>784721.85714285716</v>
      </c>
      <c r="AM465" s="60">
        <f t="shared" si="285"/>
        <v>784721.86</v>
      </c>
      <c r="AN465" s="59">
        <v>228752</v>
      </c>
      <c r="AO465" s="148">
        <f t="shared" si="286"/>
        <v>-228752</v>
      </c>
      <c r="AP465" s="58">
        <v>38913.388649706438</v>
      </c>
      <c r="AQ465" s="143">
        <f t="shared" si="287"/>
        <v>-38913.39</v>
      </c>
    </row>
    <row r="466" spans="1:43" x14ac:dyDescent="0.35">
      <c r="A466" s="69" t="s">
        <v>43</v>
      </c>
      <c r="B466" s="15" t="s">
        <v>1448</v>
      </c>
      <c r="C466" s="15"/>
      <c r="D466" s="69"/>
      <c r="E466" s="76">
        <v>0</v>
      </c>
      <c r="F466" s="69" t="s">
        <v>1151</v>
      </c>
      <c r="G466" s="92" t="s">
        <v>1152</v>
      </c>
      <c r="H466" s="15">
        <v>9008000036</v>
      </c>
      <c r="I466" s="92" t="s">
        <v>1416</v>
      </c>
      <c r="J466" s="92">
        <v>1202020104</v>
      </c>
      <c r="K466" s="30" t="s">
        <v>1449</v>
      </c>
      <c r="L466" s="95" t="s">
        <v>1450</v>
      </c>
      <c r="M466" s="69" t="s">
        <v>1451</v>
      </c>
      <c r="N466" s="69"/>
      <c r="O466" s="94">
        <v>1</v>
      </c>
      <c r="P466" s="69" t="s">
        <v>50</v>
      </c>
      <c r="Q466" s="69" t="s">
        <v>51</v>
      </c>
      <c r="R466" s="69"/>
      <c r="S466" s="46">
        <v>44862</v>
      </c>
      <c r="T466" s="48">
        <v>44862</v>
      </c>
      <c r="U466" s="69"/>
      <c r="V466" s="69"/>
      <c r="W466" s="69"/>
      <c r="X466" s="69"/>
      <c r="Y466" s="69" t="s">
        <v>4131</v>
      </c>
      <c r="Z466" s="43">
        <v>10925000</v>
      </c>
      <c r="AA466" s="43" t="s">
        <v>52</v>
      </c>
      <c r="AB466" s="43" t="s">
        <v>53</v>
      </c>
      <c r="AC466" s="43">
        <v>3650</v>
      </c>
      <c r="AD466" s="141">
        <v>10</v>
      </c>
      <c r="AE466" s="142">
        <v>0</v>
      </c>
      <c r="AF466" s="142"/>
      <c r="AG466" s="69" t="str">
        <f t="shared" si="284"/>
        <v>2 years 66 days</v>
      </c>
      <c r="AH466" s="69">
        <v>2</v>
      </c>
      <c r="AI466" s="69">
        <v>66</v>
      </c>
      <c r="AJ466" s="69">
        <v>0</v>
      </c>
      <c r="AK466" s="69">
        <v>0</v>
      </c>
      <c r="AL466" s="60">
        <v>10925000</v>
      </c>
      <c r="AM466" s="60">
        <f t="shared" si="285"/>
        <v>10925000</v>
      </c>
      <c r="AN466" s="59">
        <v>6877112</v>
      </c>
      <c r="AO466" s="148">
        <f t="shared" si="286"/>
        <v>-6877112</v>
      </c>
      <c r="AP466" s="58">
        <v>541760.63181381766</v>
      </c>
      <c r="AQ466" s="143">
        <f t="shared" si="287"/>
        <v>-541760.63</v>
      </c>
    </row>
    <row r="467" spans="1:43" x14ac:dyDescent="0.35">
      <c r="A467" s="69" t="s">
        <v>43</v>
      </c>
      <c r="B467" s="136" t="s">
        <v>1452</v>
      </c>
      <c r="C467" s="136"/>
      <c r="D467" s="69" t="e">
        <f>_xlfn.XLOOKUP(B467,SOM!B:B,SOM!D:D,,0)</f>
        <v>#N/A</v>
      </c>
      <c r="E467" s="76">
        <v>1</v>
      </c>
      <c r="F467" s="69" t="s">
        <v>1151</v>
      </c>
      <c r="G467" s="92" t="s">
        <v>1152</v>
      </c>
      <c r="H467" s="15">
        <v>9008000036</v>
      </c>
      <c r="I467" s="92" t="s">
        <v>1416</v>
      </c>
      <c r="J467" s="92">
        <v>1202020104</v>
      </c>
      <c r="K467" s="29" t="s">
        <v>1453</v>
      </c>
      <c r="L467" s="95" t="s">
        <v>1454</v>
      </c>
      <c r="M467" s="69" t="s">
        <v>49</v>
      </c>
      <c r="N467" s="69"/>
      <c r="O467" s="94">
        <v>1</v>
      </c>
      <c r="P467" s="69" t="s">
        <v>50</v>
      </c>
      <c r="Q467" s="69" t="s">
        <v>51</v>
      </c>
      <c r="R467" s="69"/>
      <c r="S467" s="46">
        <v>44854</v>
      </c>
      <c r="T467" s="48">
        <v>44854</v>
      </c>
      <c r="U467" s="69"/>
      <c r="V467" s="69"/>
      <c r="W467" s="69"/>
      <c r="X467" s="69"/>
      <c r="Y467" s="69" t="s">
        <v>4131</v>
      </c>
      <c r="Z467" s="56">
        <v>784722</v>
      </c>
      <c r="AA467" s="43" t="s">
        <v>52</v>
      </c>
      <c r="AB467" s="43" t="s">
        <v>53</v>
      </c>
      <c r="AC467" s="43">
        <v>3650</v>
      </c>
      <c r="AD467" s="141">
        <v>10</v>
      </c>
      <c r="AE467" s="142">
        <v>0</v>
      </c>
      <c r="AF467" s="142"/>
      <c r="AG467" s="69" t="str">
        <f t="shared" si="284"/>
        <v>2 years 74 days</v>
      </c>
      <c r="AH467" s="69">
        <v>2</v>
      </c>
      <c r="AI467" s="69">
        <v>74</v>
      </c>
      <c r="AJ467" s="69">
        <v>0</v>
      </c>
      <c r="AK467" s="69">
        <v>0</v>
      </c>
      <c r="AL467" s="66">
        <v>784722</v>
      </c>
      <c r="AM467" s="60">
        <f t="shared" si="285"/>
        <v>784722</v>
      </c>
      <c r="AN467" s="59">
        <v>228967</v>
      </c>
      <c r="AO467" s="148">
        <f t="shared" si="286"/>
        <v>-228967</v>
      </c>
      <c r="AP467" s="58">
        <v>38913.443835616461</v>
      </c>
      <c r="AQ467" s="143">
        <f t="shared" si="287"/>
        <v>-38913.440000000002</v>
      </c>
    </row>
    <row r="468" spans="1:43" x14ac:dyDescent="0.35">
      <c r="A468" s="69" t="s">
        <v>43</v>
      </c>
      <c r="B468" s="15" t="s">
        <v>1455</v>
      </c>
      <c r="C468" s="15"/>
      <c r="D468" s="69" t="e">
        <f>_xlfn.XLOOKUP(B468,SOM!B:B,SOM!D:D,,0)</f>
        <v>#N/A</v>
      </c>
      <c r="E468" s="76">
        <v>2</v>
      </c>
      <c r="F468" s="69" t="s">
        <v>1151</v>
      </c>
      <c r="G468" s="92" t="s">
        <v>1152</v>
      </c>
      <c r="H468" s="15">
        <v>9008000036</v>
      </c>
      <c r="I468" s="92" t="s">
        <v>1416</v>
      </c>
      <c r="J468" s="92">
        <v>1202020104</v>
      </c>
      <c r="K468" s="26" t="s">
        <v>1456</v>
      </c>
      <c r="L468" s="95" t="s">
        <v>1457</v>
      </c>
      <c r="M468" s="69" t="s">
        <v>1458</v>
      </c>
      <c r="N468" s="69"/>
      <c r="O468" s="94">
        <v>1</v>
      </c>
      <c r="P468" s="69" t="s">
        <v>50</v>
      </c>
      <c r="Q468" s="69" t="s">
        <v>51</v>
      </c>
      <c r="R468" s="69"/>
      <c r="S468" s="46">
        <v>44865</v>
      </c>
      <c r="T468" s="48">
        <v>44865</v>
      </c>
      <c r="U468" s="69"/>
      <c r="V468" s="69"/>
      <c r="W468" s="69"/>
      <c r="X468" s="69"/>
      <c r="Y468" s="69" t="s">
        <v>4131</v>
      </c>
      <c r="Z468" s="43">
        <v>135000</v>
      </c>
      <c r="AA468" s="43" t="s">
        <v>52</v>
      </c>
      <c r="AB468" s="43" t="s">
        <v>53</v>
      </c>
      <c r="AC468" s="43">
        <v>3650</v>
      </c>
      <c r="AD468" s="141">
        <v>10</v>
      </c>
      <c r="AE468" s="142">
        <v>0</v>
      </c>
      <c r="AF468" s="142"/>
      <c r="AG468" s="69" t="str">
        <f t="shared" si="284"/>
        <v>2 years 63 days</v>
      </c>
      <c r="AH468" s="69">
        <v>2</v>
      </c>
      <c r="AI468" s="69">
        <v>63</v>
      </c>
      <c r="AJ468" s="69">
        <v>0</v>
      </c>
      <c r="AK468" s="69">
        <v>0</v>
      </c>
      <c r="AL468" s="60">
        <v>135000</v>
      </c>
      <c r="AM468" s="60">
        <f t="shared" si="285"/>
        <v>135000</v>
      </c>
      <c r="AN468" s="59">
        <v>77643</v>
      </c>
      <c r="AO468" s="148">
        <f t="shared" si="286"/>
        <v>-77643</v>
      </c>
      <c r="AP468" s="58">
        <v>6695.0136986301513</v>
      </c>
      <c r="AQ468" s="143">
        <f t="shared" si="287"/>
        <v>-6695.01</v>
      </c>
    </row>
    <row r="469" spans="1:43" x14ac:dyDescent="0.35">
      <c r="A469" s="69" t="s">
        <v>43</v>
      </c>
      <c r="B469" s="15" t="s">
        <v>1459</v>
      </c>
      <c r="C469" s="15"/>
      <c r="D469" s="69" t="e">
        <f>_xlfn.XLOOKUP(B469,SOM!B:B,SOM!D:D,,0)</f>
        <v>#N/A</v>
      </c>
      <c r="E469" s="76">
        <v>3</v>
      </c>
      <c r="F469" s="69" t="s">
        <v>1151</v>
      </c>
      <c r="G469" s="92" t="s">
        <v>1152</v>
      </c>
      <c r="H469" s="15">
        <v>9008000036</v>
      </c>
      <c r="I469" s="92" t="s">
        <v>1416</v>
      </c>
      <c r="J469" s="92">
        <v>1202020104</v>
      </c>
      <c r="K469" s="26" t="s">
        <v>1460</v>
      </c>
      <c r="L469" s="95" t="s">
        <v>1461</v>
      </c>
      <c r="M469" s="69" t="s">
        <v>1462</v>
      </c>
      <c r="N469" s="69"/>
      <c r="O469" s="94">
        <v>1</v>
      </c>
      <c r="P469" s="69" t="s">
        <v>50</v>
      </c>
      <c r="Q469" s="69" t="s">
        <v>51</v>
      </c>
      <c r="R469" s="69"/>
      <c r="S469" s="46">
        <v>44865</v>
      </c>
      <c r="T469" s="48">
        <v>44865</v>
      </c>
      <c r="U469" s="69"/>
      <c r="V469" s="69"/>
      <c r="W469" s="69"/>
      <c r="X469" s="69"/>
      <c r="Y469" s="69" t="s">
        <v>4131</v>
      </c>
      <c r="Z469" s="43">
        <v>80000</v>
      </c>
      <c r="AA469" s="43" t="s">
        <v>52</v>
      </c>
      <c r="AB469" s="43" t="s">
        <v>53</v>
      </c>
      <c r="AC469" s="43">
        <v>3650</v>
      </c>
      <c r="AD469" s="141">
        <v>10</v>
      </c>
      <c r="AE469" s="142">
        <v>0</v>
      </c>
      <c r="AF469" s="142"/>
      <c r="AG469" s="69" t="str">
        <f t="shared" si="284"/>
        <v>2 years 63 days</v>
      </c>
      <c r="AH469" s="69">
        <v>2</v>
      </c>
      <c r="AI469" s="69">
        <v>63</v>
      </c>
      <c r="AJ469" s="69">
        <v>0</v>
      </c>
      <c r="AK469" s="69">
        <v>0</v>
      </c>
      <c r="AL469" s="60">
        <v>80000</v>
      </c>
      <c r="AM469" s="60">
        <f t="shared" si="285"/>
        <v>80000</v>
      </c>
      <c r="AN469" s="59">
        <v>74675</v>
      </c>
      <c r="AO469" s="148">
        <f t="shared" si="286"/>
        <v>-74675</v>
      </c>
      <c r="AP469" s="58">
        <v>3967.4657534246508</v>
      </c>
      <c r="AQ469" s="143">
        <f t="shared" si="287"/>
        <v>-3967.47</v>
      </c>
    </row>
    <row r="470" spans="1:43" x14ac:dyDescent="0.35">
      <c r="A470" s="69" t="s">
        <v>43</v>
      </c>
      <c r="B470" s="15" t="s">
        <v>1463</v>
      </c>
      <c r="C470" s="15"/>
      <c r="D470" s="69"/>
      <c r="E470" s="76">
        <v>0</v>
      </c>
      <c r="F470" s="69" t="s">
        <v>1151</v>
      </c>
      <c r="G470" s="92" t="s">
        <v>1152</v>
      </c>
      <c r="H470" s="15">
        <v>9008000037</v>
      </c>
      <c r="I470" s="92" t="s">
        <v>1416</v>
      </c>
      <c r="J470" s="92">
        <v>1202020104</v>
      </c>
      <c r="K470" s="30" t="s">
        <v>1464</v>
      </c>
      <c r="L470" s="95" t="s">
        <v>1465</v>
      </c>
      <c r="M470" s="69" t="s">
        <v>1466</v>
      </c>
      <c r="N470" s="69"/>
      <c r="O470" s="94">
        <v>1</v>
      </c>
      <c r="P470" s="69" t="s">
        <v>50</v>
      </c>
      <c r="Q470" s="69" t="s">
        <v>51</v>
      </c>
      <c r="R470" s="69"/>
      <c r="S470" s="46">
        <v>44863</v>
      </c>
      <c r="T470" s="48">
        <v>44863</v>
      </c>
      <c r="U470" s="69"/>
      <c r="V470" s="69"/>
      <c r="W470" s="69"/>
      <c r="X470" s="69"/>
      <c r="Y470" s="69" t="s">
        <v>4131</v>
      </c>
      <c r="Z470" s="43">
        <v>10750000</v>
      </c>
      <c r="AA470" s="43" t="s">
        <v>52</v>
      </c>
      <c r="AB470" s="43" t="s">
        <v>53</v>
      </c>
      <c r="AC470" s="43">
        <v>3650</v>
      </c>
      <c r="AD470" s="141">
        <v>10</v>
      </c>
      <c r="AE470" s="142">
        <v>0</v>
      </c>
      <c r="AF470" s="142"/>
      <c r="AG470" s="69" t="str">
        <f t="shared" ref="AG470:AG476" si="288">_xlfn.CONCAT(AH470," years ",AI470," days")</f>
        <v>2 years 65 days</v>
      </c>
      <c r="AH470" s="69">
        <v>2</v>
      </c>
      <c r="AI470" s="69">
        <v>65</v>
      </c>
      <c r="AJ470" s="69">
        <v>0</v>
      </c>
      <c r="AK470" s="69">
        <v>0</v>
      </c>
      <c r="AL470" s="60">
        <v>10750000</v>
      </c>
      <c r="AM470" s="60">
        <f t="shared" ref="AM470:AM476" si="289">ROUND(AL470,2)</f>
        <v>10750000</v>
      </c>
      <c r="AN470" s="59">
        <v>6850549</v>
      </c>
      <c r="AO470" s="148">
        <f t="shared" ref="AO470:AO476" si="290">ROUND(AN470,2)*-1</f>
        <v>-6850549</v>
      </c>
      <c r="AP470" s="58">
        <v>533081.87717365567</v>
      </c>
      <c r="AQ470" s="143">
        <f t="shared" ref="AQ470:AQ476" si="291">ROUND(AP470,2)*-1</f>
        <v>-533081.88</v>
      </c>
    </row>
    <row r="471" spans="1:43" x14ac:dyDescent="0.35">
      <c r="A471" s="69" t="s">
        <v>43</v>
      </c>
      <c r="B471" s="15" t="s">
        <v>1467</v>
      </c>
      <c r="C471" s="15"/>
      <c r="D471" s="69" t="e">
        <f>_xlfn.XLOOKUP(B471,SOM!B:B,SOM!D:D,,0)</f>
        <v>#N/A</v>
      </c>
      <c r="E471" s="76">
        <v>1</v>
      </c>
      <c r="F471" s="69" t="s">
        <v>1151</v>
      </c>
      <c r="G471" s="92" t="s">
        <v>1152</v>
      </c>
      <c r="H471" s="15">
        <v>9008000037</v>
      </c>
      <c r="I471" s="92" t="s">
        <v>1416</v>
      </c>
      <c r="J471" s="92">
        <v>1202020104</v>
      </c>
      <c r="K471" s="23" t="s">
        <v>1468</v>
      </c>
      <c r="L471" s="95" t="s">
        <v>1469</v>
      </c>
      <c r="M471" s="69" t="s">
        <v>1470</v>
      </c>
      <c r="N471" s="69"/>
      <c r="O471" s="94">
        <v>3</v>
      </c>
      <c r="P471" s="69" t="s">
        <v>50</v>
      </c>
      <c r="Q471" s="69" t="s">
        <v>51</v>
      </c>
      <c r="R471" s="69"/>
      <c r="S471" s="46">
        <v>44163</v>
      </c>
      <c r="T471" s="48">
        <v>44163</v>
      </c>
      <c r="U471" s="69"/>
      <c r="V471" s="69"/>
      <c r="W471" s="69"/>
      <c r="X471" s="69"/>
      <c r="Y471" s="69" t="s">
        <v>4127</v>
      </c>
      <c r="Z471" s="43">
        <v>164016</v>
      </c>
      <c r="AA471" s="43" t="s">
        <v>52</v>
      </c>
      <c r="AB471" s="43" t="s">
        <v>53</v>
      </c>
      <c r="AC471" s="43">
        <v>3650</v>
      </c>
      <c r="AD471" s="141">
        <v>10</v>
      </c>
      <c r="AE471" s="142">
        <v>0</v>
      </c>
      <c r="AF471" s="142"/>
      <c r="AG471" s="69" t="str">
        <f t="shared" si="288"/>
        <v>4 years 35 days</v>
      </c>
      <c r="AH471" s="69">
        <v>4</v>
      </c>
      <c r="AI471" s="69">
        <v>35</v>
      </c>
      <c r="AJ471" s="69">
        <v>0</v>
      </c>
      <c r="AK471" s="69">
        <v>0</v>
      </c>
      <c r="AL471" s="60">
        <v>164016</v>
      </c>
      <c r="AM471" s="60">
        <f t="shared" si="289"/>
        <v>164016</v>
      </c>
      <c r="AN471" s="59">
        <v>67179</v>
      </c>
      <c r="AO471" s="148">
        <f t="shared" si="290"/>
        <v>-67179</v>
      </c>
      <c r="AP471" s="58">
        <v>8133.552328767124</v>
      </c>
      <c r="AQ471" s="143">
        <f t="shared" si="291"/>
        <v>-8133.55</v>
      </c>
    </row>
    <row r="472" spans="1:43" x14ac:dyDescent="0.35">
      <c r="A472" s="69" t="s">
        <v>43</v>
      </c>
      <c r="B472" s="15" t="s">
        <v>1471</v>
      </c>
      <c r="C472" s="15"/>
      <c r="D472" s="69" t="e">
        <f>_xlfn.XLOOKUP(B472,SOM!B:B,SOM!D:D,,0)</f>
        <v>#N/A</v>
      </c>
      <c r="E472" s="76">
        <v>2</v>
      </c>
      <c r="F472" s="69" t="s">
        <v>1151</v>
      </c>
      <c r="G472" s="92" t="s">
        <v>1152</v>
      </c>
      <c r="H472" s="15">
        <v>9008000037</v>
      </c>
      <c r="I472" s="92" t="s">
        <v>1416</v>
      </c>
      <c r="J472" s="92">
        <v>1202020104</v>
      </c>
      <c r="K472" s="17" t="s">
        <v>1472</v>
      </c>
      <c r="L472" s="95" t="s">
        <v>1473</v>
      </c>
      <c r="M472" s="69" t="s">
        <v>1474</v>
      </c>
      <c r="N472" s="69"/>
      <c r="O472" s="94">
        <v>1</v>
      </c>
      <c r="P472" s="69" t="s">
        <v>50</v>
      </c>
      <c r="Q472" s="69" t="s">
        <v>51</v>
      </c>
      <c r="R472" s="69"/>
      <c r="S472" s="46">
        <v>45199</v>
      </c>
      <c r="T472" s="48">
        <v>45199</v>
      </c>
      <c r="U472" s="69"/>
      <c r="V472" s="69"/>
      <c r="W472" s="69"/>
      <c r="X472" s="69"/>
      <c r="Y472" s="69" t="s">
        <v>4129</v>
      </c>
      <c r="Z472" s="43">
        <v>78000</v>
      </c>
      <c r="AA472" s="43" t="s">
        <v>52</v>
      </c>
      <c r="AB472" s="43" t="s">
        <v>53</v>
      </c>
      <c r="AC472" s="43">
        <v>3650</v>
      </c>
      <c r="AD472" s="141">
        <v>10</v>
      </c>
      <c r="AE472" s="142">
        <v>0</v>
      </c>
      <c r="AF472" s="142"/>
      <c r="AG472" s="69" t="str">
        <f t="shared" si="288"/>
        <v>1 years 94 days</v>
      </c>
      <c r="AH472" s="69">
        <v>1</v>
      </c>
      <c r="AI472" s="69">
        <v>94</v>
      </c>
      <c r="AJ472" s="69">
        <v>0</v>
      </c>
      <c r="AK472" s="69">
        <v>0</v>
      </c>
      <c r="AL472" s="60">
        <v>78000</v>
      </c>
      <c r="AM472" s="60">
        <f t="shared" si="289"/>
        <v>78000</v>
      </c>
      <c r="AN472" s="59">
        <v>9809</v>
      </c>
      <c r="AO472" s="148">
        <f t="shared" si="290"/>
        <v>-9809</v>
      </c>
      <c r="AP472" s="58">
        <v>3867.712328767122</v>
      </c>
      <c r="AQ472" s="143">
        <f t="shared" si="291"/>
        <v>-3867.71</v>
      </c>
    </row>
    <row r="473" spans="1:43" x14ac:dyDescent="0.35">
      <c r="A473" s="69" t="s">
        <v>43</v>
      </c>
      <c r="B473" s="136" t="s">
        <v>1475</v>
      </c>
      <c r="C473" s="136"/>
      <c r="D473" s="69" t="e">
        <f>_xlfn.XLOOKUP(B473,SOM!B:B,SOM!D:D,,0)</f>
        <v>#N/A</v>
      </c>
      <c r="E473" s="76">
        <v>3</v>
      </c>
      <c r="F473" s="69" t="s">
        <v>1151</v>
      </c>
      <c r="G473" s="92" t="s">
        <v>1152</v>
      </c>
      <c r="H473" s="15">
        <v>9008000037</v>
      </c>
      <c r="I473" s="92" t="s">
        <v>1416</v>
      </c>
      <c r="J473" s="92">
        <v>1202020104</v>
      </c>
      <c r="K473" s="29" t="s">
        <v>1476</v>
      </c>
      <c r="L473" s="95" t="s">
        <v>1477</v>
      </c>
      <c r="M473" s="69" t="s">
        <v>1447</v>
      </c>
      <c r="N473" s="69"/>
      <c r="O473" s="94">
        <v>1</v>
      </c>
      <c r="P473" s="69" t="s">
        <v>50</v>
      </c>
      <c r="Q473" s="69" t="s">
        <v>51</v>
      </c>
      <c r="R473" s="69"/>
      <c r="S473" s="46">
        <v>44862</v>
      </c>
      <c r="T473" s="48">
        <v>44862</v>
      </c>
      <c r="U473" s="69"/>
      <c r="V473" s="69"/>
      <c r="W473" s="69"/>
      <c r="X473" s="69"/>
      <c r="Y473" s="69" t="s">
        <v>4131</v>
      </c>
      <c r="Z473" s="56">
        <v>784722</v>
      </c>
      <c r="AA473" s="43" t="s">
        <v>52</v>
      </c>
      <c r="AB473" s="43" t="s">
        <v>53</v>
      </c>
      <c r="AC473" s="43">
        <v>3650</v>
      </c>
      <c r="AD473" s="141">
        <v>10</v>
      </c>
      <c r="AE473" s="142">
        <v>0</v>
      </c>
      <c r="AF473" s="142"/>
      <c r="AG473" s="69" t="str">
        <f t="shared" si="288"/>
        <v>2 years 66 days</v>
      </c>
      <c r="AH473" s="69">
        <v>2</v>
      </c>
      <c r="AI473" s="69">
        <v>66</v>
      </c>
      <c r="AJ473" s="69">
        <v>0</v>
      </c>
      <c r="AK473" s="69">
        <v>0</v>
      </c>
      <c r="AL473" s="66">
        <v>784722</v>
      </c>
      <c r="AM473" s="60">
        <f t="shared" si="289"/>
        <v>784722</v>
      </c>
      <c r="AN473" s="59">
        <v>228107</v>
      </c>
      <c r="AO473" s="148">
        <f t="shared" si="290"/>
        <v>-228107</v>
      </c>
      <c r="AP473" s="58">
        <v>38913.505205479451</v>
      </c>
      <c r="AQ473" s="143">
        <f t="shared" si="291"/>
        <v>-38913.51</v>
      </c>
    </row>
    <row r="474" spans="1:43" x14ac:dyDescent="0.35">
      <c r="A474" s="69" t="s">
        <v>43</v>
      </c>
      <c r="B474" s="15" t="s">
        <v>1478</v>
      </c>
      <c r="C474" s="15"/>
      <c r="D474" s="69" t="e">
        <f>_xlfn.XLOOKUP(B474,SOM!B:B,SOM!D:D,,0)</f>
        <v>#N/A</v>
      </c>
      <c r="E474" s="76">
        <v>4</v>
      </c>
      <c r="F474" s="69" t="s">
        <v>1151</v>
      </c>
      <c r="G474" s="92" t="s">
        <v>1152</v>
      </c>
      <c r="H474" s="15">
        <v>9008000037</v>
      </c>
      <c r="I474" s="92" t="s">
        <v>1416</v>
      </c>
      <c r="J474" s="92">
        <v>1202020104</v>
      </c>
      <c r="K474" s="30" t="s">
        <v>1479</v>
      </c>
      <c r="L474" s="95" t="s">
        <v>1480</v>
      </c>
      <c r="M474" s="69" t="s">
        <v>1481</v>
      </c>
      <c r="N474" s="69"/>
      <c r="O474" s="94">
        <v>1</v>
      </c>
      <c r="P474" s="69" t="s">
        <v>50</v>
      </c>
      <c r="Q474" s="69" t="s">
        <v>51</v>
      </c>
      <c r="R474" s="69"/>
      <c r="S474" s="46">
        <v>44862</v>
      </c>
      <c r="T474" s="48">
        <v>44862</v>
      </c>
      <c r="U474" s="69"/>
      <c r="V474" s="69"/>
      <c r="W474" s="69"/>
      <c r="X474" s="69"/>
      <c r="Y474" s="69" t="s">
        <v>4131</v>
      </c>
      <c r="Z474" s="43">
        <v>658000</v>
      </c>
      <c r="AA474" s="43" t="s">
        <v>52</v>
      </c>
      <c r="AB474" s="43" t="s">
        <v>53</v>
      </c>
      <c r="AC474" s="43">
        <v>3650</v>
      </c>
      <c r="AD474" s="141">
        <v>10</v>
      </c>
      <c r="AE474" s="142">
        <v>0</v>
      </c>
      <c r="AF474" s="142"/>
      <c r="AG474" s="69" t="str">
        <f t="shared" si="288"/>
        <v>2 years 66 days</v>
      </c>
      <c r="AH474" s="69">
        <v>2</v>
      </c>
      <c r="AI474" s="69">
        <v>66</v>
      </c>
      <c r="AJ474" s="69">
        <v>0</v>
      </c>
      <c r="AK474" s="69">
        <v>0</v>
      </c>
      <c r="AL474" s="60">
        <v>658000</v>
      </c>
      <c r="AM474" s="60">
        <f t="shared" si="289"/>
        <v>658000</v>
      </c>
      <c r="AN474" s="59">
        <v>238502</v>
      </c>
      <c r="AO474" s="148">
        <f t="shared" si="290"/>
        <v>-238502</v>
      </c>
      <c r="AP474" s="58">
        <v>32630.054794520547</v>
      </c>
      <c r="AQ474" s="143">
        <f t="shared" si="291"/>
        <v>-32630.05</v>
      </c>
    </row>
    <row r="475" spans="1:43" x14ac:dyDescent="0.35">
      <c r="A475" s="69" t="s">
        <v>43</v>
      </c>
      <c r="B475" s="15" t="s">
        <v>1482</v>
      </c>
      <c r="C475" s="15"/>
      <c r="D475" s="69" t="e">
        <f>_xlfn.XLOOKUP(B475,SOM!B:B,SOM!D:D,,0)</f>
        <v>#N/A</v>
      </c>
      <c r="E475" s="76">
        <v>5</v>
      </c>
      <c r="F475" s="69" t="s">
        <v>1151</v>
      </c>
      <c r="G475" s="92" t="s">
        <v>1152</v>
      </c>
      <c r="H475" s="15">
        <v>9008000037</v>
      </c>
      <c r="I475" s="92" t="s">
        <v>1416</v>
      </c>
      <c r="J475" s="92">
        <v>1202020104</v>
      </c>
      <c r="K475" s="28"/>
      <c r="L475" s="95" t="s">
        <v>1483</v>
      </c>
      <c r="M475" s="69" t="s">
        <v>1484</v>
      </c>
      <c r="N475" s="69"/>
      <c r="O475" s="94">
        <v>4</v>
      </c>
      <c r="P475" s="69" t="s">
        <v>50</v>
      </c>
      <c r="Q475" s="69" t="s">
        <v>51</v>
      </c>
      <c r="R475" s="69"/>
      <c r="S475" s="46">
        <v>45322</v>
      </c>
      <c r="T475" s="48">
        <v>45322</v>
      </c>
      <c r="U475" s="69"/>
      <c r="V475" s="69"/>
      <c r="W475" s="69"/>
      <c r="X475" s="69"/>
      <c r="Y475" s="69" t="s">
        <v>4130</v>
      </c>
      <c r="Z475" s="43">
        <v>298950</v>
      </c>
      <c r="AA475" s="43" t="s">
        <v>52</v>
      </c>
      <c r="AB475" s="43" t="s">
        <v>53</v>
      </c>
      <c r="AC475" s="43">
        <v>3650</v>
      </c>
      <c r="AD475" s="141">
        <v>10</v>
      </c>
      <c r="AE475" s="142">
        <v>0</v>
      </c>
      <c r="AF475" s="142"/>
      <c r="AG475" s="69" t="str">
        <f t="shared" si="288"/>
        <v>0 years 336 days</v>
      </c>
      <c r="AH475" s="69">
        <v>0</v>
      </c>
      <c r="AI475" s="69">
        <v>336</v>
      </c>
      <c r="AJ475" s="69">
        <v>0</v>
      </c>
      <c r="AK475" s="69">
        <v>0</v>
      </c>
      <c r="AL475" s="60">
        <v>298950</v>
      </c>
      <c r="AM475" s="60">
        <f t="shared" si="289"/>
        <v>298950</v>
      </c>
      <c r="AN475" s="59">
        <v>27520</v>
      </c>
      <c r="AO475" s="148">
        <f t="shared" si="290"/>
        <v>-27520</v>
      </c>
      <c r="AP475" s="58">
        <v>14824.42465753424</v>
      </c>
      <c r="AQ475" s="143">
        <f t="shared" si="291"/>
        <v>-14824.42</v>
      </c>
    </row>
    <row r="476" spans="1:43" x14ac:dyDescent="0.35">
      <c r="A476" s="69" t="s">
        <v>43</v>
      </c>
      <c r="B476" s="15" t="s">
        <v>1485</v>
      </c>
      <c r="C476" s="15"/>
      <c r="D476" s="69" t="e">
        <f>_xlfn.XLOOKUP(B476,SOM!B:B,SOM!D:D,,0)</f>
        <v>#N/A</v>
      </c>
      <c r="E476" s="76">
        <v>6</v>
      </c>
      <c r="F476" s="69" t="s">
        <v>1151</v>
      </c>
      <c r="G476" s="92" t="s">
        <v>1152</v>
      </c>
      <c r="H476" s="135">
        <v>9008000037</v>
      </c>
      <c r="I476" s="92" t="s">
        <v>1416</v>
      </c>
      <c r="J476" s="92">
        <v>1202020104</v>
      </c>
      <c r="K476" s="28"/>
      <c r="L476" s="95" t="s">
        <v>1486</v>
      </c>
      <c r="M476" s="69" t="s">
        <v>1487</v>
      </c>
      <c r="N476" s="69"/>
      <c r="O476" s="94">
        <v>1</v>
      </c>
      <c r="P476" s="69" t="s">
        <v>50</v>
      </c>
      <c r="Q476" s="69" t="s">
        <v>51</v>
      </c>
      <c r="R476" s="69"/>
      <c r="S476" s="46">
        <v>45453</v>
      </c>
      <c r="T476" s="48">
        <v>45453</v>
      </c>
      <c r="U476" s="69"/>
      <c r="V476" s="69"/>
      <c r="W476" s="69"/>
      <c r="X476" s="69"/>
      <c r="Y476" s="69" t="s">
        <v>4130</v>
      </c>
      <c r="Z476" s="43">
        <v>228464</v>
      </c>
      <c r="AA476" s="43" t="s">
        <v>52</v>
      </c>
      <c r="AB476" s="43" t="s">
        <v>53</v>
      </c>
      <c r="AC476" s="43">
        <v>3650</v>
      </c>
      <c r="AD476" s="141">
        <v>10</v>
      </c>
      <c r="AE476" s="142">
        <v>0</v>
      </c>
      <c r="AF476" s="142"/>
      <c r="AG476" s="69" t="str">
        <f t="shared" si="288"/>
        <v>0 years 205 days</v>
      </c>
      <c r="AH476" s="69">
        <v>0</v>
      </c>
      <c r="AI476" s="69">
        <v>205</v>
      </c>
      <c r="AJ476" s="69">
        <v>0</v>
      </c>
      <c r="AK476" s="69">
        <v>0</v>
      </c>
      <c r="AL476" s="60">
        <v>228464</v>
      </c>
      <c r="AM476" s="60">
        <f t="shared" si="289"/>
        <v>228464</v>
      </c>
      <c r="AN476" s="59">
        <v>12832</v>
      </c>
      <c r="AO476" s="148">
        <f t="shared" si="290"/>
        <v>-12832</v>
      </c>
      <c r="AP476" s="58">
        <v>11328.850410958905</v>
      </c>
      <c r="AQ476" s="143">
        <f t="shared" si="291"/>
        <v>-11328.85</v>
      </c>
    </row>
    <row r="477" spans="1:43" x14ac:dyDescent="0.35">
      <c r="A477" s="69" t="s">
        <v>43</v>
      </c>
      <c r="B477" s="15" t="s">
        <v>1488</v>
      </c>
      <c r="C477" s="15"/>
      <c r="D477" s="69"/>
      <c r="E477" s="76">
        <v>0</v>
      </c>
      <c r="F477" s="69" t="s">
        <v>1151</v>
      </c>
      <c r="G477" s="92" t="s">
        <v>1152</v>
      </c>
      <c r="H477" s="15">
        <v>9008000038</v>
      </c>
      <c r="I477" s="92" t="s">
        <v>1416</v>
      </c>
      <c r="J477" s="92">
        <v>1202020104</v>
      </c>
      <c r="K477" s="30" t="s">
        <v>1489</v>
      </c>
      <c r="L477" s="95" t="s">
        <v>1490</v>
      </c>
      <c r="M477" s="69" t="s">
        <v>1451</v>
      </c>
      <c r="N477" s="69"/>
      <c r="O477" s="94">
        <v>1</v>
      </c>
      <c r="P477" s="69" t="s">
        <v>50</v>
      </c>
      <c r="Q477" s="69" t="s">
        <v>51</v>
      </c>
      <c r="R477" s="69"/>
      <c r="S477" s="46">
        <v>44863</v>
      </c>
      <c r="T477" s="48">
        <v>44863</v>
      </c>
      <c r="U477" s="69"/>
      <c r="V477" s="69"/>
      <c r="W477" s="69"/>
      <c r="X477" s="69"/>
      <c r="Y477" s="69" t="s">
        <v>4131</v>
      </c>
      <c r="Z477" s="43">
        <v>11200000</v>
      </c>
      <c r="AA477" s="43" t="s">
        <v>52</v>
      </c>
      <c r="AB477" s="43" t="s">
        <v>53</v>
      </c>
      <c r="AC477" s="43">
        <v>3650</v>
      </c>
      <c r="AD477" s="141">
        <v>10</v>
      </c>
      <c r="AE477" s="142">
        <v>0</v>
      </c>
      <c r="AF477" s="142"/>
      <c r="AG477" s="69" t="str">
        <f t="shared" ref="AG477:AG479" si="292">_xlfn.CONCAT(AH477," years ",AI477," days")</f>
        <v>2 years 65 days</v>
      </c>
      <c r="AH477" s="69">
        <v>2</v>
      </c>
      <c r="AI477" s="69">
        <v>65</v>
      </c>
      <c r="AJ477" s="69">
        <v>0</v>
      </c>
      <c r="AK477" s="69">
        <v>0</v>
      </c>
      <c r="AL477" s="60">
        <v>11200000</v>
      </c>
      <c r="AM477" s="60">
        <f t="shared" ref="AM477:AM479" si="293">ROUND(AL477,2)</f>
        <v>11200000</v>
      </c>
      <c r="AN477" s="59">
        <v>6931834</v>
      </c>
      <c r="AO477" s="148">
        <f t="shared" ref="AO477:AO479" si="294">ROUND(AN477,2)*-1</f>
        <v>-6931834</v>
      </c>
      <c r="AP477" s="58">
        <v>555396.95409757271</v>
      </c>
      <c r="AQ477" s="143">
        <f t="shared" ref="AQ477:AQ479" si="295">ROUND(AP477,2)*-1</f>
        <v>-555396.94999999995</v>
      </c>
    </row>
    <row r="478" spans="1:43" x14ac:dyDescent="0.35">
      <c r="A478" s="69" t="s">
        <v>43</v>
      </c>
      <c r="B478" s="136" t="s">
        <v>1491</v>
      </c>
      <c r="C478" s="136"/>
      <c r="D478" s="69" t="e">
        <f>_xlfn.XLOOKUP(B478,SOM!B:B,SOM!D:D,,0)</f>
        <v>#N/A</v>
      </c>
      <c r="E478" s="76">
        <v>1</v>
      </c>
      <c r="F478" s="69" t="s">
        <v>1151</v>
      </c>
      <c r="G478" s="92" t="s">
        <v>1152</v>
      </c>
      <c r="H478" s="15">
        <v>9008000038</v>
      </c>
      <c r="I478" s="92" t="s">
        <v>1416</v>
      </c>
      <c r="J478" s="92">
        <v>1202020104</v>
      </c>
      <c r="K478" s="29" t="s">
        <v>1492</v>
      </c>
      <c r="L478" s="95" t="s">
        <v>1493</v>
      </c>
      <c r="M478" s="69" t="s">
        <v>1447</v>
      </c>
      <c r="N478" s="69"/>
      <c r="O478" s="94">
        <v>1</v>
      </c>
      <c r="P478" s="69" t="s">
        <v>50</v>
      </c>
      <c r="Q478" s="69" t="s">
        <v>51</v>
      </c>
      <c r="R478" s="69"/>
      <c r="S478" s="46">
        <v>44863</v>
      </c>
      <c r="T478" s="48">
        <v>44863</v>
      </c>
      <c r="U478" s="69"/>
      <c r="V478" s="69"/>
      <c r="W478" s="69"/>
      <c r="X478" s="69"/>
      <c r="Y478" s="69" t="s">
        <v>4131</v>
      </c>
      <c r="Z478" s="56">
        <v>784722</v>
      </c>
      <c r="AA478" s="43" t="s">
        <v>52</v>
      </c>
      <c r="AB478" s="43" t="s">
        <v>53</v>
      </c>
      <c r="AC478" s="43">
        <v>3650</v>
      </c>
      <c r="AD478" s="141">
        <v>10</v>
      </c>
      <c r="AE478" s="142">
        <v>0</v>
      </c>
      <c r="AF478" s="142"/>
      <c r="AG478" s="69" t="str">
        <f t="shared" si="292"/>
        <v>2 years 65 days</v>
      </c>
      <c r="AH478" s="69">
        <v>2</v>
      </c>
      <c r="AI478" s="69">
        <v>65</v>
      </c>
      <c r="AJ478" s="69">
        <v>0</v>
      </c>
      <c r="AK478" s="69">
        <v>0</v>
      </c>
      <c r="AL478" s="66">
        <v>784722</v>
      </c>
      <c r="AM478" s="60">
        <f t="shared" si="293"/>
        <v>784722</v>
      </c>
      <c r="AN478" s="59">
        <v>228322</v>
      </c>
      <c r="AO478" s="148">
        <f t="shared" si="294"/>
        <v>-228322</v>
      </c>
      <c r="AP478" s="58">
        <v>38913.512876712368</v>
      </c>
      <c r="AQ478" s="143">
        <f t="shared" si="295"/>
        <v>-38913.51</v>
      </c>
    </row>
    <row r="479" spans="1:43" x14ac:dyDescent="0.35">
      <c r="A479" s="69" t="s">
        <v>43</v>
      </c>
      <c r="B479" s="15" t="s">
        <v>1494</v>
      </c>
      <c r="C479" s="15"/>
      <c r="D479" s="69" t="e">
        <f>_xlfn.XLOOKUP(B479,SOM!B:B,SOM!D:D,,0)</f>
        <v>#N/A</v>
      </c>
      <c r="E479" s="76">
        <v>2</v>
      </c>
      <c r="F479" s="69" t="s">
        <v>1151</v>
      </c>
      <c r="G479" s="92" t="s">
        <v>1152</v>
      </c>
      <c r="H479" s="15">
        <v>9008000038</v>
      </c>
      <c r="I479" s="92" t="s">
        <v>1416</v>
      </c>
      <c r="J479" s="92">
        <v>1202020104</v>
      </c>
      <c r="K479" s="20" t="s">
        <v>1495</v>
      </c>
      <c r="L479" s="95" t="s">
        <v>1496</v>
      </c>
      <c r="M479" s="69" t="s">
        <v>1497</v>
      </c>
      <c r="N479" s="69"/>
      <c r="O479" s="94">
        <v>1</v>
      </c>
      <c r="P479" s="69" t="s">
        <v>50</v>
      </c>
      <c r="Q479" s="69" t="s">
        <v>51</v>
      </c>
      <c r="R479" s="69"/>
      <c r="S479" s="46">
        <v>44865</v>
      </c>
      <c r="T479" s="48">
        <v>44865</v>
      </c>
      <c r="U479" s="69"/>
      <c r="V479" s="69"/>
      <c r="W479" s="69"/>
      <c r="X479" s="69"/>
      <c r="Y479" s="69" t="s">
        <v>4131</v>
      </c>
      <c r="Z479" s="43">
        <v>300000</v>
      </c>
      <c r="AA479" s="43" t="s">
        <v>52</v>
      </c>
      <c r="AB479" s="43" t="s">
        <v>53</v>
      </c>
      <c r="AC479" s="43">
        <v>3650</v>
      </c>
      <c r="AD479" s="141">
        <v>10</v>
      </c>
      <c r="AE479" s="142">
        <v>0</v>
      </c>
      <c r="AF479" s="142"/>
      <c r="AG479" s="69" t="str">
        <f t="shared" si="292"/>
        <v>2 years 63 days</v>
      </c>
      <c r="AH479" s="69">
        <v>2</v>
      </c>
      <c r="AI479" s="69">
        <v>63</v>
      </c>
      <c r="AJ479" s="69">
        <v>0</v>
      </c>
      <c r="AK479" s="69">
        <v>0</v>
      </c>
      <c r="AL479" s="60">
        <v>300000</v>
      </c>
      <c r="AM479" s="60">
        <f t="shared" si="293"/>
        <v>300000</v>
      </c>
      <c r="AN479" s="59">
        <v>270370</v>
      </c>
      <c r="AO479" s="148">
        <f t="shared" si="294"/>
        <v>-270370</v>
      </c>
      <c r="AP479" s="58">
        <v>14876.944970261771</v>
      </c>
      <c r="AQ479" s="143">
        <f t="shared" si="295"/>
        <v>-14876.94</v>
      </c>
    </row>
    <row r="480" spans="1:43" x14ac:dyDescent="0.35">
      <c r="A480" s="69" t="s">
        <v>43</v>
      </c>
      <c r="B480" s="15" t="s">
        <v>1498</v>
      </c>
      <c r="C480" s="15"/>
      <c r="D480" s="69"/>
      <c r="E480" s="76">
        <v>0</v>
      </c>
      <c r="F480" s="69" t="s">
        <v>1151</v>
      </c>
      <c r="G480" s="92" t="s">
        <v>1152</v>
      </c>
      <c r="H480" s="15">
        <v>9008000039</v>
      </c>
      <c r="I480" s="92" t="s">
        <v>1416</v>
      </c>
      <c r="J480" s="92">
        <v>1202020104</v>
      </c>
      <c r="K480" s="26" t="s">
        <v>1499</v>
      </c>
      <c r="L480" s="95" t="s">
        <v>1500</v>
      </c>
      <c r="M480" s="69" t="s">
        <v>49</v>
      </c>
      <c r="N480" s="69"/>
      <c r="O480" s="94">
        <v>1</v>
      </c>
      <c r="P480" s="69" t="s">
        <v>50</v>
      </c>
      <c r="Q480" s="69" t="s">
        <v>51</v>
      </c>
      <c r="R480" s="69"/>
      <c r="S480" s="46">
        <v>44863</v>
      </c>
      <c r="T480" s="48">
        <v>44863</v>
      </c>
      <c r="U480" s="69"/>
      <c r="V480" s="69"/>
      <c r="W480" s="69"/>
      <c r="X480" s="69"/>
      <c r="Y480" s="69" t="s">
        <v>4131</v>
      </c>
      <c r="Z480" s="43">
        <v>9750000</v>
      </c>
      <c r="AA480" s="43" t="s">
        <v>52</v>
      </c>
      <c r="AB480" s="43" t="s">
        <v>53</v>
      </c>
      <c r="AC480" s="43">
        <v>3650</v>
      </c>
      <c r="AD480" s="141">
        <v>10</v>
      </c>
      <c r="AE480" s="142">
        <v>0</v>
      </c>
      <c r="AF480" s="142"/>
      <c r="AG480" s="69" t="str">
        <f t="shared" ref="AG480:AG483" si="296">_xlfn.CONCAT(AH480," years ",AI480," days")</f>
        <v>2 years 65 days</v>
      </c>
      <c r="AH480" s="69">
        <v>2</v>
      </c>
      <c r="AI480" s="69">
        <v>65</v>
      </c>
      <c r="AJ480" s="69">
        <v>0</v>
      </c>
      <c r="AK480" s="69">
        <v>0</v>
      </c>
      <c r="AL480" s="60">
        <v>9750000</v>
      </c>
      <c r="AM480" s="60">
        <f t="shared" ref="AM480:AM483" si="297">ROUND(AL480,2)</f>
        <v>9750000</v>
      </c>
      <c r="AN480" s="59">
        <v>6672903</v>
      </c>
      <c r="AO480" s="148">
        <f t="shared" ref="AO480:AO483" si="298">ROUND(AN480,2)*-1</f>
        <v>-6672903</v>
      </c>
      <c r="AP480" s="58">
        <v>483493.42158233188</v>
      </c>
      <c r="AQ480" s="143">
        <f t="shared" ref="AQ480:AQ483" si="299">ROUND(AP480,2)*-1</f>
        <v>-483493.42</v>
      </c>
    </row>
    <row r="481" spans="1:43" x14ac:dyDescent="0.35">
      <c r="A481" s="69" t="s">
        <v>43</v>
      </c>
      <c r="B481" s="15" t="s">
        <v>1501</v>
      </c>
      <c r="C481" s="15"/>
      <c r="D481" s="69" t="e">
        <f>_xlfn.XLOOKUP(B481,SOM!B:B,SOM!D:D,,0)</f>
        <v>#N/A</v>
      </c>
      <c r="E481" s="76">
        <v>1</v>
      </c>
      <c r="F481" s="69" t="s">
        <v>1151</v>
      </c>
      <c r="G481" s="92" t="s">
        <v>1152</v>
      </c>
      <c r="H481" s="15">
        <v>9008000039</v>
      </c>
      <c r="I481" s="92" t="s">
        <v>1416</v>
      </c>
      <c r="J481" s="92">
        <v>1202020104</v>
      </c>
      <c r="K481" s="26" t="s">
        <v>1502</v>
      </c>
      <c r="L481" s="95" t="s">
        <v>1503</v>
      </c>
      <c r="M481" s="69" t="s">
        <v>49</v>
      </c>
      <c r="N481" s="69"/>
      <c r="O481" s="94">
        <v>3</v>
      </c>
      <c r="P481" s="69" t="s">
        <v>50</v>
      </c>
      <c r="Q481" s="69" t="s">
        <v>51</v>
      </c>
      <c r="R481" s="69"/>
      <c r="S481" s="46">
        <v>44807</v>
      </c>
      <c r="T481" s="48">
        <v>44807</v>
      </c>
      <c r="U481" s="69"/>
      <c r="V481" s="69"/>
      <c r="W481" s="69"/>
      <c r="X481" s="69"/>
      <c r="Y481" s="69" t="s">
        <v>4131</v>
      </c>
      <c r="Z481" s="43">
        <v>586500</v>
      </c>
      <c r="AA481" s="43" t="s">
        <v>52</v>
      </c>
      <c r="AB481" s="43" t="s">
        <v>53</v>
      </c>
      <c r="AC481" s="43">
        <v>3650</v>
      </c>
      <c r="AD481" s="141">
        <v>10</v>
      </c>
      <c r="AE481" s="142">
        <v>0</v>
      </c>
      <c r="AF481" s="142"/>
      <c r="AG481" s="69" t="str">
        <f t="shared" si="296"/>
        <v>2 years 121 days</v>
      </c>
      <c r="AH481" s="69">
        <v>2</v>
      </c>
      <c r="AI481" s="69">
        <v>121</v>
      </c>
      <c r="AJ481" s="69">
        <v>0</v>
      </c>
      <c r="AK481" s="69">
        <v>0</v>
      </c>
      <c r="AL481" s="60">
        <v>586500</v>
      </c>
      <c r="AM481" s="60">
        <f t="shared" si="297"/>
        <v>586500</v>
      </c>
      <c r="AN481" s="59">
        <v>181092</v>
      </c>
      <c r="AO481" s="148">
        <f t="shared" si="298"/>
        <v>-181092</v>
      </c>
      <c r="AP481" s="58">
        <v>29083.890410958906</v>
      </c>
      <c r="AQ481" s="143">
        <f t="shared" si="299"/>
        <v>-29083.89</v>
      </c>
    </row>
    <row r="482" spans="1:43" x14ac:dyDescent="0.35">
      <c r="A482" s="69" t="s">
        <v>43</v>
      </c>
      <c r="B482" s="136" t="s">
        <v>1504</v>
      </c>
      <c r="C482" s="136"/>
      <c r="D482" s="69" t="e">
        <f>_xlfn.XLOOKUP(B482,SOM!B:B,SOM!D:D,,0)</f>
        <v>#N/A</v>
      </c>
      <c r="E482" s="76">
        <v>2</v>
      </c>
      <c r="F482" s="69" t="s">
        <v>1151</v>
      </c>
      <c r="G482" s="92" t="s">
        <v>1152</v>
      </c>
      <c r="H482" s="15">
        <v>9008000039</v>
      </c>
      <c r="I482" s="92" t="s">
        <v>1416</v>
      </c>
      <c r="J482" s="92">
        <v>1202020104</v>
      </c>
      <c r="K482" s="29" t="s">
        <v>1505</v>
      </c>
      <c r="L482" s="95" t="s">
        <v>1506</v>
      </c>
      <c r="M482" s="69" t="s">
        <v>1447</v>
      </c>
      <c r="N482" s="69"/>
      <c r="O482" s="94">
        <v>1</v>
      </c>
      <c r="P482" s="69" t="s">
        <v>50</v>
      </c>
      <c r="Q482" s="69" t="s">
        <v>51</v>
      </c>
      <c r="R482" s="69"/>
      <c r="S482" s="46">
        <v>44863</v>
      </c>
      <c r="T482" s="48">
        <v>44863</v>
      </c>
      <c r="U482" s="69"/>
      <c r="V482" s="69"/>
      <c r="W482" s="69"/>
      <c r="X482" s="69"/>
      <c r="Y482" s="69" t="s">
        <v>4131</v>
      </c>
      <c r="Z482" s="56">
        <v>784722</v>
      </c>
      <c r="AA482" s="43" t="s">
        <v>52</v>
      </c>
      <c r="AB482" s="43" t="s">
        <v>53</v>
      </c>
      <c r="AC482" s="43">
        <v>3650</v>
      </c>
      <c r="AD482" s="141">
        <v>10</v>
      </c>
      <c r="AE482" s="142">
        <v>0</v>
      </c>
      <c r="AF482" s="142"/>
      <c r="AG482" s="69" t="str">
        <f t="shared" si="296"/>
        <v>2 years 65 days</v>
      </c>
      <c r="AH482" s="69">
        <v>2</v>
      </c>
      <c r="AI482" s="69">
        <v>65</v>
      </c>
      <c r="AJ482" s="69">
        <v>0</v>
      </c>
      <c r="AK482" s="69">
        <v>0</v>
      </c>
      <c r="AL482" s="66">
        <v>784722</v>
      </c>
      <c r="AM482" s="60">
        <f t="shared" si="297"/>
        <v>784722</v>
      </c>
      <c r="AN482" s="59">
        <v>228322</v>
      </c>
      <c r="AO482" s="148">
        <f t="shared" si="298"/>
        <v>-228322</v>
      </c>
      <c r="AP482" s="58">
        <v>38913.512876712368</v>
      </c>
      <c r="AQ482" s="143">
        <f t="shared" si="299"/>
        <v>-38913.51</v>
      </c>
    </row>
    <row r="483" spans="1:43" x14ac:dyDescent="0.35">
      <c r="A483" s="69" t="s">
        <v>43</v>
      </c>
      <c r="B483" s="15" t="s">
        <v>1507</v>
      </c>
      <c r="C483" s="15"/>
      <c r="D483" s="69" t="e">
        <f>_xlfn.XLOOKUP(B483,SOM!B:B,SOM!D:D,,0)</f>
        <v>#N/A</v>
      </c>
      <c r="E483" s="76">
        <v>3</v>
      </c>
      <c r="F483" s="69" t="s">
        <v>1151</v>
      </c>
      <c r="G483" s="92" t="s">
        <v>1152</v>
      </c>
      <c r="H483" s="15">
        <v>9008000039</v>
      </c>
      <c r="I483" s="92" t="s">
        <v>1416</v>
      </c>
      <c r="J483" s="92">
        <v>1202020104</v>
      </c>
      <c r="K483" s="20" t="s">
        <v>1508</v>
      </c>
      <c r="L483" s="95" t="s">
        <v>1509</v>
      </c>
      <c r="M483" s="69" t="s">
        <v>1510</v>
      </c>
      <c r="N483" s="69"/>
      <c r="O483" s="94">
        <v>1</v>
      </c>
      <c r="P483" s="69" t="s">
        <v>50</v>
      </c>
      <c r="Q483" s="69" t="s">
        <v>51</v>
      </c>
      <c r="R483" s="69"/>
      <c r="S483" s="46">
        <v>44865</v>
      </c>
      <c r="T483" s="48">
        <v>44865</v>
      </c>
      <c r="U483" s="69"/>
      <c r="V483" s="69"/>
      <c r="W483" s="69"/>
      <c r="X483" s="69"/>
      <c r="Y483" s="69" t="s">
        <v>4131</v>
      </c>
      <c r="Z483" s="43">
        <v>44000</v>
      </c>
      <c r="AA483" s="43" t="s">
        <v>52</v>
      </c>
      <c r="AB483" s="43" t="s">
        <v>53</v>
      </c>
      <c r="AC483" s="43">
        <v>3650</v>
      </c>
      <c r="AD483" s="141">
        <v>10</v>
      </c>
      <c r="AE483" s="142">
        <v>0</v>
      </c>
      <c r="AF483" s="142"/>
      <c r="AG483" s="69" t="str">
        <f t="shared" si="296"/>
        <v>2 years 63 days</v>
      </c>
      <c r="AH483" s="69">
        <v>2</v>
      </c>
      <c r="AI483" s="69">
        <v>63</v>
      </c>
      <c r="AJ483" s="69">
        <v>0</v>
      </c>
      <c r="AK483" s="69">
        <v>0</v>
      </c>
      <c r="AL483" s="60">
        <v>44000</v>
      </c>
      <c r="AM483" s="60">
        <f t="shared" si="297"/>
        <v>44000</v>
      </c>
      <c r="AN483" s="59">
        <v>39218</v>
      </c>
      <c r="AO483" s="148">
        <f t="shared" si="298"/>
        <v>-39218</v>
      </c>
      <c r="AP483" s="58">
        <v>2181.7099113618096</v>
      </c>
      <c r="AQ483" s="143">
        <f t="shared" si="299"/>
        <v>-2181.71</v>
      </c>
    </row>
    <row r="484" spans="1:43" x14ac:dyDescent="0.35">
      <c r="A484" s="69" t="s">
        <v>43</v>
      </c>
      <c r="B484" s="15" t="s">
        <v>1511</v>
      </c>
      <c r="C484" s="15"/>
      <c r="D484" s="69"/>
      <c r="E484" s="76">
        <v>0</v>
      </c>
      <c r="F484" s="69" t="s">
        <v>1151</v>
      </c>
      <c r="G484" s="92" t="s">
        <v>1152</v>
      </c>
      <c r="H484" s="15">
        <v>9008000040</v>
      </c>
      <c r="I484" s="92" t="s">
        <v>1416</v>
      </c>
      <c r="J484" s="92">
        <v>1202020104</v>
      </c>
      <c r="K484" s="23" t="s">
        <v>1512</v>
      </c>
      <c r="L484" s="95" t="s">
        <v>1513</v>
      </c>
      <c r="M484" s="69" t="s">
        <v>1514</v>
      </c>
      <c r="N484" s="69"/>
      <c r="O484" s="94">
        <v>1</v>
      </c>
      <c r="P484" s="69" t="s">
        <v>50</v>
      </c>
      <c r="Q484" s="69" t="s">
        <v>51</v>
      </c>
      <c r="R484" s="69"/>
      <c r="S484" s="46">
        <v>42173</v>
      </c>
      <c r="T484" s="48">
        <v>43191</v>
      </c>
      <c r="U484" s="69"/>
      <c r="V484" s="69"/>
      <c r="W484" s="69"/>
      <c r="X484" s="69"/>
      <c r="Y484" s="69" t="s">
        <v>4125</v>
      </c>
      <c r="Z484" s="43">
        <v>11950000</v>
      </c>
      <c r="AA484" s="43" t="s">
        <v>52</v>
      </c>
      <c r="AB484" s="43" t="s">
        <v>53</v>
      </c>
      <c r="AC484" s="43">
        <v>4453</v>
      </c>
      <c r="AD484" s="141">
        <v>12</v>
      </c>
      <c r="AE484" s="142">
        <v>2</v>
      </c>
      <c r="AF484" s="142"/>
      <c r="AG484" s="69" t="str">
        <f t="shared" ref="AG484:AG489" si="300">_xlfn.CONCAT(AH484," years ",AI484," days")</f>
        <v>6 years 277 days</v>
      </c>
      <c r="AH484" s="69">
        <v>6</v>
      </c>
      <c r="AI484" s="69">
        <v>277</v>
      </c>
      <c r="AJ484" s="69">
        <v>0</v>
      </c>
      <c r="AK484" s="69">
        <v>0</v>
      </c>
      <c r="AL484" s="60">
        <v>11950000</v>
      </c>
      <c r="AM484" s="60">
        <f t="shared" ref="AM484:AM489" si="301">ROUND(AL484,2)</f>
        <v>11950000</v>
      </c>
      <c r="AN484" s="59">
        <v>6620402</v>
      </c>
      <c r="AO484" s="148">
        <f t="shared" ref="AO484:AO489" si="302">ROUND(AN484,2)*-1</f>
        <v>-6620402</v>
      </c>
      <c r="AP484" s="58">
        <v>485728.69840556942</v>
      </c>
      <c r="AQ484" s="143">
        <f t="shared" ref="AQ484:AQ489" si="303">ROUND(AP484,2)*-1</f>
        <v>-485728.7</v>
      </c>
    </row>
    <row r="485" spans="1:43" x14ac:dyDescent="0.35">
      <c r="A485" s="69" t="s">
        <v>43</v>
      </c>
      <c r="B485" s="15" t="s">
        <v>1515</v>
      </c>
      <c r="C485" s="15"/>
      <c r="D485" s="69" t="e">
        <f>_xlfn.XLOOKUP(B485,SOM!B:B,SOM!D:D,,0)</f>
        <v>#N/A</v>
      </c>
      <c r="E485" s="76">
        <v>1</v>
      </c>
      <c r="F485" s="69" t="s">
        <v>1151</v>
      </c>
      <c r="G485" s="92" t="s">
        <v>1152</v>
      </c>
      <c r="H485" s="15">
        <v>9008000040</v>
      </c>
      <c r="I485" s="92" t="s">
        <v>1416</v>
      </c>
      <c r="J485" s="92">
        <v>1202020104</v>
      </c>
      <c r="K485" s="16" t="s">
        <v>1516</v>
      </c>
      <c r="L485" s="95" t="s">
        <v>1517</v>
      </c>
      <c r="M485" s="69" t="s">
        <v>1481</v>
      </c>
      <c r="N485" s="69"/>
      <c r="O485" s="94">
        <v>1</v>
      </c>
      <c r="P485" s="69" t="s">
        <v>50</v>
      </c>
      <c r="Q485" s="69" t="s">
        <v>51</v>
      </c>
      <c r="R485" s="69"/>
      <c r="S485" s="46">
        <v>44094</v>
      </c>
      <c r="T485" s="48">
        <v>44094</v>
      </c>
      <c r="U485" s="69"/>
      <c r="V485" s="69"/>
      <c r="W485" s="69"/>
      <c r="X485" s="69"/>
      <c r="Y485" s="69" t="s">
        <v>4127</v>
      </c>
      <c r="Z485" s="43">
        <v>650000</v>
      </c>
      <c r="AA485" s="43" t="s">
        <v>52</v>
      </c>
      <c r="AB485" s="43" t="s">
        <v>53</v>
      </c>
      <c r="AC485" s="43">
        <v>3650</v>
      </c>
      <c r="AD485" s="141">
        <v>10</v>
      </c>
      <c r="AE485" s="142">
        <v>0</v>
      </c>
      <c r="AF485" s="142"/>
      <c r="AG485" s="69" t="str">
        <f t="shared" si="300"/>
        <v>4 years 104 days</v>
      </c>
      <c r="AH485" s="69">
        <v>4</v>
      </c>
      <c r="AI485" s="69">
        <v>104</v>
      </c>
      <c r="AJ485" s="69">
        <v>0</v>
      </c>
      <c r="AK485" s="69">
        <v>0</v>
      </c>
      <c r="AL485" s="60">
        <v>650000</v>
      </c>
      <c r="AM485" s="60">
        <f t="shared" si="301"/>
        <v>650000</v>
      </c>
      <c r="AN485" s="59">
        <v>278521</v>
      </c>
      <c r="AO485" s="148">
        <f t="shared" si="302"/>
        <v>-278521</v>
      </c>
      <c r="AP485" s="58">
        <v>32232.424657534226</v>
      </c>
      <c r="AQ485" s="143">
        <f t="shared" si="303"/>
        <v>-32232.42</v>
      </c>
    </row>
    <row r="486" spans="1:43" x14ac:dyDescent="0.35">
      <c r="A486" s="69" t="s">
        <v>43</v>
      </c>
      <c r="B486" s="15" t="s">
        <v>1518</v>
      </c>
      <c r="C486" s="15"/>
      <c r="D486" s="69" t="e">
        <f>_xlfn.XLOOKUP(B486,SOM!B:B,SOM!D:D,,0)</f>
        <v>#N/A</v>
      </c>
      <c r="E486" s="76">
        <v>2</v>
      </c>
      <c r="F486" s="69" t="s">
        <v>1151</v>
      </c>
      <c r="G486" s="92" t="s">
        <v>1152</v>
      </c>
      <c r="H486" s="15">
        <v>9008000040</v>
      </c>
      <c r="I486" s="92" t="s">
        <v>1416</v>
      </c>
      <c r="J486" s="92">
        <v>1202020104</v>
      </c>
      <c r="K486" s="16" t="s">
        <v>1519</v>
      </c>
      <c r="L486" s="95" t="s">
        <v>1520</v>
      </c>
      <c r="M486" s="69" t="s">
        <v>1521</v>
      </c>
      <c r="N486" s="69"/>
      <c r="O486" s="94">
        <v>3</v>
      </c>
      <c r="P486" s="69" t="s">
        <v>50</v>
      </c>
      <c r="Q486" s="69" t="s">
        <v>51</v>
      </c>
      <c r="R486" s="69"/>
      <c r="S486" s="46">
        <v>44713</v>
      </c>
      <c r="T486" s="48">
        <v>44713</v>
      </c>
      <c r="U486" s="69"/>
      <c r="V486" s="69"/>
      <c r="W486" s="69"/>
      <c r="X486" s="69"/>
      <c r="Y486" s="69" t="s">
        <v>4131</v>
      </c>
      <c r="Z486" s="43">
        <v>763420</v>
      </c>
      <c r="AA486" s="43" t="s">
        <v>52</v>
      </c>
      <c r="AB486" s="43" t="s">
        <v>53</v>
      </c>
      <c r="AC486" s="43">
        <v>3650</v>
      </c>
      <c r="AD486" s="141">
        <v>10</v>
      </c>
      <c r="AE486" s="142">
        <v>0</v>
      </c>
      <c r="AF486" s="142"/>
      <c r="AG486" s="69" t="str">
        <f t="shared" si="300"/>
        <v>2 years 215 days</v>
      </c>
      <c r="AH486" s="69">
        <v>2</v>
      </c>
      <c r="AI486" s="69">
        <v>215</v>
      </c>
      <c r="AJ486" s="69">
        <v>0</v>
      </c>
      <c r="AK486" s="69">
        <v>0</v>
      </c>
      <c r="AL486" s="60">
        <v>763420</v>
      </c>
      <c r="AM486" s="60">
        <f t="shared" si="301"/>
        <v>763420</v>
      </c>
      <c r="AN486" s="59">
        <v>197653</v>
      </c>
      <c r="AO486" s="148">
        <f t="shared" si="302"/>
        <v>-197653</v>
      </c>
      <c r="AP486" s="58">
        <v>37856.841095890413</v>
      </c>
      <c r="AQ486" s="143">
        <f t="shared" si="303"/>
        <v>-37856.839999999997</v>
      </c>
    </row>
    <row r="487" spans="1:43" x14ac:dyDescent="0.35">
      <c r="A487" s="69" t="s">
        <v>43</v>
      </c>
      <c r="B487" s="15" t="s">
        <v>1522</v>
      </c>
      <c r="C487" s="15"/>
      <c r="D487" s="69" t="e">
        <f>_xlfn.XLOOKUP(B487,SOM!B:B,SOM!D:D,,0)</f>
        <v>#N/A</v>
      </c>
      <c r="E487" s="76">
        <v>3</v>
      </c>
      <c r="F487" s="69" t="s">
        <v>1151</v>
      </c>
      <c r="G487" s="92" t="s">
        <v>1152</v>
      </c>
      <c r="H487" s="15">
        <v>9008000040</v>
      </c>
      <c r="I487" s="92" t="s">
        <v>1416</v>
      </c>
      <c r="J487" s="92">
        <v>1202020104</v>
      </c>
      <c r="K487" s="16" t="s">
        <v>1523</v>
      </c>
      <c r="L487" s="95" t="s">
        <v>1524</v>
      </c>
      <c r="M487" s="69" t="s">
        <v>1525</v>
      </c>
      <c r="N487" s="69"/>
      <c r="O487" s="94">
        <v>4</v>
      </c>
      <c r="P487" s="69" t="s">
        <v>50</v>
      </c>
      <c r="Q487" s="69" t="s">
        <v>51</v>
      </c>
      <c r="R487" s="69"/>
      <c r="S487" s="46">
        <v>45647</v>
      </c>
      <c r="T487" s="48">
        <v>45647</v>
      </c>
      <c r="U487" s="69"/>
      <c r="V487" s="69"/>
      <c r="W487" s="69"/>
      <c r="X487" s="69"/>
      <c r="Y487" s="69" t="s">
        <v>4130</v>
      </c>
      <c r="Z487" s="43">
        <v>1486000</v>
      </c>
      <c r="AA487" s="43" t="s">
        <v>52</v>
      </c>
      <c r="AB487" s="43" t="s">
        <v>53</v>
      </c>
      <c r="AC487" s="43">
        <v>3650</v>
      </c>
      <c r="AD487" s="141">
        <v>10</v>
      </c>
      <c r="AE487" s="142">
        <v>0</v>
      </c>
      <c r="AF487" s="142"/>
      <c r="AG487" s="69" t="str">
        <f t="shared" si="300"/>
        <v>0 years 11 days</v>
      </c>
      <c r="AH487" s="69">
        <v>0</v>
      </c>
      <c r="AI487" s="69">
        <v>11</v>
      </c>
      <c r="AJ487" s="69">
        <v>0</v>
      </c>
      <c r="AK487" s="69">
        <v>0</v>
      </c>
      <c r="AL487" s="60">
        <v>1486000</v>
      </c>
      <c r="AM487" s="60">
        <f t="shared" si="301"/>
        <v>1486000</v>
      </c>
      <c r="AN487" s="59">
        <v>4478</v>
      </c>
      <c r="AO487" s="148">
        <f t="shared" si="302"/>
        <v>-4478</v>
      </c>
      <c r="AP487" s="58">
        <v>73689.671232876717</v>
      </c>
      <c r="AQ487" s="143">
        <f t="shared" si="303"/>
        <v>-73689.67</v>
      </c>
    </row>
    <row r="488" spans="1:43" x14ac:dyDescent="0.35">
      <c r="A488" s="69" t="s">
        <v>43</v>
      </c>
      <c r="B488" s="15" t="s">
        <v>1526</v>
      </c>
      <c r="C488" s="15"/>
      <c r="D488" s="69" t="e">
        <f>_xlfn.XLOOKUP(B488,SOM!B:B,SOM!D:D,,0)</f>
        <v>#N/A</v>
      </c>
      <c r="E488" s="76">
        <v>4</v>
      </c>
      <c r="F488" s="69" t="s">
        <v>1151</v>
      </c>
      <c r="G488" s="92" t="s">
        <v>1152</v>
      </c>
      <c r="H488" s="15">
        <v>9008000040</v>
      </c>
      <c r="I488" s="92" t="s">
        <v>1416</v>
      </c>
      <c r="J488" s="92">
        <v>1202020104</v>
      </c>
      <c r="K488" s="20" t="s">
        <v>1527</v>
      </c>
      <c r="L488" s="95" t="s">
        <v>1528</v>
      </c>
      <c r="M488" s="69" t="s">
        <v>49</v>
      </c>
      <c r="N488" s="69"/>
      <c r="O488" s="94">
        <v>1</v>
      </c>
      <c r="P488" s="69" t="s">
        <v>50</v>
      </c>
      <c r="Q488" s="69" t="s">
        <v>51</v>
      </c>
      <c r="R488" s="69"/>
      <c r="S488" s="46">
        <v>44865</v>
      </c>
      <c r="T488" s="48">
        <v>44865</v>
      </c>
      <c r="U488" s="69"/>
      <c r="V488" s="69"/>
      <c r="W488" s="69"/>
      <c r="X488" s="69"/>
      <c r="Y488" s="69" t="s">
        <v>4131</v>
      </c>
      <c r="Z488" s="43">
        <v>37000</v>
      </c>
      <c r="AA488" s="43" t="s">
        <v>52</v>
      </c>
      <c r="AB488" s="43" t="s">
        <v>53</v>
      </c>
      <c r="AC488" s="43">
        <v>3650</v>
      </c>
      <c r="AD488" s="141">
        <v>10</v>
      </c>
      <c r="AE488" s="142">
        <v>0</v>
      </c>
      <c r="AF488" s="142"/>
      <c r="AG488" s="69" t="str">
        <f t="shared" si="300"/>
        <v>2 years 63 days</v>
      </c>
      <c r="AH488" s="69">
        <v>2</v>
      </c>
      <c r="AI488" s="69">
        <v>63</v>
      </c>
      <c r="AJ488" s="69">
        <v>0</v>
      </c>
      <c r="AK488" s="69">
        <v>0</v>
      </c>
      <c r="AL488" s="60">
        <v>37000</v>
      </c>
      <c r="AM488" s="60">
        <f t="shared" si="301"/>
        <v>37000</v>
      </c>
      <c r="AN488" s="59">
        <v>37000</v>
      </c>
      <c r="AO488" s="148">
        <f t="shared" si="302"/>
        <v>-37000</v>
      </c>
      <c r="AP488" s="58">
        <v>0</v>
      </c>
      <c r="AQ488" s="143">
        <f t="shared" si="303"/>
        <v>0</v>
      </c>
    </row>
    <row r="489" spans="1:43" x14ac:dyDescent="0.35">
      <c r="A489" s="69" t="s">
        <v>43</v>
      </c>
      <c r="B489" s="15" t="s">
        <v>1529</v>
      </c>
      <c r="C489" s="15"/>
      <c r="D489" s="69" t="e">
        <f>_xlfn.XLOOKUP(B489,SOM!B:B,SOM!D:D,,0)</f>
        <v>#N/A</v>
      </c>
      <c r="E489" s="76">
        <v>5</v>
      </c>
      <c r="F489" s="69" t="s">
        <v>1151</v>
      </c>
      <c r="G489" s="92" t="s">
        <v>1152</v>
      </c>
      <c r="H489" s="135">
        <v>9008000040</v>
      </c>
      <c r="I489" s="92" t="s">
        <v>1416</v>
      </c>
      <c r="J489" s="92">
        <v>1202020104</v>
      </c>
      <c r="K489" s="28"/>
      <c r="L489" s="95" t="s">
        <v>1530</v>
      </c>
      <c r="M489" s="69" t="s">
        <v>1531</v>
      </c>
      <c r="N489" s="69"/>
      <c r="O489" s="94">
        <v>1</v>
      </c>
      <c r="P489" s="69" t="s">
        <v>50</v>
      </c>
      <c r="Q489" s="69" t="s">
        <v>51</v>
      </c>
      <c r="R489" s="69"/>
      <c r="S489" s="46">
        <v>45016</v>
      </c>
      <c r="T489" s="48">
        <v>45016</v>
      </c>
      <c r="U489" s="69"/>
      <c r="V489" s="69"/>
      <c r="W489" s="69"/>
      <c r="X489" s="69"/>
      <c r="Y489" s="69" t="s">
        <v>4129</v>
      </c>
      <c r="Z489" s="43">
        <v>361000</v>
      </c>
      <c r="AA489" s="43" t="s">
        <v>52</v>
      </c>
      <c r="AB489" s="43" t="s">
        <v>53</v>
      </c>
      <c r="AC489" s="43">
        <v>3650</v>
      </c>
      <c r="AD489" s="141">
        <v>10</v>
      </c>
      <c r="AE489" s="142">
        <v>0</v>
      </c>
      <c r="AF489" s="142"/>
      <c r="AG489" s="69" t="str">
        <f t="shared" si="300"/>
        <v>1 years 277 days</v>
      </c>
      <c r="AH489" s="69">
        <v>1</v>
      </c>
      <c r="AI489" s="69">
        <v>277</v>
      </c>
      <c r="AJ489" s="69">
        <v>0</v>
      </c>
      <c r="AK489" s="69">
        <v>0</v>
      </c>
      <c r="AL489" s="60">
        <v>361000</v>
      </c>
      <c r="AM489" s="60">
        <f t="shared" si="301"/>
        <v>361000</v>
      </c>
      <c r="AN489" s="59">
        <v>63595</v>
      </c>
      <c r="AO489" s="148">
        <f t="shared" si="302"/>
        <v>-63595</v>
      </c>
      <c r="AP489" s="58">
        <v>17901.986301369863</v>
      </c>
      <c r="AQ489" s="143">
        <f t="shared" si="303"/>
        <v>-17901.990000000002</v>
      </c>
    </row>
    <row r="490" spans="1:43" x14ac:dyDescent="0.35">
      <c r="A490" s="69" t="s">
        <v>43</v>
      </c>
      <c r="B490" s="15" t="s">
        <v>1532</v>
      </c>
      <c r="C490" s="15"/>
      <c r="D490" s="69"/>
      <c r="E490" s="76">
        <v>0</v>
      </c>
      <c r="F490" s="69" t="s">
        <v>1151</v>
      </c>
      <c r="G490" s="92" t="s">
        <v>1152</v>
      </c>
      <c r="H490" s="15">
        <v>9008000041</v>
      </c>
      <c r="I490" s="92" t="s">
        <v>1416</v>
      </c>
      <c r="J490" s="92">
        <v>1202020104</v>
      </c>
      <c r="K490" s="16" t="s">
        <v>1533</v>
      </c>
      <c r="L490" s="95" t="s">
        <v>1534</v>
      </c>
      <c r="M490" s="69" t="s">
        <v>1535</v>
      </c>
      <c r="N490" s="69"/>
      <c r="O490" s="94">
        <v>1</v>
      </c>
      <c r="P490" s="69" t="s">
        <v>50</v>
      </c>
      <c r="Q490" s="69" t="s">
        <v>51</v>
      </c>
      <c r="R490" s="69"/>
      <c r="S490" s="46">
        <v>43376</v>
      </c>
      <c r="T490" s="48">
        <v>43376</v>
      </c>
      <c r="U490" s="69"/>
      <c r="V490" s="69"/>
      <c r="W490" s="69"/>
      <c r="X490" s="69"/>
      <c r="Y490" s="69" t="s">
        <v>4125</v>
      </c>
      <c r="Z490" s="43">
        <v>15908472.959999999</v>
      </c>
      <c r="AA490" s="43" t="s">
        <v>52</v>
      </c>
      <c r="AB490" s="43" t="s">
        <v>53</v>
      </c>
      <c r="AC490" s="43">
        <v>3650</v>
      </c>
      <c r="AD490" s="141">
        <v>10</v>
      </c>
      <c r="AE490" s="142">
        <v>0</v>
      </c>
      <c r="AF490" s="142"/>
      <c r="AG490" s="69" t="str">
        <f t="shared" ref="AG490:AG491" si="304">_xlfn.CONCAT(AH490," years ",AI490," days")</f>
        <v>6 years 92 days</v>
      </c>
      <c r="AH490" s="69">
        <v>6</v>
      </c>
      <c r="AI490" s="69">
        <v>92</v>
      </c>
      <c r="AJ490" s="69">
        <v>0</v>
      </c>
      <c r="AK490" s="69">
        <v>0</v>
      </c>
      <c r="AL490" s="60">
        <v>15908472.959999999</v>
      </c>
      <c r="AM490" s="60">
        <f t="shared" ref="AM490:AM491" si="305">ROUND(AL490,2)</f>
        <v>15908472.960000001</v>
      </c>
      <c r="AN490" s="59">
        <v>9941706</v>
      </c>
      <c r="AO490" s="148">
        <f t="shared" ref="AO490:AO491" si="306">ROUND(AN490,2)*-1</f>
        <v>-9941706</v>
      </c>
      <c r="AP490" s="58">
        <v>788885.91592328809</v>
      </c>
      <c r="AQ490" s="143">
        <f t="shared" ref="AQ490:AQ491" si="307">ROUND(AP490,2)*-1</f>
        <v>-788885.92</v>
      </c>
    </row>
    <row r="491" spans="1:43" x14ac:dyDescent="0.35">
      <c r="A491" s="69" t="s">
        <v>43</v>
      </c>
      <c r="B491" s="15" t="s">
        <v>1536</v>
      </c>
      <c r="C491" s="15"/>
      <c r="D491" s="69" t="e">
        <f>_xlfn.XLOOKUP(B491,SOM!B:B,SOM!D:D,,0)</f>
        <v>#N/A</v>
      </c>
      <c r="E491" s="76">
        <v>1</v>
      </c>
      <c r="F491" s="69" t="s">
        <v>1151</v>
      </c>
      <c r="G491" s="92" t="s">
        <v>1152</v>
      </c>
      <c r="H491" s="15">
        <v>9008000041</v>
      </c>
      <c r="I491" s="92" t="s">
        <v>1416</v>
      </c>
      <c r="J491" s="92">
        <v>1202020104</v>
      </c>
      <c r="K491" s="16" t="s">
        <v>1537</v>
      </c>
      <c r="L491" s="95" t="s">
        <v>1538</v>
      </c>
      <c r="M491" s="69" t="s">
        <v>1481</v>
      </c>
      <c r="N491" s="69"/>
      <c r="O491" s="94">
        <v>1</v>
      </c>
      <c r="P491" s="69" t="s">
        <v>50</v>
      </c>
      <c r="Q491" s="69" t="s">
        <v>51</v>
      </c>
      <c r="R491" s="69"/>
      <c r="S491" s="46">
        <v>44253</v>
      </c>
      <c r="T491" s="48">
        <v>44253</v>
      </c>
      <c r="U491" s="69"/>
      <c r="V491" s="69"/>
      <c r="W491" s="69"/>
      <c r="X491" s="69"/>
      <c r="Y491" s="69" t="s">
        <v>4128</v>
      </c>
      <c r="Z491" s="43">
        <v>660000</v>
      </c>
      <c r="AA491" s="43" t="s">
        <v>52</v>
      </c>
      <c r="AB491" s="43" t="s">
        <v>53</v>
      </c>
      <c r="AC491" s="43">
        <v>3650</v>
      </c>
      <c r="AD491" s="141">
        <v>10</v>
      </c>
      <c r="AE491" s="142">
        <v>0</v>
      </c>
      <c r="AF491" s="142"/>
      <c r="AG491" s="69" t="str">
        <f t="shared" si="304"/>
        <v>3 years 310 days</v>
      </c>
      <c r="AH491" s="69">
        <v>3</v>
      </c>
      <c r="AI491" s="69">
        <v>310</v>
      </c>
      <c r="AJ491" s="69">
        <v>0</v>
      </c>
      <c r="AK491" s="69">
        <v>0</v>
      </c>
      <c r="AL491" s="60">
        <v>660000</v>
      </c>
      <c r="AM491" s="60">
        <f t="shared" si="305"/>
        <v>660000</v>
      </c>
      <c r="AN491" s="59">
        <v>254055</v>
      </c>
      <c r="AO491" s="148">
        <f t="shared" si="306"/>
        <v>-254055</v>
      </c>
      <c r="AP491" s="58">
        <v>32728.561643835623</v>
      </c>
      <c r="AQ491" s="143">
        <f t="shared" si="307"/>
        <v>-32728.560000000001</v>
      </c>
    </row>
    <row r="492" spans="1:43" x14ac:dyDescent="0.35">
      <c r="A492" s="69" t="s">
        <v>43</v>
      </c>
      <c r="B492" s="15" t="s">
        <v>1539</v>
      </c>
      <c r="C492" s="15"/>
      <c r="D492" s="69"/>
      <c r="E492" s="76">
        <v>0</v>
      </c>
      <c r="F492" s="69" t="s">
        <v>1151</v>
      </c>
      <c r="G492" s="92" t="s">
        <v>1152</v>
      </c>
      <c r="H492" s="15">
        <v>9008000042</v>
      </c>
      <c r="I492" s="92" t="s">
        <v>1416</v>
      </c>
      <c r="J492" s="92">
        <v>1202020104</v>
      </c>
      <c r="K492" s="16" t="s">
        <v>1540</v>
      </c>
      <c r="L492" s="95" t="s">
        <v>1541</v>
      </c>
      <c r="M492" s="69" t="s">
        <v>1542</v>
      </c>
      <c r="N492" s="69"/>
      <c r="O492" s="94">
        <v>1</v>
      </c>
      <c r="P492" s="69" t="s">
        <v>50</v>
      </c>
      <c r="Q492" s="69" t="s">
        <v>51</v>
      </c>
      <c r="R492" s="69"/>
      <c r="S492" s="46">
        <v>43357</v>
      </c>
      <c r="T492" s="48">
        <v>43357</v>
      </c>
      <c r="U492" s="69"/>
      <c r="V492" s="69"/>
      <c r="W492" s="69"/>
      <c r="X492" s="69"/>
      <c r="Y492" s="69" t="s">
        <v>4125</v>
      </c>
      <c r="Z492" s="43">
        <v>16316692</v>
      </c>
      <c r="AA492" s="43" t="s">
        <v>52</v>
      </c>
      <c r="AB492" s="43" t="s">
        <v>53</v>
      </c>
      <c r="AC492" s="43">
        <v>3650</v>
      </c>
      <c r="AD492" s="141">
        <v>10</v>
      </c>
      <c r="AE492" s="142">
        <v>0</v>
      </c>
      <c r="AF492" s="142"/>
      <c r="AG492" s="69" t="str">
        <f>_xlfn.CONCAT(AH492," years ",AI492," days")</f>
        <v>6 years 111 days</v>
      </c>
      <c r="AH492" s="69">
        <v>6</v>
      </c>
      <c r="AI492" s="69">
        <v>111</v>
      </c>
      <c r="AJ492" s="69">
        <v>0</v>
      </c>
      <c r="AK492" s="69">
        <v>0</v>
      </c>
      <c r="AL492" s="60">
        <v>16316692</v>
      </c>
      <c r="AM492" s="60">
        <f>ROUND(AL492,2)</f>
        <v>16316692</v>
      </c>
      <c r="AN492" s="59">
        <v>10281751</v>
      </c>
      <c r="AO492" s="148">
        <f>ROUND(AN492,2)*-1</f>
        <v>-10281751</v>
      </c>
      <c r="AP492" s="58">
        <v>809129.23342465609</v>
      </c>
      <c r="AQ492" s="143">
        <f>ROUND(AP492,2)*-1</f>
        <v>-809129.23</v>
      </c>
    </row>
    <row r="493" spans="1:43" x14ac:dyDescent="0.35">
      <c r="A493" s="69" t="s">
        <v>43</v>
      </c>
      <c r="B493" s="15" t="s">
        <v>1543</v>
      </c>
      <c r="C493" s="15"/>
      <c r="D493" s="69"/>
      <c r="E493" s="76">
        <v>0</v>
      </c>
      <c r="F493" s="69" t="s">
        <v>1151</v>
      </c>
      <c r="G493" s="92" t="s">
        <v>1152</v>
      </c>
      <c r="H493" s="15">
        <v>9008000043</v>
      </c>
      <c r="I493" s="92" t="s">
        <v>1416</v>
      </c>
      <c r="J493" s="92">
        <v>1202020104</v>
      </c>
      <c r="K493" s="16" t="s">
        <v>1544</v>
      </c>
      <c r="L493" s="95" t="s">
        <v>1545</v>
      </c>
      <c r="M493" s="69" t="s">
        <v>1546</v>
      </c>
      <c r="N493" s="69"/>
      <c r="O493" s="94">
        <v>1</v>
      </c>
      <c r="P493" s="69" t="s">
        <v>50</v>
      </c>
      <c r="Q493" s="69" t="s">
        <v>51</v>
      </c>
      <c r="R493" s="69"/>
      <c r="S493" s="46">
        <v>44910</v>
      </c>
      <c r="T493" s="48">
        <v>44910</v>
      </c>
      <c r="U493" s="69"/>
      <c r="V493" s="69"/>
      <c r="W493" s="69"/>
      <c r="X493" s="69"/>
      <c r="Y493" s="69" t="s">
        <v>4131</v>
      </c>
      <c r="Z493" s="43">
        <v>22355503</v>
      </c>
      <c r="AA493" s="43" t="s">
        <v>52</v>
      </c>
      <c r="AB493" s="43" t="s">
        <v>53</v>
      </c>
      <c r="AC493" s="43">
        <v>3650</v>
      </c>
      <c r="AD493" s="141">
        <v>10</v>
      </c>
      <c r="AE493" s="142">
        <v>0</v>
      </c>
      <c r="AF493" s="142"/>
      <c r="AG493" s="69" t="str">
        <f t="shared" ref="AG493:AG499" si="308">_xlfn.CONCAT(AH493," years ",AI493," days")</f>
        <v>2 years 18 days</v>
      </c>
      <c r="AH493" s="69">
        <v>2</v>
      </c>
      <c r="AI493" s="69">
        <v>18</v>
      </c>
      <c r="AJ493" s="69">
        <v>0</v>
      </c>
      <c r="AK493" s="69">
        <v>0</v>
      </c>
      <c r="AL493" s="60">
        <v>22355503</v>
      </c>
      <c r="AM493" s="60">
        <f t="shared" ref="AM493:AM499" si="309">ROUND(AL493,2)</f>
        <v>22355503</v>
      </c>
      <c r="AN493" s="59">
        <v>4581347</v>
      </c>
      <c r="AO493" s="148">
        <f t="shared" ref="AO493:AO499" si="310">ROUND(AN493,2)*-1</f>
        <v>-4581347</v>
      </c>
      <c r="AP493" s="58">
        <v>1108587.8731506849</v>
      </c>
      <c r="AQ493" s="143">
        <f t="shared" ref="AQ493:AQ499" si="311">ROUND(AP493,2)*-1</f>
        <v>-1108587.8700000001</v>
      </c>
    </row>
    <row r="494" spans="1:43" x14ac:dyDescent="0.35">
      <c r="A494" s="69" t="s">
        <v>43</v>
      </c>
      <c r="B494" s="15" t="s">
        <v>1547</v>
      </c>
      <c r="C494" s="15"/>
      <c r="D494" s="69" t="e">
        <f>_xlfn.XLOOKUP(B494,SOM!B:B,SOM!D:D,,0)</f>
        <v>#N/A</v>
      </c>
      <c r="E494" s="76">
        <v>1</v>
      </c>
      <c r="F494" s="69" t="s">
        <v>1151</v>
      </c>
      <c r="G494" s="92" t="s">
        <v>1152</v>
      </c>
      <c r="H494" s="15">
        <v>9008000043</v>
      </c>
      <c r="I494" s="92" t="s">
        <v>1416</v>
      </c>
      <c r="J494" s="92">
        <v>1202020104</v>
      </c>
      <c r="K494" s="16" t="s">
        <v>1548</v>
      </c>
      <c r="L494" s="95" t="s">
        <v>1549</v>
      </c>
      <c r="M494" s="69" t="s">
        <v>1550</v>
      </c>
      <c r="N494" s="69"/>
      <c r="O494" s="94">
        <v>4</v>
      </c>
      <c r="P494" s="69" t="s">
        <v>50</v>
      </c>
      <c r="Q494" s="69" t="s">
        <v>51</v>
      </c>
      <c r="R494" s="69"/>
      <c r="S494" s="46">
        <v>44986</v>
      </c>
      <c r="T494" s="48">
        <v>44986</v>
      </c>
      <c r="U494" s="69"/>
      <c r="V494" s="69"/>
      <c r="W494" s="69"/>
      <c r="X494" s="69"/>
      <c r="Y494" s="69" t="s">
        <v>4129</v>
      </c>
      <c r="Z494" s="43">
        <v>1093000</v>
      </c>
      <c r="AA494" s="43" t="s">
        <v>52</v>
      </c>
      <c r="AB494" s="43" t="s">
        <v>53</v>
      </c>
      <c r="AC494" s="43">
        <v>3650</v>
      </c>
      <c r="AD494" s="141">
        <v>10</v>
      </c>
      <c r="AE494" s="142">
        <v>0</v>
      </c>
      <c r="AF494" s="142"/>
      <c r="AG494" s="69" t="str">
        <f t="shared" si="308"/>
        <v>1 years 307 days</v>
      </c>
      <c r="AH494" s="69">
        <v>1</v>
      </c>
      <c r="AI494" s="69">
        <v>307</v>
      </c>
      <c r="AJ494" s="69">
        <v>0</v>
      </c>
      <c r="AK494" s="69">
        <v>0</v>
      </c>
      <c r="AL494" s="60">
        <v>1093000</v>
      </c>
      <c r="AM494" s="60">
        <f t="shared" si="309"/>
        <v>1093000</v>
      </c>
      <c r="AN494" s="59">
        <v>201232</v>
      </c>
      <c r="AO494" s="148">
        <f t="shared" si="310"/>
        <v>-201232</v>
      </c>
      <c r="AP494" s="58">
        <v>54200.602739726019</v>
      </c>
      <c r="AQ494" s="143">
        <f t="shared" si="311"/>
        <v>-54200.6</v>
      </c>
    </row>
    <row r="495" spans="1:43" x14ac:dyDescent="0.35">
      <c r="A495" s="69" t="s">
        <v>43</v>
      </c>
      <c r="B495" s="15" t="s">
        <v>1551</v>
      </c>
      <c r="C495" s="15"/>
      <c r="D495" s="69" t="e">
        <f>_xlfn.XLOOKUP(B495,SOM!B:B,SOM!D:D,,0)</f>
        <v>#N/A</v>
      </c>
      <c r="E495" s="76">
        <v>2</v>
      </c>
      <c r="F495" s="69" t="s">
        <v>1151</v>
      </c>
      <c r="G495" s="92" t="s">
        <v>1152</v>
      </c>
      <c r="H495" s="15">
        <v>9008000043</v>
      </c>
      <c r="I495" s="92" t="s">
        <v>1416</v>
      </c>
      <c r="J495" s="92">
        <v>1202020104</v>
      </c>
      <c r="K495" s="16" t="s">
        <v>1552</v>
      </c>
      <c r="L495" s="95" t="s">
        <v>1553</v>
      </c>
      <c r="M495" s="69" t="s">
        <v>1554</v>
      </c>
      <c r="N495" s="69"/>
      <c r="O495" s="94">
        <v>1</v>
      </c>
      <c r="P495" s="69" t="s">
        <v>50</v>
      </c>
      <c r="Q495" s="69" t="s">
        <v>51</v>
      </c>
      <c r="R495" s="69"/>
      <c r="S495" s="46">
        <v>44986</v>
      </c>
      <c r="T495" s="48">
        <v>44986</v>
      </c>
      <c r="U495" s="69"/>
      <c r="V495" s="69"/>
      <c r="W495" s="69"/>
      <c r="X495" s="69"/>
      <c r="Y495" s="69" t="s">
        <v>4129</v>
      </c>
      <c r="Z495" s="43">
        <v>372133</v>
      </c>
      <c r="AA495" s="43" t="s">
        <v>52</v>
      </c>
      <c r="AB495" s="43" t="s">
        <v>53</v>
      </c>
      <c r="AC495" s="43">
        <v>3650</v>
      </c>
      <c r="AD495" s="141">
        <v>10</v>
      </c>
      <c r="AE495" s="142">
        <v>0</v>
      </c>
      <c r="AF495" s="142"/>
      <c r="AG495" s="69" t="str">
        <f t="shared" si="308"/>
        <v>1 years 307 days</v>
      </c>
      <c r="AH495" s="69">
        <v>1</v>
      </c>
      <c r="AI495" s="69">
        <v>307</v>
      </c>
      <c r="AJ495" s="69">
        <v>0</v>
      </c>
      <c r="AK495" s="69">
        <v>0</v>
      </c>
      <c r="AL495" s="60">
        <v>372133</v>
      </c>
      <c r="AM495" s="60">
        <f t="shared" si="309"/>
        <v>372133</v>
      </c>
      <c r="AN495" s="59">
        <v>68513</v>
      </c>
      <c r="AO495" s="148">
        <f t="shared" si="310"/>
        <v>-68513</v>
      </c>
      <c r="AP495" s="58">
        <v>18453.972328767122</v>
      </c>
      <c r="AQ495" s="143">
        <f t="shared" si="311"/>
        <v>-18453.97</v>
      </c>
    </row>
    <row r="496" spans="1:43" x14ac:dyDescent="0.35">
      <c r="A496" s="69" t="s">
        <v>43</v>
      </c>
      <c r="B496" s="15" t="s">
        <v>1555</v>
      </c>
      <c r="C496" s="15"/>
      <c r="D496" s="69" t="e">
        <f>_xlfn.XLOOKUP(B496,SOM!B:B,SOM!D:D,,0)</f>
        <v>#N/A</v>
      </c>
      <c r="E496" s="76">
        <v>3</v>
      </c>
      <c r="F496" s="69" t="s">
        <v>1151</v>
      </c>
      <c r="G496" s="92" t="s">
        <v>1152</v>
      </c>
      <c r="H496" s="15">
        <v>9008000043</v>
      </c>
      <c r="I496" s="92" t="s">
        <v>1416</v>
      </c>
      <c r="J496" s="92">
        <v>1202020104</v>
      </c>
      <c r="K496" s="28"/>
      <c r="L496" s="95" t="s">
        <v>1556</v>
      </c>
      <c r="M496" s="69" t="s">
        <v>1557</v>
      </c>
      <c r="N496" s="69"/>
      <c r="O496" s="94">
        <v>2</v>
      </c>
      <c r="P496" s="69" t="s">
        <v>50</v>
      </c>
      <c r="Q496" s="69" t="s">
        <v>51</v>
      </c>
      <c r="R496" s="69"/>
      <c r="S496" s="46">
        <v>45439</v>
      </c>
      <c r="T496" s="48">
        <v>45439</v>
      </c>
      <c r="U496" s="69"/>
      <c r="V496" s="69"/>
      <c r="W496" s="69"/>
      <c r="X496" s="69"/>
      <c r="Y496" s="69" t="s">
        <v>4130</v>
      </c>
      <c r="Z496" s="43">
        <v>190633.60000000001</v>
      </c>
      <c r="AA496" s="43" t="s">
        <v>52</v>
      </c>
      <c r="AB496" s="43" t="s">
        <v>53</v>
      </c>
      <c r="AC496" s="43">
        <v>3650</v>
      </c>
      <c r="AD496" s="141">
        <v>10</v>
      </c>
      <c r="AE496" s="142">
        <v>0</v>
      </c>
      <c r="AF496" s="142"/>
      <c r="AG496" s="69" t="str">
        <f t="shared" si="308"/>
        <v>0 years 219 days</v>
      </c>
      <c r="AH496" s="69">
        <v>0</v>
      </c>
      <c r="AI496" s="69">
        <v>219</v>
      </c>
      <c r="AJ496" s="69">
        <v>0</v>
      </c>
      <c r="AK496" s="69">
        <v>0</v>
      </c>
      <c r="AL496" s="60">
        <v>190633.60000000001</v>
      </c>
      <c r="AM496" s="60">
        <f t="shared" si="309"/>
        <v>190633.60000000001</v>
      </c>
      <c r="AN496" s="59">
        <v>11438</v>
      </c>
      <c r="AO496" s="148">
        <f t="shared" si="310"/>
        <v>-11438</v>
      </c>
      <c r="AP496" s="58">
        <v>9453.3534246575327</v>
      </c>
      <c r="AQ496" s="143">
        <f t="shared" si="311"/>
        <v>-9453.35</v>
      </c>
    </row>
    <row r="497" spans="1:43" x14ac:dyDescent="0.35">
      <c r="A497" s="69" t="s">
        <v>43</v>
      </c>
      <c r="B497" s="15" t="s">
        <v>1558</v>
      </c>
      <c r="C497" s="15"/>
      <c r="D497" s="69" t="e">
        <f>_xlfn.XLOOKUP(B497,SOM!B:B,SOM!D:D,,0)</f>
        <v>#N/A</v>
      </c>
      <c r="E497" s="76">
        <v>4</v>
      </c>
      <c r="F497" s="69" t="s">
        <v>1151</v>
      </c>
      <c r="G497" s="92" t="s">
        <v>1152</v>
      </c>
      <c r="H497" s="15">
        <v>9008000043</v>
      </c>
      <c r="I497" s="92" t="s">
        <v>1416</v>
      </c>
      <c r="J497" s="92">
        <v>1202020104</v>
      </c>
      <c r="K497" s="28"/>
      <c r="L497" s="95" t="s">
        <v>1559</v>
      </c>
      <c r="M497" s="69" t="s">
        <v>1560</v>
      </c>
      <c r="N497" s="69"/>
      <c r="O497" s="94">
        <v>1</v>
      </c>
      <c r="P497" s="69" t="s">
        <v>50</v>
      </c>
      <c r="Q497" s="69" t="s">
        <v>51</v>
      </c>
      <c r="R497" s="69"/>
      <c r="S497" s="46">
        <v>45447</v>
      </c>
      <c r="T497" s="48">
        <v>45447</v>
      </c>
      <c r="U497" s="69"/>
      <c r="V497" s="69"/>
      <c r="W497" s="69"/>
      <c r="X497" s="69"/>
      <c r="Y497" s="69" t="s">
        <v>4130</v>
      </c>
      <c r="Z497" s="43">
        <v>313447</v>
      </c>
      <c r="AA497" s="43" t="s">
        <v>52</v>
      </c>
      <c r="AB497" s="43" t="s">
        <v>53</v>
      </c>
      <c r="AC497" s="43">
        <v>3650</v>
      </c>
      <c r="AD497" s="141">
        <v>10</v>
      </c>
      <c r="AE497" s="142">
        <v>0</v>
      </c>
      <c r="AF497" s="142"/>
      <c r="AG497" s="69" t="str">
        <f t="shared" si="308"/>
        <v>0 years 211 days</v>
      </c>
      <c r="AH497" s="69">
        <v>0</v>
      </c>
      <c r="AI497" s="69">
        <v>211</v>
      </c>
      <c r="AJ497" s="69">
        <v>0</v>
      </c>
      <c r="AK497" s="69">
        <v>0</v>
      </c>
      <c r="AL497" s="60">
        <v>313447</v>
      </c>
      <c r="AM497" s="60">
        <f t="shared" si="309"/>
        <v>313447</v>
      </c>
      <c r="AN497" s="59">
        <v>18120</v>
      </c>
      <c r="AO497" s="148">
        <f t="shared" si="310"/>
        <v>-18120</v>
      </c>
      <c r="AP497" s="58">
        <v>15543.349041095891</v>
      </c>
      <c r="AQ497" s="143">
        <f t="shared" si="311"/>
        <v>-15543.35</v>
      </c>
    </row>
    <row r="498" spans="1:43" x14ac:dyDescent="0.35">
      <c r="A498" s="69" t="s">
        <v>43</v>
      </c>
      <c r="B498" s="15" t="s">
        <v>1561</v>
      </c>
      <c r="C498" s="15"/>
      <c r="D498" s="69" t="e">
        <f>_xlfn.XLOOKUP(B498,SOM!B:B,SOM!D:D,,0)</f>
        <v>#N/A</v>
      </c>
      <c r="E498" s="76">
        <v>5</v>
      </c>
      <c r="F498" s="69" t="s">
        <v>1151</v>
      </c>
      <c r="G498" s="92" t="s">
        <v>1152</v>
      </c>
      <c r="H498" s="15">
        <v>9008000043</v>
      </c>
      <c r="I498" s="92" t="s">
        <v>1416</v>
      </c>
      <c r="J498" s="92">
        <v>1202020104</v>
      </c>
      <c r="K498" s="16" t="s">
        <v>1562</v>
      </c>
      <c r="L498" s="95" t="s">
        <v>1563</v>
      </c>
      <c r="M498" s="69" t="s">
        <v>1564</v>
      </c>
      <c r="N498" s="69"/>
      <c r="O498" s="94">
        <v>8</v>
      </c>
      <c r="P498" s="69" t="s">
        <v>50</v>
      </c>
      <c r="Q498" s="69" t="s">
        <v>51</v>
      </c>
      <c r="R498" s="69"/>
      <c r="S498" s="46">
        <v>45646</v>
      </c>
      <c r="T498" s="48">
        <v>45646</v>
      </c>
      <c r="U498" s="69"/>
      <c r="V498" s="69"/>
      <c r="W498" s="69"/>
      <c r="X498" s="69"/>
      <c r="Y498" s="69" t="s">
        <v>4130</v>
      </c>
      <c r="Z498" s="43">
        <v>1962000</v>
      </c>
      <c r="AA498" s="43" t="s">
        <v>52</v>
      </c>
      <c r="AB498" s="43" t="s">
        <v>53</v>
      </c>
      <c r="AC498" s="43">
        <v>3650</v>
      </c>
      <c r="AD498" s="141">
        <v>10</v>
      </c>
      <c r="AE498" s="142">
        <v>0</v>
      </c>
      <c r="AF498" s="142"/>
      <c r="AG498" s="69" t="str">
        <f t="shared" si="308"/>
        <v>0 years 12 days</v>
      </c>
      <c r="AH498" s="69">
        <v>0</v>
      </c>
      <c r="AI498" s="69">
        <v>12</v>
      </c>
      <c r="AJ498" s="69">
        <v>0</v>
      </c>
      <c r="AK498" s="69">
        <v>0</v>
      </c>
      <c r="AL498" s="60">
        <v>1962000</v>
      </c>
      <c r="AM498" s="60">
        <f t="shared" si="309"/>
        <v>1962000</v>
      </c>
      <c r="AN498" s="59">
        <v>6450</v>
      </c>
      <c r="AO498" s="148">
        <f t="shared" si="310"/>
        <v>-6450</v>
      </c>
      <c r="AP498" s="58">
        <v>97294.109589041094</v>
      </c>
      <c r="AQ498" s="143">
        <f t="shared" si="311"/>
        <v>-97294.11</v>
      </c>
    </row>
    <row r="499" spans="1:43" x14ac:dyDescent="0.35">
      <c r="A499" s="69" t="s">
        <v>43</v>
      </c>
      <c r="B499" s="15" t="s">
        <v>1565</v>
      </c>
      <c r="C499" s="15"/>
      <c r="D499" s="69" t="e">
        <f>_xlfn.XLOOKUP(B499,SOM!B:B,SOM!D:D,,0)</f>
        <v>#N/A</v>
      </c>
      <c r="E499" s="76">
        <v>6</v>
      </c>
      <c r="F499" s="69" t="s">
        <v>1151</v>
      </c>
      <c r="G499" s="92" t="s">
        <v>1152</v>
      </c>
      <c r="H499" s="15">
        <v>9008000043</v>
      </c>
      <c r="I499" s="92" t="s">
        <v>1416</v>
      </c>
      <c r="J499" s="92">
        <v>1202020104</v>
      </c>
      <c r="K499" s="22" t="s">
        <v>1566</v>
      </c>
      <c r="L499" s="95" t="s">
        <v>1567</v>
      </c>
      <c r="M499" s="69" t="s">
        <v>49</v>
      </c>
      <c r="N499" s="69"/>
      <c r="O499" s="94">
        <v>1</v>
      </c>
      <c r="P499" s="69" t="s">
        <v>50</v>
      </c>
      <c r="Q499" s="69" t="s">
        <v>51</v>
      </c>
      <c r="R499" s="69"/>
      <c r="S499" s="46">
        <v>44807</v>
      </c>
      <c r="T499" s="48">
        <v>44807</v>
      </c>
      <c r="U499" s="69"/>
      <c r="V499" s="69"/>
      <c r="W499" s="69"/>
      <c r="X499" s="69"/>
      <c r="Y499" s="69" t="s">
        <v>4131</v>
      </c>
      <c r="Z499" s="43">
        <v>85500</v>
      </c>
      <c r="AA499" s="43" t="s">
        <v>52</v>
      </c>
      <c r="AB499" s="43" t="s">
        <v>53</v>
      </c>
      <c r="AC499" s="43">
        <v>3650</v>
      </c>
      <c r="AD499" s="141">
        <v>10</v>
      </c>
      <c r="AE499" s="142">
        <v>0</v>
      </c>
      <c r="AF499" s="142"/>
      <c r="AG499" s="69" t="str">
        <f t="shared" si="308"/>
        <v>2 years 121 days</v>
      </c>
      <c r="AH499" s="69">
        <v>2</v>
      </c>
      <c r="AI499" s="69">
        <v>121</v>
      </c>
      <c r="AJ499" s="69">
        <v>0</v>
      </c>
      <c r="AK499" s="69">
        <v>0</v>
      </c>
      <c r="AL499" s="60">
        <v>85500</v>
      </c>
      <c r="AM499" s="60">
        <f t="shared" si="309"/>
        <v>85500</v>
      </c>
      <c r="AN499" s="59">
        <v>53432</v>
      </c>
      <c r="AO499" s="148">
        <f t="shared" si="310"/>
        <v>-53432</v>
      </c>
      <c r="AP499" s="58">
        <v>4239.5068493150684</v>
      </c>
      <c r="AQ499" s="143">
        <f t="shared" si="311"/>
        <v>-4239.51</v>
      </c>
    </row>
    <row r="500" spans="1:43" x14ac:dyDescent="0.35">
      <c r="A500" s="69" t="s">
        <v>43</v>
      </c>
      <c r="B500" s="15" t="s">
        <v>1568</v>
      </c>
      <c r="C500" s="15"/>
      <c r="D500" s="69"/>
      <c r="E500" s="76">
        <v>0</v>
      </c>
      <c r="F500" s="69" t="s">
        <v>1151</v>
      </c>
      <c r="G500" s="92" t="s">
        <v>1152</v>
      </c>
      <c r="H500" s="15">
        <v>9008000044</v>
      </c>
      <c r="I500" s="92" t="s">
        <v>1569</v>
      </c>
      <c r="J500" s="92">
        <v>1202020107</v>
      </c>
      <c r="K500" s="30" t="s">
        <v>1570</v>
      </c>
      <c r="L500" s="95" t="s">
        <v>1571</v>
      </c>
      <c r="M500" s="69" t="s">
        <v>1572</v>
      </c>
      <c r="N500" s="69"/>
      <c r="O500" s="94">
        <v>1</v>
      </c>
      <c r="P500" s="69" t="s">
        <v>50</v>
      </c>
      <c r="Q500" s="69" t="s">
        <v>51</v>
      </c>
      <c r="R500" s="69"/>
      <c r="S500" s="46">
        <v>44851</v>
      </c>
      <c r="T500" s="48">
        <v>44851</v>
      </c>
      <c r="U500" s="69"/>
      <c r="V500" s="69"/>
      <c r="W500" s="69"/>
      <c r="X500" s="69"/>
      <c r="Y500" s="69" t="s">
        <v>4131</v>
      </c>
      <c r="Z500" s="43">
        <v>22157659</v>
      </c>
      <c r="AA500" s="43" t="s">
        <v>52</v>
      </c>
      <c r="AB500" s="43" t="s">
        <v>53</v>
      </c>
      <c r="AC500" s="43">
        <v>3650</v>
      </c>
      <c r="AD500" s="141">
        <v>10</v>
      </c>
      <c r="AE500" s="142">
        <v>0</v>
      </c>
      <c r="AF500" s="142"/>
      <c r="AG500" s="69" t="str">
        <f t="shared" ref="AG500:AG504" si="312">_xlfn.CONCAT(AH500," years ",AI500," days")</f>
        <v>2 years 77 days</v>
      </c>
      <c r="AH500" s="69">
        <v>2</v>
      </c>
      <c r="AI500" s="69">
        <v>77</v>
      </c>
      <c r="AJ500" s="69">
        <v>0</v>
      </c>
      <c r="AK500" s="69">
        <v>0</v>
      </c>
      <c r="AL500" s="60">
        <v>22157659</v>
      </c>
      <c r="AM500" s="60">
        <f t="shared" ref="AM500:AM504" si="313">ROUND(AL500,2)</f>
        <v>22157659</v>
      </c>
      <c r="AN500" s="59">
        <v>6204084</v>
      </c>
      <c r="AO500" s="148">
        <f t="shared" ref="AO500:AO504" si="314">ROUND(AN500,2)*-1</f>
        <v>-6204084</v>
      </c>
      <c r="AP500" s="58">
        <v>1098777.0347945206</v>
      </c>
      <c r="AQ500" s="143">
        <f t="shared" ref="AQ500:AQ504" si="315">ROUND(AP500,2)*-1</f>
        <v>-1098777.03</v>
      </c>
    </row>
    <row r="501" spans="1:43" x14ac:dyDescent="0.35">
      <c r="A501" s="69" t="s">
        <v>43</v>
      </c>
      <c r="B501" s="15" t="s">
        <v>1573</v>
      </c>
      <c r="C501" s="15"/>
      <c r="D501" s="69" t="e">
        <f>_xlfn.XLOOKUP(B501,SOM!B:B,SOM!D:D,,0)</f>
        <v>#N/A</v>
      </c>
      <c r="E501" s="76">
        <v>1</v>
      </c>
      <c r="F501" s="69" t="s">
        <v>1151</v>
      </c>
      <c r="G501" s="92" t="s">
        <v>1152</v>
      </c>
      <c r="H501" s="15">
        <v>9008000044</v>
      </c>
      <c r="I501" s="92" t="s">
        <v>1569</v>
      </c>
      <c r="J501" s="92">
        <v>1202020107</v>
      </c>
      <c r="K501" s="16" t="s">
        <v>1574</v>
      </c>
      <c r="L501" s="95" t="s">
        <v>1575</v>
      </c>
      <c r="M501" s="69" t="s">
        <v>1576</v>
      </c>
      <c r="N501" s="69"/>
      <c r="O501" s="94">
        <v>1</v>
      </c>
      <c r="P501" s="69" t="s">
        <v>50</v>
      </c>
      <c r="Q501" s="69" t="s">
        <v>51</v>
      </c>
      <c r="R501" s="69"/>
      <c r="S501" s="46">
        <v>43881</v>
      </c>
      <c r="T501" s="48">
        <v>43881</v>
      </c>
      <c r="U501" s="69"/>
      <c r="V501" s="69"/>
      <c r="W501" s="69"/>
      <c r="X501" s="69"/>
      <c r="Y501" s="69" t="s">
        <v>4127</v>
      </c>
      <c r="Z501" s="43">
        <v>2211000</v>
      </c>
      <c r="AA501" s="43" t="s">
        <v>52</v>
      </c>
      <c r="AB501" s="43" t="s">
        <v>53</v>
      </c>
      <c r="AC501" s="43">
        <v>3650</v>
      </c>
      <c r="AD501" s="141">
        <v>10</v>
      </c>
      <c r="AE501" s="142">
        <v>0</v>
      </c>
      <c r="AF501" s="142"/>
      <c r="AG501" s="69" t="str">
        <f t="shared" si="312"/>
        <v>4 years 317 days</v>
      </c>
      <c r="AH501" s="69">
        <v>4</v>
      </c>
      <c r="AI501" s="69">
        <v>317</v>
      </c>
      <c r="AJ501" s="69">
        <v>0</v>
      </c>
      <c r="AK501" s="69">
        <v>0</v>
      </c>
      <c r="AL501" s="60">
        <v>2211000</v>
      </c>
      <c r="AM501" s="60">
        <f t="shared" si="313"/>
        <v>2211000</v>
      </c>
      <c r="AN501" s="59">
        <v>1076424</v>
      </c>
      <c r="AO501" s="148">
        <f t="shared" si="314"/>
        <v>-1076424</v>
      </c>
      <c r="AP501" s="58">
        <v>109641.20547945192</v>
      </c>
      <c r="AQ501" s="143">
        <f t="shared" si="315"/>
        <v>-109641.21</v>
      </c>
    </row>
    <row r="502" spans="1:43" x14ac:dyDescent="0.35">
      <c r="A502" s="69" t="s">
        <v>43</v>
      </c>
      <c r="B502" s="15" t="s">
        <v>1577</v>
      </c>
      <c r="C502" s="15"/>
      <c r="D502" s="69" t="e">
        <f>_xlfn.XLOOKUP(B502,SOM!B:B,SOM!D:D,,0)</f>
        <v>#N/A</v>
      </c>
      <c r="E502" s="76">
        <v>2</v>
      </c>
      <c r="F502" s="69" t="s">
        <v>1151</v>
      </c>
      <c r="G502" s="92" t="s">
        <v>1152</v>
      </c>
      <c r="H502" s="15">
        <v>9008000044</v>
      </c>
      <c r="I502" s="92" t="s">
        <v>1569</v>
      </c>
      <c r="J502" s="92">
        <v>1202020107</v>
      </c>
      <c r="K502" s="30" t="s">
        <v>1578</v>
      </c>
      <c r="L502" s="95" t="s">
        <v>1579</v>
      </c>
      <c r="M502" s="69" t="s">
        <v>1580</v>
      </c>
      <c r="N502" s="69"/>
      <c r="O502" s="94">
        <v>1</v>
      </c>
      <c r="P502" s="69" t="s">
        <v>50</v>
      </c>
      <c r="Q502" s="69" t="s">
        <v>51</v>
      </c>
      <c r="R502" s="69"/>
      <c r="S502" s="46">
        <v>44797</v>
      </c>
      <c r="T502" s="48">
        <v>44797</v>
      </c>
      <c r="U502" s="69"/>
      <c r="V502" s="69"/>
      <c r="W502" s="69"/>
      <c r="X502" s="69"/>
      <c r="Y502" s="69" t="s">
        <v>4131</v>
      </c>
      <c r="Z502" s="43">
        <v>966000</v>
      </c>
      <c r="AA502" s="43" t="s">
        <v>52</v>
      </c>
      <c r="AB502" s="43" t="s">
        <v>53</v>
      </c>
      <c r="AC502" s="43">
        <v>3650</v>
      </c>
      <c r="AD502" s="141">
        <v>10</v>
      </c>
      <c r="AE502" s="142">
        <v>0</v>
      </c>
      <c r="AF502" s="142"/>
      <c r="AG502" s="69" t="str">
        <f t="shared" si="312"/>
        <v>2 years 131 days</v>
      </c>
      <c r="AH502" s="69">
        <v>2</v>
      </c>
      <c r="AI502" s="69">
        <v>131</v>
      </c>
      <c r="AJ502" s="69">
        <v>0</v>
      </c>
      <c r="AK502" s="69">
        <v>0</v>
      </c>
      <c r="AL502" s="60">
        <v>966000</v>
      </c>
      <c r="AM502" s="60">
        <f t="shared" si="313"/>
        <v>966000</v>
      </c>
      <c r="AN502" s="59">
        <v>250101</v>
      </c>
      <c r="AO502" s="148">
        <f t="shared" si="314"/>
        <v>-250101</v>
      </c>
      <c r="AP502" s="58">
        <v>47903.15068493149</v>
      </c>
      <c r="AQ502" s="143">
        <f t="shared" si="315"/>
        <v>-47903.15</v>
      </c>
    </row>
    <row r="503" spans="1:43" x14ac:dyDescent="0.35">
      <c r="A503" s="69" t="s">
        <v>43</v>
      </c>
      <c r="B503" s="15" t="s">
        <v>1581</v>
      </c>
      <c r="C503" s="15"/>
      <c r="D503" s="69" t="e">
        <f>_xlfn.XLOOKUP(B503,SOM!B:B,SOM!D:D,,0)</f>
        <v>#N/A</v>
      </c>
      <c r="E503" s="76">
        <v>3</v>
      </c>
      <c r="F503" s="69" t="s">
        <v>1151</v>
      </c>
      <c r="G503" s="92" t="s">
        <v>1152</v>
      </c>
      <c r="H503" s="15">
        <v>9008000044</v>
      </c>
      <c r="I503" s="92" t="s">
        <v>1569</v>
      </c>
      <c r="J503" s="92">
        <v>1202020107</v>
      </c>
      <c r="K503" s="30" t="s">
        <v>1582</v>
      </c>
      <c r="L503" s="95" t="s">
        <v>1583</v>
      </c>
      <c r="M503" s="69" t="s">
        <v>49</v>
      </c>
      <c r="N503" s="69"/>
      <c r="O503" s="94">
        <v>3</v>
      </c>
      <c r="P503" s="69" t="s">
        <v>50</v>
      </c>
      <c r="Q503" s="69" t="s">
        <v>51</v>
      </c>
      <c r="R503" s="69"/>
      <c r="S503" s="46">
        <v>44807</v>
      </c>
      <c r="T503" s="48">
        <v>44807</v>
      </c>
      <c r="U503" s="69"/>
      <c r="V503" s="69"/>
      <c r="W503" s="69"/>
      <c r="X503" s="69"/>
      <c r="Y503" s="69" t="s">
        <v>4131</v>
      </c>
      <c r="Z503" s="43">
        <v>307000</v>
      </c>
      <c r="AA503" s="43" t="s">
        <v>52</v>
      </c>
      <c r="AB503" s="43" t="s">
        <v>53</v>
      </c>
      <c r="AC503" s="43">
        <v>3650</v>
      </c>
      <c r="AD503" s="141">
        <v>10</v>
      </c>
      <c r="AE503" s="142">
        <v>0</v>
      </c>
      <c r="AF503" s="142"/>
      <c r="AG503" s="69" t="str">
        <f t="shared" si="312"/>
        <v>2 years 121 days</v>
      </c>
      <c r="AH503" s="69">
        <v>2</v>
      </c>
      <c r="AI503" s="69">
        <v>121</v>
      </c>
      <c r="AJ503" s="69">
        <v>0</v>
      </c>
      <c r="AK503" s="69">
        <v>0</v>
      </c>
      <c r="AL503" s="60">
        <v>307000</v>
      </c>
      <c r="AM503" s="60">
        <f t="shared" si="313"/>
        <v>307000</v>
      </c>
      <c r="AN503" s="59">
        <v>79483</v>
      </c>
      <c r="AO503" s="148">
        <f t="shared" si="314"/>
        <v>-79483</v>
      </c>
      <c r="AP503" s="58">
        <v>15224.095890410958</v>
      </c>
      <c r="AQ503" s="143">
        <f t="shared" si="315"/>
        <v>-15224.1</v>
      </c>
    </row>
    <row r="504" spans="1:43" x14ac:dyDescent="0.35">
      <c r="A504" s="69" t="s">
        <v>43</v>
      </c>
      <c r="B504" s="15" t="s">
        <v>1584</v>
      </c>
      <c r="C504" s="15"/>
      <c r="D504" s="69" t="e">
        <f>_xlfn.XLOOKUP(B504,SOM!B:B,SOM!D:D,,0)</f>
        <v>#N/A</v>
      </c>
      <c r="E504" s="76">
        <v>4</v>
      </c>
      <c r="F504" s="69" t="s">
        <v>1151</v>
      </c>
      <c r="G504" s="92" t="s">
        <v>1152</v>
      </c>
      <c r="H504" s="15">
        <v>9008000044</v>
      </c>
      <c r="I504" s="92" t="s">
        <v>1569</v>
      </c>
      <c r="J504" s="92">
        <v>1202020107</v>
      </c>
      <c r="K504" s="28"/>
      <c r="L504" s="95" t="s">
        <v>1585</v>
      </c>
      <c r="M504" s="69" t="s">
        <v>1586</v>
      </c>
      <c r="N504" s="69"/>
      <c r="O504" s="94">
        <v>1</v>
      </c>
      <c r="P504" s="69" t="s">
        <v>50</v>
      </c>
      <c r="Q504" s="69" t="s">
        <v>51</v>
      </c>
      <c r="R504" s="69"/>
      <c r="S504" s="46">
        <v>45669</v>
      </c>
      <c r="T504" s="48">
        <v>45669</v>
      </c>
      <c r="U504" s="69"/>
      <c r="V504" s="69"/>
      <c r="W504" s="69"/>
      <c r="X504" s="69"/>
      <c r="Y504" s="69" t="s">
        <v>4132</v>
      </c>
      <c r="Z504" s="43">
        <v>310299.84999999998</v>
      </c>
      <c r="AA504" s="43" t="s">
        <v>52</v>
      </c>
      <c r="AB504" s="43" t="s">
        <v>53</v>
      </c>
      <c r="AC504" s="43">
        <v>3650</v>
      </c>
      <c r="AD504" s="141">
        <v>10</v>
      </c>
      <c r="AE504" s="142">
        <v>0</v>
      </c>
      <c r="AF504" s="142"/>
      <c r="AG504" s="69" t="str">
        <f t="shared" si="312"/>
        <v>0 years 0 days</v>
      </c>
      <c r="AH504" s="69">
        <v>0</v>
      </c>
      <c r="AI504" s="69">
        <v>0</v>
      </c>
      <c r="AJ504" s="69">
        <v>0</v>
      </c>
      <c r="AK504" s="69">
        <v>0</v>
      </c>
      <c r="AL504" s="60">
        <v>310299.84999999998</v>
      </c>
      <c r="AM504" s="60">
        <f t="shared" si="313"/>
        <v>310299.84999999998</v>
      </c>
      <c r="AN504" s="59">
        <v>0</v>
      </c>
      <c r="AO504" s="148">
        <f t="shared" si="314"/>
        <v>0</v>
      </c>
      <c r="AP504" s="58">
        <v>14452.321780821916</v>
      </c>
      <c r="AQ504" s="143">
        <f t="shared" si="315"/>
        <v>-14452.32</v>
      </c>
    </row>
    <row r="505" spans="1:43" x14ac:dyDescent="0.35">
      <c r="A505" s="69" t="s">
        <v>43</v>
      </c>
      <c r="B505" s="15" t="s">
        <v>1587</v>
      </c>
      <c r="C505" s="15"/>
      <c r="D505" s="69"/>
      <c r="E505" s="76">
        <v>0</v>
      </c>
      <c r="F505" s="69" t="s">
        <v>1151</v>
      </c>
      <c r="G505" s="92" t="s">
        <v>1152</v>
      </c>
      <c r="H505" s="15">
        <v>9008000045</v>
      </c>
      <c r="I505" s="92" t="s">
        <v>1569</v>
      </c>
      <c r="J505" s="92">
        <v>1202020107</v>
      </c>
      <c r="K505" s="16" t="s">
        <v>1588</v>
      </c>
      <c r="L505" s="95" t="s">
        <v>1589</v>
      </c>
      <c r="M505" s="69" t="s">
        <v>1590</v>
      </c>
      <c r="N505" s="69"/>
      <c r="O505" s="94">
        <v>1</v>
      </c>
      <c r="P505" s="69" t="s">
        <v>50</v>
      </c>
      <c r="Q505" s="69" t="s">
        <v>51</v>
      </c>
      <c r="R505" s="69"/>
      <c r="S505" s="46">
        <v>44910</v>
      </c>
      <c r="T505" s="48">
        <v>44910</v>
      </c>
      <c r="U505" s="69"/>
      <c r="V505" s="69"/>
      <c r="W505" s="69"/>
      <c r="X505" s="69"/>
      <c r="Y505" s="69" t="s">
        <v>4131</v>
      </c>
      <c r="Z505" s="43">
        <v>21393350</v>
      </c>
      <c r="AA505" s="43" t="s">
        <v>52</v>
      </c>
      <c r="AB505" s="43" t="s">
        <v>53</v>
      </c>
      <c r="AC505" s="43">
        <v>3650</v>
      </c>
      <c r="AD505" s="141">
        <v>10</v>
      </c>
      <c r="AE505" s="142">
        <v>0</v>
      </c>
      <c r="AF505" s="142"/>
      <c r="AG505" s="69" t="str">
        <f t="shared" ref="AG505:AG507" si="316">_xlfn.CONCAT(AH505," years ",AI505," days")</f>
        <v>2 years 18 days</v>
      </c>
      <c r="AH505" s="69">
        <v>2</v>
      </c>
      <c r="AI505" s="69">
        <v>18</v>
      </c>
      <c r="AJ505" s="69">
        <v>0</v>
      </c>
      <c r="AK505" s="69">
        <v>0</v>
      </c>
      <c r="AL505" s="60">
        <v>21393350</v>
      </c>
      <c r="AM505" s="60">
        <f t="shared" ref="AM505:AM507" si="317">ROUND(AL505,2)</f>
        <v>21393350</v>
      </c>
      <c r="AN505" s="59">
        <v>4384171</v>
      </c>
      <c r="AO505" s="148">
        <f t="shared" ref="AO505:AO507" si="318">ROUND(AN505,2)*-1</f>
        <v>-4384171</v>
      </c>
      <c r="AP505" s="58">
        <v>1060876.1643835623</v>
      </c>
      <c r="AQ505" s="143">
        <f t="shared" ref="AQ505:AQ507" si="319">ROUND(AP505,2)*-1</f>
        <v>-1060876.1599999999</v>
      </c>
    </row>
    <row r="506" spans="1:43" x14ac:dyDescent="0.35">
      <c r="A506" s="69" t="s">
        <v>43</v>
      </c>
      <c r="B506" s="15" t="s">
        <v>1591</v>
      </c>
      <c r="C506" s="15"/>
      <c r="D506" s="69" t="e">
        <f>_xlfn.XLOOKUP(B506,SOM!B:B,SOM!D:D,,0)</f>
        <v>#N/A</v>
      </c>
      <c r="E506" s="76">
        <v>1</v>
      </c>
      <c r="F506" s="69" t="s">
        <v>1151</v>
      </c>
      <c r="G506" s="92" t="s">
        <v>1152</v>
      </c>
      <c r="H506" s="15">
        <v>9008000045</v>
      </c>
      <c r="I506" s="92" t="s">
        <v>1569</v>
      </c>
      <c r="J506" s="92">
        <v>1202020107</v>
      </c>
      <c r="K506" s="23" t="s">
        <v>1592</v>
      </c>
      <c r="L506" s="95" t="s">
        <v>1593</v>
      </c>
      <c r="M506" s="69" t="s">
        <v>1594</v>
      </c>
      <c r="N506" s="69"/>
      <c r="O506" s="94">
        <v>1</v>
      </c>
      <c r="P506" s="69" t="s">
        <v>50</v>
      </c>
      <c r="Q506" s="69" t="s">
        <v>51</v>
      </c>
      <c r="R506" s="69"/>
      <c r="S506" s="46">
        <v>43994</v>
      </c>
      <c r="T506" s="48">
        <v>43994</v>
      </c>
      <c r="U506" s="69"/>
      <c r="V506" s="69"/>
      <c r="W506" s="69"/>
      <c r="X506" s="69"/>
      <c r="Y506" s="69" t="s">
        <v>4127</v>
      </c>
      <c r="Z506" s="43">
        <v>182000</v>
      </c>
      <c r="AA506" s="43" t="s">
        <v>52</v>
      </c>
      <c r="AB506" s="43" t="s">
        <v>53</v>
      </c>
      <c r="AC506" s="43">
        <v>3650</v>
      </c>
      <c r="AD506" s="141">
        <v>10</v>
      </c>
      <c r="AE506" s="142">
        <v>0</v>
      </c>
      <c r="AF506" s="142"/>
      <c r="AG506" s="69" t="str">
        <f t="shared" si="316"/>
        <v>4 years 204 days</v>
      </c>
      <c r="AH506" s="69">
        <v>4</v>
      </c>
      <c r="AI506" s="69">
        <v>204</v>
      </c>
      <c r="AJ506" s="69">
        <v>0</v>
      </c>
      <c r="AK506" s="69">
        <v>0</v>
      </c>
      <c r="AL506" s="60">
        <v>182000</v>
      </c>
      <c r="AM506" s="60">
        <f t="shared" si="317"/>
        <v>182000</v>
      </c>
      <c r="AN506" s="59">
        <v>82972</v>
      </c>
      <c r="AO506" s="148">
        <f t="shared" si="318"/>
        <v>-82972</v>
      </c>
      <c r="AP506" s="58">
        <v>9025.2602739726135</v>
      </c>
      <c r="AQ506" s="143">
        <f t="shared" si="319"/>
        <v>-9025.26</v>
      </c>
    </row>
    <row r="507" spans="1:43" x14ac:dyDescent="0.35">
      <c r="A507" s="69" t="s">
        <v>43</v>
      </c>
      <c r="B507" s="136" t="s">
        <v>1595</v>
      </c>
      <c r="C507" s="136"/>
      <c r="D507" s="69" t="e">
        <f>_xlfn.XLOOKUP(B507,SOM!B:B,SOM!D:D,,0)</f>
        <v>#N/A</v>
      </c>
      <c r="E507" s="76">
        <v>2</v>
      </c>
      <c r="F507" s="69" t="s">
        <v>1151</v>
      </c>
      <c r="G507" s="92" t="s">
        <v>1152</v>
      </c>
      <c r="H507" s="15">
        <v>9008000045</v>
      </c>
      <c r="I507" s="92" t="s">
        <v>1569</v>
      </c>
      <c r="J507" s="92">
        <v>1202020107</v>
      </c>
      <c r="K507" s="29" t="s">
        <v>1596</v>
      </c>
      <c r="L507" s="95" t="s">
        <v>1597</v>
      </c>
      <c r="M507" s="69" t="s">
        <v>1447</v>
      </c>
      <c r="N507" s="69"/>
      <c r="O507" s="94">
        <v>1</v>
      </c>
      <c r="P507" s="69" t="s">
        <v>50</v>
      </c>
      <c r="Q507" s="69" t="s">
        <v>51</v>
      </c>
      <c r="R507" s="69"/>
      <c r="S507" s="46">
        <v>44863</v>
      </c>
      <c r="T507" s="48">
        <v>44863</v>
      </c>
      <c r="U507" s="69"/>
      <c r="V507" s="69"/>
      <c r="W507" s="69"/>
      <c r="X507" s="69"/>
      <c r="Y507" s="69" t="s">
        <v>4131</v>
      </c>
      <c r="Z507" s="56">
        <v>784722</v>
      </c>
      <c r="AA507" s="43" t="s">
        <v>52</v>
      </c>
      <c r="AB507" s="43" t="s">
        <v>53</v>
      </c>
      <c r="AC507" s="43">
        <v>3650</v>
      </c>
      <c r="AD507" s="141">
        <v>10</v>
      </c>
      <c r="AE507" s="142">
        <v>0</v>
      </c>
      <c r="AF507" s="142"/>
      <c r="AG507" s="69" t="str">
        <f t="shared" si="316"/>
        <v>2 years 65 days</v>
      </c>
      <c r="AH507" s="69">
        <v>2</v>
      </c>
      <c r="AI507" s="69">
        <v>65</v>
      </c>
      <c r="AJ507" s="69">
        <v>0</v>
      </c>
      <c r="AK507" s="69">
        <v>0</v>
      </c>
      <c r="AL507" s="66">
        <v>784722</v>
      </c>
      <c r="AM507" s="60">
        <f t="shared" si="317"/>
        <v>784722</v>
      </c>
      <c r="AN507" s="59">
        <v>228319</v>
      </c>
      <c r="AO507" s="148">
        <f t="shared" si="318"/>
        <v>-228319</v>
      </c>
      <c r="AP507" s="58">
        <v>38913.512876712368</v>
      </c>
      <c r="AQ507" s="143">
        <f t="shared" si="319"/>
        <v>-38913.51</v>
      </c>
    </row>
    <row r="508" spans="1:43" x14ac:dyDescent="0.35">
      <c r="A508" s="69" t="s">
        <v>43</v>
      </c>
      <c r="B508" s="15" t="s">
        <v>1598</v>
      </c>
      <c r="C508" s="15"/>
      <c r="D508" s="69"/>
      <c r="E508" s="76">
        <v>0</v>
      </c>
      <c r="F508" s="69" t="s">
        <v>1151</v>
      </c>
      <c r="G508" s="92" t="s">
        <v>1152</v>
      </c>
      <c r="H508" s="15">
        <v>9008000046</v>
      </c>
      <c r="I508" s="92" t="s">
        <v>1569</v>
      </c>
      <c r="J508" s="92">
        <v>1202020107</v>
      </c>
      <c r="K508" s="16" t="s">
        <v>1599</v>
      </c>
      <c r="L508" s="95" t="s">
        <v>1600</v>
      </c>
      <c r="M508" s="69" t="s">
        <v>1601</v>
      </c>
      <c r="N508" s="69"/>
      <c r="O508" s="94">
        <v>1</v>
      </c>
      <c r="P508" s="69" t="s">
        <v>50</v>
      </c>
      <c r="Q508" s="69" t="s">
        <v>51</v>
      </c>
      <c r="R508" s="69"/>
      <c r="S508" s="46">
        <v>44331</v>
      </c>
      <c r="T508" s="48">
        <v>44331</v>
      </c>
      <c r="U508" s="69"/>
      <c r="V508" s="69"/>
      <c r="W508" s="69"/>
      <c r="X508" s="69"/>
      <c r="Y508" s="69" t="s">
        <v>4128</v>
      </c>
      <c r="Z508" s="43">
        <v>25051898</v>
      </c>
      <c r="AA508" s="43" t="s">
        <v>52</v>
      </c>
      <c r="AB508" s="43" t="s">
        <v>53</v>
      </c>
      <c r="AC508" s="43">
        <v>3650</v>
      </c>
      <c r="AD508" s="141">
        <v>10</v>
      </c>
      <c r="AE508" s="142">
        <v>0</v>
      </c>
      <c r="AF508" s="142"/>
      <c r="AG508" s="69" t="str">
        <f t="shared" ref="AG508:AG511" si="320">_xlfn.CONCAT(AH508," years ",AI508," days")</f>
        <v>3 years 232 days</v>
      </c>
      <c r="AH508" s="69">
        <v>3</v>
      </c>
      <c r="AI508" s="69">
        <v>232</v>
      </c>
      <c r="AJ508" s="69">
        <v>0</v>
      </c>
      <c r="AK508" s="69">
        <v>0</v>
      </c>
      <c r="AL508" s="60">
        <v>25051898</v>
      </c>
      <c r="AM508" s="60">
        <f t="shared" ref="AM508:AM511" si="321">ROUND(AL508,2)</f>
        <v>25051898</v>
      </c>
      <c r="AN508" s="59">
        <v>9107909</v>
      </c>
      <c r="AO508" s="148">
        <f t="shared" ref="AO508:AO511" si="322">ROUND(AN508,2)*-1</f>
        <v>-9107909</v>
      </c>
      <c r="AP508" s="58">
        <v>1242299.8175342474</v>
      </c>
      <c r="AQ508" s="143">
        <f t="shared" ref="AQ508:AQ511" si="323">ROUND(AP508,2)*-1</f>
        <v>-1242299.82</v>
      </c>
    </row>
    <row r="509" spans="1:43" x14ac:dyDescent="0.35">
      <c r="A509" s="69" t="s">
        <v>43</v>
      </c>
      <c r="B509" s="15" t="s">
        <v>1602</v>
      </c>
      <c r="C509" s="15"/>
      <c r="D509" s="69" t="e">
        <f>_xlfn.XLOOKUP(B509,SOM!B:B,SOM!D:D,,0)</f>
        <v>#N/A</v>
      </c>
      <c r="E509" s="76">
        <v>1</v>
      </c>
      <c r="F509" s="69" t="s">
        <v>1151</v>
      </c>
      <c r="G509" s="92" t="s">
        <v>1152</v>
      </c>
      <c r="H509" s="15">
        <v>9008000046</v>
      </c>
      <c r="I509" s="92" t="s">
        <v>1569</v>
      </c>
      <c r="J509" s="92">
        <v>1202020107</v>
      </c>
      <c r="K509" s="16" t="s">
        <v>1603</v>
      </c>
      <c r="L509" s="95" t="s">
        <v>1604</v>
      </c>
      <c r="M509" s="69" t="s">
        <v>1605</v>
      </c>
      <c r="N509" s="69"/>
      <c r="O509" s="94">
        <v>1</v>
      </c>
      <c r="P509" s="69" t="s">
        <v>50</v>
      </c>
      <c r="Q509" s="69" t="s">
        <v>51</v>
      </c>
      <c r="R509" s="69"/>
      <c r="S509" s="46">
        <v>44100</v>
      </c>
      <c r="T509" s="48">
        <v>44100</v>
      </c>
      <c r="U509" s="69"/>
      <c r="V509" s="69"/>
      <c r="W509" s="69"/>
      <c r="X509" s="69"/>
      <c r="Y509" s="69" t="s">
        <v>4127</v>
      </c>
      <c r="Z509" s="43">
        <v>2122000</v>
      </c>
      <c r="AA509" s="43" t="s">
        <v>52</v>
      </c>
      <c r="AB509" s="43" t="s">
        <v>53</v>
      </c>
      <c r="AC509" s="43">
        <v>3650</v>
      </c>
      <c r="AD509" s="141">
        <v>10</v>
      </c>
      <c r="AE509" s="142">
        <v>0</v>
      </c>
      <c r="AF509" s="142"/>
      <c r="AG509" s="69" t="str">
        <f t="shared" si="320"/>
        <v>4 years 98 days</v>
      </c>
      <c r="AH509" s="69">
        <v>4</v>
      </c>
      <c r="AI509" s="69">
        <v>98</v>
      </c>
      <c r="AJ509" s="69">
        <v>0</v>
      </c>
      <c r="AK509" s="69">
        <v>0</v>
      </c>
      <c r="AL509" s="60">
        <v>2122000</v>
      </c>
      <c r="AM509" s="60">
        <f t="shared" si="321"/>
        <v>2122000</v>
      </c>
      <c r="AN509" s="59">
        <v>905774</v>
      </c>
      <c r="AO509" s="148">
        <f t="shared" si="322"/>
        <v>-905774</v>
      </c>
      <c r="AP509" s="58">
        <v>105228.19178082189</v>
      </c>
      <c r="AQ509" s="143">
        <f t="shared" si="323"/>
        <v>-105228.19</v>
      </c>
    </row>
    <row r="510" spans="1:43" x14ac:dyDescent="0.35">
      <c r="A510" s="69" t="s">
        <v>43</v>
      </c>
      <c r="B510" s="15" t="s">
        <v>1606</v>
      </c>
      <c r="C510" s="15"/>
      <c r="D510" s="69" t="e">
        <f>_xlfn.XLOOKUP(B510,SOM!B:B,SOM!D:D,,0)</f>
        <v>#N/A</v>
      </c>
      <c r="E510" s="76">
        <v>2</v>
      </c>
      <c r="F510" s="69" t="s">
        <v>1151</v>
      </c>
      <c r="G510" s="92" t="s">
        <v>1152</v>
      </c>
      <c r="H510" s="15">
        <v>9008000046</v>
      </c>
      <c r="I510" s="92" t="s">
        <v>1569</v>
      </c>
      <c r="J510" s="92">
        <v>1202020107</v>
      </c>
      <c r="K510" s="28"/>
      <c r="L510" s="95" t="s">
        <v>1607</v>
      </c>
      <c r="M510" s="69" t="s">
        <v>1608</v>
      </c>
      <c r="N510" s="69"/>
      <c r="O510" s="94">
        <v>2</v>
      </c>
      <c r="P510" s="69" t="s">
        <v>50</v>
      </c>
      <c r="Q510" s="69" t="s">
        <v>51</v>
      </c>
      <c r="R510" s="69"/>
      <c r="S510" s="46">
        <v>45005</v>
      </c>
      <c r="T510" s="48">
        <v>45005</v>
      </c>
      <c r="U510" s="69"/>
      <c r="V510" s="69"/>
      <c r="W510" s="69"/>
      <c r="X510" s="69"/>
      <c r="Y510" s="69" t="s">
        <v>4129</v>
      </c>
      <c r="Z510" s="43">
        <v>155500</v>
      </c>
      <c r="AA510" s="43" t="s">
        <v>52</v>
      </c>
      <c r="AB510" s="43" t="s">
        <v>53</v>
      </c>
      <c r="AC510" s="43">
        <v>3650</v>
      </c>
      <c r="AD510" s="141">
        <v>10</v>
      </c>
      <c r="AE510" s="142">
        <v>0</v>
      </c>
      <c r="AF510" s="142"/>
      <c r="AG510" s="69" t="str">
        <f t="shared" si="320"/>
        <v>1 years 288 days</v>
      </c>
      <c r="AH510" s="69">
        <v>1</v>
      </c>
      <c r="AI510" s="69">
        <v>288</v>
      </c>
      <c r="AJ510" s="69">
        <v>0</v>
      </c>
      <c r="AK510" s="69">
        <v>0</v>
      </c>
      <c r="AL510" s="60">
        <v>155500</v>
      </c>
      <c r="AM510" s="60">
        <f t="shared" si="321"/>
        <v>155500</v>
      </c>
      <c r="AN510" s="59">
        <v>27820</v>
      </c>
      <c r="AO510" s="148">
        <f t="shared" si="322"/>
        <v>-27820</v>
      </c>
      <c r="AP510" s="58">
        <v>7710.6849315068539</v>
      </c>
      <c r="AQ510" s="143">
        <f t="shared" si="323"/>
        <v>-7710.68</v>
      </c>
    </row>
    <row r="511" spans="1:43" x14ac:dyDescent="0.35">
      <c r="A511" s="69" t="s">
        <v>43</v>
      </c>
      <c r="B511" s="15" t="s">
        <v>1609</v>
      </c>
      <c r="C511" s="15"/>
      <c r="D511" s="69" t="e">
        <f>_xlfn.XLOOKUP(B511,SOM!B:B,SOM!D:D,,0)</f>
        <v>#N/A</v>
      </c>
      <c r="E511" s="76">
        <v>3</v>
      </c>
      <c r="F511" s="69" t="s">
        <v>1151</v>
      </c>
      <c r="G511" s="92" t="s">
        <v>1152</v>
      </c>
      <c r="H511" s="135">
        <v>9008000046</v>
      </c>
      <c r="I511" s="92" t="s">
        <v>1569</v>
      </c>
      <c r="J511" s="92">
        <v>1202020107</v>
      </c>
      <c r="K511" s="28"/>
      <c r="L511" s="95" t="s">
        <v>1610</v>
      </c>
      <c r="M511" s="69" t="s">
        <v>1611</v>
      </c>
      <c r="N511" s="69"/>
      <c r="O511" s="94">
        <v>2</v>
      </c>
      <c r="P511" s="69" t="s">
        <v>50</v>
      </c>
      <c r="Q511" s="69" t="s">
        <v>51</v>
      </c>
      <c r="R511" s="69"/>
      <c r="S511" s="46">
        <v>45463</v>
      </c>
      <c r="T511" s="48">
        <v>45463</v>
      </c>
      <c r="U511" s="69"/>
      <c r="V511" s="69"/>
      <c r="W511" s="69"/>
      <c r="X511" s="69"/>
      <c r="Y511" s="69" t="s">
        <v>4130</v>
      </c>
      <c r="Z511" s="43">
        <v>71050</v>
      </c>
      <c r="AA511" s="43" t="s">
        <v>52</v>
      </c>
      <c r="AB511" s="43" t="s">
        <v>53</v>
      </c>
      <c r="AC511" s="43">
        <v>3650</v>
      </c>
      <c r="AD511" s="141">
        <v>10</v>
      </c>
      <c r="AE511" s="142">
        <v>0</v>
      </c>
      <c r="AF511" s="142"/>
      <c r="AG511" s="69" t="str">
        <f t="shared" si="320"/>
        <v>0 years 195 days</v>
      </c>
      <c r="AH511" s="69">
        <v>0</v>
      </c>
      <c r="AI511" s="69">
        <v>195</v>
      </c>
      <c r="AJ511" s="69">
        <v>0</v>
      </c>
      <c r="AK511" s="69">
        <v>0</v>
      </c>
      <c r="AL511" s="60">
        <v>71050</v>
      </c>
      <c r="AM511" s="60">
        <f t="shared" si="321"/>
        <v>71050</v>
      </c>
      <c r="AN511" s="59">
        <v>3796</v>
      </c>
      <c r="AO511" s="148">
        <f t="shared" si="322"/>
        <v>-3796</v>
      </c>
      <c r="AP511" s="58">
        <v>3523.1232876712329</v>
      </c>
      <c r="AQ511" s="143">
        <f t="shared" si="323"/>
        <v>-3523.12</v>
      </c>
    </row>
    <row r="512" spans="1:43" x14ac:dyDescent="0.35">
      <c r="A512" s="69" t="s">
        <v>43</v>
      </c>
      <c r="B512" s="15" t="s">
        <v>1612</v>
      </c>
      <c r="C512" s="15"/>
      <c r="D512" s="69"/>
      <c r="E512" s="76">
        <v>0</v>
      </c>
      <c r="F512" s="69" t="s">
        <v>1151</v>
      </c>
      <c r="G512" s="92" t="s">
        <v>1152</v>
      </c>
      <c r="H512" s="15">
        <v>9008000047</v>
      </c>
      <c r="I512" s="92" t="s">
        <v>1569</v>
      </c>
      <c r="J512" s="92">
        <v>1202020107</v>
      </c>
      <c r="K512" s="16" t="s">
        <v>1613</v>
      </c>
      <c r="L512" s="95" t="s">
        <v>1614</v>
      </c>
      <c r="M512" s="69" t="s">
        <v>1615</v>
      </c>
      <c r="N512" s="69"/>
      <c r="O512" s="94">
        <v>1</v>
      </c>
      <c r="P512" s="69" t="s">
        <v>50</v>
      </c>
      <c r="Q512" s="69" t="s">
        <v>51</v>
      </c>
      <c r="R512" s="69"/>
      <c r="S512" s="46">
        <v>44484</v>
      </c>
      <c r="T512" s="48">
        <v>44484</v>
      </c>
      <c r="U512" s="69"/>
      <c r="V512" s="69"/>
      <c r="W512" s="69"/>
      <c r="X512" s="69"/>
      <c r="Y512" s="69" t="s">
        <v>4128</v>
      </c>
      <c r="Z512" s="43">
        <v>25098529</v>
      </c>
      <c r="AA512" s="43" t="s">
        <v>52</v>
      </c>
      <c r="AB512" s="43" t="s">
        <v>53</v>
      </c>
      <c r="AC512" s="43">
        <v>3650</v>
      </c>
      <c r="AD512" s="141">
        <v>10</v>
      </c>
      <c r="AE512" s="142">
        <v>0</v>
      </c>
      <c r="AF512" s="142"/>
      <c r="AG512" s="69" t="str">
        <f t="shared" ref="AG512:AG514" si="324">_xlfn.CONCAT(AH512," years ",AI512," days")</f>
        <v>3 years 79 days</v>
      </c>
      <c r="AH512" s="69">
        <v>3</v>
      </c>
      <c r="AI512" s="69">
        <v>79</v>
      </c>
      <c r="AJ512" s="69">
        <v>0</v>
      </c>
      <c r="AK512" s="69">
        <v>0</v>
      </c>
      <c r="AL512" s="60">
        <v>25098529</v>
      </c>
      <c r="AM512" s="60">
        <f t="shared" ref="AM512:AM514" si="325">ROUND(AL512,2)</f>
        <v>25098529</v>
      </c>
      <c r="AN512" s="59">
        <v>8072787</v>
      </c>
      <c r="AO512" s="148">
        <f t="shared" ref="AO512:AO514" si="326">ROUND(AN512,2)*-1</f>
        <v>-8072787</v>
      </c>
      <c r="AP512" s="58">
        <v>1244612.1219178103</v>
      </c>
      <c r="AQ512" s="143">
        <f t="shared" ref="AQ512:AQ514" si="327">ROUND(AP512,2)*-1</f>
        <v>-1244612.1200000001</v>
      </c>
    </row>
    <row r="513" spans="1:43" x14ac:dyDescent="0.35">
      <c r="A513" s="69" t="s">
        <v>43</v>
      </c>
      <c r="B513" s="15" t="s">
        <v>1616</v>
      </c>
      <c r="C513" s="15"/>
      <c r="D513" s="69" t="e">
        <f>_xlfn.XLOOKUP(B513,SOM!B:B,SOM!D:D,,0)</f>
        <v>#N/A</v>
      </c>
      <c r="E513" s="76">
        <v>1</v>
      </c>
      <c r="F513" s="69" t="s">
        <v>1151</v>
      </c>
      <c r="G513" s="92" t="s">
        <v>1152</v>
      </c>
      <c r="H513" s="15">
        <v>9008000047</v>
      </c>
      <c r="I513" s="92" t="s">
        <v>1569</v>
      </c>
      <c r="J513" s="92">
        <v>1202020107</v>
      </c>
      <c r="K513" s="28"/>
      <c r="L513" s="95" t="s">
        <v>1617</v>
      </c>
      <c r="M513" s="69" t="s">
        <v>1618</v>
      </c>
      <c r="N513" s="69"/>
      <c r="O513" s="94">
        <v>1</v>
      </c>
      <c r="P513" s="69" t="s">
        <v>50</v>
      </c>
      <c r="Q513" s="69" t="s">
        <v>51</v>
      </c>
      <c r="R513" s="69"/>
      <c r="S513" s="46">
        <v>44986</v>
      </c>
      <c r="T513" s="48">
        <v>44986</v>
      </c>
      <c r="U513" s="69"/>
      <c r="V513" s="69"/>
      <c r="W513" s="69"/>
      <c r="X513" s="69"/>
      <c r="Y513" s="69" t="s">
        <v>4129</v>
      </c>
      <c r="Z513" s="43">
        <v>154841</v>
      </c>
      <c r="AA513" s="43" t="s">
        <v>52</v>
      </c>
      <c r="AB513" s="43" t="s">
        <v>53</v>
      </c>
      <c r="AC513" s="43">
        <v>3650</v>
      </c>
      <c r="AD513" s="141">
        <v>10</v>
      </c>
      <c r="AE513" s="142">
        <v>0</v>
      </c>
      <c r="AF513" s="142"/>
      <c r="AG513" s="69" t="str">
        <f t="shared" si="324"/>
        <v>1 years 307 days</v>
      </c>
      <c r="AH513" s="69">
        <v>1</v>
      </c>
      <c r="AI513" s="69">
        <v>307</v>
      </c>
      <c r="AJ513" s="69">
        <v>0</v>
      </c>
      <c r="AK513" s="69">
        <v>0</v>
      </c>
      <c r="AL513" s="60">
        <v>154841</v>
      </c>
      <c r="AM513" s="60">
        <f t="shared" si="325"/>
        <v>154841</v>
      </c>
      <c r="AN513" s="59">
        <v>28508</v>
      </c>
      <c r="AO513" s="148">
        <f t="shared" si="326"/>
        <v>-28508</v>
      </c>
      <c r="AP513" s="58">
        <v>7678.1295890410984</v>
      </c>
      <c r="AQ513" s="143">
        <f t="shared" si="327"/>
        <v>-7678.13</v>
      </c>
    </row>
    <row r="514" spans="1:43" x14ac:dyDescent="0.35">
      <c r="A514" s="69" t="s">
        <v>43</v>
      </c>
      <c r="B514" s="15" t="s">
        <v>1619</v>
      </c>
      <c r="C514" s="15"/>
      <c r="D514" s="69" t="e">
        <f>_xlfn.XLOOKUP(B514,SOM!B:B,SOM!D:D,,0)</f>
        <v>#N/A</v>
      </c>
      <c r="E514" s="76">
        <v>2</v>
      </c>
      <c r="F514" s="69" t="s">
        <v>1151</v>
      </c>
      <c r="G514" s="92" t="s">
        <v>1152</v>
      </c>
      <c r="H514" s="15">
        <v>9008000047</v>
      </c>
      <c r="I514" s="92" t="s">
        <v>1569</v>
      </c>
      <c r="J514" s="92">
        <v>1202020107</v>
      </c>
      <c r="K514" s="28"/>
      <c r="L514" s="95" t="s">
        <v>1620</v>
      </c>
      <c r="M514" s="69" t="s">
        <v>1621</v>
      </c>
      <c r="N514" s="69"/>
      <c r="O514" s="94">
        <v>7</v>
      </c>
      <c r="P514" s="69" t="s">
        <v>50</v>
      </c>
      <c r="Q514" s="69" t="s">
        <v>51</v>
      </c>
      <c r="R514" s="69"/>
      <c r="S514" s="46">
        <v>45199</v>
      </c>
      <c r="T514" s="48">
        <v>45199</v>
      </c>
      <c r="U514" s="69"/>
      <c r="V514" s="69"/>
      <c r="W514" s="69"/>
      <c r="X514" s="69"/>
      <c r="Y514" s="69" t="s">
        <v>4129</v>
      </c>
      <c r="Z514" s="43">
        <v>122500</v>
      </c>
      <c r="AA514" s="43" t="s">
        <v>52</v>
      </c>
      <c r="AB514" s="43" t="s">
        <v>53</v>
      </c>
      <c r="AC514" s="43">
        <v>3650</v>
      </c>
      <c r="AD514" s="141">
        <v>10</v>
      </c>
      <c r="AE514" s="142">
        <v>0</v>
      </c>
      <c r="AF514" s="142"/>
      <c r="AG514" s="69" t="str">
        <f t="shared" si="324"/>
        <v>1 years 94 days</v>
      </c>
      <c r="AH514" s="69">
        <v>1</v>
      </c>
      <c r="AI514" s="69">
        <v>94</v>
      </c>
      <c r="AJ514" s="69">
        <v>0</v>
      </c>
      <c r="AK514" s="69">
        <v>0</v>
      </c>
      <c r="AL514" s="60">
        <v>122500</v>
      </c>
      <c r="AM514" s="60">
        <f t="shared" si="325"/>
        <v>122500</v>
      </c>
      <c r="AN514" s="59">
        <v>15405</v>
      </c>
      <c r="AO514" s="148">
        <f t="shared" si="326"/>
        <v>-15405</v>
      </c>
      <c r="AP514" s="58">
        <v>6074.4520547945212</v>
      </c>
      <c r="AQ514" s="143">
        <f t="shared" si="327"/>
        <v>-6074.45</v>
      </c>
    </row>
    <row r="515" spans="1:43" x14ac:dyDescent="0.35">
      <c r="A515" s="69" t="s">
        <v>43</v>
      </c>
      <c r="B515" s="15" t="s">
        <v>1622</v>
      </c>
      <c r="C515" s="15"/>
      <c r="D515" s="69"/>
      <c r="E515" s="76">
        <v>0</v>
      </c>
      <c r="F515" s="69" t="s">
        <v>1151</v>
      </c>
      <c r="G515" s="92" t="s">
        <v>1152</v>
      </c>
      <c r="H515" s="15">
        <v>9008000048</v>
      </c>
      <c r="I515" s="92" t="s">
        <v>1569</v>
      </c>
      <c r="J515" s="92">
        <v>1202020107</v>
      </c>
      <c r="K515" s="16" t="s">
        <v>1623</v>
      </c>
      <c r="L515" s="95" t="s">
        <v>1624</v>
      </c>
      <c r="M515" s="69" t="s">
        <v>1625</v>
      </c>
      <c r="N515" s="69"/>
      <c r="O515" s="94">
        <v>1</v>
      </c>
      <c r="P515" s="69" t="s">
        <v>50</v>
      </c>
      <c r="Q515" s="69" t="s">
        <v>51</v>
      </c>
      <c r="R515" s="69"/>
      <c r="S515" s="46">
        <v>43908</v>
      </c>
      <c r="T515" s="48">
        <v>43908</v>
      </c>
      <c r="U515" s="69"/>
      <c r="V515" s="69"/>
      <c r="W515" s="69"/>
      <c r="X515" s="69"/>
      <c r="Y515" s="69" t="s">
        <v>4127</v>
      </c>
      <c r="Z515" s="43">
        <v>21669381</v>
      </c>
      <c r="AA515" s="43" t="s">
        <v>52</v>
      </c>
      <c r="AB515" s="43" t="s">
        <v>53</v>
      </c>
      <c r="AC515" s="43">
        <v>3650</v>
      </c>
      <c r="AD515" s="141">
        <v>10</v>
      </c>
      <c r="AE515" s="142">
        <v>0</v>
      </c>
      <c r="AF515" s="142"/>
      <c r="AG515" s="69" t="str">
        <f t="shared" ref="AG515:AG519" si="328">_xlfn.CONCAT(AH515," years ",AI515," days")</f>
        <v>4 years 290 days</v>
      </c>
      <c r="AH515" s="69">
        <v>4</v>
      </c>
      <c r="AI515" s="69">
        <v>290</v>
      </c>
      <c r="AJ515" s="69">
        <v>0</v>
      </c>
      <c r="AK515" s="69">
        <v>0</v>
      </c>
      <c r="AL515" s="60">
        <v>21669381</v>
      </c>
      <c r="AM515" s="60">
        <f t="shared" ref="AM515:AM519" si="329">ROUND(AL515,2)</f>
        <v>21669381</v>
      </c>
      <c r="AN515" s="59">
        <v>10388322</v>
      </c>
      <c r="AO515" s="148">
        <f t="shared" ref="AO515:AO519" si="330">ROUND(AN515,2)*-1</f>
        <v>-10388322</v>
      </c>
      <c r="AP515" s="58">
        <v>1074564.3005479462</v>
      </c>
      <c r="AQ515" s="143">
        <f t="shared" ref="AQ515:AQ519" si="331">ROUND(AP515,2)*-1</f>
        <v>-1074564.3</v>
      </c>
    </row>
    <row r="516" spans="1:43" x14ac:dyDescent="0.35">
      <c r="A516" s="69" t="s">
        <v>43</v>
      </c>
      <c r="B516" s="15" t="s">
        <v>1626</v>
      </c>
      <c r="C516" s="15"/>
      <c r="D516" s="69" t="e">
        <f>_xlfn.XLOOKUP(B516,SOM!B:B,SOM!D:D,,0)</f>
        <v>#N/A</v>
      </c>
      <c r="E516" s="76">
        <v>1</v>
      </c>
      <c r="F516" s="69" t="s">
        <v>1151</v>
      </c>
      <c r="G516" s="92" t="s">
        <v>1152</v>
      </c>
      <c r="H516" s="15">
        <v>9008000048</v>
      </c>
      <c r="I516" s="92" t="s">
        <v>1569</v>
      </c>
      <c r="J516" s="92">
        <v>1202020107</v>
      </c>
      <c r="K516" s="16" t="s">
        <v>1627</v>
      </c>
      <c r="L516" s="95" t="s">
        <v>1628</v>
      </c>
      <c r="M516" s="69" t="s">
        <v>1629</v>
      </c>
      <c r="N516" s="69"/>
      <c r="O516" s="94">
        <v>1</v>
      </c>
      <c r="P516" s="69" t="s">
        <v>50</v>
      </c>
      <c r="Q516" s="69" t="s">
        <v>51</v>
      </c>
      <c r="R516" s="69"/>
      <c r="S516" s="46">
        <v>43908</v>
      </c>
      <c r="T516" s="48">
        <v>43908</v>
      </c>
      <c r="U516" s="69"/>
      <c r="V516" s="69"/>
      <c r="W516" s="69"/>
      <c r="X516" s="69"/>
      <c r="Y516" s="69" t="s">
        <v>4127</v>
      </c>
      <c r="Z516" s="43">
        <v>800000</v>
      </c>
      <c r="AA516" s="43" t="s">
        <v>52</v>
      </c>
      <c r="AB516" s="43" t="s">
        <v>53</v>
      </c>
      <c r="AC516" s="43">
        <v>3650</v>
      </c>
      <c r="AD516" s="141">
        <v>10</v>
      </c>
      <c r="AE516" s="142">
        <v>0</v>
      </c>
      <c r="AF516" s="142"/>
      <c r="AG516" s="69" t="str">
        <f t="shared" si="328"/>
        <v>4 years 290 days</v>
      </c>
      <c r="AH516" s="69">
        <v>4</v>
      </c>
      <c r="AI516" s="69">
        <v>290</v>
      </c>
      <c r="AJ516" s="69">
        <v>0</v>
      </c>
      <c r="AK516" s="69">
        <v>0</v>
      </c>
      <c r="AL516" s="60">
        <v>800000</v>
      </c>
      <c r="AM516" s="60">
        <f t="shared" si="329"/>
        <v>800000</v>
      </c>
      <c r="AN516" s="59">
        <v>383562</v>
      </c>
      <c r="AO516" s="148">
        <f t="shared" si="330"/>
        <v>-383562</v>
      </c>
      <c r="AP516" s="58">
        <v>39670.876712328754</v>
      </c>
      <c r="AQ516" s="143">
        <f t="shared" si="331"/>
        <v>-39670.879999999997</v>
      </c>
    </row>
    <row r="517" spans="1:43" x14ac:dyDescent="0.35">
      <c r="A517" s="69" t="s">
        <v>43</v>
      </c>
      <c r="B517" s="15" t="s">
        <v>1630</v>
      </c>
      <c r="C517" s="15"/>
      <c r="D517" s="69" t="e">
        <f>_xlfn.XLOOKUP(B517,SOM!B:B,SOM!D:D,,0)</f>
        <v>#N/A</v>
      </c>
      <c r="E517" s="76">
        <v>2</v>
      </c>
      <c r="F517" s="69" t="s">
        <v>1151</v>
      </c>
      <c r="G517" s="92" t="s">
        <v>1152</v>
      </c>
      <c r="H517" s="15">
        <v>9008000048</v>
      </c>
      <c r="I517" s="92" t="s">
        <v>1569</v>
      </c>
      <c r="J517" s="92">
        <v>1202020107</v>
      </c>
      <c r="K517" s="16" t="s">
        <v>1631</v>
      </c>
      <c r="L517" s="95" t="s">
        <v>1632</v>
      </c>
      <c r="M517" s="69" t="s">
        <v>1633</v>
      </c>
      <c r="N517" s="69"/>
      <c r="O517" s="94">
        <v>4</v>
      </c>
      <c r="P517" s="69" t="s">
        <v>50</v>
      </c>
      <c r="Q517" s="69" t="s">
        <v>51</v>
      </c>
      <c r="R517" s="69"/>
      <c r="S517" s="46">
        <v>45266</v>
      </c>
      <c r="T517" s="48">
        <v>45266</v>
      </c>
      <c r="U517" s="69"/>
      <c r="V517" s="69"/>
      <c r="W517" s="69"/>
      <c r="X517" s="69"/>
      <c r="Y517" s="69" t="s">
        <v>4129</v>
      </c>
      <c r="Z517" s="43">
        <v>3442500</v>
      </c>
      <c r="AA517" s="43" t="s">
        <v>52</v>
      </c>
      <c r="AB517" s="43" t="s">
        <v>53</v>
      </c>
      <c r="AC517" s="43">
        <v>3650</v>
      </c>
      <c r="AD517" s="141">
        <v>10</v>
      </c>
      <c r="AE517" s="142">
        <v>0</v>
      </c>
      <c r="AF517" s="142"/>
      <c r="AG517" s="69" t="str">
        <f t="shared" si="328"/>
        <v>1 years 27 days</v>
      </c>
      <c r="AH517" s="69">
        <v>1</v>
      </c>
      <c r="AI517" s="69">
        <v>27</v>
      </c>
      <c r="AJ517" s="69">
        <v>0</v>
      </c>
      <c r="AK517" s="69">
        <v>0</v>
      </c>
      <c r="AL517" s="60">
        <v>3442500</v>
      </c>
      <c r="AM517" s="60">
        <f t="shared" si="329"/>
        <v>3442500</v>
      </c>
      <c r="AN517" s="59">
        <v>369715</v>
      </c>
      <c r="AO517" s="148">
        <f t="shared" si="330"/>
        <v>-369715</v>
      </c>
      <c r="AP517" s="58">
        <v>170710.34246575343</v>
      </c>
      <c r="AQ517" s="143">
        <f t="shared" si="331"/>
        <v>-170710.34</v>
      </c>
    </row>
    <row r="518" spans="1:43" x14ac:dyDescent="0.35">
      <c r="A518" s="69" t="s">
        <v>43</v>
      </c>
      <c r="B518" s="15" t="s">
        <v>1634</v>
      </c>
      <c r="C518" s="15"/>
      <c r="D518" s="69" t="e">
        <f>_xlfn.XLOOKUP(B518,SOM!B:B,SOM!D:D,,0)</f>
        <v>#N/A</v>
      </c>
      <c r="E518" s="76">
        <v>3</v>
      </c>
      <c r="F518" s="69" t="s">
        <v>1151</v>
      </c>
      <c r="G518" s="92" t="s">
        <v>1152</v>
      </c>
      <c r="H518" s="15">
        <v>9008000048</v>
      </c>
      <c r="I518" s="92" t="s">
        <v>1569</v>
      </c>
      <c r="J518" s="92">
        <v>1202020107</v>
      </c>
      <c r="K518" s="102" t="s">
        <v>1635</v>
      </c>
      <c r="L518" s="95" t="s">
        <v>1636</v>
      </c>
      <c r="M518" s="69" t="s">
        <v>1637</v>
      </c>
      <c r="N518" s="69"/>
      <c r="O518" s="94">
        <v>6</v>
      </c>
      <c r="P518" s="69" t="s">
        <v>50</v>
      </c>
      <c r="Q518" s="69" t="s">
        <v>51</v>
      </c>
      <c r="R518" s="69"/>
      <c r="S518" s="46">
        <v>45357</v>
      </c>
      <c r="T518" s="48">
        <v>45357</v>
      </c>
      <c r="U518" s="69"/>
      <c r="V518" s="69"/>
      <c r="W518" s="69"/>
      <c r="X518" s="69"/>
      <c r="Y518" s="69" t="s">
        <v>4130</v>
      </c>
      <c r="Z518" s="43">
        <v>2418000</v>
      </c>
      <c r="AA518" s="43" t="s">
        <v>52</v>
      </c>
      <c r="AB518" s="43" t="s">
        <v>53</v>
      </c>
      <c r="AC518" s="43">
        <v>3650</v>
      </c>
      <c r="AD518" s="141">
        <v>10</v>
      </c>
      <c r="AE518" s="142">
        <v>0</v>
      </c>
      <c r="AF518" s="142"/>
      <c r="AG518" s="69" t="str">
        <f t="shared" si="328"/>
        <v>0 years 301 days</v>
      </c>
      <c r="AH518" s="69">
        <v>0</v>
      </c>
      <c r="AI518" s="69">
        <v>301</v>
      </c>
      <c r="AJ518" s="69">
        <v>0</v>
      </c>
      <c r="AK518" s="69">
        <v>0</v>
      </c>
      <c r="AL518" s="60">
        <v>2418000</v>
      </c>
      <c r="AM518" s="60">
        <f t="shared" si="329"/>
        <v>2418000</v>
      </c>
      <c r="AN518" s="59">
        <v>199402</v>
      </c>
      <c r="AO518" s="148">
        <f t="shared" si="330"/>
        <v>-199402</v>
      </c>
      <c r="AP518" s="58">
        <v>119906.49315068492</v>
      </c>
      <c r="AQ518" s="143">
        <f t="shared" si="331"/>
        <v>-119906.49</v>
      </c>
    </row>
    <row r="519" spans="1:43" x14ac:dyDescent="0.35">
      <c r="A519" s="69" t="s">
        <v>43</v>
      </c>
      <c r="B519" s="15" t="s">
        <v>1638</v>
      </c>
      <c r="C519" s="15"/>
      <c r="D519" s="69" t="e">
        <f>_xlfn.XLOOKUP(B519,SOM!B:B,SOM!D:D,,0)</f>
        <v>#N/A</v>
      </c>
      <c r="E519" s="76">
        <v>4</v>
      </c>
      <c r="F519" s="69" t="s">
        <v>1151</v>
      </c>
      <c r="G519" s="92" t="s">
        <v>1152</v>
      </c>
      <c r="H519" s="15">
        <v>9008000048</v>
      </c>
      <c r="I519" s="92" t="s">
        <v>1569</v>
      </c>
      <c r="J519" s="92">
        <v>1202020107</v>
      </c>
      <c r="K519" s="28"/>
      <c r="L519" s="95" t="s">
        <v>1639</v>
      </c>
      <c r="M519" s="69" t="s">
        <v>1640</v>
      </c>
      <c r="N519" s="69"/>
      <c r="O519" s="94">
        <v>2</v>
      </c>
      <c r="P519" s="69" t="s">
        <v>50</v>
      </c>
      <c r="Q519" s="69" t="s">
        <v>51</v>
      </c>
      <c r="R519" s="69"/>
      <c r="S519" s="46">
        <v>45405</v>
      </c>
      <c r="T519" s="48">
        <v>45405</v>
      </c>
      <c r="U519" s="69"/>
      <c r="V519" s="69"/>
      <c r="W519" s="69"/>
      <c r="X519" s="69"/>
      <c r="Y519" s="69" t="s">
        <v>4130</v>
      </c>
      <c r="Z519" s="43">
        <v>169600</v>
      </c>
      <c r="AA519" s="43" t="s">
        <v>52</v>
      </c>
      <c r="AB519" s="43" t="s">
        <v>53</v>
      </c>
      <c r="AC519" s="43">
        <v>3650</v>
      </c>
      <c r="AD519" s="141">
        <v>10</v>
      </c>
      <c r="AE519" s="142">
        <v>0</v>
      </c>
      <c r="AF519" s="142"/>
      <c r="AG519" s="69" t="str">
        <f t="shared" si="328"/>
        <v>0 years 253 days</v>
      </c>
      <c r="AH519" s="69">
        <v>0</v>
      </c>
      <c r="AI519" s="69">
        <v>253</v>
      </c>
      <c r="AJ519" s="69">
        <v>0</v>
      </c>
      <c r="AK519" s="69">
        <v>0</v>
      </c>
      <c r="AL519" s="60">
        <v>169600</v>
      </c>
      <c r="AM519" s="60">
        <f t="shared" si="329"/>
        <v>169600</v>
      </c>
      <c r="AN519" s="59">
        <v>11756</v>
      </c>
      <c r="AO519" s="148">
        <f t="shared" si="330"/>
        <v>-11756</v>
      </c>
      <c r="AP519" s="58">
        <v>8410.1369863013679</v>
      </c>
      <c r="AQ519" s="143">
        <f t="shared" si="331"/>
        <v>-8410.14</v>
      </c>
    </row>
    <row r="520" spans="1:43" x14ac:dyDescent="0.35">
      <c r="A520" s="69" t="s">
        <v>43</v>
      </c>
      <c r="B520" s="15" t="s">
        <v>1641</v>
      </c>
      <c r="C520" s="15"/>
      <c r="D520" s="69"/>
      <c r="E520" s="76">
        <v>0</v>
      </c>
      <c r="F520" s="69" t="s">
        <v>1151</v>
      </c>
      <c r="G520" s="92" t="s">
        <v>1152</v>
      </c>
      <c r="H520" s="15">
        <v>9008000049</v>
      </c>
      <c r="I520" s="92" t="s">
        <v>1569</v>
      </c>
      <c r="J520" s="92">
        <v>1202020107</v>
      </c>
      <c r="K520" s="16" t="s">
        <v>1642</v>
      </c>
      <c r="L520" s="95" t="s">
        <v>1643</v>
      </c>
      <c r="M520" s="69" t="s">
        <v>1644</v>
      </c>
      <c r="N520" s="69"/>
      <c r="O520" s="94">
        <v>1</v>
      </c>
      <c r="P520" s="69" t="s">
        <v>50</v>
      </c>
      <c r="Q520" s="69" t="s">
        <v>51</v>
      </c>
      <c r="R520" s="69"/>
      <c r="S520" s="46">
        <v>43724</v>
      </c>
      <c r="T520" s="48">
        <v>43724</v>
      </c>
      <c r="U520" s="69"/>
      <c r="V520" s="69"/>
      <c r="W520" s="69"/>
      <c r="X520" s="69"/>
      <c r="Y520" s="69" t="s">
        <v>4126</v>
      </c>
      <c r="Z520" s="43">
        <v>21164757</v>
      </c>
      <c r="AA520" s="43" t="s">
        <v>52</v>
      </c>
      <c r="AB520" s="43" t="s">
        <v>53</v>
      </c>
      <c r="AC520" s="43">
        <v>3650</v>
      </c>
      <c r="AD520" s="141">
        <v>10</v>
      </c>
      <c r="AE520" s="142">
        <v>0</v>
      </c>
      <c r="AF520" s="142"/>
      <c r="AG520" s="69" t="str">
        <f t="shared" ref="AG520:AG524" si="332">_xlfn.CONCAT(AH520," years ",AI520," days")</f>
        <v>5 years 109 days</v>
      </c>
      <c r="AH520" s="69">
        <v>5</v>
      </c>
      <c r="AI520" s="69">
        <v>109</v>
      </c>
      <c r="AJ520" s="69">
        <v>0</v>
      </c>
      <c r="AK520" s="69">
        <v>0</v>
      </c>
      <c r="AL520" s="60">
        <v>21164757</v>
      </c>
      <c r="AM520" s="60">
        <f t="shared" ref="AM520:AM524" si="333">ROUND(AL520,2)</f>
        <v>21164757</v>
      </c>
      <c r="AN520" s="59">
        <v>11214422</v>
      </c>
      <c r="AO520" s="148">
        <f t="shared" ref="AO520:AO524" si="334">ROUND(AN520,2)*-1</f>
        <v>-11214422</v>
      </c>
      <c r="AP520" s="58">
        <v>1049539.9328767136</v>
      </c>
      <c r="AQ520" s="143">
        <f t="shared" ref="AQ520:AQ524" si="335">ROUND(AP520,2)*-1</f>
        <v>-1049539.93</v>
      </c>
    </row>
    <row r="521" spans="1:43" x14ac:dyDescent="0.35">
      <c r="A521" s="69" t="s">
        <v>43</v>
      </c>
      <c r="B521" s="15" t="s">
        <v>1645</v>
      </c>
      <c r="C521" s="15"/>
      <c r="D521" s="69" t="e">
        <f>_xlfn.XLOOKUP(B521,SOM!B:B,SOM!D:D,,0)</f>
        <v>#N/A</v>
      </c>
      <c r="E521" s="76">
        <v>1</v>
      </c>
      <c r="F521" s="69" t="s">
        <v>1151</v>
      </c>
      <c r="G521" s="92" t="s">
        <v>1152</v>
      </c>
      <c r="H521" s="15">
        <v>9008000049</v>
      </c>
      <c r="I521" s="92" t="s">
        <v>1569</v>
      </c>
      <c r="J521" s="92">
        <v>1202020107</v>
      </c>
      <c r="K521" s="28"/>
      <c r="L521" s="95" t="s">
        <v>1646</v>
      </c>
      <c r="M521" s="69" t="s">
        <v>1647</v>
      </c>
      <c r="N521" s="69"/>
      <c r="O521" s="94">
        <v>1</v>
      </c>
      <c r="P521" s="69" t="s">
        <v>50</v>
      </c>
      <c r="Q521" s="69" t="s">
        <v>51</v>
      </c>
      <c r="R521" s="69"/>
      <c r="S521" s="46">
        <v>45199</v>
      </c>
      <c r="T521" s="48">
        <v>45199</v>
      </c>
      <c r="U521" s="69"/>
      <c r="V521" s="69"/>
      <c r="W521" s="69"/>
      <c r="X521" s="69"/>
      <c r="Y521" s="69" t="s">
        <v>4129</v>
      </c>
      <c r="Z521" s="43">
        <v>451800</v>
      </c>
      <c r="AA521" s="43" t="s">
        <v>52</v>
      </c>
      <c r="AB521" s="43" t="s">
        <v>53</v>
      </c>
      <c r="AC521" s="43">
        <v>3650</v>
      </c>
      <c r="AD521" s="141">
        <v>10</v>
      </c>
      <c r="AE521" s="142">
        <v>0</v>
      </c>
      <c r="AF521" s="142"/>
      <c r="AG521" s="69" t="str">
        <f t="shared" si="332"/>
        <v>1 years 94 days</v>
      </c>
      <c r="AH521" s="69">
        <v>1</v>
      </c>
      <c r="AI521" s="69">
        <v>94</v>
      </c>
      <c r="AJ521" s="69">
        <v>0</v>
      </c>
      <c r="AK521" s="69">
        <v>0</v>
      </c>
      <c r="AL521" s="60">
        <v>451800</v>
      </c>
      <c r="AM521" s="60">
        <f t="shared" si="333"/>
        <v>451800</v>
      </c>
      <c r="AN521" s="59">
        <v>56815</v>
      </c>
      <c r="AO521" s="148">
        <f t="shared" si="334"/>
        <v>-56815</v>
      </c>
      <c r="AP521" s="58">
        <v>22404.726027397264</v>
      </c>
      <c r="AQ521" s="143">
        <f t="shared" si="335"/>
        <v>-22404.73</v>
      </c>
    </row>
    <row r="522" spans="1:43" x14ac:dyDescent="0.35">
      <c r="A522" s="69" t="s">
        <v>43</v>
      </c>
      <c r="B522" s="15" t="s">
        <v>1648</v>
      </c>
      <c r="C522" s="15"/>
      <c r="D522" s="69" t="e">
        <f>_xlfn.XLOOKUP(B522,SOM!B:B,SOM!D:D,,0)</f>
        <v>#N/A</v>
      </c>
      <c r="E522" s="76">
        <v>2</v>
      </c>
      <c r="F522" s="69" t="s">
        <v>1151</v>
      </c>
      <c r="G522" s="92" t="s">
        <v>1152</v>
      </c>
      <c r="H522" s="15">
        <v>9008000049</v>
      </c>
      <c r="I522" s="92" t="s">
        <v>1569</v>
      </c>
      <c r="J522" s="92">
        <v>1202020107</v>
      </c>
      <c r="K522" s="28"/>
      <c r="L522" s="95" t="s">
        <v>1649</v>
      </c>
      <c r="M522" s="69" t="s">
        <v>1650</v>
      </c>
      <c r="N522" s="69"/>
      <c r="O522" s="94">
        <v>1</v>
      </c>
      <c r="P522" s="69" t="s">
        <v>50</v>
      </c>
      <c r="Q522" s="69" t="s">
        <v>51</v>
      </c>
      <c r="R522" s="69"/>
      <c r="S522" s="46">
        <v>45251</v>
      </c>
      <c r="T522" s="48">
        <v>45251</v>
      </c>
      <c r="U522" s="69"/>
      <c r="V522" s="69"/>
      <c r="W522" s="69"/>
      <c r="X522" s="69"/>
      <c r="Y522" s="69" t="s">
        <v>4129</v>
      </c>
      <c r="Z522" s="43">
        <v>118750</v>
      </c>
      <c r="AA522" s="43" t="s">
        <v>52</v>
      </c>
      <c r="AB522" s="43" t="s">
        <v>53</v>
      </c>
      <c r="AC522" s="43">
        <v>3650</v>
      </c>
      <c r="AD522" s="141">
        <v>10</v>
      </c>
      <c r="AE522" s="142">
        <v>0</v>
      </c>
      <c r="AF522" s="142"/>
      <c r="AG522" s="69" t="str">
        <f t="shared" si="332"/>
        <v>1 years 42 days</v>
      </c>
      <c r="AH522" s="69">
        <v>1</v>
      </c>
      <c r="AI522" s="69">
        <v>42</v>
      </c>
      <c r="AJ522" s="69">
        <v>0</v>
      </c>
      <c r="AK522" s="69">
        <v>0</v>
      </c>
      <c r="AL522" s="60">
        <v>118750</v>
      </c>
      <c r="AM522" s="60">
        <f t="shared" si="333"/>
        <v>118750</v>
      </c>
      <c r="AN522" s="59">
        <v>13241</v>
      </c>
      <c r="AO522" s="148">
        <f t="shared" si="334"/>
        <v>-13241</v>
      </c>
      <c r="AP522" s="58">
        <v>5889.1369863013679</v>
      </c>
      <c r="AQ522" s="143">
        <f t="shared" si="335"/>
        <v>-5889.14</v>
      </c>
    </row>
    <row r="523" spans="1:43" x14ac:dyDescent="0.35">
      <c r="A523" s="69" t="s">
        <v>43</v>
      </c>
      <c r="B523" s="15" t="s">
        <v>1651</v>
      </c>
      <c r="C523" s="15"/>
      <c r="D523" s="69" t="e">
        <f>_xlfn.XLOOKUP(B523,SOM!B:B,SOM!D:D,,0)</f>
        <v>#N/A</v>
      </c>
      <c r="E523" s="76">
        <v>3</v>
      </c>
      <c r="F523" s="69" t="s">
        <v>1151</v>
      </c>
      <c r="G523" s="92" t="s">
        <v>1152</v>
      </c>
      <c r="H523" s="15">
        <v>9008000049</v>
      </c>
      <c r="I523" s="92" t="s">
        <v>1569</v>
      </c>
      <c r="J523" s="92">
        <v>1202020107</v>
      </c>
      <c r="K523" s="28"/>
      <c r="L523" s="95" t="s">
        <v>1652</v>
      </c>
      <c r="M523" s="69" t="s">
        <v>1653</v>
      </c>
      <c r="N523" s="69"/>
      <c r="O523" s="94">
        <v>1</v>
      </c>
      <c r="P523" s="69" t="s">
        <v>50</v>
      </c>
      <c r="Q523" s="69" t="s">
        <v>51</v>
      </c>
      <c r="R523" s="69"/>
      <c r="S523" s="46">
        <v>45389</v>
      </c>
      <c r="T523" s="48">
        <v>45389</v>
      </c>
      <c r="U523" s="69"/>
      <c r="V523" s="69"/>
      <c r="W523" s="69"/>
      <c r="X523" s="69"/>
      <c r="Y523" s="69" t="s">
        <v>4130</v>
      </c>
      <c r="Z523" s="43">
        <v>96912</v>
      </c>
      <c r="AA523" s="43" t="s">
        <v>52</v>
      </c>
      <c r="AB523" s="43" t="s">
        <v>53</v>
      </c>
      <c r="AC523" s="43">
        <v>3650</v>
      </c>
      <c r="AD523" s="141">
        <v>10</v>
      </c>
      <c r="AE523" s="142">
        <v>0</v>
      </c>
      <c r="AF523" s="142"/>
      <c r="AG523" s="69" t="str">
        <f t="shared" si="332"/>
        <v>0 years 269 days</v>
      </c>
      <c r="AH523" s="69">
        <v>0</v>
      </c>
      <c r="AI523" s="69">
        <v>269</v>
      </c>
      <c r="AJ523" s="69">
        <v>0</v>
      </c>
      <c r="AK523" s="69">
        <v>0</v>
      </c>
      <c r="AL523" s="60">
        <v>96912</v>
      </c>
      <c r="AM523" s="60">
        <f t="shared" si="333"/>
        <v>96912</v>
      </c>
      <c r="AN523" s="59">
        <v>7142</v>
      </c>
      <c r="AO523" s="148">
        <f t="shared" si="334"/>
        <v>-7142</v>
      </c>
      <c r="AP523" s="58">
        <v>4806.054794520549</v>
      </c>
      <c r="AQ523" s="143">
        <f t="shared" si="335"/>
        <v>-4806.05</v>
      </c>
    </row>
    <row r="524" spans="1:43" x14ac:dyDescent="0.35">
      <c r="A524" s="69" t="s">
        <v>43</v>
      </c>
      <c r="B524" s="15" t="s">
        <v>1654</v>
      </c>
      <c r="C524" s="15"/>
      <c r="D524" s="69" t="e">
        <f>_xlfn.XLOOKUP(B524,SOM!B:B,SOM!D:D,,0)</f>
        <v>#N/A</v>
      </c>
      <c r="E524" s="76">
        <v>4</v>
      </c>
      <c r="F524" s="69" t="s">
        <v>1151</v>
      </c>
      <c r="G524" s="92" t="s">
        <v>1152</v>
      </c>
      <c r="H524" s="15">
        <v>9008000049</v>
      </c>
      <c r="I524" s="92" t="s">
        <v>1569</v>
      </c>
      <c r="J524" s="92">
        <v>1202020107</v>
      </c>
      <c r="K524" s="28"/>
      <c r="L524" s="95" t="s">
        <v>1655</v>
      </c>
      <c r="M524" s="69" t="s">
        <v>1656</v>
      </c>
      <c r="N524" s="69"/>
      <c r="O524" s="94">
        <v>4</v>
      </c>
      <c r="P524" s="69" t="s">
        <v>50</v>
      </c>
      <c r="Q524" s="69" t="s">
        <v>51</v>
      </c>
      <c r="R524" s="69"/>
      <c r="S524" s="46">
        <v>41871</v>
      </c>
      <c r="T524" s="48">
        <v>43191</v>
      </c>
      <c r="U524" s="69"/>
      <c r="V524" s="69"/>
      <c r="W524" s="69"/>
      <c r="X524" s="69"/>
      <c r="Y524" s="69" t="s">
        <v>4125</v>
      </c>
      <c r="Z524" s="43">
        <v>480000</v>
      </c>
      <c r="AA524" s="43" t="s">
        <v>52</v>
      </c>
      <c r="AB524" s="43" t="s">
        <v>53</v>
      </c>
      <c r="AC524" s="43">
        <v>4125</v>
      </c>
      <c r="AD524" s="141">
        <v>11</v>
      </c>
      <c r="AE524" s="142">
        <v>4</v>
      </c>
      <c r="AF524" s="142"/>
      <c r="AG524" s="69" t="str">
        <f t="shared" si="332"/>
        <v>6 years 277 days</v>
      </c>
      <c r="AH524" s="69">
        <v>6</v>
      </c>
      <c r="AI524" s="69">
        <v>277</v>
      </c>
      <c r="AJ524" s="69">
        <v>0</v>
      </c>
      <c r="AK524" s="69">
        <v>0</v>
      </c>
      <c r="AL524" s="60">
        <v>480000</v>
      </c>
      <c r="AM524" s="60">
        <f t="shared" si="333"/>
        <v>480000</v>
      </c>
      <c r="AN524" s="59">
        <v>287069</v>
      </c>
      <c r="AO524" s="148">
        <f t="shared" si="334"/>
        <v>-287069</v>
      </c>
      <c r="AP524" s="58">
        <v>21061.909090909059</v>
      </c>
      <c r="AQ524" s="143">
        <f t="shared" si="335"/>
        <v>-21061.91</v>
      </c>
    </row>
    <row r="525" spans="1:43" x14ac:dyDescent="0.35">
      <c r="A525" s="69" t="s">
        <v>43</v>
      </c>
      <c r="B525" s="15" t="s">
        <v>1657</v>
      </c>
      <c r="C525" s="15"/>
      <c r="D525" s="69"/>
      <c r="E525" s="76">
        <v>0</v>
      </c>
      <c r="F525" s="69" t="s">
        <v>1151</v>
      </c>
      <c r="G525" s="92" t="s">
        <v>1152</v>
      </c>
      <c r="H525" s="15">
        <v>9008000050</v>
      </c>
      <c r="I525" s="92" t="s">
        <v>1569</v>
      </c>
      <c r="J525" s="92">
        <v>1202020107</v>
      </c>
      <c r="K525" s="16" t="s">
        <v>1658</v>
      </c>
      <c r="L525" s="95" t="s">
        <v>1659</v>
      </c>
      <c r="M525" s="69" t="s">
        <v>1660</v>
      </c>
      <c r="N525" s="69"/>
      <c r="O525" s="94">
        <v>1</v>
      </c>
      <c r="P525" s="69" t="s">
        <v>50</v>
      </c>
      <c r="Q525" s="69" t="s">
        <v>51</v>
      </c>
      <c r="R525" s="69"/>
      <c r="S525" s="46">
        <v>45179</v>
      </c>
      <c r="T525" s="48">
        <v>45179</v>
      </c>
      <c r="U525" s="69"/>
      <c r="V525" s="69"/>
      <c r="W525" s="69"/>
      <c r="X525" s="69"/>
      <c r="Y525" s="69" t="s">
        <v>4129</v>
      </c>
      <c r="Z525" s="43">
        <v>28088000</v>
      </c>
      <c r="AA525" s="43" t="s">
        <v>52</v>
      </c>
      <c r="AB525" s="43" t="s">
        <v>53</v>
      </c>
      <c r="AC525" s="43">
        <v>3650</v>
      </c>
      <c r="AD525" s="141">
        <v>10</v>
      </c>
      <c r="AE525" s="142">
        <v>0</v>
      </c>
      <c r="AF525" s="142"/>
      <c r="AG525" s="69" t="str">
        <f t="shared" ref="AG525:AG527" si="336">_xlfn.CONCAT(AH525," years ",AI525," days")</f>
        <v>1 years 114 days</v>
      </c>
      <c r="AH525" s="69">
        <v>1</v>
      </c>
      <c r="AI525" s="69">
        <v>114</v>
      </c>
      <c r="AJ525" s="69">
        <v>0</v>
      </c>
      <c r="AK525" s="69">
        <v>0</v>
      </c>
      <c r="AL525" s="60">
        <v>28088000</v>
      </c>
      <c r="AM525" s="60">
        <f t="shared" ref="AM525:AM527" si="337">ROUND(AL525,2)</f>
        <v>28088000</v>
      </c>
      <c r="AN525" s="59">
        <v>3686069</v>
      </c>
      <c r="AO525" s="148">
        <f t="shared" ref="AO525:AO527" si="338">ROUND(AN525,2)*-1</f>
        <v>-3686069</v>
      </c>
      <c r="AP525" s="58">
        <v>1392857.0273972601</v>
      </c>
      <c r="AQ525" s="143">
        <f t="shared" ref="AQ525:AQ527" si="339">ROUND(AP525,2)*-1</f>
        <v>-1392857.03</v>
      </c>
    </row>
    <row r="526" spans="1:43" x14ac:dyDescent="0.35">
      <c r="A526" s="69" t="s">
        <v>43</v>
      </c>
      <c r="B526" s="15" t="s">
        <v>1661</v>
      </c>
      <c r="C526" s="15"/>
      <c r="D526" s="69" t="e">
        <f>_xlfn.XLOOKUP(B526,SOM!B:B,SOM!D:D,,0)</f>
        <v>#N/A</v>
      </c>
      <c r="E526" s="76">
        <v>1</v>
      </c>
      <c r="F526" s="69" t="s">
        <v>1151</v>
      </c>
      <c r="G526" s="92" t="s">
        <v>1152</v>
      </c>
      <c r="H526" s="15">
        <v>9008000050</v>
      </c>
      <c r="I526" s="92" t="s">
        <v>1569</v>
      </c>
      <c r="J526" s="92">
        <v>1202020107</v>
      </c>
      <c r="K526" s="16" t="s">
        <v>1662</v>
      </c>
      <c r="L526" s="95" t="s">
        <v>1663</v>
      </c>
      <c r="M526" s="69" t="s">
        <v>1664</v>
      </c>
      <c r="N526" s="69"/>
      <c r="O526" s="94">
        <v>1</v>
      </c>
      <c r="P526" s="69" t="s">
        <v>50</v>
      </c>
      <c r="Q526" s="69" t="s">
        <v>51</v>
      </c>
      <c r="R526" s="69"/>
      <c r="S526" s="46">
        <v>45179</v>
      </c>
      <c r="T526" s="48">
        <v>45179</v>
      </c>
      <c r="U526" s="69"/>
      <c r="V526" s="69"/>
      <c r="W526" s="69"/>
      <c r="X526" s="69"/>
      <c r="Y526" s="69" t="s">
        <v>4129</v>
      </c>
      <c r="Z526" s="43">
        <v>7680641.0499999998</v>
      </c>
      <c r="AA526" s="43" t="s">
        <v>52</v>
      </c>
      <c r="AB526" s="43" t="s">
        <v>53</v>
      </c>
      <c r="AC526" s="43">
        <v>3650</v>
      </c>
      <c r="AD526" s="141">
        <v>10</v>
      </c>
      <c r="AE526" s="142">
        <v>0</v>
      </c>
      <c r="AF526" s="142"/>
      <c r="AG526" s="69" t="str">
        <f t="shared" si="336"/>
        <v>1 years 114 days</v>
      </c>
      <c r="AH526" s="69">
        <v>1</v>
      </c>
      <c r="AI526" s="69">
        <v>114</v>
      </c>
      <c r="AJ526" s="69">
        <v>0</v>
      </c>
      <c r="AK526" s="69">
        <v>0</v>
      </c>
      <c r="AL526" s="60">
        <v>7680641.0499999998</v>
      </c>
      <c r="AM526" s="60">
        <f t="shared" si="337"/>
        <v>7680641.0499999998</v>
      </c>
      <c r="AN526" s="59">
        <v>1007953</v>
      </c>
      <c r="AO526" s="148">
        <f t="shared" si="338"/>
        <v>-1007953</v>
      </c>
      <c r="AP526" s="58">
        <v>380875.24465753417</v>
      </c>
      <c r="AQ526" s="143">
        <f t="shared" si="339"/>
        <v>-380875.24</v>
      </c>
    </row>
    <row r="527" spans="1:43" x14ac:dyDescent="0.35">
      <c r="A527" s="69" t="s">
        <v>43</v>
      </c>
      <c r="B527" s="15" t="s">
        <v>1665</v>
      </c>
      <c r="C527" s="15"/>
      <c r="D527" s="69" t="e">
        <f>_xlfn.XLOOKUP(B527,SOM!B:B,SOM!D:D,,0)</f>
        <v>#N/A</v>
      </c>
      <c r="E527" s="76">
        <v>2</v>
      </c>
      <c r="F527" s="69" t="s">
        <v>1151</v>
      </c>
      <c r="G527" s="92" t="s">
        <v>1152</v>
      </c>
      <c r="H527" s="15">
        <v>9008000050</v>
      </c>
      <c r="I527" s="92" t="s">
        <v>1569</v>
      </c>
      <c r="J527" s="92">
        <v>1202020107</v>
      </c>
      <c r="K527" s="28"/>
      <c r="L527" s="95" t="s">
        <v>1666</v>
      </c>
      <c r="M527" s="69" t="s">
        <v>1667</v>
      </c>
      <c r="N527" s="69"/>
      <c r="O527" s="94">
        <v>5</v>
      </c>
      <c r="P527" s="69" t="s">
        <v>50</v>
      </c>
      <c r="Q527" s="69" t="s">
        <v>51</v>
      </c>
      <c r="R527" s="69"/>
      <c r="S527" s="46">
        <v>45199</v>
      </c>
      <c r="T527" s="48">
        <v>45199</v>
      </c>
      <c r="U527" s="69"/>
      <c r="V527" s="69"/>
      <c r="W527" s="69"/>
      <c r="X527" s="69"/>
      <c r="Y527" s="69" t="s">
        <v>4129</v>
      </c>
      <c r="Z527" s="43">
        <v>232969.60000000001</v>
      </c>
      <c r="AA527" s="43" t="s">
        <v>52</v>
      </c>
      <c r="AB527" s="43" t="s">
        <v>53</v>
      </c>
      <c r="AC527" s="43">
        <v>3650</v>
      </c>
      <c r="AD527" s="141">
        <v>10</v>
      </c>
      <c r="AE527" s="142">
        <v>0</v>
      </c>
      <c r="AF527" s="142"/>
      <c r="AG527" s="69" t="str">
        <f t="shared" si="336"/>
        <v>1 years 94 days</v>
      </c>
      <c r="AH527" s="69">
        <v>1</v>
      </c>
      <c r="AI527" s="69">
        <v>94</v>
      </c>
      <c r="AJ527" s="69">
        <v>0</v>
      </c>
      <c r="AK527" s="69">
        <v>0</v>
      </c>
      <c r="AL527" s="60">
        <v>232969.60000000001</v>
      </c>
      <c r="AM527" s="60">
        <f t="shared" si="337"/>
        <v>232969.60000000001</v>
      </c>
      <c r="AN527" s="59">
        <v>29297</v>
      </c>
      <c r="AO527" s="148">
        <f t="shared" si="338"/>
        <v>-29297</v>
      </c>
      <c r="AP527" s="58">
        <v>11552.46410958904</v>
      </c>
      <c r="AQ527" s="143">
        <f t="shared" si="339"/>
        <v>-11552.46</v>
      </c>
    </row>
    <row r="528" spans="1:43" x14ac:dyDescent="0.35">
      <c r="A528" s="69" t="s">
        <v>43</v>
      </c>
      <c r="B528" s="15" t="s">
        <v>1668</v>
      </c>
      <c r="C528" s="15"/>
      <c r="D528" s="69"/>
      <c r="E528" s="76">
        <v>0</v>
      </c>
      <c r="F528" s="69" t="s">
        <v>1151</v>
      </c>
      <c r="G528" s="92" t="s">
        <v>1152</v>
      </c>
      <c r="H528" s="15">
        <v>9008000051</v>
      </c>
      <c r="I528" s="92" t="s">
        <v>1569</v>
      </c>
      <c r="J528" s="92">
        <v>1202020107</v>
      </c>
      <c r="K528" s="16" t="s">
        <v>1669</v>
      </c>
      <c r="L528" s="95" t="s">
        <v>1670</v>
      </c>
      <c r="M528" s="69" t="s">
        <v>1671</v>
      </c>
      <c r="N528" s="69"/>
      <c r="O528" s="94">
        <v>1</v>
      </c>
      <c r="P528" s="69" t="s">
        <v>50</v>
      </c>
      <c r="Q528" s="69" t="s">
        <v>51</v>
      </c>
      <c r="R528" s="69"/>
      <c r="S528" s="46">
        <v>45179</v>
      </c>
      <c r="T528" s="48">
        <v>45179</v>
      </c>
      <c r="U528" s="69"/>
      <c r="V528" s="69"/>
      <c r="W528" s="69"/>
      <c r="X528" s="69"/>
      <c r="Y528" s="69" t="s">
        <v>4129</v>
      </c>
      <c r="Z528" s="43">
        <v>28088000</v>
      </c>
      <c r="AA528" s="43" t="s">
        <v>52</v>
      </c>
      <c r="AB528" s="43" t="s">
        <v>53</v>
      </c>
      <c r="AC528" s="43">
        <v>3650</v>
      </c>
      <c r="AD528" s="141">
        <v>10</v>
      </c>
      <c r="AE528" s="142">
        <v>0</v>
      </c>
      <c r="AF528" s="142"/>
      <c r="AG528" s="69" t="str">
        <f t="shared" ref="AG528:AG529" si="340">_xlfn.CONCAT(AH528," years ",AI528," days")</f>
        <v>1 years 114 days</v>
      </c>
      <c r="AH528" s="69">
        <v>1</v>
      </c>
      <c r="AI528" s="69">
        <v>114</v>
      </c>
      <c r="AJ528" s="69">
        <v>0</v>
      </c>
      <c r="AK528" s="69">
        <v>0</v>
      </c>
      <c r="AL528" s="60">
        <v>28088000</v>
      </c>
      <c r="AM528" s="60">
        <f t="shared" ref="AM528:AM529" si="341">ROUND(AL528,2)</f>
        <v>28088000</v>
      </c>
      <c r="AN528" s="59">
        <v>3686069</v>
      </c>
      <c r="AO528" s="148">
        <f t="shared" ref="AO528:AO529" si="342">ROUND(AN528,2)*-1</f>
        <v>-3686069</v>
      </c>
      <c r="AP528" s="58">
        <v>1392857.0273972601</v>
      </c>
      <c r="AQ528" s="143">
        <f t="shared" ref="AQ528:AQ529" si="343">ROUND(AP528,2)*-1</f>
        <v>-1392857.03</v>
      </c>
    </row>
    <row r="529" spans="1:43" x14ac:dyDescent="0.35">
      <c r="A529" s="69" t="s">
        <v>43</v>
      </c>
      <c r="B529" s="15" t="s">
        <v>1672</v>
      </c>
      <c r="C529" s="15"/>
      <c r="D529" s="69" t="e">
        <f>_xlfn.XLOOKUP(B529,SOM!B:B,SOM!D:D,,0)</f>
        <v>#N/A</v>
      </c>
      <c r="E529" s="76">
        <v>1</v>
      </c>
      <c r="F529" s="69" t="s">
        <v>1151</v>
      </c>
      <c r="G529" s="92" t="s">
        <v>1152</v>
      </c>
      <c r="H529" s="15">
        <v>9008000051</v>
      </c>
      <c r="I529" s="92" t="s">
        <v>1569</v>
      </c>
      <c r="J529" s="92">
        <v>1202020107</v>
      </c>
      <c r="K529" s="16" t="s">
        <v>1673</v>
      </c>
      <c r="L529" s="95" t="s">
        <v>1674</v>
      </c>
      <c r="M529" s="69" t="s">
        <v>1675</v>
      </c>
      <c r="N529" s="69"/>
      <c r="O529" s="94">
        <v>8</v>
      </c>
      <c r="P529" s="69" t="s">
        <v>50</v>
      </c>
      <c r="Q529" s="69" t="s">
        <v>51</v>
      </c>
      <c r="R529" s="69"/>
      <c r="S529" s="46">
        <v>45658</v>
      </c>
      <c r="T529" s="48">
        <v>45658</v>
      </c>
      <c r="U529" s="69"/>
      <c r="V529" s="69"/>
      <c r="W529" s="69"/>
      <c r="X529" s="69"/>
      <c r="Y529" s="69" t="s">
        <v>4132</v>
      </c>
      <c r="Z529" s="43">
        <v>1974000</v>
      </c>
      <c r="AA529" s="43" t="s">
        <v>52</v>
      </c>
      <c r="AB529" s="43" t="s">
        <v>53</v>
      </c>
      <c r="AC529" s="43">
        <v>3650</v>
      </c>
      <c r="AD529" s="141">
        <v>10</v>
      </c>
      <c r="AE529" s="142">
        <v>0</v>
      </c>
      <c r="AF529" s="142"/>
      <c r="AG529" s="69" t="str">
        <f t="shared" si="340"/>
        <v>0 years 0 days</v>
      </c>
      <c r="AH529" s="69">
        <v>0</v>
      </c>
      <c r="AI529" s="69">
        <v>0</v>
      </c>
      <c r="AJ529" s="69">
        <v>0</v>
      </c>
      <c r="AK529" s="69">
        <v>0</v>
      </c>
      <c r="AL529" s="60">
        <v>1974000</v>
      </c>
      <c r="AM529" s="60">
        <f t="shared" si="341"/>
        <v>1974000</v>
      </c>
      <c r="AN529" s="59">
        <v>0</v>
      </c>
      <c r="AO529" s="148">
        <f t="shared" si="342"/>
        <v>0</v>
      </c>
      <c r="AP529" s="58">
        <v>97888.767123287675</v>
      </c>
      <c r="AQ529" s="143">
        <f t="shared" si="343"/>
        <v>-97888.77</v>
      </c>
    </row>
    <row r="530" spans="1:43" x14ac:dyDescent="0.35">
      <c r="A530" s="69" t="s">
        <v>43</v>
      </c>
      <c r="B530" s="15" t="s">
        <v>1676</v>
      </c>
      <c r="C530" s="15"/>
      <c r="D530" s="69"/>
      <c r="E530" s="76">
        <v>0</v>
      </c>
      <c r="F530" s="69" t="s">
        <v>1151</v>
      </c>
      <c r="G530" s="92" t="s">
        <v>1152</v>
      </c>
      <c r="H530" s="15">
        <v>9008000052</v>
      </c>
      <c r="I530" s="92" t="s">
        <v>1569</v>
      </c>
      <c r="J530" s="92">
        <v>1202020107</v>
      </c>
      <c r="K530" s="16" t="s">
        <v>1677</v>
      </c>
      <c r="L530" s="95" t="s">
        <v>1678</v>
      </c>
      <c r="M530" s="69" t="s">
        <v>1679</v>
      </c>
      <c r="N530" s="69"/>
      <c r="O530" s="94">
        <v>1</v>
      </c>
      <c r="P530" s="69" t="s">
        <v>50</v>
      </c>
      <c r="Q530" s="69" t="s">
        <v>51</v>
      </c>
      <c r="R530" s="69"/>
      <c r="S530" s="46">
        <v>45778</v>
      </c>
      <c r="T530" s="48">
        <v>45778</v>
      </c>
      <c r="U530" s="69"/>
      <c r="V530" s="69"/>
      <c r="W530" s="69"/>
      <c r="X530" s="69"/>
      <c r="Y530" s="69" t="s">
        <v>4132</v>
      </c>
      <c r="Z530" s="43">
        <v>0</v>
      </c>
      <c r="AA530" s="43" t="s">
        <v>52</v>
      </c>
      <c r="AB530" s="43" t="s">
        <v>53</v>
      </c>
      <c r="AC530" s="43">
        <v>3650</v>
      </c>
      <c r="AD530" s="141">
        <v>10</v>
      </c>
      <c r="AE530" s="142">
        <v>0</v>
      </c>
      <c r="AF530" s="142"/>
      <c r="AG530" s="69" t="str">
        <f t="shared" ref="AG530:AG535" si="344">_xlfn.CONCAT(AH530," years ",AI530," days")</f>
        <v>0 years 0 days</v>
      </c>
      <c r="AH530" s="69">
        <v>0</v>
      </c>
      <c r="AI530" s="69">
        <v>0</v>
      </c>
      <c r="AJ530" s="69">
        <v>0</v>
      </c>
      <c r="AK530" s="69">
        <v>0</v>
      </c>
      <c r="AL530" s="60">
        <v>33656911.399999999</v>
      </c>
      <c r="AM530" s="60">
        <f t="shared" ref="AM530:AM535" si="345">ROUND(AL530,2)</f>
        <v>33656911.399999999</v>
      </c>
      <c r="AN530" s="59">
        <v>0</v>
      </c>
      <c r="AO530" s="148">
        <f t="shared" ref="AO530:AO535" si="346">ROUND(AN530,2)*-1</f>
        <v>0</v>
      </c>
      <c r="AP530" s="58">
        <v>562485.36860273965</v>
      </c>
      <c r="AQ530" s="143">
        <f t="shared" ref="AQ530:AQ535" si="347">ROUND(AP530,2)*-1</f>
        <v>-562485.37</v>
      </c>
    </row>
    <row r="531" spans="1:43" x14ac:dyDescent="0.35">
      <c r="A531" s="69" t="s">
        <v>43</v>
      </c>
      <c r="B531" s="15" t="s">
        <v>1680</v>
      </c>
      <c r="C531" s="15"/>
      <c r="D531" s="69"/>
      <c r="E531" s="76">
        <v>0</v>
      </c>
      <c r="F531" s="69" t="s">
        <v>1151</v>
      </c>
      <c r="G531" s="92" t="s">
        <v>1152</v>
      </c>
      <c r="H531" s="15">
        <v>9008000053</v>
      </c>
      <c r="I531" s="92" t="s">
        <v>1569</v>
      </c>
      <c r="J531" s="92">
        <v>1202020107</v>
      </c>
      <c r="K531" s="16" t="s">
        <v>1681</v>
      </c>
      <c r="L531" s="95" t="s">
        <v>1682</v>
      </c>
      <c r="M531" s="69" t="s">
        <v>1683</v>
      </c>
      <c r="N531" s="69"/>
      <c r="O531" s="94">
        <v>1</v>
      </c>
      <c r="P531" s="69" t="s">
        <v>50</v>
      </c>
      <c r="Q531" s="69" t="s">
        <v>51</v>
      </c>
      <c r="R531" s="69"/>
      <c r="S531" s="46">
        <v>45717</v>
      </c>
      <c r="T531" s="48">
        <v>45717</v>
      </c>
      <c r="U531" s="69"/>
      <c r="V531" s="69"/>
      <c r="W531" s="69"/>
      <c r="X531" s="69"/>
      <c r="Y531" s="69" t="s">
        <v>4132</v>
      </c>
      <c r="Z531" s="43">
        <v>31619159.199999999</v>
      </c>
      <c r="AA531" s="43" t="s">
        <v>52</v>
      </c>
      <c r="AB531" s="43" t="s">
        <v>53</v>
      </c>
      <c r="AC531" s="43">
        <v>3650</v>
      </c>
      <c r="AD531" s="141">
        <v>10</v>
      </c>
      <c r="AE531" s="142">
        <v>0</v>
      </c>
      <c r="AF531" s="142"/>
      <c r="AG531" s="69" t="str">
        <f t="shared" si="344"/>
        <v>0 years 0 days</v>
      </c>
      <c r="AH531" s="69">
        <v>0</v>
      </c>
      <c r="AI531" s="69">
        <v>0</v>
      </c>
      <c r="AJ531" s="69">
        <v>0</v>
      </c>
      <c r="AK531" s="69">
        <v>0</v>
      </c>
      <c r="AL531" s="60">
        <v>31619159.199999999</v>
      </c>
      <c r="AM531" s="60">
        <f t="shared" si="345"/>
        <v>31619159.199999999</v>
      </c>
      <c r="AN531" s="59">
        <v>0</v>
      </c>
      <c r="AO531" s="148">
        <f t="shared" si="346"/>
        <v>0</v>
      </c>
      <c r="AP531" s="58">
        <v>1056859.5677808218</v>
      </c>
      <c r="AQ531" s="143">
        <f t="shared" si="347"/>
        <v>-1056859.57</v>
      </c>
    </row>
    <row r="532" spans="1:43" x14ac:dyDescent="0.35">
      <c r="A532" s="69" t="s">
        <v>43</v>
      </c>
      <c r="B532" s="15" t="s">
        <v>1684</v>
      </c>
      <c r="C532" s="15"/>
      <c r="D532" s="69"/>
      <c r="E532" s="76">
        <v>0</v>
      </c>
      <c r="F532" s="69" t="s">
        <v>1151</v>
      </c>
      <c r="G532" s="92" t="s">
        <v>1152</v>
      </c>
      <c r="H532" s="15">
        <v>9008000054</v>
      </c>
      <c r="I532" s="92" t="s">
        <v>1685</v>
      </c>
      <c r="J532" s="92">
        <v>1202020102</v>
      </c>
      <c r="K532" s="16" t="s">
        <v>1686</v>
      </c>
      <c r="L532" s="95" t="s">
        <v>1687</v>
      </c>
      <c r="M532" s="69" t="s">
        <v>1688</v>
      </c>
      <c r="N532" s="69"/>
      <c r="O532" s="94">
        <v>1</v>
      </c>
      <c r="P532" s="69" t="s">
        <v>50</v>
      </c>
      <c r="Q532" s="69" t="s">
        <v>51</v>
      </c>
      <c r="R532" s="69"/>
      <c r="S532" s="46">
        <v>45607</v>
      </c>
      <c r="T532" s="48">
        <v>45607</v>
      </c>
      <c r="U532" s="69"/>
      <c r="V532" s="69"/>
      <c r="W532" s="69"/>
      <c r="X532" s="69"/>
      <c r="Y532" s="69" t="s">
        <v>4130</v>
      </c>
      <c r="Z532" s="43">
        <v>16116676.659999998</v>
      </c>
      <c r="AA532" s="43" t="s">
        <v>52</v>
      </c>
      <c r="AB532" s="43" t="s">
        <v>53</v>
      </c>
      <c r="AC532" s="43">
        <v>3650</v>
      </c>
      <c r="AD532" s="141">
        <v>10</v>
      </c>
      <c r="AE532" s="142">
        <v>0</v>
      </c>
      <c r="AF532" s="142"/>
      <c r="AG532" s="69" t="str">
        <f t="shared" si="344"/>
        <v>0 years 51 days</v>
      </c>
      <c r="AH532" s="69">
        <v>0</v>
      </c>
      <c r="AI532" s="69">
        <v>51</v>
      </c>
      <c r="AJ532" s="69">
        <v>0</v>
      </c>
      <c r="AK532" s="69">
        <v>0</v>
      </c>
      <c r="AL532" s="60">
        <v>16116676.659999998</v>
      </c>
      <c r="AM532" s="60">
        <f t="shared" si="345"/>
        <v>16116676.66</v>
      </c>
      <c r="AN532" s="59">
        <v>225192</v>
      </c>
      <c r="AO532" s="148">
        <f t="shared" si="346"/>
        <v>-225192</v>
      </c>
      <c r="AP532" s="58">
        <v>799210.46167671226</v>
      </c>
      <c r="AQ532" s="143">
        <f t="shared" si="347"/>
        <v>-799210.46</v>
      </c>
    </row>
    <row r="533" spans="1:43" x14ac:dyDescent="0.35">
      <c r="A533" s="69" t="s">
        <v>43</v>
      </c>
      <c r="B533" s="15" t="s">
        <v>1689</v>
      </c>
      <c r="C533" s="15"/>
      <c r="D533" s="69"/>
      <c r="E533" s="76">
        <v>0</v>
      </c>
      <c r="F533" s="69" t="s">
        <v>1151</v>
      </c>
      <c r="G533" s="92" t="s">
        <v>1152</v>
      </c>
      <c r="H533" s="15">
        <v>9008000055</v>
      </c>
      <c r="I533" s="92" t="s">
        <v>1685</v>
      </c>
      <c r="J533" s="92">
        <v>1202020102</v>
      </c>
      <c r="K533" s="16" t="s">
        <v>1690</v>
      </c>
      <c r="L533" s="95" t="s">
        <v>1691</v>
      </c>
      <c r="M533" s="69" t="s">
        <v>1688</v>
      </c>
      <c r="N533" s="69"/>
      <c r="O533" s="94">
        <v>1</v>
      </c>
      <c r="P533" s="69" t="s">
        <v>50</v>
      </c>
      <c r="Q533" s="69" t="s">
        <v>51</v>
      </c>
      <c r="R533" s="69"/>
      <c r="S533" s="46">
        <v>45652</v>
      </c>
      <c r="T533" s="48">
        <v>45652</v>
      </c>
      <c r="U533" s="69"/>
      <c r="V533" s="69"/>
      <c r="W533" s="69"/>
      <c r="X533" s="69"/>
      <c r="Y533" s="69" t="s">
        <v>4130</v>
      </c>
      <c r="Z533" s="43">
        <v>16433885.300000001</v>
      </c>
      <c r="AA533" s="43" t="s">
        <v>52</v>
      </c>
      <c r="AB533" s="43" t="s">
        <v>53</v>
      </c>
      <c r="AC533" s="43">
        <v>3650</v>
      </c>
      <c r="AD533" s="141">
        <v>10</v>
      </c>
      <c r="AE533" s="142">
        <v>0</v>
      </c>
      <c r="AF533" s="142"/>
      <c r="AG533" s="69" t="str">
        <f t="shared" si="344"/>
        <v>0 years 6 days</v>
      </c>
      <c r="AH533" s="69">
        <v>0</v>
      </c>
      <c r="AI533" s="69">
        <v>6</v>
      </c>
      <c r="AJ533" s="69">
        <v>0</v>
      </c>
      <c r="AK533" s="69">
        <v>0</v>
      </c>
      <c r="AL533" s="60">
        <v>16433885.300000001</v>
      </c>
      <c r="AM533" s="60">
        <f t="shared" si="345"/>
        <v>16433885.300000001</v>
      </c>
      <c r="AN533" s="59">
        <v>27015</v>
      </c>
      <c r="AO533" s="148">
        <f t="shared" si="346"/>
        <v>-27015</v>
      </c>
      <c r="AP533" s="58">
        <v>814940.21947945212</v>
      </c>
      <c r="AQ533" s="143">
        <f t="shared" si="347"/>
        <v>-814940.22</v>
      </c>
    </row>
    <row r="534" spans="1:43" x14ac:dyDescent="0.35">
      <c r="A534" s="69" t="s">
        <v>43</v>
      </c>
      <c r="B534" s="15" t="s">
        <v>1692</v>
      </c>
      <c r="C534" s="15"/>
      <c r="D534" s="69"/>
      <c r="E534" s="76">
        <v>0</v>
      </c>
      <c r="F534" s="69" t="s">
        <v>1151</v>
      </c>
      <c r="G534" s="92" t="s">
        <v>1152</v>
      </c>
      <c r="H534" s="15">
        <v>9008000056</v>
      </c>
      <c r="I534" s="92" t="s">
        <v>1693</v>
      </c>
      <c r="J534" s="92">
        <v>1202110106</v>
      </c>
      <c r="K534" s="17" t="s">
        <v>1694</v>
      </c>
      <c r="L534" s="95" t="s">
        <v>1695</v>
      </c>
      <c r="M534" s="69" t="s">
        <v>1696</v>
      </c>
      <c r="N534" s="69"/>
      <c r="O534" s="94">
        <v>1</v>
      </c>
      <c r="P534" s="69" t="s">
        <v>50</v>
      </c>
      <c r="Q534" s="69" t="s">
        <v>51</v>
      </c>
      <c r="R534" s="69"/>
      <c r="S534" s="46">
        <v>41062</v>
      </c>
      <c r="T534" s="48">
        <v>43191</v>
      </c>
      <c r="U534" s="69"/>
      <c r="V534" s="69"/>
      <c r="W534" s="69"/>
      <c r="X534" s="69"/>
      <c r="Y534" s="69" t="s">
        <v>4125</v>
      </c>
      <c r="Z534" s="43">
        <v>480000</v>
      </c>
      <c r="AA534" s="43" t="s">
        <v>52</v>
      </c>
      <c r="AB534" s="43" t="s">
        <v>53</v>
      </c>
      <c r="AC534" s="43">
        <v>3358</v>
      </c>
      <c r="AD534" s="141">
        <v>9</v>
      </c>
      <c r="AE534" s="142">
        <v>2</v>
      </c>
      <c r="AF534" s="142"/>
      <c r="AG534" s="69" t="str">
        <f t="shared" si="344"/>
        <v>6 years 277 days</v>
      </c>
      <c r="AH534" s="69">
        <v>6</v>
      </c>
      <c r="AI534" s="69">
        <v>277</v>
      </c>
      <c r="AJ534" s="69">
        <v>0</v>
      </c>
      <c r="AK534" s="69">
        <v>0</v>
      </c>
      <c r="AL534" s="60">
        <v>480000</v>
      </c>
      <c r="AM534" s="60">
        <f t="shared" si="345"/>
        <v>480000</v>
      </c>
      <c r="AN534" s="59">
        <v>352638</v>
      </c>
      <c r="AO534" s="148">
        <f t="shared" si="346"/>
        <v>-352638</v>
      </c>
      <c r="AP534" s="58">
        <v>25873.018463371089</v>
      </c>
      <c r="AQ534" s="143">
        <f t="shared" si="347"/>
        <v>-25873.02</v>
      </c>
    </row>
    <row r="535" spans="1:43" x14ac:dyDescent="0.35">
      <c r="A535" s="69" t="s">
        <v>43</v>
      </c>
      <c r="B535" s="15" t="s">
        <v>1697</v>
      </c>
      <c r="C535" s="15"/>
      <c r="D535" s="69"/>
      <c r="E535" s="76">
        <v>0</v>
      </c>
      <c r="F535" s="69" t="s">
        <v>1151</v>
      </c>
      <c r="G535" s="92" t="s">
        <v>1152</v>
      </c>
      <c r="H535" s="15">
        <v>9008000057</v>
      </c>
      <c r="I535" s="92" t="s">
        <v>1693</v>
      </c>
      <c r="J535" s="92">
        <v>1202110106</v>
      </c>
      <c r="K535" s="17" t="s">
        <v>1698</v>
      </c>
      <c r="L535" s="95" t="s">
        <v>1699</v>
      </c>
      <c r="M535" s="69" t="s">
        <v>1700</v>
      </c>
      <c r="N535" s="69"/>
      <c r="O535" s="94">
        <v>1</v>
      </c>
      <c r="P535" s="69" t="s">
        <v>50</v>
      </c>
      <c r="Q535" s="69" t="s">
        <v>51</v>
      </c>
      <c r="R535" s="69"/>
      <c r="S535" s="46">
        <v>41183</v>
      </c>
      <c r="T535" s="48">
        <v>43191</v>
      </c>
      <c r="U535" s="69"/>
      <c r="V535" s="69"/>
      <c r="W535" s="69"/>
      <c r="X535" s="69"/>
      <c r="Y535" s="69" t="s">
        <v>4125</v>
      </c>
      <c r="Z535" s="43">
        <v>490000</v>
      </c>
      <c r="AA535" s="43" t="s">
        <v>52</v>
      </c>
      <c r="AB535" s="43" t="s">
        <v>53</v>
      </c>
      <c r="AC535" s="43">
        <v>3468</v>
      </c>
      <c r="AD535" s="141">
        <v>9</v>
      </c>
      <c r="AE535" s="142">
        <v>6</v>
      </c>
      <c r="AF535" s="142"/>
      <c r="AG535" s="69" t="str">
        <f t="shared" si="344"/>
        <v>6 years 277 days</v>
      </c>
      <c r="AH535" s="69">
        <v>6</v>
      </c>
      <c r="AI535" s="69">
        <v>277</v>
      </c>
      <c r="AJ535" s="69">
        <v>0</v>
      </c>
      <c r="AK535" s="69">
        <v>0</v>
      </c>
      <c r="AL535" s="60">
        <v>490000</v>
      </c>
      <c r="AM535" s="60">
        <f t="shared" si="345"/>
        <v>490000</v>
      </c>
      <c r="AN535" s="59">
        <v>348567</v>
      </c>
      <c r="AO535" s="148">
        <f t="shared" si="346"/>
        <v>-348567</v>
      </c>
      <c r="AP535" s="58">
        <v>25573.71510957327</v>
      </c>
      <c r="AQ535" s="143">
        <f t="shared" si="347"/>
        <v>-25573.72</v>
      </c>
    </row>
    <row r="536" spans="1:43" x14ac:dyDescent="0.35">
      <c r="A536" s="69" t="s">
        <v>43</v>
      </c>
      <c r="B536" s="15" t="s">
        <v>1701</v>
      </c>
      <c r="C536" s="15"/>
      <c r="D536" s="69"/>
      <c r="E536" s="76">
        <v>0</v>
      </c>
      <c r="F536" s="69" t="s">
        <v>1151</v>
      </c>
      <c r="G536" s="92" t="s">
        <v>1152</v>
      </c>
      <c r="H536" s="15">
        <v>9008000058</v>
      </c>
      <c r="I536" s="92" t="s">
        <v>1693</v>
      </c>
      <c r="J536" s="92">
        <v>1202110106</v>
      </c>
      <c r="K536" s="17" t="s">
        <v>1702</v>
      </c>
      <c r="L536" s="95" t="s">
        <v>1703</v>
      </c>
      <c r="M536" s="69" t="s">
        <v>1704</v>
      </c>
      <c r="N536" s="69"/>
      <c r="O536" s="94">
        <v>1</v>
      </c>
      <c r="P536" s="69" t="s">
        <v>50</v>
      </c>
      <c r="Q536" s="69" t="s">
        <v>51</v>
      </c>
      <c r="R536" s="69"/>
      <c r="S536" s="46">
        <v>41279</v>
      </c>
      <c r="T536" s="48">
        <v>43191</v>
      </c>
      <c r="U536" s="69"/>
      <c r="V536" s="69"/>
      <c r="W536" s="69"/>
      <c r="X536" s="69"/>
      <c r="Y536" s="69" t="s">
        <v>4125</v>
      </c>
      <c r="Z536" s="43">
        <v>500000</v>
      </c>
      <c r="AA536" s="43" t="s">
        <v>52</v>
      </c>
      <c r="AB536" s="43" t="s">
        <v>53</v>
      </c>
      <c r="AC536" s="43">
        <v>3577</v>
      </c>
      <c r="AD536" s="141">
        <v>9</v>
      </c>
      <c r="AE536" s="142">
        <v>10</v>
      </c>
      <c r="AF536" s="142"/>
      <c r="AG536" s="69" t="str">
        <f t="shared" ref="AG536:AG537" si="348">_xlfn.CONCAT(AH536," years ",AI536," days")</f>
        <v>6 years 277 days</v>
      </c>
      <c r="AH536" s="69">
        <v>6</v>
      </c>
      <c r="AI536" s="69">
        <v>277</v>
      </c>
      <c r="AJ536" s="69">
        <v>0</v>
      </c>
      <c r="AK536" s="69">
        <v>0</v>
      </c>
      <c r="AL536" s="60">
        <v>500000</v>
      </c>
      <c r="AM536" s="60">
        <f t="shared" ref="AM536:AM537" si="349">ROUND(AL536,2)</f>
        <v>500000</v>
      </c>
      <c r="AN536" s="59">
        <v>344842</v>
      </c>
      <c r="AO536" s="148">
        <f t="shared" ref="AO536:AO537" si="350">ROUND(AN536,2)*-1</f>
        <v>-344842</v>
      </c>
      <c r="AP536" s="58">
        <v>25300.577578976809</v>
      </c>
      <c r="AQ536" s="143">
        <f t="shared" ref="AQ536:AQ537" si="351">ROUND(AP536,2)*-1</f>
        <v>-25300.58</v>
      </c>
    </row>
    <row r="537" spans="1:43" x14ac:dyDescent="0.35">
      <c r="A537" s="69" t="s">
        <v>43</v>
      </c>
      <c r="B537" s="15" t="s">
        <v>1705</v>
      </c>
      <c r="C537" s="15"/>
      <c r="D537" s="69" t="e">
        <f>_xlfn.XLOOKUP(B537,SOM!B:B,SOM!D:D,,0)</f>
        <v>#N/A</v>
      </c>
      <c r="E537" s="76">
        <v>1</v>
      </c>
      <c r="F537" s="69" t="s">
        <v>1151</v>
      </c>
      <c r="G537" s="92" t="s">
        <v>1152</v>
      </c>
      <c r="H537" s="15">
        <v>9008000058</v>
      </c>
      <c r="I537" s="92" t="s">
        <v>1693</v>
      </c>
      <c r="J537" s="92">
        <v>1202110106</v>
      </c>
      <c r="K537" s="28"/>
      <c r="L537" s="95" t="s">
        <v>1706</v>
      </c>
      <c r="M537" s="69" t="s">
        <v>1707</v>
      </c>
      <c r="N537" s="69"/>
      <c r="O537" s="94">
        <v>1</v>
      </c>
      <c r="P537" s="69" t="s">
        <v>50</v>
      </c>
      <c r="Q537" s="69" t="s">
        <v>51</v>
      </c>
      <c r="R537" s="69"/>
      <c r="S537" s="46">
        <v>44336</v>
      </c>
      <c r="T537" s="48">
        <v>44336</v>
      </c>
      <c r="U537" s="69"/>
      <c r="V537" s="69"/>
      <c r="W537" s="69"/>
      <c r="X537" s="69"/>
      <c r="Y537" s="69" t="s">
        <v>4128</v>
      </c>
      <c r="Z537" s="43">
        <v>128240</v>
      </c>
      <c r="AA537" s="43" t="s">
        <v>52</v>
      </c>
      <c r="AB537" s="43" t="s">
        <v>53</v>
      </c>
      <c r="AC537" s="43">
        <v>3650</v>
      </c>
      <c r="AD537" s="141">
        <v>10</v>
      </c>
      <c r="AE537" s="142">
        <v>0</v>
      </c>
      <c r="AF537" s="142"/>
      <c r="AG537" s="69" t="str">
        <f t="shared" si="348"/>
        <v>3 years 227 days</v>
      </c>
      <c r="AH537" s="69">
        <v>3</v>
      </c>
      <c r="AI537" s="69">
        <v>227</v>
      </c>
      <c r="AJ537" s="69">
        <v>0</v>
      </c>
      <c r="AK537" s="69">
        <v>0</v>
      </c>
      <c r="AL537" s="60">
        <v>128240</v>
      </c>
      <c r="AM537" s="60">
        <f t="shared" si="349"/>
        <v>128240</v>
      </c>
      <c r="AN537" s="59">
        <v>46447</v>
      </c>
      <c r="AO537" s="148">
        <f t="shared" si="350"/>
        <v>-46447</v>
      </c>
      <c r="AP537" s="58">
        <v>6359.7726027397221</v>
      </c>
      <c r="AQ537" s="143">
        <f t="shared" si="351"/>
        <v>-6359.77</v>
      </c>
    </row>
    <row r="538" spans="1:43" x14ac:dyDescent="0.35">
      <c r="A538" s="69" t="s">
        <v>43</v>
      </c>
      <c r="B538" s="15" t="s">
        <v>1708</v>
      </c>
      <c r="C538" s="15"/>
      <c r="D538" s="69"/>
      <c r="E538" s="76">
        <v>0</v>
      </c>
      <c r="F538" s="69" t="s">
        <v>1151</v>
      </c>
      <c r="G538" s="92" t="s">
        <v>1152</v>
      </c>
      <c r="H538" s="8">
        <v>9008000059</v>
      </c>
      <c r="I538" s="92" t="s">
        <v>1693</v>
      </c>
      <c r="J538" s="92">
        <v>1202110106</v>
      </c>
      <c r="K538" s="20" t="s">
        <v>1709</v>
      </c>
      <c r="L538" s="95" t="s">
        <v>1710</v>
      </c>
      <c r="M538" s="69" t="s">
        <v>1711</v>
      </c>
      <c r="N538" s="69"/>
      <c r="O538" s="94">
        <v>1</v>
      </c>
      <c r="P538" s="69" t="s">
        <v>50</v>
      </c>
      <c r="Q538" s="69" t="s">
        <v>51</v>
      </c>
      <c r="R538" s="69"/>
      <c r="S538" s="46">
        <v>44863</v>
      </c>
      <c r="T538" s="48">
        <v>44863</v>
      </c>
      <c r="U538" s="69"/>
      <c r="V538" s="69"/>
      <c r="W538" s="69"/>
      <c r="X538" s="69"/>
      <c r="Y538" s="69" t="s">
        <v>4131</v>
      </c>
      <c r="Z538" s="43">
        <v>620000</v>
      </c>
      <c r="AA538" s="43" t="s">
        <v>52</v>
      </c>
      <c r="AB538" s="43" t="s">
        <v>53</v>
      </c>
      <c r="AC538" s="43">
        <v>3650</v>
      </c>
      <c r="AD538" s="141">
        <v>10</v>
      </c>
      <c r="AE538" s="142">
        <v>0</v>
      </c>
      <c r="AF538" s="142"/>
      <c r="AG538" s="69" t="str">
        <f>_xlfn.CONCAT(AH538," years ",AI538," days")</f>
        <v>2 years 65 days</v>
      </c>
      <c r="AH538" s="69">
        <v>2</v>
      </c>
      <c r="AI538" s="69">
        <v>65</v>
      </c>
      <c r="AJ538" s="69">
        <v>0</v>
      </c>
      <c r="AK538" s="69">
        <v>0</v>
      </c>
      <c r="AL538" s="60">
        <v>620000</v>
      </c>
      <c r="AM538" s="60">
        <f>ROUND(AL538,2)</f>
        <v>620000</v>
      </c>
      <c r="AN538" s="59">
        <v>250548</v>
      </c>
      <c r="AO538" s="148">
        <f>ROUND(AN538,2)*-1</f>
        <v>-250548</v>
      </c>
      <c r="AP538" s="58">
        <v>30745.150684931432</v>
      </c>
      <c r="AQ538" s="143">
        <f>ROUND(AP538,2)*-1</f>
        <v>-30745.15</v>
      </c>
    </row>
    <row r="539" spans="1:43" x14ac:dyDescent="0.35">
      <c r="A539" s="69" t="s">
        <v>43</v>
      </c>
      <c r="B539" s="15" t="s">
        <v>1712</v>
      </c>
      <c r="C539" s="15"/>
      <c r="D539" s="69"/>
      <c r="E539" s="76">
        <v>0</v>
      </c>
      <c r="F539" s="69" t="s">
        <v>1151</v>
      </c>
      <c r="G539" s="92" t="s">
        <v>1152</v>
      </c>
      <c r="H539" s="15">
        <v>9008000060</v>
      </c>
      <c r="I539" s="92" t="s">
        <v>1693</v>
      </c>
      <c r="J539" s="92">
        <v>1202110106</v>
      </c>
      <c r="K539" s="17" t="s">
        <v>1713</v>
      </c>
      <c r="L539" s="95" t="s">
        <v>1714</v>
      </c>
      <c r="M539" s="69" t="s">
        <v>1715</v>
      </c>
      <c r="N539" s="69"/>
      <c r="O539" s="94">
        <v>1</v>
      </c>
      <c r="P539" s="69" t="s">
        <v>50</v>
      </c>
      <c r="Q539" s="69" t="s">
        <v>51</v>
      </c>
      <c r="R539" s="69"/>
      <c r="S539" s="46">
        <v>45728</v>
      </c>
      <c r="T539" s="48">
        <v>45728</v>
      </c>
      <c r="U539" s="69"/>
      <c r="V539" s="69"/>
      <c r="W539" s="69"/>
      <c r="X539" s="69"/>
      <c r="Y539" s="69" t="s">
        <v>4132</v>
      </c>
      <c r="Z539" s="43">
        <v>1002500</v>
      </c>
      <c r="AA539" s="43" t="s">
        <v>52</v>
      </c>
      <c r="AB539" s="43" t="s">
        <v>53</v>
      </c>
      <c r="AC539" s="43">
        <v>3650</v>
      </c>
      <c r="AD539" s="141">
        <v>10</v>
      </c>
      <c r="AE539" s="142">
        <v>0</v>
      </c>
      <c r="AF539" s="142"/>
      <c r="AG539" s="69" t="str">
        <f>_xlfn.CONCAT(AH539," years ",AI539," days")</f>
        <v>0 years 0 days</v>
      </c>
      <c r="AH539" s="69">
        <v>0</v>
      </c>
      <c r="AI539" s="69">
        <v>0</v>
      </c>
      <c r="AJ539" s="69">
        <v>0</v>
      </c>
      <c r="AK539" s="69">
        <v>0</v>
      </c>
      <c r="AL539" s="60">
        <v>1002500</v>
      </c>
      <c r="AM539" s="60">
        <f>ROUND(AL539,2)</f>
        <v>1002500</v>
      </c>
      <c r="AN539" s="59">
        <v>0</v>
      </c>
      <c r="AO539" s="148">
        <f>ROUND(AN539,2)*-1</f>
        <v>0</v>
      </c>
      <c r="AP539" s="58">
        <v>30486.986301369863</v>
      </c>
      <c r="AQ539" s="143">
        <f>ROUND(AP539,2)*-1</f>
        <v>-30486.99</v>
      </c>
    </row>
    <row r="540" spans="1:43" x14ac:dyDescent="0.35">
      <c r="A540" s="69" t="s">
        <v>43</v>
      </c>
      <c r="B540" s="15" t="s">
        <v>1716</v>
      </c>
      <c r="C540" s="15"/>
      <c r="D540" s="69"/>
      <c r="E540" s="76">
        <v>0</v>
      </c>
      <c r="F540" s="69" t="s">
        <v>1151</v>
      </c>
      <c r="G540" s="92" t="s">
        <v>1152</v>
      </c>
      <c r="H540" s="15">
        <v>9008000061</v>
      </c>
      <c r="I540" s="92" t="s">
        <v>261</v>
      </c>
      <c r="J540" s="92">
        <v>1202010217</v>
      </c>
      <c r="K540" s="17" t="s">
        <v>1717</v>
      </c>
      <c r="L540" s="95" t="s">
        <v>1718</v>
      </c>
      <c r="M540" s="69" t="s">
        <v>1719</v>
      </c>
      <c r="N540" s="69"/>
      <c r="O540" s="94">
        <v>1</v>
      </c>
      <c r="P540" s="69" t="s">
        <v>50</v>
      </c>
      <c r="Q540" s="69" t="s">
        <v>51</v>
      </c>
      <c r="R540" s="69"/>
      <c r="S540" s="46">
        <v>43728</v>
      </c>
      <c r="T540" s="48">
        <v>43728</v>
      </c>
      <c r="U540" s="69"/>
      <c r="V540" s="69"/>
      <c r="W540" s="69"/>
      <c r="X540" s="69"/>
      <c r="Y540" s="69" t="s">
        <v>4126</v>
      </c>
      <c r="Z540" s="43">
        <v>149500</v>
      </c>
      <c r="AA540" s="43" t="s">
        <v>52</v>
      </c>
      <c r="AB540" s="43" t="s">
        <v>53</v>
      </c>
      <c r="AC540" s="43">
        <v>3650</v>
      </c>
      <c r="AD540" s="141">
        <v>10</v>
      </c>
      <c r="AE540" s="142">
        <v>0</v>
      </c>
      <c r="AF540" s="142"/>
      <c r="AG540" s="69" t="str">
        <f t="shared" ref="AG540:AG541" si="352">_xlfn.CONCAT(AH540," years ",AI540," days")</f>
        <v>5 years 105 days</v>
      </c>
      <c r="AH540" s="69">
        <v>5</v>
      </c>
      <c r="AI540" s="69">
        <v>105</v>
      </c>
      <c r="AJ540" s="69">
        <v>0</v>
      </c>
      <c r="AK540" s="69">
        <v>0</v>
      </c>
      <c r="AL540" s="60">
        <v>149500</v>
      </c>
      <c r="AM540" s="60">
        <f t="shared" ref="AM540:AM541" si="353">ROUND(AL540,2)</f>
        <v>149500</v>
      </c>
      <c r="AN540" s="59">
        <v>79051</v>
      </c>
      <c r="AO540" s="148">
        <f t="shared" ref="AO540:AO541" si="354">ROUND(AN540,2)*-1</f>
        <v>-79051</v>
      </c>
      <c r="AP540" s="58">
        <v>7413.2465753424622</v>
      </c>
      <c r="AQ540" s="143">
        <f t="shared" ref="AQ540:AQ541" si="355">ROUND(AP540,2)*-1</f>
        <v>-7413.25</v>
      </c>
    </row>
    <row r="541" spans="1:43" x14ac:dyDescent="0.35">
      <c r="A541" s="69" t="s">
        <v>43</v>
      </c>
      <c r="B541" s="15" t="s">
        <v>1720</v>
      </c>
      <c r="C541" s="15"/>
      <c r="D541" s="69" t="e">
        <f>_xlfn.XLOOKUP(B541,SOM!B:B,SOM!D:D,,0)</f>
        <v>#N/A</v>
      </c>
      <c r="E541" s="76">
        <v>1</v>
      </c>
      <c r="F541" s="69" t="s">
        <v>1151</v>
      </c>
      <c r="G541" s="92" t="s">
        <v>1152</v>
      </c>
      <c r="H541" s="15">
        <v>9008000061</v>
      </c>
      <c r="I541" s="92" t="s">
        <v>261</v>
      </c>
      <c r="J541" s="92">
        <v>1202010217</v>
      </c>
      <c r="K541" s="28"/>
      <c r="L541" s="95" t="s">
        <v>1721</v>
      </c>
      <c r="M541" s="69" t="s">
        <v>1722</v>
      </c>
      <c r="N541" s="69"/>
      <c r="O541" s="94">
        <v>2</v>
      </c>
      <c r="P541" s="69" t="s">
        <v>50</v>
      </c>
      <c r="Q541" s="69" t="s">
        <v>51</v>
      </c>
      <c r="R541" s="69"/>
      <c r="S541" s="46">
        <v>45455</v>
      </c>
      <c r="T541" s="48">
        <v>45455</v>
      </c>
      <c r="U541" s="69"/>
      <c r="V541" s="69"/>
      <c r="W541" s="69"/>
      <c r="X541" s="69"/>
      <c r="Y541" s="69" t="s">
        <v>4130</v>
      </c>
      <c r="Z541" s="43">
        <v>50000</v>
      </c>
      <c r="AA541" s="43" t="s">
        <v>52</v>
      </c>
      <c r="AB541" s="43" t="s">
        <v>53</v>
      </c>
      <c r="AC541" s="43">
        <v>3650</v>
      </c>
      <c r="AD541" s="141">
        <v>10</v>
      </c>
      <c r="AE541" s="142">
        <v>0</v>
      </c>
      <c r="AF541" s="142"/>
      <c r="AG541" s="69" t="str">
        <f t="shared" si="352"/>
        <v>0 years 203 days</v>
      </c>
      <c r="AH541" s="69">
        <v>0</v>
      </c>
      <c r="AI541" s="69">
        <v>203</v>
      </c>
      <c r="AJ541" s="69">
        <v>0</v>
      </c>
      <c r="AK541" s="69">
        <v>0</v>
      </c>
      <c r="AL541" s="60">
        <v>50000</v>
      </c>
      <c r="AM541" s="60">
        <f t="shared" si="353"/>
        <v>50000</v>
      </c>
      <c r="AN541" s="59">
        <v>2781</v>
      </c>
      <c r="AO541" s="148">
        <f t="shared" si="354"/>
        <v>-2781</v>
      </c>
      <c r="AP541" s="58">
        <v>2479.2739726027394</v>
      </c>
      <c r="AQ541" s="143">
        <f t="shared" si="355"/>
        <v>-2479.27</v>
      </c>
    </row>
    <row r="542" spans="1:43" x14ac:dyDescent="0.35">
      <c r="A542" s="69" t="s">
        <v>43</v>
      </c>
      <c r="B542" s="15" t="s">
        <v>1723</v>
      </c>
      <c r="C542" s="15"/>
      <c r="D542" s="69"/>
      <c r="E542" s="76">
        <v>0</v>
      </c>
      <c r="F542" s="69" t="s">
        <v>1151</v>
      </c>
      <c r="G542" s="92" t="s">
        <v>1152</v>
      </c>
      <c r="H542" s="15">
        <v>9008000062</v>
      </c>
      <c r="I542" s="92" t="s">
        <v>261</v>
      </c>
      <c r="J542" s="92">
        <v>1202010217</v>
      </c>
      <c r="K542" s="17" t="s">
        <v>1724</v>
      </c>
      <c r="L542" s="95" t="s">
        <v>1725</v>
      </c>
      <c r="M542" s="69" t="s">
        <v>1726</v>
      </c>
      <c r="N542" s="69"/>
      <c r="O542" s="94">
        <v>1</v>
      </c>
      <c r="P542" s="69" t="s">
        <v>50</v>
      </c>
      <c r="Q542" s="69" t="s">
        <v>51</v>
      </c>
      <c r="R542" s="69"/>
      <c r="S542" s="46">
        <v>45334</v>
      </c>
      <c r="T542" s="48">
        <v>45334</v>
      </c>
      <c r="U542" s="69"/>
      <c r="V542" s="69"/>
      <c r="W542" s="69"/>
      <c r="X542" s="69"/>
      <c r="Y542" s="69" t="s">
        <v>4130</v>
      </c>
      <c r="Z542" s="43">
        <v>600000</v>
      </c>
      <c r="AA542" s="43" t="s">
        <v>52</v>
      </c>
      <c r="AB542" s="43" t="s">
        <v>53</v>
      </c>
      <c r="AC542" s="43">
        <v>3650</v>
      </c>
      <c r="AD542" s="141">
        <v>10</v>
      </c>
      <c r="AE542" s="142">
        <v>0</v>
      </c>
      <c r="AF542" s="142"/>
      <c r="AG542" s="69" t="str">
        <f t="shared" ref="AG542:AG543" si="356">_xlfn.CONCAT(AH542," years ",AI542," days")</f>
        <v>0 years 324 days</v>
      </c>
      <c r="AH542" s="69">
        <v>0</v>
      </c>
      <c r="AI542" s="69">
        <v>324</v>
      </c>
      <c r="AJ542" s="69">
        <v>0</v>
      </c>
      <c r="AK542" s="69">
        <v>0</v>
      </c>
      <c r="AL542" s="60">
        <v>600000</v>
      </c>
      <c r="AM542" s="60">
        <f t="shared" ref="AM542:AM543" si="357">ROUND(AL542,2)</f>
        <v>600000</v>
      </c>
      <c r="AN542" s="59">
        <v>181973</v>
      </c>
      <c r="AO542" s="148">
        <f t="shared" ref="AO542:AO543" si="358">ROUND(AN542,2)*-1</f>
        <v>-181973</v>
      </c>
      <c r="AP542" s="58">
        <v>29753.30136986298</v>
      </c>
      <c r="AQ542" s="143">
        <f t="shared" ref="AQ542:AQ543" si="359">ROUND(AP542,2)*-1</f>
        <v>-29753.3</v>
      </c>
    </row>
    <row r="543" spans="1:43" x14ac:dyDescent="0.35">
      <c r="A543" s="69" t="s">
        <v>43</v>
      </c>
      <c r="B543" s="15" t="s">
        <v>1727</v>
      </c>
      <c r="C543" s="15"/>
      <c r="D543" s="69" t="e">
        <f>_xlfn.XLOOKUP(B543,SOM!B:B,SOM!D:D,,0)</f>
        <v>#N/A</v>
      </c>
      <c r="E543" s="76">
        <v>1</v>
      </c>
      <c r="F543" s="69" t="s">
        <v>1151</v>
      </c>
      <c r="G543" s="92" t="s">
        <v>1152</v>
      </c>
      <c r="H543" s="15">
        <v>9008000062</v>
      </c>
      <c r="I543" s="92" t="s">
        <v>261</v>
      </c>
      <c r="J543" s="92">
        <v>1202010217</v>
      </c>
      <c r="K543" s="28"/>
      <c r="L543" s="95" t="s">
        <v>1728</v>
      </c>
      <c r="M543" s="69" t="s">
        <v>1729</v>
      </c>
      <c r="N543" s="69"/>
      <c r="O543" s="94">
        <v>1</v>
      </c>
      <c r="P543" s="69" t="s">
        <v>50</v>
      </c>
      <c r="Q543" s="69" t="s">
        <v>51</v>
      </c>
      <c r="R543" s="69"/>
      <c r="S543" s="46">
        <v>45158</v>
      </c>
      <c r="T543" s="48">
        <v>45158</v>
      </c>
      <c r="U543" s="69"/>
      <c r="V543" s="69"/>
      <c r="W543" s="69"/>
      <c r="X543" s="69"/>
      <c r="Y543" s="69" t="s">
        <v>4129</v>
      </c>
      <c r="Z543" s="43">
        <v>102436</v>
      </c>
      <c r="AA543" s="43" t="s">
        <v>52</v>
      </c>
      <c r="AB543" s="43" t="s">
        <v>53</v>
      </c>
      <c r="AC543" s="43">
        <v>3650</v>
      </c>
      <c r="AD543" s="141">
        <v>10</v>
      </c>
      <c r="AE543" s="142">
        <v>0</v>
      </c>
      <c r="AF543" s="142"/>
      <c r="AG543" s="69" t="str">
        <f t="shared" si="356"/>
        <v>1 years 135 days</v>
      </c>
      <c r="AH543" s="69">
        <v>1</v>
      </c>
      <c r="AI543" s="69">
        <v>135</v>
      </c>
      <c r="AJ543" s="69">
        <v>0</v>
      </c>
      <c r="AK543" s="69">
        <v>0</v>
      </c>
      <c r="AL543" s="60">
        <v>102436</v>
      </c>
      <c r="AM543" s="60">
        <f t="shared" si="357"/>
        <v>102436</v>
      </c>
      <c r="AN543" s="59">
        <v>14032</v>
      </c>
      <c r="AO543" s="148">
        <f t="shared" si="358"/>
        <v>-14032</v>
      </c>
      <c r="AP543" s="58">
        <v>5080.0317808219188</v>
      </c>
      <c r="AQ543" s="143">
        <f t="shared" si="359"/>
        <v>-5080.03</v>
      </c>
    </row>
    <row r="544" spans="1:43" x14ac:dyDescent="0.35">
      <c r="A544" s="69" t="s">
        <v>43</v>
      </c>
      <c r="B544" s="15" t="s">
        <v>1730</v>
      </c>
      <c r="C544" s="15"/>
      <c r="D544" s="69"/>
      <c r="E544" s="76">
        <v>0</v>
      </c>
      <c r="F544" s="69" t="s">
        <v>1151</v>
      </c>
      <c r="G544" s="92" t="s">
        <v>1152</v>
      </c>
      <c r="H544" s="15">
        <v>9008000063</v>
      </c>
      <c r="I544" s="92" t="s">
        <v>1731</v>
      </c>
      <c r="J544" s="92">
        <v>1202110101</v>
      </c>
      <c r="K544" s="20" t="s">
        <v>1732</v>
      </c>
      <c r="L544" s="95" t="s">
        <v>1733</v>
      </c>
      <c r="M544" s="69" t="s">
        <v>1734</v>
      </c>
      <c r="N544" s="69"/>
      <c r="O544" s="94">
        <v>1</v>
      </c>
      <c r="P544" s="69" t="s">
        <v>50</v>
      </c>
      <c r="Q544" s="69" t="s">
        <v>51</v>
      </c>
      <c r="R544" s="69"/>
      <c r="S544" s="46">
        <v>44867</v>
      </c>
      <c r="T544" s="48">
        <v>44867</v>
      </c>
      <c r="U544" s="69"/>
      <c r="V544" s="69"/>
      <c r="W544" s="69"/>
      <c r="X544" s="69"/>
      <c r="Y544" s="69" t="s">
        <v>4131</v>
      </c>
      <c r="Z544" s="43">
        <v>1773118</v>
      </c>
      <c r="AA544" s="43" t="s">
        <v>52</v>
      </c>
      <c r="AB544" s="43" t="s">
        <v>53</v>
      </c>
      <c r="AC544" s="43">
        <v>3650</v>
      </c>
      <c r="AD544" s="141">
        <v>10</v>
      </c>
      <c r="AE544" s="142">
        <v>0</v>
      </c>
      <c r="AF544" s="142"/>
      <c r="AG544" s="69" t="str">
        <f t="shared" ref="AG544:AG545" si="360">_xlfn.CONCAT(AH544," years ",AI544," days")</f>
        <v>2 years 61 days</v>
      </c>
      <c r="AH544" s="69">
        <v>2</v>
      </c>
      <c r="AI544" s="69">
        <v>61</v>
      </c>
      <c r="AJ544" s="69">
        <v>0</v>
      </c>
      <c r="AK544" s="69">
        <v>0</v>
      </c>
      <c r="AL544" s="60">
        <v>1773118</v>
      </c>
      <c r="AM544" s="60">
        <f t="shared" ref="AM544:AM545" si="361">ROUND(AL544,2)</f>
        <v>1773118</v>
      </c>
      <c r="AN544" s="59">
        <v>1023551</v>
      </c>
      <c r="AO544" s="148">
        <f t="shared" ref="AO544:AO545" si="362">ROUND(AN544,2)*-1</f>
        <v>-1023551</v>
      </c>
      <c r="AP544" s="58">
        <v>87926.803835616447</v>
      </c>
      <c r="AQ544" s="143">
        <f t="shared" ref="AQ544:AQ545" si="363">ROUND(AP544,2)*-1</f>
        <v>-87926.8</v>
      </c>
    </row>
    <row r="545" spans="1:43" x14ac:dyDescent="0.35">
      <c r="A545" s="69" t="s">
        <v>43</v>
      </c>
      <c r="B545" s="15" t="s">
        <v>1735</v>
      </c>
      <c r="C545" s="15"/>
      <c r="D545" s="69" t="e">
        <f>_xlfn.XLOOKUP(B545,SOM!B:B,SOM!D:D,,0)</f>
        <v>#N/A</v>
      </c>
      <c r="E545" s="76">
        <v>1</v>
      </c>
      <c r="F545" s="69" t="s">
        <v>1151</v>
      </c>
      <c r="G545" s="92" t="s">
        <v>1152</v>
      </c>
      <c r="H545" s="15">
        <v>9008000063</v>
      </c>
      <c r="I545" s="92" t="s">
        <v>1731</v>
      </c>
      <c r="J545" s="92">
        <v>1202110101</v>
      </c>
      <c r="K545" s="28"/>
      <c r="L545" s="95" t="s">
        <v>1736</v>
      </c>
      <c r="M545" s="69" t="s">
        <v>1737</v>
      </c>
      <c r="N545" s="69"/>
      <c r="O545" s="94">
        <v>30</v>
      </c>
      <c r="P545" s="69" t="s">
        <v>50</v>
      </c>
      <c r="Q545" s="69" t="s">
        <v>51</v>
      </c>
      <c r="R545" s="69"/>
      <c r="S545" s="46">
        <v>45199</v>
      </c>
      <c r="T545" s="48">
        <v>45199</v>
      </c>
      <c r="U545" s="69"/>
      <c r="V545" s="69"/>
      <c r="W545" s="69"/>
      <c r="X545" s="69"/>
      <c r="Y545" s="69" t="s">
        <v>4129</v>
      </c>
      <c r="Z545" s="43">
        <v>76500</v>
      </c>
      <c r="AA545" s="43" t="s">
        <v>52</v>
      </c>
      <c r="AB545" s="43" t="s">
        <v>53</v>
      </c>
      <c r="AC545" s="43">
        <v>3650</v>
      </c>
      <c r="AD545" s="141">
        <v>10</v>
      </c>
      <c r="AE545" s="142">
        <v>0</v>
      </c>
      <c r="AF545" s="142"/>
      <c r="AG545" s="69" t="str">
        <f t="shared" si="360"/>
        <v>1 years 94 days</v>
      </c>
      <c r="AH545" s="69">
        <v>1</v>
      </c>
      <c r="AI545" s="69">
        <v>94</v>
      </c>
      <c r="AJ545" s="69">
        <v>0</v>
      </c>
      <c r="AK545" s="69">
        <v>0</v>
      </c>
      <c r="AL545" s="60">
        <v>76500</v>
      </c>
      <c r="AM545" s="60">
        <f t="shared" si="361"/>
        <v>76500</v>
      </c>
      <c r="AN545" s="59">
        <v>9620</v>
      </c>
      <c r="AO545" s="148">
        <f t="shared" si="362"/>
        <v>-9620</v>
      </c>
      <c r="AP545" s="58">
        <v>3793.698630136987</v>
      </c>
      <c r="AQ545" s="143">
        <f t="shared" si="363"/>
        <v>-3793.7</v>
      </c>
    </row>
    <row r="546" spans="1:43" x14ac:dyDescent="0.35">
      <c r="A546" s="69" t="s">
        <v>43</v>
      </c>
      <c r="B546" s="15" t="s">
        <v>1738</v>
      </c>
      <c r="C546" s="15"/>
      <c r="D546" s="69"/>
      <c r="E546" s="76">
        <v>0</v>
      </c>
      <c r="F546" s="69" t="s">
        <v>1151</v>
      </c>
      <c r="G546" s="92" t="s">
        <v>1152</v>
      </c>
      <c r="H546" s="15">
        <v>9008000064</v>
      </c>
      <c r="I546" s="92" t="s">
        <v>1731</v>
      </c>
      <c r="J546" s="92">
        <v>1202110101</v>
      </c>
      <c r="K546" s="17" t="s">
        <v>1739</v>
      </c>
      <c r="L546" s="95" t="s">
        <v>1740</v>
      </c>
      <c r="M546" s="69" t="s">
        <v>1741</v>
      </c>
      <c r="N546" s="69"/>
      <c r="O546" s="94">
        <v>1</v>
      </c>
      <c r="P546" s="69" t="s">
        <v>50</v>
      </c>
      <c r="Q546" s="69" t="s">
        <v>51</v>
      </c>
      <c r="R546" s="69"/>
      <c r="S546" s="46">
        <v>45208</v>
      </c>
      <c r="T546" s="48">
        <v>45208</v>
      </c>
      <c r="U546" s="69"/>
      <c r="V546" s="69"/>
      <c r="W546" s="69"/>
      <c r="X546" s="69"/>
      <c r="Y546" s="69" t="s">
        <v>4129</v>
      </c>
      <c r="Z546" s="43">
        <v>1725000</v>
      </c>
      <c r="AA546" s="43" t="s">
        <v>52</v>
      </c>
      <c r="AB546" s="43" t="s">
        <v>53</v>
      </c>
      <c r="AC546" s="43">
        <v>3650</v>
      </c>
      <c r="AD546" s="141">
        <v>10</v>
      </c>
      <c r="AE546" s="142">
        <v>0</v>
      </c>
      <c r="AF546" s="142"/>
      <c r="AG546" s="69" t="str">
        <f t="shared" ref="AG546:AG548" si="364">_xlfn.CONCAT(AH546," years ",AI546," days")</f>
        <v>1 years 85 days</v>
      </c>
      <c r="AH546" s="69">
        <v>1</v>
      </c>
      <c r="AI546" s="69">
        <v>85</v>
      </c>
      <c r="AJ546" s="69">
        <v>0</v>
      </c>
      <c r="AK546" s="69">
        <v>0</v>
      </c>
      <c r="AL546" s="60">
        <v>1725000</v>
      </c>
      <c r="AM546" s="60">
        <f t="shared" ref="AM546:AM548" si="365">ROUND(AL546,2)</f>
        <v>1725000</v>
      </c>
      <c r="AN546" s="59">
        <v>587445</v>
      </c>
      <c r="AO546" s="148">
        <f t="shared" ref="AO546:AO548" si="366">ROUND(AN546,2)*-1</f>
        <v>-587445</v>
      </c>
      <c r="AP546" s="58">
        <v>85541.30136986298</v>
      </c>
      <c r="AQ546" s="143">
        <f t="shared" ref="AQ546:AQ548" si="367">ROUND(AP546,2)*-1</f>
        <v>-85541.3</v>
      </c>
    </row>
    <row r="547" spans="1:43" x14ac:dyDescent="0.35">
      <c r="A547" s="69" t="s">
        <v>43</v>
      </c>
      <c r="B547" s="15" t="s">
        <v>1742</v>
      </c>
      <c r="C547" s="15"/>
      <c r="D547" s="69" t="e">
        <f>_xlfn.XLOOKUP(B547,SOM!B:B,SOM!D:D,,0)</f>
        <v>#N/A</v>
      </c>
      <c r="E547" s="76">
        <v>1</v>
      </c>
      <c r="F547" s="69" t="s">
        <v>1151</v>
      </c>
      <c r="G547" s="92" t="s">
        <v>1152</v>
      </c>
      <c r="H547" s="116">
        <v>9008000064</v>
      </c>
      <c r="I547" s="92" t="s">
        <v>1731</v>
      </c>
      <c r="J547" s="92">
        <v>1202110101</v>
      </c>
      <c r="K547" s="28"/>
      <c r="L547" s="95" t="s">
        <v>1743</v>
      </c>
      <c r="M547" s="69" t="s">
        <v>1744</v>
      </c>
      <c r="N547" s="69"/>
      <c r="O547" s="94">
        <v>1</v>
      </c>
      <c r="P547" s="69" t="s">
        <v>50</v>
      </c>
      <c r="Q547" s="69" t="s">
        <v>51</v>
      </c>
      <c r="R547" s="69"/>
      <c r="S547" s="46">
        <v>45068</v>
      </c>
      <c r="T547" s="48">
        <v>45068</v>
      </c>
      <c r="U547" s="69"/>
      <c r="V547" s="69"/>
      <c r="W547" s="69"/>
      <c r="X547" s="69"/>
      <c r="Y547" s="69" t="s">
        <v>4129</v>
      </c>
      <c r="Z547" s="43">
        <v>100000</v>
      </c>
      <c r="AA547" s="43" t="s">
        <v>52</v>
      </c>
      <c r="AB547" s="43" t="s">
        <v>53</v>
      </c>
      <c r="AC547" s="43">
        <v>3650</v>
      </c>
      <c r="AD547" s="141">
        <v>10</v>
      </c>
      <c r="AE547" s="142">
        <v>0</v>
      </c>
      <c r="AF547" s="142"/>
      <c r="AG547" s="69" t="str">
        <f t="shared" si="364"/>
        <v>1 years 225 days</v>
      </c>
      <c r="AH547" s="69">
        <v>1</v>
      </c>
      <c r="AI547" s="69">
        <v>225</v>
      </c>
      <c r="AJ547" s="69">
        <v>0</v>
      </c>
      <c r="AK547" s="69">
        <v>0</v>
      </c>
      <c r="AL547" s="60">
        <v>100000</v>
      </c>
      <c r="AM547" s="60">
        <f t="shared" si="365"/>
        <v>100000</v>
      </c>
      <c r="AN547" s="59">
        <v>16164</v>
      </c>
      <c r="AO547" s="148">
        <f t="shared" si="366"/>
        <v>-16164</v>
      </c>
      <c r="AP547" s="58">
        <v>4959.2876712328762</v>
      </c>
      <c r="AQ547" s="143">
        <f t="shared" si="367"/>
        <v>-4959.29</v>
      </c>
    </row>
    <row r="548" spans="1:43" x14ac:dyDescent="0.35">
      <c r="A548" s="69" t="s">
        <v>43</v>
      </c>
      <c r="B548" s="15" t="s">
        <v>1745</v>
      </c>
      <c r="C548" s="15"/>
      <c r="D548" s="69" t="e">
        <f>_xlfn.XLOOKUP(B548,SOM!B:B,SOM!D:D,,0)</f>
        <v>#N/A</v>
      </c>
      <c r="E548" s="76">
        <v>2</v>
      </c>
      <c r="F548" s="69" t="s">
        <v>1151</v>
      </c>
      <c r="G548" s="92" t="s">
        <v>1152</v>
      </c>
      <c r="H548" s="15">
        <v>9008000064</v>
      </c>
      <c r="I548" s="92" t="s">
        <v>1731</v>
      </c>
      <c r="J548" s="92">
        <v>1202110101</v>
      </c>
      <c r="K548" s="28"/>
      <c r="L548" s="95" t="s">
        <v>1746</v>
      </c>
      <c r="M548" s="69" t="s">
        <v>1747</v>
      </c>
      <c r="N548" s="69"/>
      <c r="O548" s="94">
        <v>2</v>
      </c>
      <c r="P548" s="69" t="s">
        <v>50</v>
      </c>
      <c r="Q548" s="69" t="s">
        <v>51</v>
      </c>
      <c r="R548" s="69"/>
      <c r="S548" s="46">
        <v>44008</v>
      </c>
      <c r="T548" s="48">
        <v>44008</v>
      </c>
      <c r="U548" s="69"/>
      <c r="V548" s="69"/>
      <c r="W548" s="69"/>
      <c r="X548" s="69"/>
      <c r="Y548" s="69" t="s">
        <v>4127</v>
      </c>
      <c r="Z548" s="43">
        <v>47500</v>
      </c>
      <c r="AA548" s="43" t="s">
        <v>52</v>
      </c>
      <c r="AB548" s="43" t="s">
        <v>53</v>
      </c>
      <c r="AC548" s="43">
        <v>3650</v>
      </c>
      <c r="AD548" s="141">
        <v>10</v>
      </c>
      <c r="AE548" s="142">
        <v>0</v>
      </c>
      <c r="AF548" s="142"/>
      <c r="AG548" s="69" t="str">
        <f t="shared" si="364"/>
        <v>4 years 190 days</v>
      </c>
      <c r="AH548" s="69">
        <v>4</v>
      </c>
      <c r="AI548" s="69">
        <v>190</v>
      </c>
      <c r="AJ548" s="69">
        <v>0</v>
      </c>
      <c r="AK548" s="69">
        <v>0</v>
      </c>
      <c r="AL548" s="60">
        <v>47500</v>
      </c>
      <c r="AM548" s="60">
        <f t="shared" si="365"/>
        <v>47500</v>
      </c>
      <c r="AN548" s="59">
        <v>21473</v>
      </c>
      <c r="AO548" s="148">
        <f t="shared" si="366"/>
        <v>-21473</v>
      </c>
      <c r="AP548" s="58">
        <v>2355.0821917808207</v>
      </c>
      <c r="AQ548" s="143">
        <f t="shared" si="367"/>
        <v>-2355.08</v>
      </c>
    </row>
    <row r="549" spans="1:43" x14ac:dyDescent="0.35">
      <c r="A549" s="69" t="s">
        <v>43</v>
      </c>
      <c r="B549" s="15" t="s">
        <v>1748</v>
      </c>
      <c r="C549" s="15"/>
      <c r="D549" s="69"/>
      <c r="E549" s="76">
        <v>0</v>
      </c>
      <c r="F549" s="69" t="s">
        <v>1151</v>
      </c>
      <c r="G549" s="92" t="s">
        <v>1152</v>
      </c>
      <c r="H549" s="15">
        <v>9008000065</v>
      </c>
      <c r="I549" s="92" t="s">
        <v>1731</v>
      </c>
      <c r="J549" s="92">
        <v>1202110101</v>
      </c>
      <c r="K549" s="17" t="s">
        <v>1749</v>
      </c>
      <c r="L549" s="95" t="s">
        <v>1750</v>
      </c>
      <c r="M549" s="69" t="s">
        <v>1751</v>
      </c>
      <c r="N549" s="69"/>
      <c r="O549" s="94">
        <v>8</v>
      </c>
      <c r="P549" s="69" t="s">
        <v>50</v>
      </c>
      <c r="Q549" s="69" t="s">
        <v>51</v>
      </c>
      <c r="R549" s="69"/>
      <c r="S549" s="46">
        <v>45675</v>
      </c>
      <c r="T549" s="48">
        <v>45675</v>
      </c>
      <c r="U549" s="69"/>
      <c r="V549" s="69"/>
      <c r="W549" s="69"/>
      <c r="X549" s="69"/>
      <c r="Y549" s="69" t="s">
        <v>4132</v>
      </c>
      <c r="Z549" s="43">
        <v>3592660</v>
      </c>
      <c r="AA549" s="43" t="s">
        <v>52</v>
      </c>
      <c r="AB549" s="43" t="s">
        <v>53</v>
      </c>
      <c r="AC549" s="43">
        <v>3650</v>
      </c>
      <c r="AD549" s="141">
        <v>10</v>
      </c>
      <c r="AE549" s="142">
        <v>0</v>
      </c>
      <c r="AF549" s="142"/>
      <c r="AG549" s="69" t="str">
        <f>_xlfn.CONCAT(AH549," years ",AI549," days")</f>
        <v>0 years 0 days</v>
      </c>
      <c r="AH549" s="69">
        <v>0</v>
      </c>
      <c r="AI549" s="69">
        <v>0</v>
      </c>
      <c r="AJ549" s="69">
        <v>0</v>
      </c>
      <c r="AK549" s="69">
        <v>0</v>
      </c>
      <c r="AL549" s="60">
        <v>3592660</v>
      </c>
      <c r="AM549" s="60">
        <f>ROUND(AL549,2)</f>
        <v>3592660</v>
      </c>
      <c r="AN549" s="59">
        <v>0</v>
      </c>
      <c r="AO549" s="148">
        <f>ROUND(AN549,2)*-1</f>
        <v>0</v>
      </c>
      <c r="AP549" s="58">
        <v>161423.62739726028</v>
      </c>
      <c r="AQ549" s="143">
        <f>ROUND(AP549,2)*-1</f>
        <v>-161423.63</v>
      </c>
    </row>
    <row r="550" spans="1:43" x14ac:dyDescent="0.35">
      <c r="A550" s="69" t="s">
        <v>43</v>
      </c>
      <c r="B550" s="15" t="s">
        <v>1752</v>
      </c>
      <c r="C550" s="15"/>
      <c r="D550" s="69"/>
      <c r="E550" s="76">
        <v>0</v>
      </c>
      <c r="F550" s="69" t="s">
        <v>1151</v>
      </c>
      <c r="G550" s="92" t="s">
        <v>1152</v>
      </c>
      <c r="H550" s="15">
        <v>9008000066</v>
      </c>
      <c r="I550" s="92" t="s">
        <v>261</v>
      </c>
      <c r="J550" s="92">
        <v>1202010217</v>
      </c>
      <c r="K550" s="32" t="s">
        <v>1753</v>
      </c>
      <c r="L550" s="95" t="s">
        <v>1754</v>
      </c>
      <c r="M550" s="69" t="s">
        <v>1755</v>
      </c>
      <c r="N550" s="69"/>
      <c r="O550" s="94">
        <v>1</v>
      </c>
      <c r="P550" s="69" t="s">
        <v>50</v>
      </c>
      <c r="Q550" s="69" t="s">
        <v>51</v>
      </c>
      <c r="R550" s="69"/>
      <c r="S550" s="46">
        <v>45370</v>
      </c>
      <c r="T550" s="48">
        <v>45370</v>
      </c>
      <c r="U550" s="69"/>
      <c r="V550" s="69"/>
      <c r="W550" s="69"/>
      <c r="X550" s="69"/>
      <c r="Y550" s="69" t="s">
        <v>4130</v>
      </c>
      <c r="Z550" s="43">
        <v>530000</v>
      </c>
      <c r="AA550" s="43" t="s">
        <v>52</v>
      </c>
      <c r="AB550" s="43" t="s">
        <v>53</v>
      </c>
      <c r="AC550" s="43">
        <v>3650</v>
      </c>
      <c r="AD550" s="141">
        <v>10</v>
      </c>
      <c r="AE550" s="142">
        <v>0</v>
      </c>
      <c r="AF550" s="142"/>
      <c r="AG550" s="69" t="str">
        <f>_xlfn.CONCAT(AH550," years ",AI550," days")</f>
        <v>0 years 288 days</v>
      </c>
      <c r="AH550" s="69">
        <v>0</v>
      </c>
      <c r="AI550" s="69">
        <v>288</v>
      </c>
      <c r="AJ550" s="69">
        <v>0</v>
      </c>
      <c r="AK550" s="69">
        <v>0</v>
      </c>
      <c r="AL550" s="60">
        <v>530000</v>
      </c>
      <c r="AM550" s="60">
        <f>ROUND(AL550,2)</f>
        <v>530000</v>
      </c>
      <c r="AN550" s="59">
        <v>262082</v>
      </c>
      <c r="AO550" s="148">
        <f>ROUND(AN550,2)*-1</f>
        <v>-262082</v>
      </c>
      <c r="AP550" s="58">
        <v>26282.257597228803</v>
      </c>
      <c r="AQ550" s="143">
        <f>ROUND(AP550,2)*-1</f>
        <v>-26282.26</v>
      </c>
    </row>
    <row r="551" spans="1:43" x14ac:dyDescent="0.35">
      <c r="A551" s="69" t="s">
        <v>43</v>
      </c>
      <c r="B551" s="15" t="s">
        <v>1756</v>
      </c>
      <c r="C551" s="15"/>
      <c r="D551" s="69"/>
      <c r="E551" s="76">
        <v>0</v>
      </c>
      <c r="F551" s="69" t="s">
        <v>1151</v>
      </c>
      <c r="G551" s="92" t="s">
        <v>1152</v>
      </c>
      <c r="H551" s="15">
        <v>9008000067</v>
      </c>
      <c r="I551" s="92" t="s">
        <v>261</v>
      </c>
      <c r="J551" s="92">
        <v>1202010217</v>
      </c>
      <c r="K551" s="32" t="s">
        <v>1757</v>
      </c>
      <c r="L551" s="95" t="s">
        <v>1758</v>
      </c>
      <c r="M551" s="69" t="s">
        <v>1759</v>
      </c>
      <c r="N551" s="69"/>
      <c r="O551" s="94">
        <v>1</v>
      </c>
      <c r="P551" s="69" t="s">
        <v>50</v>
      </c>
      <c r="Q551" s="69" t="s">
        <v>51</v>
      </c>
      <c r="R551" s="69"/>
      <c r="S551" s="46">
        <v>44137</v>
      </c>
      <c r="T551" s="48">
        <v>44137</v>
      </c>
      <c r="U551" s="69"/>
      <c r="V551" s="69"/>
      <c r="W551" s="69"/>
      <c r="X551" s="69"/>
      <c r="Y551" s="69" t="s">
        <v>4127</v>
      </c>
      <c r="Z551" s="43">
        <v>780000</v>
      </c>
      <c r="AA551" s="43" t="s">
        <v>52</v>
      </c>
      <c r="AB551" s="43" t="s">
        <v>53</v>
      </c>
      <c r="AC551" s="43">
        <v>3650</v>
      </c>
      <c r="AD551" s="141">
        <v>10</v>
      </c>
      <c r="AE551" s="142">
        <v>0</v>
      </c>
      <c r="AF551" s="142"/>
      <c r="AG551" s="69" t="str">
        <f>_xlfn.CONCAT(AH551," years ",AI551," days")</f>
        <v>4 years 61 days</v>
      </c>
      <c r="AH551" s="69">
        <v>4</v>
      </c>
      <c r="AI551" s="69">
        <v>61</v>
      </c>
      <c r="AJ551" s="69">
        <v>0</v>
      </c>
      <c r="AK551" s="69">
        <v>0</v>
      </c>
      <c r="AL551" s="60">
        <v>780000</v>
      </c>
      <c r="AM551" s="60">
        <f>ROUND(AL551,2)</f>
        <v>780000</v>
      </c>
      <c r="AN551" s="59">
        <v>325036</v>
      </c>
      <c r="AO551" s="148">
        <f>ROUND(AN551,2)*-1</f>
        <v>-325036</v>
      </c>
      <c r="AP551" s="58">
        <v>38679.068493150757</v>
      </c>
      <c r="AQ551" s="143">
        <f>ROUND(AP551,2)*-1</f>
        <v>-38679.07</v>
      </c>
    </row>
    <row r="552" spans="1:43" x14ac:dyDescent="0.35">
      <c r="A552" s="69" t="s">
        <v>43</v>
      </c>
      <c r="B552" s="15" t="s">
        <v>1760</v>
      </c>
      <c r="C552" s="15"/>
      <c r="D552" s="69"/>
      <c r="E552" s="76">
        <v>0</v>
      </c>
      <c r="F552" s="69" t="s">
        <v>1151</v>
      </c>
      <c r="G552" s="92" t="s">
        <v>1152</v>
      </c>
      <c r="H552" s="15">
        <v>9008000068</v>
      </c>
      <c r="I552" s="92" t="s">
        <v>261</v>
      </c>
      <c r="J552" s="92">
        <v>1202010217</v>
      </c>
      <c r="K552" s="32" t="s">
        <v>1761</v>
      </c>
      <c r="L552" s="95" t="s">
        <v>1762</v>
      </c>
      <c r="M552" s="69" t="s">
        <v>1763</v>
      </c>
      <c r="N552" s="69"/>
      <c r="O552" s="94">
        <v>3</v>
      </c>
      <c r="P552" s="69" t="s">
        <v>50</v>
      </c>
      <c r="Q552" s="69" t="s">
        <v>51</v>
      </c>
      <c r="R552" s="69"/>
      <c r="S552" s="46">
        <v>44683</v>
      </c>
      <c r="T552" s="48">
        <v>44683</v>
      </c>
      <c r="U552" s="69"/>
      <c r="V552" s="69"/>
      <c r="W552" s="69"/>
      <c r="X552" s="69"/>
      <c r="Y552" s="69" t="s">
        <v>4131</v>
      </c>
      <c r="Z552" s="43">
        <v>1018250</v>
      </c>
      <c r="AA552" s="43" t="s">
        <v>52</v>
      </c>
      <c r="AB552" s="43" t="s">
        <v>53</v>
      </c>
      <c r="AC552" s="43">
        <v>3650</v>
      </c>
      <c r="AD552" s="141">
        <v>10</v>
      </c>
      <c r="AE552" s="142">
        <v>0</v>
      </c>
      <c r="AF552" s="142"/>
      <c r="AG552" s="69" t="str">
        <f>_xlfn.CONCAT(AH552," years ",AI552," days")</f>
        <v>2 years 245 days</v>
      </c>
      <c r="AH552" s="69">
        <v>2</v>
      </c>
      <c r="AI552" s="69">
        <v>245</v>
      </c>
      <c r="AJ552" s="69">
        <v>0</v>
      </c>
      <c r="AK552" s="69">
        <v>0</v>
      </c>
      <c r="AL552" s="60">
        <v>1018250</v>
      </c>
      <c r="AM552" s="60">
        <f>ROUND(AL552,2)</f>
        <v>1018250</v>
      </c>
      <c r="AN552" s="59">
        <v>271998</v>
      </c>
      <c r="AO552" s="148">
        <f>ROUND(AN552,2)*-1</f>
        <v>-271998</v>
      </c>
      <c r="AP552" s="58">
        <v>50494.328767123283</v>
      </c>
      <c r="AQ552" s="143">
        <f>ROUND(AP552,2)*-1</f>
        <v>-50494.33</v>
      </c>
    </row>
    <row r="553" spans="1:43" x14ac:dyDescent="0.35">
      <c r="A553" s="69" t="s">
        <v>43</v>
      </c>
      <c r="B553" s="15" t="s">
        <v>1764</v>
      </c>
      <c r="C553" s="15"/>
      <c r="D553" s="69"/>
      <c r="E553" s="76">
        <v>0</v>
      </c>
      <c r="F553" s="69" t="s">
        <v>1151</v>
      </c>
      <c r="G553" s="92" t="s">
        <v>1152</v>
      </c>
      <c r="H553" s="15">
        <v>9008000069</v>
      </c>
      <c r="I553" s="92" t="s">
        <v>261</v>
      </c>
      <c r="J553" s="92">
        <v>1202010217</v>
      </c>
      <c r="K553" s="33" t="s">
        <v>1765</v>
      </c>
      <c r="L553" s="95" t="s">
        <v>1766</v>
      </c>
      <c r="M553" s="69" t="s">
        <v>1767</v>
      </c>
      <c r="N553" s="69"/>
      <c r="O553" s="94">
        <v>1</v>
      </c>
      <c r="P553" s="69" t="s">
        <v>50</v>
      </c>
      <c r="Q553" s="69" t="s">
        <v>51</v>
      </c>
      <c r="R553" s="69"/>
      <c r="S553" s="46">
        <v>44867</v>
      </c>
      <c r="T553" s="48">
        <v>44867</v>
      </c>
      <c r="U553" s="69"/>
      <c r="V553" s="69"/>
      <c r="W553" s="69"/>
      <c r="X553" s="69"/>
      <c r="Y553" s="69" t="s">
        <v>4131</v>
      </c>
      <c r="Z553" s="43">
        <v>565000</v>
      </c>
      <c r="AA553" s="43" t="s">
        <v>52</v>
      </c>
      <c r="AB553" s="43" t="s">
        <v>53</v>
      </c>
      <c r="AC553" s="43">
        <v>3650</v>
      </c>
      <c r="AD553" s="141">
        <v>10</v>
      </c>
      <c r="AE553" s="142">
        <v>0</v>
      </c>
      <c r="AF553" s="142"/>
      <c r="AG553" s="69" t="str">
        <f>_xlfn.CONCAT(AH553," years ",AI553," days")</f>
        <v>2 years 61 days</v>
      </c>
      <c r="AH553" s="69">
        <v>2</v>
      </c>
      <c r="AI553" s="69">
        <v>61</v>
      </c>
      <c r="AJ553" s="69">
        <v>0</v>
      </c>
      <c r="AK553" s="69">
        <v>0</v>
      </c>
      <c r="AL553" s="60">
        <v>565000</v>
      </c>
      <c r="AM553" s="60">
        <f>ROUND(AL553,2)</f>
        <v>565000</v>
      </c>
      <c r="AN553" s="59">
        <v>224762</v>
      </c>
      <c r="AO553" s="148">
        <f>ROUND(AN553,2)*-1</f>
        <v>-224762</v>
      </c>
      <c r="AP553" s="58">
        <v>28017.452054794499</v>
      </c>
      <c r="AQ553" s="143">
        <f>ROUND(AP553,2)*-1</f>
        <v>-28017.45</v>
      </c>
    </row>
    <row r="554" spans="1:43" x14ac:dyDescent="0.35">
      <c r="A554" s="69" t="s">
        <v>43</v>
      </c>
      <c r="B554" s="15" t="s">
        <v>1768</v>
      </c>
      <c r="C554" s="15"/>
      <c r="D554" s="69"/>
      <c r="E554" s="76">
        <v>0</v>
      </c>
      <c r="F554" s="69" t="s">
        <v>1151</v>
      </c>
      <c r="G554" s="92" t="s">
        <v>1152</v>
      </c>
      <c r="H554" s="15">
        <v>9008000070</v>
      </c>
      <c r="I554" s="92" t="s">
        <v>261</v>
      </c>
      <c r="J554" s="92">
        <v>1202010217</v>
      </c>
      <c r="K554" s="32" t="s">
        <v>1769</v>
      </c>
      <c r="L554" s="95" t="s">
        <v>1770</v>
      </c>
      <c r="M554" s="69" t="s">
        <v>49</v>
      </c>
      <c r="N554" s="69"/>
      <c r="O554" s="94">
        <v>1</v>
      </c>
      <c r="P554" s="69" t="s">
        <v>50</v>
      </c>
      <c r="Q554" s="69" t="s">
        <v>51</v>
      </c>
      <c r="R554" s="69"/>
      <c r="S554" s="46">
        <v>43454</v>
      </c>
      <c r="T554" s="48">
        <v>43454</v>
      </c>
      <c r="U554" s="69"/>
      <c r="V554" s="69"/>
      <c r="W554" s="69"/>
      <c r="X554" s="69"/>
      <c r="Y554" s="69" t="s">
        <v>4125</v>
      </c>
      <c r="Z554" s="43">
        <v>300000</v>
      </c>
      <c r="AA554" s="43" t="s">
        <v>52</v>
      </c>
      <c r="AB554" s="43" t="s">
        <v>53</v>
      </c>
      <c r="AC554" s="43">
        <v>3650</v>
      </c>
      <c r="AD554" s="141">
        <v>10</v>
      </c>
      <c r="AE554" s="142">
        <v>0</v>
      </c>
      <c r="AF554" s="142"/>
      <c r="AG554" s="69" t="str">
        <f t="shared" ref="AG554:AG555" si="368">_xlfn.CONCAT(AH554," years ",AI554," days")</f>
        <v>6 years 14 days</v>
      </c>
      <c r="AH554" s="69">
        <v>6</v>
      </c>
      <c r="AI554" s="69">
        <v>14</v>
      </c>
      <c r="AJ554" s="69">
        <v>0</v>
      </c>
      <c r="AK554" s="69">
        <v>0</v>
      </c>
      <c r="AL554" s="60">
        <v>300000</v>
      </c>
      <c r="AM554" s="60">
        <f t="shared" ref="AM554:AM555" si="369">ROUND(AL554,2)</f>
        <v>300000</v>
      </c>
      <c r="AN554" s="59">
        <v>210180</v>
      </c>
      <c r="AO554" s="148">
        <f t="shared" ref="AO554:AO555" si="370">ROUND(AN554,2)*-1</f>
        <v>-210180</v>
      </c>
      <c r="AP554" s="58">
        <v>14877.205479452066</v>
      </c>
      <c r="AQ554" s="143">
        <f t="shared" ref="AQ554:AQ555" si="371">ROUND(AP554,2)*-1</f>
        <v>-14877.21</v>
      </c>
    </row>
    <row r="555" spans="1:43" x14ac:dyDescent="0.35">
      <c r="A555" s="69" t="s">
        <v>43</v>
      </c>
      <c r="B555" s="15" t="s">
        <v>1771</v>
      </c>
      <c r="C555" s="15"/>
      <c r="D555" s="69" t="e">
        <f>_xlfn.XLOOKUP(B555,SOM!B:B,SOM!D:D,,0)</f>
        <v>#N/A</v>
      </c>
      <c r="E555" s="76">
        <v>1</v>
      </c>
      <c r="F555" s="69" t="s">
        <v>1151</v>
      </c>
      <c r="G555" s="92" t="s">
        <v>1152</v>
      </c>
      <c r="H555" s="15">
        <v>9008000070</v>
      </c>
      <c r="I555" s="92" t="s">
        <v>261</v>
      </c>
      <c r="J555" s="92">
        <v>1202010217</v>
      </c>
      <c r="K555" s="28"/>
      <c r="L555" s="95" t="s">
        <v>1772</v>
      </c>
      <c r="M555" s="69" t="s">
        <v>49</v>
      </c>
      <c r="N555" s="69"/>
      <c r="O555" s="94">
        <v>1</v>
      </c>
      <c r="P555" s="69" t="s">
        <v>50</v>
      </c>
      <c r="Q555" s="69" t="s">
        <v>51</v>
      </c>
      <c r="R555" s="69"/>
      <c r="S555" s="46">
        <v>44867</v>
      </c>
      <c r="T555" s="48">
        <v>44867</v>
      </c>
      <c r="U555" s="69"/>
      <c r="V555" s="69"/>
      <c r="W555" s="69"/>
      <c r="X555" s="69"/>
      <c r="Y555" s="69" t="s">
        <v>4131</v>
      </c>
      <c r="Z555" s="43">
        <v>180000</v>
      </c>
      <c r="AA555" s="43" t="s">
        <v>52</v>
      </c>
      <c r="AB555" s="43" t="s">
        <v>53</v>
      </c>
      <c r="AC555" s="43">
        <v>3650</v>
      </c>
      <c r="AD555" s="141">
        <v>10</v>
      </c>
      <c r="AE555" s="142">
        <v>0</v>
      </c>
      <c r="AF555" s="142"/>
      <c r="AG555" s="69" t="str">
        <f t="shared" si="368"/>
        <v>2 years 61 days</v>
      </c>
      <c r="AH555" s="69">
        <v>2</v>
      </c>
      <c r="AI555" s="69">
        <v>61</v>
      </c>
      <c r="AJ555" s="69">
        <v>0</v>
      </c>
      <c r="AK555" s="69">
        <v>0</v>
      </c>
      <c r="AL555" s="60">
        <v>180000</v>
      </c>
      <c r="AM555" s="60">
        <f t="shared" si="369"/>
        <v>180000</v>
      </c>
      <c r="AN555" s="59">
        <v>97214</v>
      </c>
      <c r="AO555" s="148">
        <f t="shared" si="370"/>
        <v>-97214</v>
      </c>
      <c r="AP555" s="58">
        <v>8925.9189658498944</v>
      </c>
      <c r="AQ555" s="143">
        <f t="shared" si="371"/>
        <v>-8925.92</v>
      </c>
    </row>
    <row r="556" spans="1:43" x14ac:dyDescent="0.35">
      <c r="A556" s="69" t="s">
        <v>43</v>
      </c>
      <c r="B556" s="15" t="s">
        <v>1773</v>
      </c>
      <c r="C556" s="15"/>
      <c r="D556" s="69"/>
      <c r="E556" s="76">
        <v>0</v>
      </c>
      <c r="F556" s="69" t="s">
        <v>1151</v>
      </c>
      <c r="G556" s="92" t="s">
        <v>1152</v>
      </c>
      <c r="H556" s="15">
        <v>9008000071</v>
      </c>
      <c r="I556" s="92" t="s">
        <v>1774</v>
      </c>
      <c r="J556" s="92">
        <v>1202020109</v>
      </c>
      <c r="K556" s="17" t="s">
        <v>1775</v>
      </c>
      <c r="L556" s="95" t="s">
        <v>1776</v>
      </c>
      <c r="M556" s="69" t="s">
        <v>1777</v>
      </c>
      <c r="N556" s="69"/>
      <c r="O556" s="94">
        <v>1</v>
      </c>
      <c r="P556" s="69" t="s">
        <v>50</v>
      </c>
      <c r="Q556" s="69" t="s">
        <v>51</v>
      </c>
      <c r="R556" s="69"/>
      <c r="S556" s="46">
        <v>43485</v>
      </c>
      <c r="T556" s="48">
        <v>43485</v>
      </c>
      <c r="U556" s="69"/>
      <c r="V556" s="69"/>
      <c r="W556" s="69"/>
      <c r="X556" s="69"/>
      <c r="Y556" s="69" t="s">
        <v>4126</v>
      </c>
      <c r="Z556" s="43">
        <v>310000</v>
      </c>
      <c r="AA556" s="43" t="s">
        <v>52</v>
      </c>
      <c r="AB556" s="43" t="s">
        <v>53</v>
      </c>
      <c r="AC556" s="43">
        <v>3650</v>
      </c>
      <c r="AD556" s="141">
        <v>10</v>
      </c>
      <c r="AE556" s="142">
        <v>0</v>
      </c>
      <c r="AF556" s="142"/>
      <c r="AG556" s="69" t="str">
        <f>_xlfn.CONCAT(AH556," years ",AI556," days")</f>
        <v>5 years 348 days</v>
      </c>
      <c r="AH556" s="69">
        <v>5</v>
      </c>
      <c r="AI556" s="69">
        <v>348</v>
      </c>
      <c r="AJ556" s="69">
        <v>0</v>
      </c>
      <c r="AK556" s="69">
        <v>0</v>
      </c>
      <c r="AL556" s="60">
        <v>310000</v>
      </c>
      <c r="AM556" s="60">
        <f>ROUND(AL556,2)</f>
        <v>310000</v>
      </c>
      <c r="AN556" s="59">
        <v>184471</v>
      </c>
      <c r="AO556" s="148">
        <f>ROUND(AN556,2)*-1</f>
        <v>-184471</v>
      </c>
      <c r="AP556" s="58">
        <v>15372.835616438359</v>
      </c>
      <c r="AQ556" s="143">
        <f>ROUND(AP556,2)*-1</f>
        <v>-15372.84</v>
      </c>
    </row>
    <row r="557" spans="1:43" x14ac:dyDescent="0.35">
      <c r="A557" s="69" t="s">
        <v>43</v>
      </c>
      <c r="B557" s="15" t="s">
        <v>1778</v>
      </c>
      <c r="C557" s="15"/>
      <c r="D557" s="69"/>
      <c r="E557" s="76">
        <v>0</v>
      </c>
      <c r="F557" s="69" t="s">
        <v>1151</v>
      </c>
      <c r="G557" s="92" t="s">
        <v>1152</v>
      </c>
      <c r="H557" s="15">
        <v>9008000072</v>
      </c>
      <c r="I557" s="92" t="s">
        <v>1779</v>
      </c>
      <c r="J557" s="92">
        <v>1202020111</v>
      </c>
      <c r="K557" s="17" t="s">
        <v>1780</v>
      </c>
      <c r="L557" s="95" t="s">
        <v>1781</v>
      </c>
      <c r="M557" s="69" t="s">
        <v>1782</v>
      </c>
      <c r="N557" s="69"/>
      <c r="O557" s="94">
        <v>1</v>
      </c>
      <c r="P557" s="69" t="s">
        <v>50</v>
      </c>
      <c r="Q557" s="69" t="s">
        <v>51</v>
      </c>
      <c r="R557" s="69"/>
      <c r="S557" s="46">
        <v>44986</v>
      </c>
      <c r="T557" s="48">
        <v>44986</v>
      </c>
      <c r="U557" s="69"/>
      <c r="V557" s="69"/>
      <c r="W557" s="69"/>
      <c r="X557" s="69"/>
      <c r="Y557" s="69" t="s">
        <v>4129</v>
      </c>
      <c r="Z557" s="43">
        <v>1400000</v>
      </c>
      <c r="AA557" s="43" t="s">
        <v>52</v>
      </c>
      <c r="AB557" s="43" t="s">
        <v>53</v>
      </c>
      <c r="AC557" s="43">
        <v>3650</v>
      </c>
      <c r="AD557" s="141">
        <v>10</v>
      </c>
      <c r="AE557" s="142">
        <v>0</v>
      </c>
      <c r="AF557" s="142"/>
      <c r="AG557" s="69" t="str">
        <f>_xlfn.CONCAT(AH557," years ",AI557," days")</f>
        <v>1 years 307 days</v>
      </c>
      <c r="AH557" s="69">
        <v>1</v>
      </c>
      <c r="AI557" s="69">
        <v>307</v>
      </c>
      <c r="AJ557" s="69">
        <v>0</v>
      </c>
      <c r="AK557" s="69">
        <v>0</v>
      </c>
      <c r="AL557" s="60">
        <v>1400000</v>
      </c>
      <c r="AM557" s="60">
        <f>ROUND(AL557,2)</f>
        <v>1400000</v>
      </c>
      <c r="AN557" s="59">
        <v>257753</v>
      </c>
      <c r="AO557" s="148">
        <f>ROUND(AN557,2)*-1</f>
        <v>-257753</v>
      </c>
      <c r="AP557" s="58">
        <v>69425.082191780792</v>
      </c>
      <c r="AQ557" s="143">
        <f>ROUND(AP557,2)*-1</f>
        <v>-69425.08</v>
      </c>
    </row>
    <row r="558" spans="1:43" x14ac:dyDescent="0.35">
      <c r="A558" s="69" t="s">
        <v>43</v>
      </c>
      <c r="B558" s="15" t="s">
        <v>1783</v>
      </c>
      <c r="C558" s="15"/>
      <c r="D558" s="69"/>
      <c r="E558" s="76">
        <v>0</v>
      </c>
      <c r="F558" s="69" t="s">
        <v>1151</v>
      </c>
      <c r="G558" s="92" t="s">
        <v>1152</v>
      </c>
      <c r="H558" s="15">
        <v>9008000073</v>
      </c>
      <c r="I558" s="92" t="s">
        <v>1779</v>
      </c>
      <c r="J558" s="92">
        <v>1202020111</v>
      </c>
      <c r="K558" s="17" t="s">
        <v>1784</v>
      </c>
      <c r="L558" s="95" t="s">
        <v>1785</v>
      </c>
      <c r="M558" s="69" t="s">
        <v>1786</v>
      </c>
      <c r="N558" s="69"/>
      <c r="O558" s="94">
        <v>1</v>
      </c>
      <c r="P558" s="69" t="s">
        <v>50</v>
      </c>
      <c r="Q558" s="69" t="s">
        <v>51</v>
      </c>
      <c r="R558" s="69"/>
      <c r="S558" s="46">
        <v>44032</v>
      </c>
      <c r="T558" s="48">
        <v>44032</v>
      </c>
      <c r="U558" s="69"/>
      <c r="V558" s="69"/>
      <c r="W558" s="69"/>
      <c r="X558" s="69"/>
      <c r="Y558" s="69" t="s">
        <v>4127</v>
      </c>
      <c r="Z558" s="43">
        <v>1100000</v>
      </c>
      <c r="AA558" s="43" t="s">
        <v>52</v>
      </c>
      <c r="AB558" s="43" t="s">
        <v>53</v>
      </c>
      <c r="AC558" s="43">
        <v>3650</v>
      </c>
      <c r="AD558" s="141">
        <v>10</v>
      </c>
      <c r="AE558" s="142">
        <v>0</v>
      </c>
      <c r="AF558" s="142"/>
      <c r="AG558" s="69" t="str">
        <f>_xlfn.CONCAT(AH558," years ",AI558," days")</f>
        <v>4 years 166 days</v>
      </c>
      <c r="AH558" s="69">
        <v>4</v>
      </c>
      <c r="AI558" s="69">
        <v>166</v>
      </c>
      <c r="AJ558" s="69">
        <v>0</v>
      </c>
      <c r="AK558" s="69">
        <v>0</v>
      </c>
      <c r="AL558" s="60">
        <v>1100000</v>
      </c>
      <c r="AM558" s="60">
        <f>ROUND(AL558,2)</f>
        <v>1100000</v>
      </c>
      <c r="AN558" s="59">
        <v>490027</v>
      </c>
      <c r="AO558" s="148">
        <f>ROUND(AN558,2)*-1</f>
        <v>-490027</v>
      </c>
      <c r="AP558" s="58">
        <v>54548.342465753434</v>
      </c>
      <c r="AQ558" s="143">
        <f>ROUND(AP558,2)*-1</f>
        <v>-54548.34</v>
      </c>
    </row>
    <row r="559" spans="1:43" x14ac:dyDescent="0.35">
      <c r="A559" s="69" t="s">
        <v>43</v>
      </c>
      <c r="B559" s="15" t="s">
        <v>1787</v>
      </c>
      <c r="C559" s="15"/>
      <c r="D559" s="69"/>
      <c r="E559" s="76">
        <v>0</v>
      </c>
      <c r="F559" s="69" t="s">
        <v>1151</v>
      </c>
      <c r="G559" s="92" t="s">
        <v>1152</v>
      </c>
      <c r="H559" s="15">
        <v>9008000074</v>
      </c>
      <c r="I559" s="92" t="s">
        <v>1779</v>
      </c>
      <c r="J559" s="92">
        <v>1202020111</v>
      </c>
      <c r="K559" s="20" t="s">
        <v>1788</v>
      </c>
      <c r="L559" s="95" t="s">
        <v>1789</v>
      </c>
      <c r="M559" s="69" t="s">
        <v>1790</v>
      </c>
      <c r="N559" s="69"/>
      <c r="O559" s="94">
        <v>1</v>
      </c>
      <c r="P559" s="69" t="s">
        <v>50</v>
      </c>
      <c r="Q559" s="69" t="s">
        <v>51</v>
      </c>
      <c r="R559" s="69"/>
      <c r="S559" s="46">
        <v>44826</v>
      </c>
      <c r="T559" s="48">
        <v>44826</v>
      </c>
      <c r="U559" s="69"/>
      <c r="V559" s="69"/>
      <c r="W559" s="69"/>
      <c r="X559" s="69"/>
      <c r="Y559" s="69" t="s">
        <v>4131</v>
      </c>
      <c r="Z559" s="43">
        <v>650000</v>
      </c>
      <c r="AA559" s="43" t="s">
        <v>52</v>
      </c>
      <c r="AB559" s="43" t="s">
        <v>53</v>
      </c>
      <c r="AC559" s="43">
        <v>3650</v>
      </c>
      <c r="AD559" s="141">
        <v>10</v>
      </c>
      <c r="AE559" s="142">
        <v>0</v>
      </c>
      <c r="AF559" s="142"/>
      <c r="AG559" s="69" t="str">
        <f>_xlfn.CONCAT(AH559," years ",AI559," days")</f>
        <v>2 years 102 days</v>
      </c>
      <c r="AH559" s="69">
        <v>2</v>
      </c>
      <c r="AI559" s="69">
        <v>102</v>
      </c>
      <c r="AJ559" s="69">
        <v>0</v>
      </c>
      <c r="AK559" s="69">
        <v>0</v>
      </c>
      <c r="AL559" s="60">
        <v>650000</v>
      </c>
      <c r="AM559" s="60">
        <f>ROUND(AL559,2)</f>
        <v>650000</v>
      </c>
      <c r="AN559" s="59">
        <v>184671</v>
      </c>
      <c r="AO559" s="148">
        <f>ROUND(AN559,2)*-1</f>
        <v>-184671</v>
      </c>
      <c r="AP559" s="58">
        <v>32233.109589041094</v>
      </c>
      <c r="AQ559" s="143">
        <f>ROUND(AP559,2)*-1</f>
        <v>-32233.11</v>
      </c>
    </row>
    <row r="560" spans="1:43" x14ac:dyDescent="0.35">
      <c r="A560" s="69" t="s">
        <v>43</v>
      </c>
      <c r="B560" s="15" t="s">
        <v>1791</v>
      </c>
      <c r="C560" s="15"/>
      <c r="D560" s="69"/>
      <c r="E560" s="76">
        <v>0</v>
      </c>
      <c r="F560" s="69" t="s">
        <v>1151</v>
      </c>
      <c r="G560" s="92" t="s">
        <v>1152</v>
      </c>
      <c r="H560" s="15">
        <v>9008000075</v>
      </c>
      <c r="I560" s="92" t="s">
        <v>47</v>
      </c>
      <c r="J560" s="92">
        <v>1202010202</v>
      </c>
      <c r="K560" s="14" t="s">
        <v>818</v>
      </c>
      <c r="L560" s="95" t="s">
        <v>1792</v>
      </c>
      <c r="M560" s="69" t="s">
        <v>49</v>
      </c>
      <c r="N560" s="69"/>
      <c r="O560" s="94">
        <v>1</v>
      </c>
      <c r="P560" s="69" t="s">
        <v>50</v>
      </c>
      <c r="Q560" s="69" t="s">
        <v>51</v>
      </c>
      <c r="R560" s="69"/>
      <c r="S560" s="46">
        <v>45068</v>
      </c>
      <c r="T560" s="48">
        <v>45068</v>
      </c>
      <c r="U560" s="69"/>
      <c r="V560" s="69"/>
      <c r="W560" s="69"/>
      <c r="X560" s="69"/>
      <c r="Y560" s="69" t="s">
        <v>4129</v>
      </c>
      <c r="Z560" s="43">
        <v>7450000</v>
      </c>
      <c r="AA560" s="43" t="s">
        <v>52</v>
      </c>
      <c r="AB560" s="43" t="s">
        <v>53</v>
      </c>
      <c r="AC560" s="43">
        <v>3650</v>
      </c>
      <c r="AD560" s="141">
        <v>10</v>
      </c>
      <c r="AE560" s="142">
        <v>0</v>
      </c>
      <c r="AF560" s="142"/>
      <c r="AG560" s="69" t="str">
        <f>_xlfn.CONCAT(AH560," years ",AI560," days")</f>
        <v>1 years 225 days</v>
      </c>
      <c r="AH560" s="69">
        <v>1</v>
      </c>
      <c r="AI560" s="69">
        <v>225</v>
      </c>
      <c r="AJ560" s="69">
        <v>0</v>
      </c>
      <c r="AK560" s="69">
        <v>0</v>
      </c>
      <c r="AL560" s="60">
        <v>7450000</v>
      </c>
      <c r="AM560" s="60">
        <f>ROUND(AL560,2)</f>
        <v>7450000</v>
      </c>
      <c r="AN560" s="59">
        <v>5075608</v>
      </c>
      <c r="AO560" s="148">
        <f>ROUND(AN560,2)*-1</f>
        <v>-5075608</v>
      </c>
      <c r="AP560" s="58">
        <v>369438.30394735839</v>
      </c>
      <c r="AQ560" s="143">
        <f>ROUND(AP560,2)*-1</f>
        <v>-369438.3</v>
      </c>
    </row>
    <row r="561" spans="1:43" x14ac:dyDescent="0.35">
      <c r="A561" s="69" t="s">
        <v>43</v>
      </c>
      <c r="B561" s="15" t="s">
        <v>1793</v>
      </c>
      <c r="C561" s="15"/>
      <c r="D561" s="69"/>
      <c r="E561" s="76">
        <v>0</v>
      </c>
      <c r="F561" s="69" t="s">
        <v>1151</v>
      </c>
      <c r="G561" s="92" t="s">
        <v>1152</v>
      </c>
      <c r="H561" s="15">
        <v>9008000076</v>
      </c>
      <c r="I561" s="97" t="s">
        <v>261</v>
      </c>
      <c r="J561" s="97" t="s">
        <v>1794</v>
      </c>
      <c r="K561" s="14" t="s">
        <v>818</v>
      </c>
      <c r="L561" s="95" t="s">
        <v>1795</v>
      </c>
      <c r="M561" s="69" t="s">
        <v>1796</v>
      </c>
      <c r="N561" s="69"/>
      <c r="O561" s="94">
        <v>1</v>
      </c>
      <c r="P561" s="69" t="s">
        <v>50</v>
      </c>
      <c r="Q561" s="69" t="s">
        <v>51</v>
      </c>
      <c r="R561" s="69"/>
      <c r="S561" s="46">
        <v>43449</v>
      </c>
      <c r="T561" s="48">
        <v>43449</v>
      </c>
      <c r="U561" s="69"/>
      <c r="V561" s="69"/>
      <c r="W561" s="69"/>
      <c r="X561" s="69"/>
      <c r="Y561" s="69" t="s">
        <v>4125</v>
      </c>
      <c r="Z561" s="43">
        <v>1623814</v>
      </c>
      <c r="AA561" s="43" t="s">
        <v>52</v>
      </c>
      <c r="AB561" s="43" t="s">
        <v>53</v>
      </c>
      <c r="AC561" s="43">
        <v>3650</v>
      </c>
      <c r="AD561" s="141">
        <v>10</v>
      </c>
      <c r="AE561" s="142">
        <v>0</v>
      </c>
      <c r="AF561" s="142"/>
      <c r="AG561" s="69" t="str">
        <f t="shared" ref="AG561:AG567" si="372">_xlfn.CONCAT(AH561," years ",AI561," days")</f>
        <v>6 years 19 days</v>
      </c>
      <c r="AH561" s="69">
        <v>6</v>
      </c>
      <c r="AI561" s="69">
        <v>19</v>
      </c>
      <c r="AJ561" s="69">
        <v>0</v>
      </c>
      <c r="AK561" s="69">
        <v>0</v>
      </c>
      <c r="AL561" s="60">
        <v>1623814</v>
      </c>
      <c r="AM561" s="60">
        <f t="shared" ref="AM561:AM567" si="373">ROUND(AL561,2)</f>
        <v>1623814</v>
      </c>
      <c r="AN561" s="59">
        <v>982296</v>
      </c>
      <c r="AO561" s="148">
        <f t="shared" ref="AO561:AO567" si="374">ROUND(AN561,2)*-1</f>
        <v>-982296</v>
      </c>
      <c r="AP561" s="58">
        <v>80523.629041095963</v>
      </c>
      <c r="AQ561" s="143">
        <f t="shared" ref="AQ561:AQ567" si="375">ROUND(AP561,2)*-1</f>
        <v>-80523.63</v>
      </c>
    </row>
    <row r="562" spans="1:43" x14ac:dyDescent="0.35">
      <c r="A562" s="69" t="s">
        <v>43</v>
      </c>
      <c r="B562" s="15" t="s">
        <v>1797</v>
      </c>
      <c r="C562" s="15"/>
      <c r="D562" s="69" t="e">
        <f>_xlfn.XLOOKUP(B562,SOM!B:B,SOM!D:D,,0)</f>
        <v>#N/A</v>
      </c>
      <c r="E562" s="76">
        <v>1</v>
      </c>
      <c r="F562" s="69" t="s">
        <v>1151</v>
      </c>
      <c r="G562" s="10" t="s">
        <v>1152</v>
      </c>
      <c r="H562" s="15">
        <v>9008000076</v>
      </c>
      <c r="I562" s="97" t="s">
        <v>261</v>
      </c>
      <c r="J562" s="97" t="s">
        <v>1794</v>
      </c>
      <c r="K562" s="14" t="s">
        <v>818</v>
      </c>
      <c r="L562" s="95" t="s">
        <v>1798</v>
      </c>
      <c r="M562" s="69" t="s">
        <v>1799</v>
      </c>
      <c r="N562" s="69"/>
      <c r="O562" s="94">
        <v>3</v>
      </c>
      <c r="P562" s="69" t="s">
        <v>50</v>
      </c>
      <c r="Q562" s="69" t="s">
        <v>51</v>
      </c>
      <c r="R562" s="69"/>
      <c r="S562" s="46">
        <v>44896</v>
      </c>
      <c r="T562" s="48">
        <v>44896</v>
      </c>
      <c r="U562" s="69"/>
      <c r="V562" s="69"/>
      <c r="W562" s="69"/>
      <c r="X562" s="69"/>
      <c r="Y562" s="69" t="s">
        <v>4131</v>
      </c>
      <c r="Z562" s="43">
        <v>640350</v>
      </c>
      <c r="AA562" s="43" t="s">
        <v>52</v>
      </c>
      <c r="AB562" s="43" t="s">
        <v>53</v>
      </c>
      <c r="AC562" s="43">
        <v>3650</v>
      </c>
      <c r="AD562" s="141">
        <v>10</v>
      </c>
      <c r="AE562" s="142">
        <v>0</v>
      </c>
      <c r="AF562" s="142"/>
      <c r="AG562" s="69" t="str">
        <f t="shared" si="372"/>
        <v>2 years 32 days</v>
      </c>
      <c r="AH562" s="69">
        <v>2</v>
      </c>
      <c r="AI562" s="69">
        <v>32</v>
      </c>
      <c r="AJ562" s="69">
        <v>0</v>
      </c>
      <c r="AK562" s="69">
        <v>0</v>
      </c>
      <c r="AL562" s="60">
        <v>640350</v>
      </c>
      <c r="AM562" s="60">
        <f t="shared" si="373"/>
        <v>640350</v>
      </c>
      <c r="AN562" s="59">
        <v>133684</v>
      </c>
      <c r="AO562" s="148">
        <f t="shared" si="374"/>
        <v>-133684</v>
      </c>
      <c r="AP562" s="58">
        <v>31754.369863013708</v>
      </c>
      <c r="AQ562" s="143">
        <f t="shared" si="375"/>
        <v>-31754.37</v>
      </c>
    </row>
    <row r="563" spans="1:43" x14ac:dyDescent="0.35">
      <c r="A563" s="69" t="s">
        <v>43</v>
      </c>
      <c r="B563" s="15" t="s">
        <v>1800</v>
      </c>
      <c r="C563" s="15"/>
      <c r="D563" s="69" t="e">
        <f>_xlfn.XLOOKUP(B563,SOM!B:B,SOM!D:D,,0)</f>
        <v>#N/A</v>
      </c>
      <c r="E563" s="76">
        <v>2</v>
      </c>
      <c r="F563" s="69" t="s">
        <v>1151</v>
      </c>
      <c r="G563" s="10" t="s">
        <v>1152</v>
      </c>
      <c r="H563" s="15">
        <v>9008000076</v>
      </c>
      <c r="I563" s="97" t="s">
        <v>261</v>
      </c>
      <c r="J563" s="97" t="s">
        <v>1794</v>
      </c>
      <c r="K563" s="14" t="s">
        <v>818</v>
      </c>
      <c r="L563" s="95" t="s">
        <v>1801</v>
      </c>
      <c r="M563" s="69" t="s">
        <v>1802</v>
      </c>
      <c r="N563" s="69"/>
      <c r="O563" s="94">
        <v>2</v>
      </c>
      <c r="P563" s="69" t="s">
        <v>50</v>
      </c>
      <c r="Q563" s="69" t="s">
        <v>51</v>
      </c>
      <c r="R563" s="69"/>
      <c r="S563" s="46">
        <v>45108</v>
      </c>
      <c r="T563" s="48">
        <v>45108</v>
      </c>
      <c r="U563" s="69"/>
      <c r="V563" s="69"/>
      <c r="W563" s="69"/>
      <c r="X563" s="69"/>
      <c r="Y563" s="69" t="s">
        <v>4129</v>
      </c>
      <c r="Z563" s="43">
        <v>436050</v>
      </c>
      <c r="AA563" s="43" t="s">
        <v>52</v>
      </c>
      <c r="AB563" s="43" t="s">
        <v>53</v>
      </c>
      <c r="AC563" s="43">
        <v>3650</v>
      </c>
      <c r="AD563" s="141">
        <v>10</v>
      </c>
      <c r="AE563" s="142">
        <v>0</v>
      </c>
      <c r="AF563" s="142"/>
      <c r="AG563" s="69" t="str">
        <f t="shared" si="372"/>
        <v>1 years 185 days</v>
      </c>
      <c r="AH563" s="69">
        <v>1</v>
      </c>
      <c r="AI563" s="69">
        <v>185</v>
      </c>
      <c r="AJ563" s="69">
        <v>0</v>
      </c>
      <c r="AK563" s="69">
        <v>0</v>
      </c>
      <c r="AL563" s="60">
        <v>436050</v>
      </c>
      <c r="AM563" s="60">
        <f t="shared" si="373"/>
        <v>436050</v>
      </c>
      <c r="AN563" s="59">
        <v>65706</v>
      </c>
      <c r="AO563" s="148">
        <f t="shared" si="374"/>
        <v>-65706</v>
      </c>
      <c r="AP563" s="58">
        <v>21623.465753424651</v>
      </c>
      <c r="AQ563" s="143">
        <f t="shared" si="375"/>
        <v>-21623.47</v>
      </c>
    </row>
    <row r="564" spans="1:43" x14ac:dyDescent="0.35">
      <c r="A564" s="69" t="s">
        <v>43</v>
      </c>
      <c r="B564" s="15" t="s">
        <v>1803</v>
      </c>
      <c r="C564" s="15"/>
      <c r="D564" s="69" t="e">
        <f>_xlfn.XLOOKUP(B564,SOM!B:B,SOM!D:D,,0)</f>
        <v>#N/A</v>
      </c>
      <c r="E564" s="76">
        <v>3</v>
      </c>
      <c r="F564" s="69" t="s">
        <v>1151</v>
      </c>
      <c r="G564" s="10" t="s">
        <v>1152</v>
      </c>
      <c r="H564" s="15">
        <v>9008000076</v>
      </c>
      <c r="I564" s="97" t="s">
        <v>261</v>
      </c>
      <c r="J564" s="97" t="s">
        <v>1794</v>
      </c>
      <c r="K564" s="14" t="s">
        <v>818</v>
      </c>
      <c r="L564" s="95" t="s">
        <v>1804</v>
      </c>
      <c r="M564" s="69" t="s">
        <v>1805</v>
      </c>
      <c r="N564" s="69"/>
      <c r="O564" s="94">
        <v>1</v>
      </c>
      <c r="P564" s="69" t="s">
        <v>50</v>
      </c>
      <c r="Q564" s="69" t="s">
        <v>51</v>
      </c>
      <c r="R564" s="69"/>
      <c r="S564" s="46">
        <v>45108</v>
      </c>
      <c r="T564" s="48">
        <v>45108</v>
      </c>
      <c r="U564" s="69"/>
      <c r="V564" s="69"/>
      <c r="W564" s="69"/>
      <c r="X564" s="69"/>
      <c r="Y564" s="69" t="s">
        <v>4129</v>
      </c>
      <c r="Z564" s="43">
        <v>439190</v>
      </c>
      <c r="AA564" s="43" t="s">
        <v>52</v>
      </c>
      <c r="AB564" s="43" t="s">
        <v>53</v>
      </c>
      <c r="AC564" s="43">
        <v>3650</v>
      </c>
      <c r="AD564" s="141">
        <v>10</v>
      </c>
      <c r="AE564" s="142">
        <v>0</v>
      </c>
      <c r="AF564" s="142"/>
      <c r="AG564" s="69" t="str">
        <f t="shared" si="372"/>
        <v>1 years 185 days</v>
      </c>
      <c r="AH564" s="69">
        <v>1</v>
      </c>
      <c r="AI564" s="69">
        <v>185</v>
      </c>
      <c r="AJ564" s="69">
        <v>0</v>
      </c>
      <c r="AK564" s="69">
        <v>0</v>
      </c>
      <c r="AL564" s="60">
        <v>439190</v>
      </c>
      <c r="AM564" s="60">
        <f t="shared" si="373"/>
        <v>439190</v>
      </c>
      <c r="AN564" s="59">
        <v>66179</v>
      </c>
      <c r="AO564" s="148">
        <f t="shared" si="374"/>
        <v>-66179</v>
      </c>
      <c r="AP564" s="58">
        <v>21779.326027397256</v>
      </c>
      <c r="AQ564" s="143">
        <f t="shared" si="375"/>
        <v>-21779.33</v>
      </c>
    </row>
    <row r="565" spans="1:43" x14ac:dyDescent="0.35">
      <c r="A565" s="69" t="s">
        <v>43</v>
      </c>
      <c r="B565" s="15" t="s">
        <v>1806</v>
      </c>
      <c r="C565" s="15"/>
      <c r="D565" s="69" t="e">
        <f>_xlfn.XLOOKUP(B565,SOM!B:B,SOM!D:D,,0)</f>
        <v>#N/A</v>
      </c>
      <c r="E565" s="76">
        <v>4</v>
      </c>
      <c r="F565" s="69" t="s">
        <v>1151</v>
      </c>
      <c r="G565" s="92" t="s">
        <v>1152</v>
      </c>
      <c r="H565" s="135">
        <v>9008000076</v>
      </c>
      <c r="I565" s="97" t="s">
        <v>261</v>
      </c>
      <c r="J565" s="97" t="s">
        <v>1794</v>
      </c>
      <c r="K565" s="28"/>
      <c r="L565" s="95" t="s">
        <v>1807</v>
      </c>
      <c r="M565" s="69" t="s">
        <v>1808</v>
      </c>
      <c r="N565" s="69"/>
      <c r="O565" s="94">
        <v>1</v>
      </c>
      <c r="P565" s="69" t="s">
        <v>50</v>
      </c>
      <c r="Q565" s="69" t="s">
        <v>51</v>
      </c>
      <c r="R565" s="69"/>
      <c r="S565" s="46">
        <v>42965</v>
      </c>
      <c r="T565" s="48">
        <v>43191</v>
      </c>
      <c r="U565" s="69"/>
      <c r="V565" s="69"/>
      <c r="W565" s="69"/>
      <c r="X565" s="69"/>
      <c r="Y565" s="69" t="s">
        <v>4125</v>
      </c>
      <c r="Z565" s="43">
        <v>215000</v>
      </c>
      <c r="AA565" s="43" t="s">
        <v>52</v>
      </c>
      <c r="AB565" s="43" t="s">
        <v>53</v>
      </c>
      <c r="AC565" s="43">
        <v>1606</v>
      </c>
      <c r="AD565" s="141">
        <v>4</v>
      </c>
      <c r="AE565" s="142">
        <v>5</v>
      </c>
      <c r="AF565" s="142"/>
      <c r="AG565" s="69" t="str">
        <f t="shared" si="372"/>
        <v>4 years 146 days</v>
      </c>
      <c r="AH565" s="69">
        <v>4</v>
      </c>
      <c r="AI565" s="69">
        <v>146</v>
      </c>
      <c r="AJ565" s="69">
        <v>0</v>
      </c>
      <c r="AK565" s="69">
        <v>0</v>
      </c>
      <c r="AL565" s="60">
        <v>215000</v>
      </c>
      <c r="AM565" s="60">
        <f t="shared" si="373"/>
        <v>215000</v>
      </c>
      <c r="AN565" s="59">
        <v>215000</v>
      </c>
      <c r="AO565" s="148">
        <f t="shared" si="374"/>
        <v>-215000</v>
      </c>
      <c r="AP565" s="58">
        <v>0</v>
      </c>
      <c r="AQ565" s="143">
        <f t="shared" si="375"/>
        <v>0</v>
      </c>
    </row>
    <row r="566" spans="1:43" x14ac:dyDescent="0.35">
      <c r="A566" s="69" t="s">
        <v>43</v>
      </c>
      <c r="B566" s="15" t="s">
        <v>1809</v>
      </c>
      <c r="C566" s="15"/>
      <c r="D566" s="69" t="e">
        <f>_xlfn.XLOOKUP(B566,SOM!B:B,SOM!D:D,,0)</f>
        <v>#N/A</v>
      </c>
      <c r="E566" s="76">
        <v>5</v>
      </c>
      <c r="F566" s="69" t="s">
        <v>1151</v>
      </c>
      <c r="G566" s="92" t="s">
        <v>1152</v>
      </c>
      <c r="H566" s="135">
        <v>9008000076</v>
      </c>
      <c r="I566" s="97" t="s">
        <v>261</v>
      </c>
      <c r="J566" s="97" t="s">
        <v>1794</v>
      </c>
      <c r="K566" s="28"/>
      <c r="L566" s="95" t="s">
        <v>1810</v>
      </c>
      <c r="M566" s="69" t="s">
        <v>1811</v>
      </c>
      <c r="N566" s="69"/>
      <c r="O566" s="94">
        <v>2</v>
      </c>
      <c r="P566" s="69" t="s">
        <v>50</v>
      </c>
      <c r="Q566" s="69" t="s">
        <v>51</v>
      </c>
      <c r="R566" s="69"/>
      <c r="S566" s="46">
        <v>43111</v>
      </c>
      <c r="T566" s="48">
        <v>43191</v>
      </c>
      <c r="U566" s="69"/>
      <c r="V566" s="69"/>
      <c r="W566" s="69"/>
      <c r="X566" s="69"/>
      <c r="Y566" s="69" t="s">
        <v>4125</v>
      </c>
      <c r="Z566" s="43">
        <v>400000</v>
      </c>
      <c r="AA566" s="43" t="s">
        <v>52</v>
      </c>
      <c r="AB566" s="43" t="s">
        <v>53</v>
      </c>
      <c r="AC566" s="43">
        <v>1716</v>
      </c>
      <c r="AD566" s="141">
        <v>4</v>
      </c>
      <c r="AE566" s="142">
        <v>9</v>
      </c>
      <c r="AF566" s="142"/>
      <c r="AG566" s="69" t="str">
        <f t="shared" si="372"/>
        <v>4 years 256 days</v>
      </c>
      <c r="AH566" s="69">
        <v>4</v>
      </c>
      <c r="AI566" s="69">
        <v>256</v>
      </c>
      <c r="AJ566" s="69">
        <v>0</v>
      </c>
      <c r="AK566" s="69">
        <v>0</v>
      </c>
      <c r="AL566" s="60">
        <v>400000</v>
      </c>
      <c r="AM566" s="60">
        <f t="shared" si="373"/>
        <v>400000</v>
      </c>
      <c r="AN566" s="59">
        <v>400000</v>
      </c>
      <c r="AO566" s="148">
        <f t="shared" si="374"/>
        <v>-400000</v>
      </c>
      <c r="AP566" s="58">
        <v>0</v>
      </c>
      <c r="AQ566" s="143">
        <f t="shared" si="375"/>
        <v>0</v>
      </c>
    </row>
    <row r="567" spans="1:43" x14ac:dyDescent="0.35">
      <c r="A567" s="69" t="s">
        <v>43</v>
      </c>
      <c r="B567" s="15" t="s">
        <v>1812</v>
      </c>
      <c r="C567" s="15"/>
      <c r="D567" s="69" t="e">
        <f>_xlfn.XLOOKUP(B567,SOM!B:B,SOM!D:D,,0)</f>
        <v>#N/A</v>
      </c>
      <c r="E567" s="76">
        <v>6</v>
      </c>
      <c r="F567" s="69" t="s">
        <v>1151</v>
      </c>
      <c r="G567" s="92" t="s">
        <v>1152</v>
      </c>
      <c r="H567" s="135">
        <v>9008000076</v>
      </c>
      <c r="I567" s="97" t="s">
        <v>261</v>
      </c>
      <c r="J567" s="97" t="s">
        <v>1794</v>
      </c>
      <c r="K567" s="28"/>
      <c r="L567" s="95" t="s">
        <v>1813</v>
      </c>
      <c r="M567" s="69" t="s">
        <v>49</v>
      </c>
      <c r="N567" s="69"/>
      <c r="O567" s="94">
        <v>1</v>
      </c>
      <c r="P567" s="69" t="s">
        <v>50</v>
      </c>
      <c r="Q567" s="69" t="s">
        <v>51</v>
      </c>
      <c r="R567" s="69"/>
      <c r="S567" s="46">
        <v>43266</v>
      </c>
      <c r="T567" s="48">
        <v>43266</v>
      </c>
      <c r="U567" s="69"/>
      <c r="V567" s="69"/>
      <c r="W567" s="69"/>
      <c r="X567" s="69"/>
      <c r="Y567" s="69" t="s">
        <v>4125</v>
      </c>
      <c r="Z567" s="43">
        <v>1013490</v>
      </c>
      <c r="AA567" s="43" t="s">
        <v>52</v>
      </c>
      <c r="AB567" s="43" t="s">
        <v>53</v>
      </c>
      <c r="AC567" s="43">
        <v>3650</v>
      </c>
      <c r="AD567" s="141">
        <v>10</v>
      </c>
      <c r="AE567" s="142">
        <v>0</v>
      </c>
      <c r="AF567" s="142"/>
      <c r="AG567" s="69" t="str">
        <f t="shared" si="372"/>
        <v>6 years 202 days</v>
      </c>
      <c r="AH567" s="69">
        <v>6</v>
      </c>
      <c r="AI567" s="69">
        <v>202</v>
      </c>
      <c r="AJ567" s="69">
        <v>0</v>
      </c>
      <c r="AK567" s="69">
        <v>0</v>
      </c>
      <c r="AL567" s="60">
        <v>1013490</v>
      </c>
      <c r="AM567" s="60">
        <f t="shared" si="373"/>
        <v>1013490</v>
      </c>
      <c r="AN567" s="59">
        <v>663905</v>
      </c>
      <c r="AO567" s="148">
        <f t="shared" si="374"/>
        <v>-663905</v>
      </c>
      <c r="AP567" s="58">
        <v>50258.364383561653</v>
      </c>
      <c r="AQ567" s="143">
        <f t="shared" si="375"/>
        <v>-50258.36</v>
      </c>
    </row>
    <row r="568" spans="1:43" x14ac:dyDescent="0.35">
      <c r="A568" s="69" t="s">
        <v>43</v>
      </c>
      <c r="B568" s="15" t="s">
        <v>1814</v>
      </c>
      <c r="C568" s="15"/>
      <c r="D568" s="69"/>
      <c r="E568" s="76">
        <v>0</v>
      </c>
      <c r="F568" s="69" t="s">
        <v>1151</v>
      </c>
      <c r="G568" s="92" t="s">
        <v>1152</v>
      </c>
      <c r="H568" s="15">
        <v>9008000077</v>
      </c>
      <c r="I568" s="97" t="s">
        <v>261</v>
      </c>
      <c r="J568" s="97" t="s">
        <v>1794</v>
      </c>
      <c r="K568" s="14" t="s">
        <v>818</v>
      </c>
      <c r="L568" s="95" t="s">
        <v>1815</v>
      </c>
      <c r="M568" s="69" t="s">
        <v>1816</v>
      </c>
      <c r="N568" s="69"/>
      <c r="O568" s="94">
        <v>15</v>
      </c>
      <c r="P568" s="69" t="s">
        <v>50</v>
      </c>
      <c r="Q568" s="69" t="s">
        <v>51</v>
      </c>
      <c r="R568" s="69"/>
      <c r="S568" s="46">
        <v>45118</v>
      </c>
      <c r="T568" s="48">
        <v>45118</v>
      </c>
      <c r="U568" s="69"/>
      <c r="V568" s="69"/>
      <c r="W568" s="69"/>
      <c r="X568" s="69"/>
      <c r="Y568" s="69" t="s">
        <v>4129</v>
      </c>
      <c r="Z568" s="43">
        <v>990000</v>
      </c>
      <c r="AA568" s="43" t="s">
        <v>52</v>
      </c>
      <c r="AB568" s="43" t="s">
        <v>53</v>
      </c>
      <c r="AC568" s="43">
        <v>3650</v>
      </c>
      <c r="AD568" s="141">
        <v>10</v>
      </c>
      <c r="AE568" s="142">
        <v>0</v>
      </c>
      <c r="AF568" s="142"/>
      <c r="AG568" s="69" t="str">
        <f t="shared" ref="AG568:AG576" si="376">_xlfn.CONCAT(AH568," years ",AI568," days")</f>
        <v>1 years 175 days</v>
      </c>
      <c r="AH568" s="69">
        <v>1</v>
      </c>
      <c r="AI568" s="69">
        <v>175</v>
      </c>
      <c r="AJ568" s="69">
        <v>0</v>
      </c>
      <c r="AK568" s="69">
        <v>0</v>
      </c>
      <c r="AL568" s="60">
        <v>990000</v>
      </c>
      <c r="AM568" s="60">
        <f t="shared" ref="AM568:AM576" si="377">ROUND(AL568,2)</f>
        <v>990000</v>
      </c>
      <c r="AN568" s="59">
        <v>146466</v>
      </c>
      <c r="AO568" s="148">
        <f t="shared" ref="AO568:AO576" si="378">ROUND(AN568,2)*-1</f>
        <v>-146466</v>
      </c>
      <c r="AP568" s="58">
        <v>49092.904109589028</v>
      </c>
      <c r="AQ568" s="143">
        <f t="shared" ref="AQ568:AQ576" si="379">ROUND(AP568,2)*-1</f>
        <v>-49092.9</v>
      </c>
    </row>
    <row r="569" spans="1:43" x14ac:dyDescent="0.35">
      <c r="A569" s="69" t="s">
        <v>43</v>
      </c>
      <c r="B569" s="15" t="s">
        <v>1817</v>
      </c>
      <c r="C569" s="15"/>
      <c r="D569" s="69"/>
      <c r="E569" s="76">
        <v>0</v>
      </c>
      <c r="F569" s="69" t="s">
        <v>1151</v>
      </c>
      <c r="G569" s="10" t="s">
        <v>1152</v>
      </c>
      <c r="H569" s="15">
        <v>9008000078</v>
      </c>
      <c r="I569" s="92" t="s">
        <v>1818</v>
      </c>
      <c r="J569" s="92">
        <v>1202110105</v>
      </c>
      <c r="K569" s="17" t="s">
        <v>1819</v>
      </c>
      <c r="L569" s="95" t="s">
        <v>1820</v>
      </c>
      <c r="M569" s="69" t="s">
        <v>49</v>
      </c>
      <c r="N569" s="69"/>
      <c r="O569" s="94">
        <v>1</v>
      </c>
      <c r="P569" s="69" t="s">
        <v>50</v>
      </c>
      <c r="Q569" s="69" t="s">
        <v>51</v>
      </c>
      <c r="R569" s="69"/>
      <c r="S569" s="46">
        <v>40375</v>
      </c>
      <c r="T569" s="48">
        <v>43191</v>
      </c>
      <c r="U569" s="69"/>
      <c r="V569" s="69"/>
      <c r="W569" s="69"/>
      <c r="X569" s="69"/>
      <c r="Y569" s="69" t="s">
        <v>4125</v>
      </c>
      <c r="Z569" s="43">
        <v>22000</v>
      </c>
      <c r="AA569" s="43" t="s">
        <v>52</v>
      </c>
      <c r="AB569" s="43" t="s">
        <v>53</v>
      </c>
      <c r="AC569" s="43">
        <v>2665</v>
      </c>
      <c r="AD569" s="141">
        <v>7</v>
      </c>
      <c r="AE569" s="142">
        <v>4</v>
      </c>
      <c r="AF569" s="142"/>
      <c r="AG569" s="69" t="str">
        <f t="shared" si="376"/>
        <v>6 years 277 days</v>
      </c>
      <c r="AH569" s="69">
        <v>6</v>
      </c>
      <c r="AI569" s="69">
        <v>277</v>
      </c>
      <c r="AJ569" s="69">
        <v>0</v>
      </c>
      <c r="AK569" s="69">
        <v>0</v>
      </c>
      <c r="AL569" s="60">
        <v>22000</v>
      </c>
      <c r="AM569" s="60">
        <f t="shared" si="377"/>
        <v>22000</v>
      </c>
      <c r="AN569" s="59">
        <v>22000</v>
      </c>
      <c r="AO569" s="148">
        <f t="shared" si="378"/>
        <v>-22000</v>
      </c>
      <c r="AP569" s="58">
        <v>0</v>
      </c>
      <c r="AQ569" s="143">
        <f t="shared" si="379"/>
        <v>0</v>
      </c>
    </row>
    <row r="570" spans="1:43" x14ac:dyDescent="0.35">
      <c r="A570" s="69" t="s">
        <v>43</v>
      </c>
      <c r="B570" s="15" t="s">
        <v>1821</v>
      </c>
      <c r="C570" s="15"/>
      <c r="D570" s="69"/>
      <c r="E570" s="76">
        <v>0</v>
      </c>
      <c r="F570" s="69" t="s">
        <v>1151</v>
      </c>
      <c r="G570" s="10" t="s">
        <v>1152</v>
      </c>
      <c r="H570" s="15">
        <v>9008000079</v>
      </c>
      <c r="I570" s="92" t="s">
        <v>1818</v>
      </c>
      <c r="J570" s="92">
        <v>1202110105</v>
      </c>
      <c r="K570" s="17" t="s">
        <v>1822</v>
      </c>
      <c r="L570" s="95" t="s">
        <v>1823</v>
      </c>
      <c r="M570" s="69" t="s">
        <v>49</v>
      </c>
      <c r="N570" s="69"/>
      <c r="O570" s="94">
        <v>2</v>
      </c>
      <c r="P570" s="69" t="s">
        <v>50</v>
      </c>
      <c r="Q570" s="69" t="s">
        <v>51</v>
      </c>
      <c r="R570" s="69"/>
      <c r="S570" s="46">
        <v>40520</v>
      </c>
      <c r="T570" s="48">
        <v>43191</v>
      </c>
      <c r="U570" s="69"/>
      <c r="V570" s="69"/>
      <c r="W570" s="69"/>
      <c r="X570" s="69"/>
      <c r="Y570" s="69" t="s">
        <v>4125</v>
      </c>
      <c r="Z570" s="43">
        <v>45000</v>
      </c>
      <c r="AA570" s="43" t="s">
        <v>52</v>
      </c>
      <c r="AB570" s="43" t="s">
        <v>53</v>
      </c>
      <c r="AC570" s="43">
        <v>2811</v>
      </c>
      <c r="AD570" s="141">
        <v>7</v>
      </c>
      <c r="AE570" s="142">
        <v>9</v>
      </c>
      <c r="AF570" s="142"/>
      <c r="AG570" s="69" t="str">
        <f t="shared" si="376"/>
        <v>6 years 277 days</v>
      </c>
      <c r="AH570" s="69">
        <v>6</v>
      </c>
      <c r="AI570" s="69">
        <v>277</v>
      </c>
      <c r="AJ570" s="69">
        <v>0</v>
      </c>
      <c r="AK570" s="69">
        <v>0</v>
      </c>
      <c r="AL570" s="60">
        <v>45000</v>
      </c>
      <c r="AM570" s="60">
        <f t="shared" si="377"/>
        <v>45000</v>
      </c>
      <c r="AN570" s="59">
        <v>39493</v>
      </c>
      <c r="AO570" s="148">
        <f t="shared" si="378"/>
        <v>-39493</v>
      </c>
      <c r="AP570" s="58">
        <v>2897.6083244397087</v>
      </c>
      <c r="AQ570" s="143">
        <f t="shared" si="379"/>
        <v>-2897.61</v>
      </c>
    </row>
    <row r="571" spans="1:43" x14ac:dyDescent="0.35">
      <c r="A571" s="69" t="s">
        <v>43</v>
      </c>
      <c r="B571" s="15" t="s">
        <v>1824</v>
      </c>
      <c r="C571" s="15"/>
      <c r="D571" s="69"/>
      <c r="E571" s="76">
        <v>0</v>
      </c>
      <c r="F571" s="69" t="s">
        <v>1151</v>
      </c>
      <c r="G571" s="10" t="s">
        <v>1152</v>
      </c>
      <c r="H571" s="15">
        <v>9008000080</v>
      </c>
      <c r="I571" s="92" t="s">
        <v>1818</v>
      </c>
      <c r="J571" s="92">
        <v>1202110105</v>
      </c>
      <c r="K571" s="17" t="s">
        <v>1825</v>
      </c>
      <c r="L571" s="95" t="s">
        <v>1826</v>
      </c>
      <c r="M571" s="69" t="s">
        <v>49</v>
      </c>
      <c r="N571" s="69"/>
      <c r="O571" s="94">
        <v>2</v>
      </c>
      <c r="P571" s="69" t="s">
        <v>50</v>
      </c>
      <c r="Q571" s="69" t="s">
        <v>51</v>
      </c>
      <c r="R571" s="69"/>
      <c r="S571" s="46">
        <v>40520</v>
      </c>
      <c r="T571" s="48">
        <v>43191</v>
      </c>
      <c r="U571" s="69"/>
      <c r="V571" s="69"/>
      <c r="W571" s="69"/>
      <c r="X571" s="69"/>
      <c r="Y571" s="69" t="s">
        <v>4125</v>
      </c>
      <c r="Z571" s="43">
        <v>45000</v>
      </c>
      <c r="AA571" s="43" t="s">
        <v>52</v>
      </c>
      <c r="AB571" s="43" t="s">
        <v>53</v>
      </c>
      <c r="AC571" s="43">
        <v>2811</v>
      </c>
      <c r="AD571" s="141">
        <v>7</v>
      </c>
      <c r="AE571" s="142">
        <v>9</v>
      </c>
      <c r="AF571" s="142"/>
      <c r="AG571" s="69" t="str">
        <f t="shared" si="376"/>
        <v>6 years 277 days</v>
      </c>
      <c r="AH571" s="69">
        <v>6</v>
      </c>
      <c r="AI571" s="69">
        <v>277</v>
      </c>
      <c r="AJ571" s="69">
        <v>0</v>
      </c>
      <c r="AK571" s="69">
        <v>0</v>
      </c>
      <c r="AL571" s="60">
        <v>45000</v>
      </c>
      <c r="AM571" s="60">
        <f t="shared" si="377"/>
        <v>45000</v>
      </c>
      <c r="AN571" s="59">
        <v>39493</v>
      </c>
      <c r="AO571" s="148">
        <f t="shared" si="378"/>
        <v>-39493</v>
      </c>
      <c r="AP571" s="58">
        <v>2897.6083244397087</v>
      </c>
      <c r="AQ571" s="143">
        <f t="shared" si="379"/>
        <v>-2897.61</v>
      </c>
    </row>
    <row r="572" spans="1:43" x14ac:dyDescent="0.35">
      <c r="A572" s="69" t="s">
        <v>43</v>
      </c>
      <c r="B572" s="15" t="s">
        <v>1827</v>
      </c>
      <c r="C572" s="15"/>
      <c r="D572" s="69"/>
      <c r="E572" s="76">
        <v>0</v>
      </c>
      <c r="F572" s="69" t="s">
        <v>1151</v>
      </c>
      <c r="G572" s="10" t="s">
        <v>1152</v>
      </c>
      <c r="H572" s="15">
        <v>9008000081</v>
      </c>
      <c r="I572" s="92" t="s">
        <v>1818</v>
      </c>
      <c r="J572" s="92">
        <v>1202110105</v>
      </c>
      <c r="K572" s="17" t="s">
        <v>1828</v>
      </c>
      <c r="L572" s="95" t="s">
        <v>1829</v>
      </c>
      <c r="M572" s="69" t="s">
        <v>1830</v>
      </c>
      <c r="N572" s="69"/>
      <c r="O572" s="94">
        <v>1</v>
      </c>
      <c r="P572" s="69" t="s">
        <v>50</v>
      </c>
      <c r="Q572" s="69" t="s">
        <v>51</v>
      </c>
      <c r="R572" s="69"/>
      <c r="S572" s="46">
        <v>40653</v>
      </c>
      <c r="T572" s="48">
        <v>43191</v>
      </c>
      <c r="U572" s="69"/>
      <c r="V572" s="69"/>
      <c r="W572" s="69"/>
      <c r="X572" s="69"/>
      <c r="Y572" s="69" t="s">
        <v>4125</v>
      </c>
      <c r="Z572" s="43">
        <v>14500</v>
      </c>
      <c r="AA572" s="43" t="s">
        <v>52</v>
      </c>
      <c r="AB572" s="43" t="s">
        <v>53</v>
      </c>
      <c r="AC572" s="43">
        <v>1132</v>
      </c>
      <c r="AD572" s="141">
        <v>3</v>
      </c>
      <c r="AE572" s="142">
        <v>1</v>
      </c>
      <c r="AF572" s="142"/>
      <c r="AG572" s="69" t="str">
        <f t="shared" si="376"/>
        <v>3 years 37 days</v>
      </c>
      <c r="AH572" s="69">
        <v>3</v>
      </c>
      <c r="AI572" s="69">
        <v>37</v>
      </c>
      <c r="AJ572" s="69">
        <v>0</v>
      </c>
      <c r="AK572" s="69">
        <v>0</v>
      </c>
      <c r="AL572" s="60">
        <v>14500</v>
      </c>
      <c r="AM572" s="60">
        <f t="shared" si="377"/>
        <v>14500</v>
      </c>
      <c r="AN572" s="59">
        <v>14500</v>
      </c>
      <c r="AO572" s="148">
        <f t="shared" si="378"/>
        <v>-14500</v>
      </c>
      <c r="AP572" s="58">
        <v>0</v>
      </c>
      <c r="AQ572" s="143">
        <f t="shared" si="379"/>
        <v>0</v>
      </c>
    </row>
    <row r="573" spans="1:43" x14ac:dyDescent="0.35">
      <c r="A573" s="69" t="s">
        <v>43</v>
      </c>
      <c r="B573" s="15" t="s">
        <v>1831</v>
      </c>
      <c r="C573" s="15"/>
      <c r="D573" s="69"/>
      <c r="E573" s="76">
        <v>0</v>
      </c>
      <c r="F573" s="69" t="s">
        <v>1151</v>
      </c>
      <c r="G573" s="10" t="s">
        <v>1152</v>
      </c>
      <c r="H573" s="8">
        <v>9008000082</v>
      </c>
      <c r="I573" s="92" t="s">
        <v>1818</v>
      </c>
      <c r="J573" s="92">
        <v>1202110105</v>
      </c>
      <c r="K573" s="17" t="s">
        <v>1832</v>
      </c>
      <c r="L573" s="95" t="s">
        <v>1833</v>
      </c>
      <c r="M573" s="69" t="s">
        <v>1830</v>
      </c>
      <c r="N573" s="69"/>
      <c r="O573" s="94">
        <v>3</v>
      </c>
      <c r="P573" s="69" t="s">
        <v>50</v>
      </c>
      <c r="Q573" s="69" t="s">
        <v>51</v>
      </c>
      <c r="R573" s="69"/>
      <c r="S573" s="46">
        <v>40654</v>
      </c>
      <c r="T573" s="48">
        <v>43191</v>
      </c>
      <c r="U573" s="69"/>
      <c r="V573" s="69"/>
      <c r="W573" s="69"/>
      <c r="X573" s="69"/>
      <c r="Y573" s="69" t="s">
        <v>4125</v>
      </c>
      <c r="Z573" s="43">
        <v>44000</v>
      </c>
      <c r="AA573" s="43" t="s">
        <v>52</v>
      </c>
      <c r="AB573" s="43" t="s">
        <v>53</v>
      </c>
      <c r="AC573" s="43">
        <v>1132</v>
      </c>
      <c r="AD573" s="141">
        <v>3</v>
      </c>
      <c r="AE573" s="142">
        <v>1</v>
      </c>
      <c r="AF573" s="142"/>
      <c r="AG573" s="69" t="str">
        <f t="shared" si="376"/>
        <v>3 years 37 days</v>
      </c>
      <c r="AH573" s="69">
        <v>3</v>
      </c>
      <c r="AI573" s="69">
        <v>37</v>
      </c>
      <c r="AJ573" s="69">
        <v>0</v>
      </c>
      <c r="AK573" s="69">
        <v>0</v>
      </c>
      <c r="AL573" s="60">
        <v>44000</v>
      </c>
      <c r="AM573" s="60">
        <f t="shared" si="377"/>
        <v>44000</v>
      </c>
      <c r="AN573" s="59">
        <v>44000</v>
      </c>
      <c r="AO573" s="148">
        <f t="shared" si="378"/>
        <v>-44000</v>
      </c>
      <c r="AP573" s="58">
        <v>0</v>
      </c>
      <c r="AQ573" s="143">
        <f t="shared" si="379"/>
        <v>0</v>
      </c>
    </row>
    <row r="574" spans="1:43" x14ac:dyDescent="0.35">
      <c r="A574" s="69" t="s">
        <v>43</v>
      </c>
      <c r="B574" s="15" t="s">
        <v>1834</v>
      </c>
      <c r="C574" s="15"/>
      <c r="D574" s="69"/>
      <c r="E574" s="76">
        <v>0</v>
      </c>
      <c r="F574" s="69" t="s">
        <v>1151</v>
      </c>
      <c r="G574" s="10" t="s">
        <v>1152</v>
      </c>
      <c r="H574" s="15">
        <v>9008000083</v>
      </c>
      <c r="I574" s="92" t="s">
        <v>1818</v>
      </c>
      <c r="J574" s="92">
        <v>1202110105</v>
      </c>
      <c r="K574" s="17" t="s">
        <v>1835</v>
      </c>
      <c r="L574" s="95" t="s">
        <v>1836</v>
      </c>
      <c r="M574" s="69" t="s">
        <v>1837</v>
      </c>
      <c r="N574" s="69"/>
      <c r="O574" s="94">
        <v>1</v>
      </c>
      <c r="P574" s="69" t="s">
        <v>50</v>
      </c>
      <c r="Q574" s="69" t="s">
        <v>51</v>
      </c>
      <c r="R574" s="69"/>
      <c r="S574" s="46">
        <v>40810</v>
      </c>
      <c r="T574" s="48">
        <v>43191</v>
      </c>
      <c r="U574" s="69"/>
      <c r="V574" s="69"/>
      <c r="W574" s="69"/>
      <c r="X574" s="69"/>
      <c r="Y574" s="69" t="s">
        <v>4125</v>
      </c>
      <c r="Z574" s="43">
        <v>35000</v>
      </c>
      <c r="AA574" s="43" t="s">
        <v>52</v>
      </c>
      <c r="AB574" s="43" t="s">
        <v>53</v>
      </c>
      <c r="AC574" s="43">
        <v>1278</v>
      </c>
      <c r="AD574" s="141">
        <v>3</v>
      </c>
      <c r="AE574" s="142">
        <v>6</v>
      </c>
      <c r="AF574" s="142"/>
      <c r="AG574" s="69" t="str">
        <f t="shared" si="376"/>
        <v>3 years 183 days</v>
      </c>
      <c r="AH574" s="69">
        <v>3</v>
      </c>
      <c r="AI574" s="69">
        <v>183</v>
      </c>
      <c r="AJ574" s="69">
        <v>0</v>
      </c>
      <c r="AK574" s="69">
        <v>0</v>
      </c>
      <c r="AL574" s="60">
        <v>35000</v>
      </c>
      <c r="AM574" s="60">
        <f t="shared" si="377"/>
        <v>35000</v>
      </c>
      <c r="AN574" s="59">
        <v>35000</v>
      </c>
      <c r="AO574" s="148">
        <f t="shared" si="378"/>
        <v>-35000</v>
      </c>
      <c r="AP574" s="58">
        <v>0</v>
      </c>
      <c r="AQ574" s="143">
        <f t="shared" si="379"/>
        <v>0</v>
      </c>
    </row>
    <row r="575" spans="1:43" x14ac:dyDescent="0.35">
      <c r="A575" s="69" t="s">
        <v>43</v>
      </c>
      <c r="B575" s="15" t="s">
        <v>1838</v>
      </c>
      <c r="C575" s="15"/>
      <c r="D575" s="69"/>
      <c r="E575" s="76">
        <v>0</v>
      </c>
      <c r="F575" s="69" t="s">
        <v>1151</v>
      </c>
      <c r="G575" s="10" t="s">
        <v>1152</v>
      </c>
      <c r="H575" s="15">
        <v>9008000084</v>
      </c>
      <c r="I575" s="92" t="s">
        <v>1818</v>
      </c>
      <c r="J575" s="92">
        <v>1202110105</v>
      </c>
      <c r="K575" s="17" t="s">
        <v>1839</v>
      </c>
      <c r="L575" s="95" t="s">
        <v>1840</v>
      </c>
      <c r="M575" s="69" t="s">
        <v>1841</v>
      </c>
      <c r="N575" s="69"/>
      <c r="O575" s="94">
        <v>5</v>
      </c>
      <c r="P575" s="69" t="s">
        <v>50</v>
      </c>
      <c r="Q575" s="69" t="s">
        <v>51</v>
      </c>
      <c r="R575" s="69"/>
      <c r="S575" s="46">
        <v>41277</v>
      </c>
      <c r="T575" s="48">
        <v>43191</v>
      </c>
      <c r="U575" s="69"/>
      <c r="V575" s="69"/>
      <c r="W575" s="69"/>
      <c r="X575" s="69"/>
      <c r="Y575" s="69" t="s">
        <v>4125</v>
      </c>
      <c r="Z575" s="43">
        <v>125000</v>
      </c>
      <c r="AA575" s="43" t="s">
        <v>52</v>
      </c>
      <c r="AB575" s="43" t="s">
        <v>53</v>
      </c>
      <c r="AC575" s="43">
        <v>1752</v>
      </c>
      <c r="AD575" s="141">
        <v>4</v>
      </c>
      <c r="AE575" s="142">
        <v>10</v>
      </c>
      <c r="AF575" s="142"/>
      <c r="AG575" s="69" t="str">
        <f t="shared" si="376"/>
        <v>4 years 292 days</v>
      </c>
      <c r="AH575" s="69">
        <v>4</v>
      </c>
      <c r="AI575" s="69">
        <v>292</v>
      </c>
      <c r="AJ575" s="69">
        <v>0</v>
      </c>
      <c r="AK575" s="69">
        <v>0</v>
      </c>
      <c r="AL575" s="60">
        <v>125000</v>
      </c>
      <c r="AM575" s="60">
        <f t="shared" si="377"/>
        <v>125000</v>
      </c>
      <c r="AN575" s="59">
        <v>125000</v>
      </c>
      <c r="AO575" s="148">
        <f t="shared" si="378"/>
        <v>-125000</v>
      </c>
      <c r="AP575" s="58">
        <v>0</v>
      </c>
      <c r="AQ575" s="143">
        <f t="shared" si="379"/>
        <v>0</v>
      </c>
    </row>
    <row r="576" spans="1:43" x14ac:dyDescent="0.35">
      <c r="A576" s="69" t="s">
        <v>43</v>
      </c>
      <c r="B576" s="15" t="s">
        <v>1842</v>
      </c>
      <c r="C576" s="15"/>
      <c r="D576" s="69"/>
      <c r="E576" s="76">
        <v>0</v>
      </c>
      <c r="F576" s="69" t="s">
        <v>1151</v>
      </c>
      <c r="G576" s="10" t="s">
        <v>1152</v>
      </c>
      <c r="H576" s="15">
        <v>9008000085</v>
      </c>
      <c r="I576" s="92" t="s">
        <v>1843</v>
      </c>
      <c r="J576" s="92">
        <v>1202110105</v>
      </c>
      <c r="K576" s="17" t="s">
        <v>1844</v>
      </c>
      <c r="L576" s="95" t="s">
        <v>1845</v>
      </c>
      <c r="M576" s="69" t="s">
        <v>1846</v>
      </c>
      <c r="N576" s="69"/>
      <c r="O576" s="94">
        <v>3</v>
      </c>
      <c r="P576" s="69" t="s">
        <v>50</v>
      </c>
      <c r="Q576" s="69" t="s">
        <v>51</v>
      </c>
      <c r="R576" s="69"/>
      <c r="S576" s="46">
        <v>41912</v>
      </c>
      <c r="T576" s="48">
        <v>43191</v>
      </c>
      <c r="U576" s="69"/>
      <c r="V576" s="69"/>
      <c r="W576" s="69"/>
      <c r="X576" s="69"/>
      <c r="Y576" s="69" t="s">
        <v>4125</v>
      </c>
      <c r="Z576" s="43">
        <v>105000</v>
      </c>
      <c r="AA576" s="43" t="s">
        <v>52</v>
      </c>
      <c r="AB576" s="43" t="s">
        <v>53</v>
      </c>
      <c r="AC576" s="43">
        <v>2373</v>
      </c>
      <c r="AD576" s="141">
        <v>6</v>
      </c>
      <c r="AE576" s="142">
        <v>6</v>
      </c>
      <c r="AF576" s="142"/>
      <c r="AG576" s="69" t="str">
        <f t="shared" si="376"/>
        <v>6 years 183 days</v>
      </c>
      <c r="AH576" s="69">
        <v>6</v>
      </c>
      <c r="AI576" s="69">
        <v>183</v>
      </c>
      <c r="AJ576" s="69">
        <v>0</v>
      </c>
      <c r="AK576" s="69">
        <v>0</v>
      </c>
      <c r="AL576" s="60">
        <v>105000</v>
      </c>
      <c r="AM576" s="60">
        <f t="shared" si="377"/>
        <v>105000</v>
      </c>
      <c r="AN576" s="59">
        <v>105000</v>
      </c>
      <c r="AO576" s="148">
        <f t="shared" si="378"/>
        <v>-105000</v>
      </c>
      <c r="AP576" s="58">
        <v>0</v>
      </c>
      <c r="AQ576" s="143">
        <f t="shared" si="379"/>
        <v>0</v>
      </c>
    </row>
    <row r="577" spans="1:43" x14ac:dyDescent="0.35">
      <c r="A577" s="69" t="s">
        <v>43</v>
      </c>
      <c r="B577" s="15" t="s">
        <v>1847</v>
      </c>
      <c r="C577" s="15"/>
      <c r="D577" s="69"/>
      <c r="E577" s="76">
        <v>0</v>
      </c>
      <c r="F577" s="69" t="s">
        <v>1151</v>
      </c>
      <c r="G577" s="10" t="s">
        <v>1152</v>
      </c>
      <c r="H577" s="15">
        <v>9008000086</v>
      </c>
      <c r="I577" s="92" t="s">
        <v>1843</v>
      </c>
      <c r="J577" s="92">
        <v>1202110105</v>
      </c>
      <c r="K577" s="17" t="s">
        <v>1848</v>
      </c>
      <c r="L577" s="95" t="s">
        <v>1849</v>
      </c>
      <c r="M577" s="69" t="s">
        <v>1850</v>
      </c>
      <c r="N577" s="69"/>
      <c r="O577" s="94">
        <v>1</v>
      </c>
      <c r="P577" s="69" t="s">
        <v>50</v>
      </c>
      <c r="Q577" s="69" t="s">
        <v>51</v>
      </c>
      <c r="R577" s="69"/>
      <c r="S577" s="46">
        <v>43729</v>
      </c>
      <c r="T577" s="48">
        <v>43729</v>
      </c>
      <c r="U577" s="69"/>
      <c r="V577" s="69"/>
      <c r="W577" s="69"/>
      <c r="X577" s="69"/>
      <c r="Y577" s="69" t="s">
        <v>4126</v>
      </c>
      <c r="Z577" s="43">
        <v>105500</v>
      </c>
      <c r="AA577" s="43" t="s">
        <v>52</v>
      </c>
      <c r="AB577" s="43" t="s">
        <v>53</v>
      </c>
      <c r="AC577" s="43">
        <v>3650</v>
      </c>
      <c r="AD577" s="141">
        <v>10</v>
      </c>
      <c r="AE577" s="142">
        <v>0</v>
      </c>
      <c r="AF577" s="142"/>
      <c r="AG577" s="69" t="str">
        <f t="shared" ref="AG577:AG580" si="380">_xlfn.CONCAT(AH577," years ",AI577," days")</f>
        <v>5 years 104 days</v>
      </c>
      <c r="AH577" s="69">
        <v>5</v>
      </c>
      <c r="AI577" s="69">
        <v>104</v>
      </c>
      <c r="AJ577" s="69">
        <v>0</v>
      </c>
      <c r="AK577" s="69">
        <v>0</v>
      </c>
      <c r="AL577" s="60">
        <v>105500</v>
      </c>
      <c r="AM577" s="60">
        <f t="shared" ref="AM577:AM580" si="381">ROUND(AL577,2)</f>
        <v>105500</v>
      </c>
      <c r="AN577" s="59">
        <v>55756</v>
      </c>
      <c r="AO577" s="148">
        <f t="shared" ref="AO577:AO580" si="382">ROUND(AN577,2)*-1</f>
        <v>-55756</v>
      </c>
      <c r="AP577" s="58">
        <v>5231.6712328767171</v>
      </c>
      <c r="AQ577" s="143">
        <f t="shared" ref="AQ577:AQ580" si="383">ROUND(AP577,2)*-1</f>
        <v>-5231.67</v>
      </c>
    </row>
    <row r="578" spans="1:43" x14ac:dyDescent="0.35">
      <c r="A578" s="69" t="s">
        <v>43</v>
      </c>
      <c r="B578" s="15" t="s">
        <v>1851</v>
      </c>
      <c r="C578" s="15"/>
      <c r="D578" s="69" t="e">
        <f>_xlfn.XLOOKUP(B578,SOM!B:B,SOM!D:D,,0)</f>
        <v>#N/A</v>
      </c>
      <c r="E578" s="76">
        <v>1</v>
      </c>
      <c r="F578" s="69" t="s">
        <v>1151</v>
      </c>
      <c r="G578" s="92" t="s">
        <v>1152</v>
      </c>
      <c r="H578" s="15">
        <v>9008000086</v>
      </c>
      <c r="I578" s="92" t="s">
        <v>1843</v>
      </c>
      <c r="J578" s="92">
        <v>1202110105</v>
      </c>
      <c r="K578" s="28"/>
      <c r="L578" s="95" t="s">
        <v>1852</v>
      </c>
      <c r="M578" s="69" t="s">
        <v>1853</v>
      </c>
      <c r="N578" s="69"/>
      <c r="O578" s="94">
        <v>1</v>
      </c>
      <c r="P578" s="69" t="s">
        <v>50</v>
      </c>
      <c r="Q578" s="69" t="s">
        <v>51</v>
      </c>
      <c r="R578" s="69"/>
      <c r="S578" s="46">
        <v>45016</v>
      </c>
      <c r="T578" s="48">
        <v>45016</v>
      </c>
      <c r="U578" s="69"/>
      <c r="V578" s="69"/>
      <c r="W578" s="69"/>
      <c r="X578" s="69"/>
      <c r="Y578" s="69" t="s">
        <v>4129</v>
      </c>
      <c r="Z578" s="43">
        <v>210765</v>
      </c>
      <c r="AA578" s="43" t="s">
        <v>52</v>
      </c>
      <c r="AB578" s="43" t="s">
        <v>53</v>
      </c>
      <c r="AC578" s="43">
        <v>3650</v>
      </c>
      <c r="AD578" s="141">
        <v>10</v>
      </c>
      <c r="AE578" s="142">
        <v>0</v>
      </c>
      <c r="AF578" s="142"/>
      <c r="AG578" s="69" t="str">
        <f t="shared" si="380"/>
        <v>1 years 277 days</v>
      </c>
      <c r="AH578" s="69">
        <v>1</v>
      </c>
      <c r="AI578" s="69">
        <v>277</v>
      </c>
      <c r="AJ578" s="69">
        <v>0</v>
      </c>
      <c r="AK578" s="69">
        <v>0</v>
      </c>
      <c r="AL578" s="60">
        <v>210765</v>
      </c>
      <c r="AM578" s="60">
        <f t="shared" si="381"/>
        <v>210765</v>
      </c>
      <c r="AN578" s="59">
        <v>37129</v>
      </c>
      <c r="AO578" s="148">
        <f t="shared" si="382"/>
        <v>-37129</v>
      </c>
      <c r="AP578" s="58">
        <v>10451.920547945207</v>
      </c>
      <c r="AQ578" s="143">
        <f t="shared" si="383"/>
        <v>-10451.92</v>
      </c>
    </row>
    <row r="579" spans="1:43" x14ac:dyDescent="0.35">
      <c r="A579" s="69" t="s">
        <v>43</v>
      </c>
      <c r="B579" s="15" t="s">
        <v>1854</v>
      </c>
      <c r="C579" s="15"/>
      <c r="D579" s="69" t="e">
        <f>_xlfn.XLOOKUP(B579,SOM!B:B,SOM!D:D,,0)</f>
        <v>#N/A</v>
      </c>
      <c r="E579" s="76">
        <v>2</v>
      </c>
      <c r="F579" s="69" t="s">
        <v>1151</v>
      </c>
      <c r="G579" s="92" t="s">
        <v>1152</v>
      </c>
      <c r="H579" s="15">
        <v>9008000086</v>
      </c>
      <c r="I579" s="92" t="s">
        <v>1843</v>
      </c>
      <c r="J579" s="92">
        <v>1202110105</v>
      </c>
      <c r="K579" s="28"/>
      <c r="L579" s="95" t="s">
        <v>1855</v>
      </c>
      <c r="M579" s="69" t="s">
        <v>49</v>
      </c>
      <c r="N579" s="69"/>
      <c r="O579" s="94">
        <v>1</v>
      </c>
      <c r="P579" s="69" t="s">
        <v>50</v>
      </c>
      <c r="Q579" s="69" t="s">
        <v>51</v>
      </c>
      <c r="R579" s="69"/>
      <c r="S579" s="46">
        <v>44865</v>
      </c>
      <c r="T579" s="48">
        <v>44865</v>
      </c>
      <c r="U579" s="69"/>
      <c r="V579" s="69"/>
      <c r="W579" s="69"/>
      <c r="X579" s="69"/>
      <c r="Y579" s="69" t="s">
        <v>4131</v>
      </c>
      <c r="Z579" s="43">
        <v>22000</v>
      </c>
      <c r="AA579" s="43" t="s">
        <v>52</v>
      </c>
      <c r="AB579" s="43" t="s">
        <v>53</v>
      </c>
      <c r="AC579" s="43">
        <v>3650</v>
      </c>
      <c r="AD579" s="141">
        <v>10</v>
      </c>
      <c r="AE579" s="142">
        <v>0</v>
      </c>
      <c r="AF579" s="142"/>
      <c r="AG579" s="69" t="str">
        <f t="shared" si="380"/>
        <v>2 years 63 days</v>
      </c>
      <c r="AH579" s="69">
        <v>2</v>
      </c>
      <c r="AI579" s="69">
        <v>63</v>
      </c>
      <c r="AJ579" s="69">
        <v>0</v>
      </c>
      <c r="AK579" s="69">
        <v>0</v>
      </c>
      <c r="AL579" s="60">
        <v>22000</v>
      </c>
      <c r="AM579" s="60">
        <f t="shared" si="381"/>
        <v>22000</v>
      </c>
      <c r="AN579" s="59">
        <v>18407</v>
      </c>
      <c r="AO579" s="148">
        <f t="shared" si="382"/>
        <v>-18407</v>
      </c>
      <c r="AP579" s="58">
        <v>1090.4898185857091</v>
      </c>
      <c r="AQ579" s="143">
        <f t="shared" si="383"/>
        <v>-1090.49</v>
      </c>
    </row>
    <row r="580" spans="1:43" x14ac:dyDescent="0.35">
      <c r="A580" s="69" t="s">
        <v>43</v>
      </c>
      <c r="B580" s="15" t="s">
        <v>1856</v>
      </c>
      <c r="C580" s="15"/>
      <c r="D580" s="69" t="e">
        <f>_xlfn.XLOOKUP(B580,SOM!B:B,SOM!D:D,,0)</f>
        <v>#N/A</v>
      </c>
      <c r="E580" s="76">
        <v>3</v>
      </c>
      <c r="F580" s="69" t="s">
        <v>1151</v>
      </c>
      <c r="G580" s="92" t="s">
        <v>1152</v>
      </c>
      <c r="H580" s="15">
        <v>9008000086</v>
      </c>
      <c r="I580" s="92" t="s">
        <v>1843</v>
      </c>
      <c r="J580" s="92">
        <v>1202110105</v>
      </c>
      <c r="K580" s="28"/>
      <c r="L580" s="95" t="s">
        <v>1857</v>
      </c>
      <c r="M580" s="69" t="s">
        <v>49</v>
      </c>
      <c r="N580" s="69"/>
      <c r="O580" s="94">
        <v>1</v>
      </c>
      <c r="P580" s="69" t="s">
        <v>50</v>
      </c>
      <c r="Q580" s="69" t="s">
        <v>51</v>
      </c>
      <c r="R580" s="69"/>
      <c r="S580" s="46">
        <v>44917</v>
      </c>
      <c r="T580" s="48">
        <v>44917</v>
      </c>
      <c r="U580" s="69"/>
      <c r="V580" s="69"/>
      <c r="W580" s="69"/>
      <c r="X580" s="69"/>
      <c r="Y580" s="69" t="s">
        <v>4131</v>
      </c>
      <c r="Z580" s="43">
        <v>39000</v>
      </c>
      <c r="AA580" s="43" t="s">
        <v>52</v>
      </c>
      <c r="AB580" s="43" t="s">
        <v>53</v>
      </c>
      <c r="AC580" s="43">
        <v>3650</v>
      </c>
      <c r="AD580" s="141">
        <v>10</v>
      </c>
      <c r="AE580" s="142">
        <v>0</v>
      </c>
      <c r="AF580" s="142"/>
      <c r="AG580" s="69" t="str">
        <f t="shared" si="380"/>
        <v>2 years 11 days</v>
      </c>
      <c r="AH580" s="69">
        <v>2</v>
      </c>
      <c r="AI580" s="69">
        <v>11</v>
      </c>
      <c r="AJ580" s="69">
        <v>0</v>
      </c>
      <c r="AK580" s="69">
        <v>0</v>
      </c>
      <c r="AL580" s="60">
        <v>39000</v>
      </c>
      <c r="AM580" s="60">
        <f t="shared" si="381"/>
        <v>39000</v>
      </c>
      <c r="AN580" s="59">
        <v>20784</v>
      </c>
      <c r="AO580" s="148">
        <f t="shared" si="382"/>
        <v>-20784</v>
      </c>
      <c r="AP580" s="58">
        <v>1934.388965486567</v>
      </c>
      <c r="AQ580" s="143">
        <f t="shared" si="383"/>
        <v>-1934.39</v>
      </c>
    </row>
    <row r="581" spans="1:43" x14ac:dyDescent="0.35">
      <c r="A581" s="69" t="s">
        <v>43</v>
      </c>
      <c r="B581" s="15" t="s">
        <v>1858</v>
      </c>
      <c r="C581" s="15"/>
      <c r="D581" s="69"/>
      <c r="E581" s="76">
        <v>0</v>
      </c>
      <c r="F581" s="69" t="s">
        <v>1151</v>
      </c>
      <c r="G581" s="10" t="s">
        <v>1152</v>
      </c>
      <c r="H581" s="15">
        <v>9008000087</v>
      </c>
      <c r="I581" s="92" t="s">
        <v>1843</v>
      </c>
      <c r="J581" s="92">
        <v>1202110105</v>
      </c>
      <c r="K581" s="17" t="s">
        <v>1859</v>
      </c>
      <c r="L581" s="95" t="s">
        <v>1860</v>
      </c>
      <c r="M581" s="69" t="s">
        <v>1861</v>
      </c>
      <c r="N581" s="69"/>
      <c r="O581" s="94">
        <v>1</v>
      </c>
      <c r="P581" s="69" t="s">
        <v>50</v>
      </c>
      <c r="Q581" s="69" t="s">
        <v>51</v>
      </c>
      <c r="R581" s="69"/>
      <c r="S581" s="46">
        <v>44896</v>
      </c>
      <c r="T581" s="48">
        <v>44896</v>
      </c>
      <c r="U581" s="69"/>
      <c r="V581" s="69"/>
      <c r="W581" s="69"/>
      <c r="X581" s="69"/>
      <c r="Y581" s="69" t="s">
        <v>4131</v>
      </c>
      <c r="Z581" s="43">
        <v>56000</v>
      </c>
      <c r="AA581" s="43" t="s">
        <v>52</v>
      </c>
      <c r="AB581" s="43" t="s">
        <v>53</v>
      </c>
      <c r="AC581" s="43">
        <v>3650</v>
      </c>
      <c r="AD581" s="141">
        <v>10</v>
      </c>
      <c r="AE581" s="142">
        <v>0</v>
      </c>
      <c r="AF581" s="142"/>
      <c r="AG581" s="69" t="str">
        <f t="shared" ref="AG581:AG586" si="384">_xlfn.CONCAT(AH581," years ",AI581," days")</f>
        <v>2 years 32 days</v>
      </c>
      <c r="AH581" s="69">
        <v>2</v>
      </c>
      <c r="AI581" s="69">
        <v>32</v>
      </c>
      <c r="AJ581" s="69">
        <v>0</v>
      </c>
      <c r="AK581" s="69">
        <v>0</v>
      </c>
      <c r="AL581" s="60">
        <v>56000</v>
      </c>
      <c r="AM581" s="60">
        <f t="shared" ref="AM581:AM586" si="385">ROUND(AL581,2)</f>
        <v>56000</v>
      </c>
      <c r="AN581" s="59">
        <v>11691</v>
      </c>
      <c r="AO581" s="148">
        <f t="shared" ref="AO581:AO586" si="386">ROUND(AN581,2)*-1</f>
        <v>-11691</v>
      </c>
      <c r="AP581" s="58">
        <v>2776.945205479451</v>
      </c>
      <c r="AQ581" s="143">
        <f t="shared" ref="AQ581:AQ586" si="387">ROUND(AP581,2)*-1</f>
        <v>-2776.95</v>
      </c>
    </row>
    <row r="582" spans="1:43" x14ac:dyDescent="0.35">
      <c r="A582" s="69" t="s">
        <v>43</v>
      </c>
      <c r="B582" s="15" t="s">
        <v>1862</v>
      </c>
      <c r="C582" s="15"/>
      <c r="D582" s="69"/>
      <c r="E582" s="76">
        <v>0</v>
      </c>
      <c r="F582" s="69" t="s">
        <v>1151</v>
      </c>
      <c r="G582" s="10" t="s">
        <v>1152</v>
      </c>
      <c r="H582" s="15">
        <v>9008000088</v>
      </c>
      <c r="I582" s="92" t="s">
        <v>1843</v>
      </c>
      <c r="J582" s="92">
        <v>1202110105</v>
      </c>
      <c r="K582" s="20" t="s">
        <v>1863</v>
      </c>
      <c r="L582" s="95" t="s">
        <v>1864</v>
      </c>
      <c r="M582" s="69" t="s">
        <v>49</v>
      </c>
      <c r="N582" s="69"/>
      <c r="O582" s="94">
        <v>1</v>
      </c>
      <c r="P582" s="69" t="s">
        <v>50</v>
      </c>
      <c r="Q582" s="69" t="s">
        <v>51</v>
      </c>
      <c r="R582" s="69"/>
      <c r="S582" s="46">
        <v>44865</v>
      </c>
      <c r="T582" s="48">
        <v>44865</v>
      </c>
      <c r="U582" s="69"/>
      <c r="V582" s="69"/>
      <c r="W582" s="69"/>
      <c r="X582" s="69"/>
      <c r="Y582" s="69" t="s">
        <v>4131</v>
      </c>
      <c r="Z582" s="43">
        <v>39000</v>
      </c>
      <c r="AA582" s="43" t="s">
        <v>52</v>
      </c>
      <c r="AB582" s="43" t="s">
        <v>53</v>
      </c>
      <c r="AC582" s="43">
        <v>3650</v>
      </c>
      <c r="AD582" s="141">
        <v>10</v>
      </c>
      <c r="AE582" s="142">
        <v>0</v>
      </c>
      <c r="AF582" s="142"/>
      <c r="AG582" s="69" t="str">
        <f t="shared" si="384"/>
        <v>2 years 63 days</v>
      </c>
      <c r="AH582" s="69">
        <v>2</v>
      </c>
      <c r="AI582" s="69">
        <v>63</v>
      </c>
      <c r="AJ582" s="69">
        <v>0</v>
      </c>
      <c r="AK582" s="69">
        <v>0</v>
      </c>
      <c r="AL582" s="60">
        <v>39000</v>
      </c>
      <c r="AM582" s="60">
        <f t="shared" si="385"/>
        <v>39000</v>
      </c>
      <c r="AN582" s="59">
        <v>22015</v>
      </c>
      <c r="AO582" s="148">
        <f t="shared" si="386"/>
        <v>-22015</v>
      </c>
      <c r="AP582" s="58">
        <v>1934.464508094643</v>
      </c>
      <c r="AQ582" s="143">
        <f t="shared" si="387"/>
        <v>-1934.46</v>
      </c>
    </row>
    <row r="583" spans="1:43" x14ac:dyDescent="0.35">
      <c r="A583" s="69" t="s">
        <v>43</v>
      </c>
      <c r="B583" s="15" t="s">
        <v>1865</v>
      </c>
      <c r="C583" s="15"/>
      <c r="D583" s="69"/>
      <c r="E583" s="76">
        <v>0</v>
      </c>
      <c r="F583" s="69" t="s">
        <v>1151</v>
      </c>
      <c r="G583" s="10" t="s">
        <v>1152</v>
      </c>
      <c r="H583" s="15">
        <v>9008000089</v>
      </c>
      <c r="I583" s="92" t="s">
        <v>1843</v>
      </c>
      <c r="J583" s="92">
        <v>1202110105</v>
      </c>
      <c r="K583" s="20" t="s">
        <v>1866</v>
      </c>
      <c r="L583" s="95" t="s">
        <v>1867</v>
      </c>
      <c r="M583" s="69" t="s">
        <v>1868</v>
      </c>
      <c r="N583" s="69"/>
      <c r="O583" s="94">
        <v>1</v>
      </c>
      <c r="P583" s="69" t="s">
        <v>50</v>
      </c>
      <c r="Q583" s="69" t="s">
        <v>51</v>
      </c>
      <c r="R583" s="69"/>
      <c r="S583" s="46">
        <v>44867</v>
      </c>
      <c r="T583" s="48">
        <v>44867</v>
      </c>
      <c r="U583" s="69"/>
      <c r="V583" s="69"/>
      <c r="W583" s="69"/>
      <c r="X583" s="69"/>
      <c r="Y583" s="69" t="s">
        <v>4131</v>
      </c>
      <c r="Z583" s="43">
        <v>40000</v>
      </c>
      <c r="AA583" s="43" t="s">
        <v>52</v>
      </c>
      <c r="AB583" s="43" t="s">
        <v>53</v>
      </c>
      <c r="AC583" s="43">
        <v>3650</v>
      </c>
      <c r="AD583" s="141">
        <v>10</v>
      </c>
      <c r="AE583" s="142">
        <v>0</v>
      </c>
      <c r="AF583" s="142"/>
      <c r="AG583" s="69" t="str">
        <f t="shared" si="384"/>
        <v>2 years 61 days</v>
      </c>
      <c r="AH583" s="69">
        <v>2</v>
      </c>
      <c r="AI583" s="69">
        <v>61</v>
      </c>
      <c r="AJ583" s="69">
        <v>0</v>
      </c>
      <c r="AK583" s="69">
        <v>0</v>
      </c>
      <c r="AL583" s="60">
        <v>40000</v>
      </c>
      <c r="AM583" s="60">
        <f t="shared" si="385"/>
        <v>40000</v>
      </c>
      <c r="AN583" s="59">
        <v>27015</v>
      </c>
      <c r="AO583" s="148">
        <f t="shared" si="386"/>
        <v>-27015</v>
      </c>
      <c r="AP583" s="58">
        <v>1983.2739726027394</v>
      </c>
      <c r="AQ583" s="143">
        <f t="shared" si="387"/>
        <v>-1983.27</v>
      </c>
    </row>
    <row r="584" spans="1:43" x14ac:dyDescent="0.35">
      <c r="A584" s="69" t="s">
        <v>43</v>
      </c>
      <c r="B584" s="15" t="s">
        <v>1869</v>
      </c>
      <c r="C584" s="15"/>
      <c r="D584" s="69"/>
      <c r="E584" s="76">
        <v>0</v>
      </c>
      <c r="F584" s="69" t="s">
        <v>1151</v>
      </c>
      <c r="G584" s="10" t="s">
        <v>1152</v>
      </c>
      <c r="H584" s="15">
        <v>9008000090</v>
      </c>
      <c r="I584" s="92" t="s">
        <v>1843</v>
      </c>
      <c r="J584" s="92">
        <v>1202110105</v>
      </c>
      <c r="K584" s="20" t="s">
        <v>1870</v>
      </c>
      <c r="L584" s="95" t="s">
        <v>1871</v>
      </c>
      <c r="M584" s="69" t="s">
        <v>1872</v>
      </c>
      <c r="N584" s="69"/>
      <c r="O584" s="94">
        <v>1</v>
      </c>
      <c r="P584" s="69" t="s">
        <v>50</v>
      </c>
      <c r="Q584" s="69" t="s">
        <v>51</v>
      </c>
      <c r="R584" s="69"/>
      <c r="S584" s="46">
        <v>44867</v>
      </c>
      <c r="T584" s="48">
        <v>44867</v>
      </c>
      <c r="U584" s="69"/>
      <c r="V584" s="69"/>
      <c r="W584" s="69"/>
      <c r="X584" s="69"/>
      <c r="Y584" s="69" t="s">
        <v>4131</v>
      </c>
      <c r="Z584" s="43">
        <v>32000</v>
      </c>
      <c r="AA584" s="43" t="s">
        <v>52</v>
      </c>
      <c r="AB584" s="43" t="s">
        <v>53</v>
      </c>
      <c r="AC584" s="43">
        <v>3650</v>
      </c>
      <c r="AD584" s="141">
        <v>10</v>
      </c>
      <c r="AE584" s="142">
        <v>0</v>
      </c>
      <c r="AF584" s="142"/>
      <c r="AG584" s="69" t="str">
        <f t="shared" si="384"/>
        <v>2 years 61 days</v>
      </c>
      <c r="AH584" s="69">
        <v>2</v>
      </c>
      <c r="AI584" s="69">
        <v>61</v>
      </c>
      <c r="AJ584" s="69">
        <v>0</v>
      </c>
      <c r="AK584" s="69">
        <v>0</v>
      </c>
      <c r="AL584" s="60">
        <v>32000</v>
      </c>
      <c r="AM584" s="60">
        <f t="shared" si="385"/>
        <v>32000</v>
      </c>
      <c r="AN584" s="59">
        <v>19174</v>
      </c>
      <c r="AO584" s="148">
        <f t="shared" si="386"/>
        <v>-19174</v>
      </c>
      <c r="AP584" s="58">
        <v>1586.5479452054788</v>
      </c>
      <c r="AQ584" s="143">
        <f t="shared" si="387"/>
        <v>-1586.55</v>
      </c>
    </row>
    <row r="585" spans="1:43" x14ac:dyDescent="0.35">
      <c r="A585" s="69" t="s">
        <v>43</v>
      </c>
      <c r="B585" s="15" t="s">
        <v>1873</v>
      </c>
      <c r="C585" s="15"/>
      <c r="D585" s="69"/>
      <c r="E585" s="76">
        <v>0</v>
      </c>
      <c r="F585" s="69" t="s">
        <v>1151</v>
      </c>
      <c r="G585" s="10" t="s">
        <v>1152</v>
      </c>
      <c r="H585" s="15">
        <v>9008000091</v>
      </c>
      <c r="I585" s="92" t="s">
        <v>1843</v>
      </c>
      <c r="J585" s="92">
        <v>1202110105</v>
      </c>
      <c r="K585" s="20" t="s">
        <v>1874</v>
      </c>
      <c r="L585" s="95" t="s">
        <v>1875</v>
      </c>
      <c r="M585" s="69" t="s">
        <v>49</v>
      </c>
      <c r="N585" s="69"/>
      <c r="O585" s="94">
        <v>1</v>
      </c>
      <c r="P585" s="69" t="s">
        <v>50</v>
      </c>
      <c r="Q585" s="69" t="s">
        <v>51</v>
      </c>
      <c r="R585" s="69"/>
      <c r="S585" s="46">
        <v>44867</v>
      </c>
      <c r="T585" s="48">
        <v>44867</v>
      </c>
      <c r="U585" s="69"/>
      <c r="V585" s="69"/>
      <c r="W585" s="69"/>
      <c r="X585" s="69"/>
      <c r="Y585" s="69" t="s">
        <v>4131</v>
      </c>
      <c r="Z585" s="43">
        <v>22000</v>
      </c>
      <c r="AA585" s="43" t="s">
        <v>52</v>
      </c>
      <c r="AB585" s="43" t="s">
        <v>53</v>
      </c>
      <c r="AC585" s="43">
        <v>3650</v>
      </c>
      <c r="AD585" s="141">
        <v>10</v>
      </c>
      <c r="AE585" s="142">
        <v>0</v>
      </c>
      <c r="AF585" s="142"/>
      <c r="AG585" s="69" t="str">
        <f t="shared" si="384"/>
        <v>2 years 61 days</v>
      </c>
      <c r="AH585" s="69">
        <v>2</v>
      </c>
      <c r="AI585" s="69">
        <v>61</v>
      </c>
      <c r="AJ585" s="69">
        <v>0</v>
      </c>
      <c r="AK585" s="69">
        <v>0</v>
      </c>
      <c r="AL585" s="60">
        <v>22000</v>
      </c>
      <c r="AM585" s="60">
        <f t="shared" si="385"/>
        <v>22000</v>
      </c>
      <c r="AN585" s="59">
        <v>18419</v>
      </c>
      <c r="AO585" s="148">
        <f t="shared" si="386"/>
        <v>-18419</v>
      </c>
      <c r="AP585" s="58">
        <v>1090.8704183635709</v>
      </c>
      <c r="AQ585" s="143">
        <f t="shared" si="387"/>
        <v>-1090.8699999999999</v>
      </c>
    </row>
    <row r="586" spans="1:43" x14ac:dyDescent="0.35">
      <c r="A586" s="69" t="s">
        <v>43</v>
      </c>
      <c r="B586" s="15" t="s">
        <v>1876</v>
      </c>
      <c r="C586" s="15"/>
      <c r="D586" s="69"/>
      <c r="E586" s="76">
        <v>0</v>
      </c>
      <c r="F586" s="69" t="s">
        <v>1151</v>
      </c>
      <c r="G586" s="10" t="s">
        <v>1152</v>
      </c>
      <c r="H586" s="15">
        <v>9008000092</v>
      </c>
      <c r="I586" s="92" t="s">
        <v>1843</v>
      </c>
      <c r="J586" s="92">
        <v>1202110105</v>
      </c>
      <c r="K586" s="20" t="s">
        <v>1877</v>
      </c>
      <c r="L586" s="95" t="s">
        <v>1878</v>
      </c>
      <c r="M586" s="69" t="s">
        <v>49</v>
      </c>
      <c r="N586" s="69"/>
      <c r="O586" s="94">
        <v>1</v>
      </c>
      <c r="P586" s="69" t="s">
        <v>50</v>
      </c>
      <c r="Q586" s="69" t="s">
        <v>51</v>
      </c>
      <c r="R586" s="69"/>
      <c r="S586" s="46">
        <v>44867</v>
      </c>
      <c r="T586" s="48">
        <v>44867</v>
      </c>
      <c r="U586" s="69"/>
      <c r="V586" s="69"/>
      <c r="W586" s="69"/>
      <c r="X586" s="69"/>
      <c r="Y586" s="69" t="s">
        <v>4131</v>
      </c>
      <c r="Z586" s="43">
        <v>22000</v>
      </c>
      <c r="AA586" s="43" t="s">
        <v>52</v>
      </c>
      <c r="AB586" s="43" t="s">
        <v>53</v>
      </c>
      <c r="AC586" s="43">
        <v>3650</v>
      </c>
      <c r="AD586" s="141">
        <v>10</v>
      </c>
      <c r="AE586" s="142">
        <v>0</v>
      </c>
      <c r="AF586" s="142"/>
      <c r="AG586" s="69" t="str">
        <f t="shared" si="384"/>
        <v>2 years 61 days</v>
      </c>
      <c r="AH586" s="69">
        <v>2</v>
      </c>
      <c r="AI586" s="69">
        <v>61</v>
      </c>
      <c r="AJ586" s="69">
        <v>0</v>
      </c>
      <c r="AK586" s="69">
        <v>0</v>
      </c>
      <c r="AL586" s="60">
        <v>22000</v>
      </c>
      <c r="AM586" s="60">
        <f t="shared" si="385"/>
        <v>22000</v>
      </c>
      <c r="AN586" s="59">
        <v>18419</v>
      </c>
      <c r="AO586" s="148">
        <f t="shared" si="386"/>
        <v>-18419</v>
      </c>
      <c r="AP586" s="58">
        <v>1090.8704183635709</v>
      </c>
      <c r="AQ586" s="143">
        <f t="shared" si="387"/>
        <v>-1090.8699999999999</v>
      </c>
    </row>
    <row r="587" spans="1:43" x14ac:dyDescent="0.35">
      <c r="A587" s="69" t="s">
        <v>43</v>
      </c>
      <c r="B587" s="15" t="s">
        <v>1879</v>
      </c>
      <c r="C587" s="15"/>
      <c r="D587" s="69"/>
      <c r="E587" s="76">
        <v>0</v>
      </c>
      <c r="F587" s="69" t="s">
        <v>1151</v>
      </c>
      <c r="G587" s="10" t="s">
        <v>1152</v>
      </c>
      <c r="H587" s="15">
        <v>9008000093</v>
      </c>
      <c r="I587" s="92" t="s">
        <v>1880</v>
      </c>
      <c r="J587" s="92">
        <v>1202110102</v>
      </c>
      <c r="K587" s="17" t="s">
        <v>1881</v>
      </c>
      <c r="L587" s="95" t="s">
        <v>1882</v>
      </c>
      <c r="M587" s="69" t="s">
        <v>49</v>
      </c>
      <c r="N587" s="69"/>
      <c r="O587" s="94">
        <v>1</v>
      </c>
      <c r="P587" s="69" t="s">
        <v>50</v>
      </c>
      <c r="Q587" s="69" t="s">
        <v>51</v>
      </c>
      <c r="R587" s="69"/>
      <c r="S587" s="46">
        <v>39995</v>
      </c>
      <c r="T587" s="48">
        <v>43191</v>
      </c>
      <c r="U587" s="69"/>
      <c r="V587" s="69"/>
      <c r="W587" s="69"/>
      <c r="X587" s="69"/>
      <c r="Y587" s="69" t="s">
        <v>4125</v>
      </c>
      <c r="Z587" s="43">
        <v>8750</v>
      </c>
      <c r="AA587" s="43" t="s">
        <v>52</v>
      </c>
      <c r="AB587" s="43" t="s">
        <v>53</v>
      </c>
      <c r="AC587" s="43">
        <v>438</v>
      </c>
      <c r="AD587" s="141">
        <v>1</v>
      </c>
      <c r="AE587" s="142">
        <v>2</v>
      </c>
      <c r="AF587" s="142"/>
      <c r="AG587" s="69" t="str">
        <f t="shared" ref="AG587:AG588" si="388">_xlfn.CONCAT(AH587," years ",AI587," days")</f>
        <v>1 years 73 days</v>
      </c>
      <c r="AH587" s="69">
        <v>1</v>
      </c>
      <c r="AI587" s="69">
        <v>73</v>
      </c>
      <c r="AJ587" s="69">
        <v>0</v>
      </c>
      <c r="AK587" s="69">
        <v>0</v>
      </c>
      <c r="AL587" s="60">
        <v>8750</v>
      </c>
      <c r="AM587" s="60">
        <f t="shared" ref="AM587:AM588" si="389">ROUND(AL587,2)</f>
        <v>8750</v>
      </c>
      <c r="AN587" s="59">
        <v>8750</v>
      </c>
      <c r="AO587" s="148">
        <f t="shared" ref="AO587:AO588" si="390">ROUND(AN587,2)*-1</f>
        <v>-8750</v>
      </c>
      <c r="AP587" s="58">
        <v>0</v>
      </c>
      <c r="AQ587" s="143">
        <f t="shared" ref="AQ587:AQ588" si="391">ROUND(AP587,2)*-1</f>
        <v>0</v>
      </c>
    </row>
    <row r="588" spans="1:43" x14ac:dyDescent="0.35">
      <c r="A588" s="69" t="s">
        <v>43</v>
      </c>
      <c r="B588" s="15" t="s">
        <v>1883</v>
      </c>
      <c r="C588" s="15"/>
      <c r="D588" s="69" t="e">
        <f>_xlfn.XLOOKUP(B588,SOM!B:B,SOM!D:D,,0)</f>
        <v>#N/A</v>
      </c>
      <c r="E588" s="76">
        <v>1</v>
      </c>
      <c r="F588" s="69" t="s">
        <v>1151</v>
      </c>
      <c r="G588" s="92" t="s">
        <v>1152</v>
      </c>
      <c r="H588" s="15">
        <v>9008000093</v>
      </c>
      <c r="I588" s="92" t="s">
        <v>1880</v>
      </c>
      <c r="J588" s="92">
        <v>1202110102</v>
      </c>
      <c r="K588" s="28"/>
      <c r="L588" s="95" t="s">
        <v>1884</v>
      </c>
      <c r="M588" s="69" t="s">
        <v>1885</v>
      </c>
      <c r="N588" s="69"/>
      <c r="O588" s="94">
        <v>1</v>
      </c>
      <c r="P588" s="69" t="s">
        <v>50</v>
      </c>
      <c r="Q588" s="69" t="s">
        <v>51</v>
      </c>
      <c r="R588" s="69"/>
      <c r="S588" s="46">
        <v>43314</v>
      </c>
      <c r="T588" s="48">
        <v>43314</v>
      </c>
      <c r="U588" s="69"/>
      <c r="V588" s="69"/>
      <c r="W588" s="69"/>
      <c r="X588" s="69"/>
      <c r="Y588" s="69" t="s">
        <v>4125</v>
      </c>
      <c r="Z588" s="43">
        <v>77500</v>
      </c>
      <c r="AA588" s="43" t="s">
        <v>52</v>
      </c>
      <c r="AB588" s="43" t="s">
        <v>53</v>
      </c>
      <c r="AC588" s="43">
        <v>3650</v>
      </c>
      <c r="AD588" s="141">
        <v>10</v>
      </c>
      <c r="AE588" s="142">
        <v>0</v>
      </c>
      <c r="AF588" s="142"/>
      <c r="AG588" s="69" t="str">
        <f t="shared" si="388"/>
        <v>6 years 154 days</v>
      </c>
      <c r="AH588" s="69">
        <v>6</v>
      </c>
      <c r="AI588" s="69">
        <v>154</v>
      </c>
      <c r="AJ588" s="69">
        <v>0</v>
      </c>
      <c r="AK588" s="69">
        <v>0</v>
      </c>
      <c r="AL588" s="60">
        <v>77500</v>
      </c>
      <c r="AM588" s="60">
        <f t="shared" si="389"/>
        <v>77500</v>
      </c>
      <c r="AN588" s="59">
        <v>51158</v>
      </c>
      <c r="AO588" s="148">
        <f t="shared" si="390"/>
        <v>-51158</v>
      </c>
      <c r="AP588" s="58">
        <v>3842.7808219178114</v>
      </c>
      <c r="AQ588" s="143">
        <f t="shared" si="391"/>
        <v>-3842.78</v>
      </c>
    </row>
    <row r="589" spans="1:43" x14ac:dyDescent="0.35">
      <c r="A589" s="69" t="s">
        <v>43</v>
      </c>
      <c r="B589" s="15" t="s">
        <v>1886</v>
      </c>
      <c r="C589" s="15"/>
      <c r="D589" s="69"/>
      <c r="E589" s="76">
        <v>0</v>
      </c>
      <c r="F589" s="69" t="s">
        <v>1151</v>
      </c>
      <c r="G589" s="10" t="s">
        <v>1152</v>
      </c>
      <c r="H589" s="15">
        <v>9008000094</v>
      </c>
      <c r="I589" s="92" t="s">
        <v>1880</v>
      </c>
      <c r="J589" s="92">
        <v>1202110102</v>
      </c>
      <c r="K589" s="17" t="s">
        <v>1887</v>
      </c>
      <c r="L589" s="95" t="s">
        <v>1888</v>
      </c>
      <c r="M589" s="69" t="s">
        <v>49</v>
      </c>
      <c r="N589" s="69"/>
      <c r="O589" s="94">
        <v>1</v>
      </c>
      <c r="P589" s="69" t="s">
        <v>50</v>
      </c>
      <c r="Q589" s="69" t="s">
        <v>51</v>
      </c>
      <c r="R589" s="69"/>
      <c r="S589" s="46">
        <v>40015</v>
      </c>
      <c r="T589" s="48">
        <v>43191</v>
      </c>
      <c r="U589" s="69"/>
      <c r="V589" s="69"/>
      <c r="W589" s="69"/>
      <c r="X589" s="69"/>
      <c r="Y589" s="69" t="s">
        <v>4125</v>
      </c>
      <c r="Z589" s="43">
        <v>9250</v>
      </c>
      <c r="AA589" s="43" t="s">
        <v>52</v>
      </c>
      <c r="AB589" s="43" t="s">
        <v>53</v>
      </c>
      <c r="AC589" s="43">
        <v>475</v>
      </c>
      <c r="AD589" s="141">
        <v>1</v>
      </c>
      <c r="AE589" s="142">
        <v>4</v>
      </c>
      <c r="AF589" s="142"/>
      <c r="AG589" s="69" t="str">
        <f t="shared" ref="AG589:AG595" si="392">_xlfn.CONCAT(AH589," years ",AI589," days")</f>
        <v>1 years 110 days</v>
      </c>
      <c r="AH589" s="69">
        <v>1</v>
      </c>
      <c r="AI589" s="69">
        <v>110</v>
      </c>
      <c r="AJ589" s="69">
        <v>0</v>
      </c>
      <c r="AK589" s="69">
        <v>0</v>
      </c>
      <c r="AL589" s="60">
        <v>9250</v>
      </c>
      <c r="AM589" s="60">
        <f t="shared" ref="AM589:AM595" si="393">ROUND(AL589,2)</f>
        <v>9250</v>
      </c>
      <c r="AN589" s="59">
        <v>9250</v>
      </c>
      <c r="AO589" s="148">
        <f t="shared" ref="AO589:AO595" si="394">ROUND(AN589,2)*-1</f>
        <v>-9250</v>
      </c>
      <c r="AP589" s="58">
        <v>0</v>
      </c>
      <c r="AQ589" s="143">
        <f t="shared" ref="AQ589:AQ595" si="395">ROUND(AP589,2)*-1</f>
        <v>0</v>
      </c>
    </row>
    <row r="590" spans="1:43" x14ac:dyDescent="0.35">
      <c r="A590" s="69" t="s">
        <v>43</v>
      </c>
      <c r="B590" s="15" t="s">
        <v>1889</v>
      </c>
      <c r="C590" s="15"/>
      <c r="D590" s="69"/>
      <c r="E590" s="76">
        <v>0</v>
      </c>
      <c r="F590" s="69" t="s">
        <v>1151</v>
      </c>
      <c r="G590" s="10" t="s">
        <v>1152</v>
      </c>
      <c r="H590" s="8">
        <v>9008000095</v>
      </c>
      <c r="I590" s="92" t="s">
        <v>1880</v>
      </c>
      <c r="J590" s="92">
        <v>1202110102</v>
      </c>
      <c r="K590" s="17" t="s">
        <v>1890</v>
      </c>
      <c r="L590" s="95" t="s">
        <v>1891</v>
      </c>
      <c r="M590" s="69" t="s">
        <v>1892</v>
      </c>
      <c r="N590" s="69"/>
      <c r="O590" s="94">
        <v>2</v>
      </c>
      <c r="P590" s="69" t="s">
        <v>50</v>
      </c>
      <c r="Q590" s="69" t="s">
        <v>51</v>
      </c>
      <c r="R590" s="69"/>
      <c r="S590" s="46">
        <v>43952</v>
      </c>
      <c r="T590" s="48">
        <v>43952</v>
      </c>
      <c r="U590" s="69"/>
      <c r="V590" s="69"/>
      <c r="W590" s="69"/>
      <c r="X590" s="69"/>
      <c r="Y590" s="69" t="s">
        <v>4127</v>
      </c>
      <c r="Z590" s="43">
        <v>172960</v>
      </c>
      <c r="AA590" s="43" t="s">
        <v>52</v>
      </c>
      <c r="AB590" s="43" t="s">
        <v>53</v>
      </c>
      <c r="AC590" s="43">
        <v>3650</v>
      </c>
      <c r="AD590" s="141">
        <v>10</v>
      </c>
      <c r="AE590" s="142">
        <v>0</v>
      </c>
      <c r="AF590" s="142"/>
      <c r="AG590" s="69" t="str">
        <f t="shared" si="392"/>
        <v>4 years 246 days</v>
      </c>
      <c r="AH590" s="69">
        <v>4</v>
      </c>
      <c r="AI590" s="69">
        <v>246</v>
      </c>
      <c r="AJ590" s="69">
        <v>0</v>
      </c>
      <c r="AK590" s="69">
        <v>0</v>
      </c>
      <c r="AL590" s="60">
        <v>172960</v>
      </c>
      <c r="AM590" s="60">
        <f t="shared" si="393"/>
        <v>172960</v>
      </c>
      <c r="AN590" s="59">
        <v>80841</v>
      </c>
      <c r="AO590" s="148">
        <f t="shared" si="394"/>
        <v>-80841</v>
      </c>
      <c r="AP590" s="58">
        <v>8576.9506849315076</v>
      </c>
      <c r="AQ590" s="143">
        <f t="shared" si="395"/>
        <v>-8576.9500000000007</v>
      </c>
    </row>
    <row r="591" spans="1:43" x14ac:dyDescent="0.35">
      <c r="A591" s="69" t="s">
        <v>43</v>
      </c>
      <c r="B591" s="15" t="s">
        <v>1893</v>
      </c>
      <c r="C591" s="15"/>
      <c r="D591" s="69"/>
      <c r="E591" s="76">
        <v>0</v>
      </c>
      <c r="F591" s="69" t="s">
        <v>1151</v>
      </c>
      <c r="G591" s="10" t="s">
        <v>1152</v>
      </c>
      <c r="H591" s="15">
        <v>9008000096</v>
      </c>
      <c r="I591" s="92" t="s">
        <v>1880</v>
      </c>
      <c r="J591" s="92">
        <v>1202110102</v>
      </c>
      <c r="K591" s="20" t="s">
        <v>1894</v>
      </c>
      <c r="L591" s="95" t="s">
        <v>1895</v>
      </c>
      <c r="M591" s="69" t="s">
        <v>49</v>
      </c>
      <c r="N591" s="69"/>
      <c r="O591" s="94">
        <v>1</v>
      </c>
      <c r="P591" s="69" t="s">
        <v>50</v>
      </c>
      <c r="Q591" s="69" t="s">
        <v>51</v>
      </c>
      <c r="R591" s="69"/>
      <c r="S591" s="46">
        <v>44856</v>
      </c>
      <c r="T591" s="48">
        <v>44856</v>
      </c>
      <c r="U591" s="69"/>
      <c r="V591" s="69"/>
      <c r="W591" s="69"/>
      <c r="X591" s="69"/>
      <c r="Y591" s="69" t="s">
        <v>4131</v>
      </c>
      <c r="Z591" s="43">
        <v>84000</v>
      </c>
      <c r="AA591" s="43" t="s">
        <v>52</v>
      </c>
      <c r="AB591" s="43" t="s">
        <v>53</v>
      </c>
      <c r="AC591" s="43">
        <v>3650</v>
      </c>
      <c r="AD591" s="141">
        <v>10</v>
      </c>
      <c r="AE591" s="142">
        <v>0</v>
      </c>
      <c r="AF591" s="142"/>
      <c r="AG591" s="69" t="str">
        <f t="shared" si="392"/>
        <v>2 years 72 days</v>
      </c>
      <c r="AH591" s="69">
        <v>2</v>
      </c>
      <c r="AI591" s="69">
        <v>72</v>
      </c>
      <c r="AJ591" s="69">
        <v>0</v>
      </c>
      <c r="AK591" s="69">
        <v>0</v>
      </c>
      <c r="AL591" s="60">
        <v>84000</v>
      </c>
      <c r="AM591" s="60">
        <f t="shared" si="393"/>
        <v>84000</v>
      </c>
      <c r="AN591" s="59">
        <v>50561</v>
      </c>
      <c r="AO591" s="148">
        <f t="shared" si="394"/>
        <v>-50561</v>
      </c>
      <c r="AP591" s="58">
        <v>4165.5753424657451</v>
      </c>
      <c r="AQ591" s="143">
        <f t="shared" si="395"/>
        <v>-4165.58</v>
      </c>
    </row>
    <row r="592" spans="1:43" x14ac:dyDescent="0.35">
      <c r="A592" s="69" t="s">
        <v>43</v>
      </c>
      <c r="B592" s="15" t="s">
        <v>1896</v>
      </c>
      <c r="C592" s="15"/>
      <c r="D592" s="69"/>
      <c r="E592" s="76">
        <v>0</v>
      </c>
      <c r="F592" s="69" t="s">
        <v>1151</v>
      </c>
      <c r="G592" s="10" t="s">
        <v>1152</v>
      </c>
      <c r="H592" s="15">
        <v>9008000097</v>
      </c>
      <c r="I592" s="92" t="s">
        <v>1880</v>
      </c>
      <c r="J592" s="92">
        <v>1202110102</v>
      </c>
      <c r="K592" s="20" t="s">
        <v>1897</v>
      </c>
      <c r="L592" s="95" t="s">
        <v>1898</v>
      </c>
      <c r="M592" s="69" t="s">
        <v>49</v>
      </c>
      <c r="N592" s="69"/>
      <c r="O592" s="94">
        <v>1</v>
      </c>
      <c r="P592" s="69" t="s">
        <v>50</v>
      </c>
      <c r="Q592" s="69" t="s">
        <v>51</v>
      </c>
      <c r="R592" s="69"/>
      <c r="S592" s="46">
        <v>44867</v>
      </c>
      <c r="T592" s="48">
        <v>44867</v>
      </c>
      <c r="U592" s="69"/>
      <c r="V592" s="69"/>
      <c r="W592" s="69"/>
      <c r="X592" s="69"/>
      <c r="Y592" s="69" t="s">
        <v>4131</v>
      </c>
      <c r="Z592" s="43">
        <v>72500</v>
      </c>
      <c r="AA592" s="43" t="s">
        <v>52</v>
      </c>
      <c r="AB592" s="43" t="s">
        <v>53</v>
      </c>
      <c r="AC592" s="43">
        <v>3650</v>
      </c>
      <c r="AD592" s="141">
        <v>10</v>
      </c>
      <c r="AE592" s="142">
        <v>0</v>
      </c>
      <c r="AF592" s="142"/>
      <c r="AG592" s="69" t="str">
        <f t="shared" si="392"/>
        <v>2 years 61 days</v>
      </c>
      <c r="AH592" s="69">
        <v>2</v>
      </c>
      <c r="AI592" s="69">
        <v>61</v>
      </c>
      <c r="AJ592" s="69">
        <v>0</v>
      </c>
      <c r="AK592" s="69">
        <v>0</v>
      </c>
      <c r="AL592" s="60">
        <v>72500</v>
      </c>
      <c r="AM592" s="60">
        <f t="shared" si="393"/>
        <v>72500</v>
      </c>
      <c r="AN592" s="59">
        <v>54871</v>
      </c>
      <c r="AO592" s="148">
        <f t="shared" si="394"/>
        <v>-54871</v>
      </c>
      <c r="AP592" s="58">
        <v>3594.727819741398</v>
      </c>
      <c r="AQ592" s="143">
        <f t="shared" si="395"/>
        <v>-3594.73</v>
      </c>
    </row>
    <row r="593" spans="1:43" x14ac:dyDescent="0.35">
      <c r="A593" s="69" t="s">
        <v>43</v>
      </c>
      <c r="B593" s="15" t="s">
        <v>1899</v>
      </c>
      <c r="C593" s="15"/>
      <c r="D593" s="69"/>
      <c r="E593" s="76">
        <v>0</v>
      </c>
      <c r="F593" s="69" t="s">
        <v>1151</v>
      </c>
      <c r="G593" s="10" t="s">
        <v>1152</v>
      </c>
      <c r="H593" s="15">
        <v>9008000098</v>
      </c>
      <c r="I593" s="92" t="s">
        <v>1880</v>
      </c>
      <c r="J593" s="92">
        <v>1202110102</v>
      </c>
      <c r="K593" s="20" t="s">
        <v>1900</v>
      </c>
      <c r="L593" s="95" t="s">
        <v>1901</v>
      </c>
      <c r="M593" s="69" t="s">
        <v>49</v>
      </c>
      <c r="N593" s="69"/>
      <c r="O593" s="94">
        <v>1</v>
      </c>
      <c r="P593" s="69" t="s">
        <v>50</v>
      </c>
      <c r="Q593" s="69" t="s">
        <v>51</v>
      </c>
      <c r="R593" s="69"/>
      <c r="S593" s="46">
        <v>44867</v>
      </c>
      <c r="T593" s="48">
        <v>44867</v>
      </c>
      <c r="U593" s="69"/>
      <c r="V593" s="69"/>
      <c r="W593" s="69"/>
      <c r="X593" s="69"/>
      <c r="Y593" s="69" t="s">
        <v>4131</v>
      </c>
      <c r="Z593" s="43">
        <v>70000</v>
      </c>
      <c r="AA593" s="43" t="s">
        <v>52</v>
      </c>
      <c r="AB593" s="43" t="s">
        <v>53</v>
      </c>
      <c r="AC593" s="43">
        <v>3650</v>
      </c>
      <c r="AD593" s="141">
        <v>10</v>
      </c>
      <c r="AE593" s="142">
        <v>0</v>
      </c>
      <c r="AF593" s="142"/>
      <c r="AG593" s="69" t="str">
        <f t="shared" si="392"/>
        <v>2 years 61 days</v>
      </c>
      <c r="AH593" s="69">
        <v>2</v>
      </c>
      <c r="AI593" s="69">
        <v>61</v>
      </c>
      <c r="AJ593" s="69">
        <v>0</v>
      </c>
      <c r="AK593" s="69">
        <v>0</v>
      </c>
      <c r="AL593" s="60">
        <v>70000</v>
      </c>
      <c r="AM593" s="60">
        <f t="shared" si="393"/>
        <v>70000</v>
      </c>
      <c r="AN593" s="59">
        <v>54845</v>
      </c>
      <c r="AO593" s="148">
        <f t="shared" si="394"/>
        <v>-54845</v>
      </c>
      <c r="AP593" s="58">
        <v>3471.4425255140886</v>
      </c>
      <c r="AQ593" s="143">
        <f t="shared" si="395"/>
        <v>-3471.44</v>
      </c>
    </row>
    <row r="594" spans="1:43" x14ac:dyDescent="0.35">
      <c r="A594" s="69" t="s">
        <v>43</v>
      </c>
      <c r="B594" s="15" t="s">
        <v>1902</v>
      </c>
      <c r="C594" s="15"/>
      <c r="D594" s="69"/>
      <c r="E594" s="76">
        <v>0</v>
      </c>
      <c r="F594" s="69" t="s">
        <v>1151</v>
      </c>
      <c r="G594" s="10" t="s">
        <v>1152</v>
      </c>
      <c r="H594" s="15">
        <v>9008000099</v>
      </c>
      <c r="I594" s="92" t="s">
        <v>1880</v>
      </c>
      <c r="J594" s="92">
        <v>1202110102</v>
      </c>
      <c r="K594" s="20" t="s">
        <v>1903</v>
      </c>
      <c r="L594" s="95" t="s">
        <v>1904</v>
      </c>
      <c r="M594" s="69" t="s">
        <v>49</v>
      </c>
      <c r="N594" s="69"/>
      <c r="O594" s="94">
        <v>1</v>
      </c>
      <c r="P594" s="69" t="s">
        <v>50</v>
      </c>
      <c r="Q594" s="69" t="s">
        <v>51</v>
      </c>
      <c r="R594" s="69"/>
      <c r="S594" s="46">
        <v>44867</v>
      </c>
      <c r="T594" s="48">
        <v>44867</v>
      </c>
      <c r="U594" s="69"/>
      <c r="V594" s="69"/>
      <c r="W594" s="69"/>
      <c r="X594" s="69"/>
      <c r="Y594" s="69" t="s">
        <v>4131</v>
      </c>
      <c r="Z594" s="43">
        <v>95000</v>
      </c>
      <c r="AA594" s="43" t="s">
        <v>52</v>
      </c>
      <c r="AB594" s="43" t="s">
        <v>53</v>
      </c>
      <c r="AC594" s="43">
        <v>3650</v>
      </c>
      <c r="AD594" s="141">
        <v>10</v>
      </c>
      <c r="AE594" s="142">
        <v>0</v>
      </c>
      <c r="AF594" s="142"/>
      <c r="AG594" s="69" t="str">
        <f t="shared" si="392"/>
        <v>2 years 61 days</v>
      </c>
      <c r="AH594" s="69">
        <v>2</v>
      </c>
      <c r="AI594" s="69">
        <v>61</v>
      </c>
      <c r="AJ594" s="69">
        <v>0</v>
      </c>
      <c r="AK594" s="69">
        <v>0</v>
      </c>
      <c r="AL594" s="60">
        <v>95000</v>
      </c>
      <c r="AM594" s="60">
        <f t="shared" si="393"/>
        <v>95000</v>
      </c>
      <c r="AN594" s="59">
        <v>95000</v>
      </c>
      <c r="AO594" s="148">
        <f t="shared" si="394"/>
        <v>-95000</v>
      </c>
      <c r="AP594" s="58">
        <v>0</v>
      </c>
      <c r="AQ594" s="143">
        <f t="shared" si="395"/>
        <v>0</v>
      </c>
    </row>
    <row r="595" spans="1:43" x14ac:dyDescent="0.35">
      <c r="A595" s="69" t="s">
        <v>43</v>
      </c>
      <c r="B595" s="15" t="s">
        <v>1905</v>
      </c>
      <c r="C595" s="15"/>
      <c r="D595" s="69"/>
      <c r="E595" s="76">
        <v>0</v>
      </c>
      <c r="F595" s="69" t="s">
        <v>1151</v>
      </c>
      <c r="G595" s="10" t="s">
        <v>1152</v>
      </c>
      <c r="H595" s="15">
        <v>9008000100</v>
      </c>
      <c r="I595" s="92" t="s">
        <v>1880</v>
      </c>
      <c r="J595" s="92">
        <v>1202110102</v>
      </c>
      <c r="K595" s="17" t="s">
        <v>1906</v>
      </c>
      <c r="L595" s="95" t="s">
        <v>1907</v>
      </c>
      <c r="M595" s="69" t="s">
        <v>1908</v>
      </c>
      <c r="N595" s="69"/>
      <c r="O595" s="94">
        <v>1</v>
      </c>
      <c r="P595" s="69" t="s">
        <v>50</v>
      </c>
      <c r="Q595" s="69" t="s">
        <v>51</v>
      </c>
      <c r="R595" s="69"/>
      <c r="S595" s="46">
        <v>45016</v>
      </c>
      <c r="T595" s="48">
        <v>45016</v>
      </c>
      <c r="U595" s="69"/>
      <c r="V595" s="69"/>
      <c r="W595" s="69"/>
      <c r="X595" s="69"/>
      <c r="Y595" s="69" t="s">
        <v>4129</v>
      </c>
      <c r="Z595" s="43">
        <v>136000</v>
      </c>
      <c r="AA595" s="43" t="s">
        <v>52</v>
      </c>
      <c r="AB595" s="43" t="s">
        <v>53</v>
      </c>
      <c r="AC595" s="43">
        <v>3650</v>
      </c>
      <c r="AD595" s="141">
        <v>10</v>
      </c>
      <c r="AE595" s="142">
        <v>0</v>
      </c>
      <c r="AF595" s="142"/>
      <c r="AG595" s="69" t="str">
        <f t="shared" si="392"/>
        <v>1 years 277 days</v>
      </c>
      <c r="AH595" s="69">
        <v>1</v>
      </c>
      <c r="AI595" s="69">
        <v>277</v>
      </c>
      <c r="AJ595" s="69">
        <v>0</v>
      </c>
      <c r="AK595" s="69">
        <v>0</v>
      </c>
      <c r="AL595" s="60">
        <v>136000</v>
      </c>
      <c r="AM595" s="60">
        <f t="shared" si="393"/>
        <v>136000</v>
      </c>
      <c r="AN595" s="59">
        <v>23958</v>
      </c>
      <c r="AO595" s="148">
        <f t="shared" si="394"/>
        <v>-23958</v>
      </c>
      <c r="AP595" s="58">
        <v>6744.465753424658</v>
      </c>
      <c r="AQ595" s="143">
        <f t="shared" si="395"/>
        <v>-6744.47</v>
      </c>
    </row>
    <row r="596" spans="1:43" x14ac:dyDescent="0.35">
      <c r="A596" s="69" t="s">
        <v>43</v>
      </c>
      <c r="B596" s="15" t="s">
        <v>1909</v>
      </c>
      <c r="C596" s="15"/>
      <c r="D596" s="69"/>
      <c r="E596" s="76">
        <v>0</v>
      </c>
      <c r="F596" s="69" t="s">
        <v>1151</v>
      </c>
      <c r="G596" s="10" t="s">
        <v>1152</v>
      </c>
      <c r="H596" s="15">
        <v>9008000101</v>
      </c>
      <c r="I596" s="92" t="s">
        <v>1693</v>
      </c>
      <c r="J596" s="92">
        <v>1202110106</v>
      </c>
      <c r="K596" s="19" t="s">
        <v>1910</v>
      </c>
      <c r="L596" s="95" t="s">
        <v>1911</v>
      </c>
      <c r="M596" s="69" t="s">
        <v>1912</v>
      </c>
      <c r="N596" s="69"/>
      <c r="O596" s="94">
        <v>1</v>
      </c>
      <c r="P596" s="69" t="s">
        <v>50</v>
      </c>
      <c r="Q596" s="69" t="s">
        <v>51</v>
      </c>
      <c r="R596" s="69"/>
      <c r="S596" s="46">
        <v>44863</v>
      </c>
      <c r="T596" s="48">
        <v>44863</v>
      </c>
      <c r="U596" s="69"/>
      <c r="V596" s="69"/>
      <c r="W596" s="69"/>
      <c r="X596" s="69"/>
      <c r="Y596" s="69" t="s">
        <v>4131</v>
      </c>
      <c r="Z596" s="43">
        <v>1513000</v>
      </c>
      <c r="AA596" s="43" t="s">
        <v>52</v>
      </c>
      <c r="AB596" s="43" t="s">
        <v>53</v>
      </c>
      <c r="AC596" s="43">
        <v>3650</v>
      </c>
      <c r="AD596" s="141">
        <v>10</v>
      </c>
      <c r="AE596" s="142">
        <v>0</v>
      </c>
      <c r="AF596" s="142"/>
      <c r="AG596" s="69" t="str">
        <f t="shared" ref="AG596:AG600" si="396">_xlfn.CONCAT(AH596," years ",AI596," days")</f>
        <v>2 years 65 days</v>
      </c>
      <c r="AH596" s="69">
        <v>2</v>
      </c>
      <c r="AI596" s="69">
        <v>65</v>
      </c>
      <c r="AJ596" s="69">
        <v>0</v>
      </c>
      <c r="AK596" s="69">
        <v>0</v>
      </c>
      <c r="AL596" s="60">
        <v>1513000</v>
      </c>
      <c r="AM596" s="60">
        <f t="shared" ref="AM596:AM600" si="397">ROUND(AL596,2)</f>
        <v>1513000</v>
      </c>
      <c r="AN596" s="59">
        <v>404572</v>
      </c>
      <c r="AO596" s="148">
        <f t="shared" ref="AO596:AO600" si="398">ROUND(AN596,2)*-1</f>
        <v>-404572</v>
      </c>
      <c r="AP596" s="58">
        <v>75028.273972602736</v>
      </c>
      <c r="AQ596" s="143">
        <f t="shared" ref="AQ596:AQ600" si="399">ROUND(AP596,2)*-1</f>
        <v>-75028.27</v>
      </c>
    </row>
    <row r="597" spans="1:43" x14ac:dyDescent="0.35">
      <c r="A597" s="69" t="s">
        <v>43</v>
      </c>
      <c r="B597" s="15" t="s">
        <v>1913</v>
      </c>
      <c r="C597" s="15"/>
      <c r="D597" s="69" t="e">
        <f>_xlfn.XLOOKUP(B597,SOM!B:B,SOM!D:D,,0)</f>
        <v>#N/A</v>
      </c>
      <c r="E597" s="76">
        <v>1</v>
      </c>
      <c r="F597" s="69" t="s">
        <v>1151</v>
      </c>
      <c r="G597" s="10" t="s">
        <v>1152</v>
      </c>
      <c r="H597" s="15">
        <v>9008000101</v>
      </c>
      <c r="I597" s="92" t="s">
        <v>1693</v>
      </c>
      <c r="J597" s="92">
        <v>1202110106</v>
      </c>
      <c r="K597" s="19" t="s">
        <v>1914</v>
      </c>
      <c r="L597" s="95" t="s">
        <v>1915</v>
      </c>
      <c r="M597" s="69" t="s">
        <v>1916</v>
      </c>
      <c r="N597" s="69"/>
      <c r="O597" s="94">
        <v>1</v>
      </c>
      <c r="P597" s="69" t="s">
        <v>50</v>
      </c>
      <c r="Q597" s="69" t="s">
        <v>51</v>
      </c>
      <c r="R597" s="69"/>
      <c r="S597" s="46">
        <v>44863</v>
      </c>
      <c r="T597" s="48">
        <v>44863</v>
      </c>
      <c r="U597" s="69"/>
      <c r="V597" s="69"/>
      <c r="W597" s="69"/>
      <c r="X597" s="69"/>
      <c r="Y597" s="69" t="s">
        <v>4131</v>
      </c>
      <c r="Z597" s="43">
        <v>970100</v>
      </c>
      <c r="AA597" s="43" t="s">
        <v>52</v>
      </c>
      <c r="AB597" s="43" t="s">
        <v>53</v>
      </c>
      <c r="AC597" s="43">
        <v>3650</v>
      </c>
      <c r="AD597" s="141">
        <v>10</v>
      </c>
      <c r="AE597" s="142">
        <v>0</v>
      </c>
      <c r="AF597" s="142"/>
      <c r="AG597" s="69" t="str">
        <f t="shared" si="396"/>
        <v>2 years 65 days</v>
      </c>
      <c r="AH597" s="69">
        <v>2</v>
      </c>
      <c r="AI597" s="69">
        <v>65</v>
      </c>
      <c r="AJ597" s="69">
        <v>0</v>
      </c>
      <c r="AK597" s="69">
        <v>0</v>
      </c>
      <c r="AL597" s="60">
        <v>970100</v>
      </c>
      <c r="AM597" s="60">
        <f t="shared" si="397"/>
        <v>970100</v>
      </c>
      <c r="AN597" s="59">
        <v>295282</v>
      </c>
      <c r="AO597" s="148">
        <f t="shared" si="398"/>
        <v>-295282</v>
      </c>
      <c r="AP597" s="58">
        <v>48106.821917808207</v>
      </c>
      <c r="AQ597" s="143">
        <f t="shared" si="399"/>
        <v>-48106.82</v>
      </c>
    </row>
    <row r="598" spans="1:43" x14ac:dyDescent="0.35">
      <c r="A598" s="69" t="s">
        <v>43</v>
      </c>
      <c r="B598" s="15" t="s">
        <v>1917</v>
      </c>
      <c r="C598" s="15"/>
      <c r="D598" s="69" t="e">
        <f>_xlfn.XLOOKUP(B598,SOM!B:B,SOM!D:D,,0)</f>
        <v>#N/A</v>
      </c>
      <c r="E598" s="76">
        <v>2</v>
      </c>
      <c r="F598" s="69" t="s">
        <v>1151</v>
      </c>
      <c r="G598" s="92" t="s">
        <v>1152</v>
      </c>
      <c r="H598" s="15">
        <v>9008000101</v>
      </c>
      <c r="I598" s="92" t="s">
        <v>1693</v>
      </c>
      <c r="J598" s="92">
        <v>1202110106</v>
      </c>
      <c r="K598" s="28"/>
      <c r="L598" s="95" t="s">
        <v>1918</v>
      </c>
      <c r="M598" s="69" t="s">
        <v>49</v>
      </c>
      <c r="N598" s="69"/>
      <c r="O598" s="94">
        <v>1</v>
      </c>
      <c r="P598" s="69" t="s">
        <v>50</v>
      </c>
      <c r="Q598" s="69" t="s">
        <v>51</v>
      </c>
      <c r="R598" s="69"/>
      <c r="S598" s="46">
        <v>44965</v>
      </c>
      <c r="T598" s="48">
        <v>44965</v>
      </c>
      <c r="U598" s="69"/>
      <c r="V598" s="69"/>
      <c r="W598" s="69"/>
      <c r="X598" s="69"/>
      <c r="Y598" s="69" t="s">
        <v>4129</v>
      </c>
      <c r="Z598" s="43">
        <v>57500</v>
      </c>
      <c r="AA598" s="43" t="s">
        <v>52</v>
      </c>
      <c r="AB598" s="43" t="s">
        <v>53</v>
      </c>
      <c r="AC598" s="43">
        <v>3650</v>
      </c>
      <c r="AD598" s="141">
        <v>10</v>
      </c>
      <c r="AE598" s="142">
        <v>0</v>
      </c>
      <c r="AF598" s="142"/>
      <c r="AG598" s="69" t="str">
        <f t="shared" si="396"/>
        <v>1 years 328 days</v>
      </c>
      <c r="AH598" s="69">
        <v>1</v>
      </c>
      <c r="AI598" s="69">
        <v>328</v>
      </c>
      <c r="AJ598" s="69">
        <v>0</v>
      </c>
      <c r="AK598" s="69">
        <v>0</v>
      </c>
      <c r="AL598" s="60">
        <v>57500</v>
      </c>
      <c r="AM598" s="60">
        <f t="shared" si="397"/>
        <v>57500</v>
      </c>
      <c r="AN598" s="59">
        <v>32750</v>
      </c>
      <c r="AO598" s="148">
        <f t="shared" si="398"/>
        <v>-32750</v>
      </c>
      <c r="AP598" s="58">
        <v>2851.1540128637353</v>
      </c>
      <c r="AQ598" s="143">
        <f t="shared" si="399"/>
        <v>-2851.15</v>
      </c>
    </row>
    <row r="599" spans="1:43" x14ac:dyDescent="0.35">
      <c r="A599" s="69" t="s">
        <v>43</v>
      </c>
      <c r="B599" s="15" t="s">
        <v>1919</v>
      </c>
      <c r="C599" s="15"/>
      <c r="D599" s="69" t="e">
        <f>_xlfn.XLOOKUP(B599,SOM!B:B,SOM!D:D,,0)</f>
        <v>#N/A</v>
      </c>
      <c r="E599" s="76">
        <v>3</v>
      </c>
      <c r="F599" s="69" t="s">
        <v>1151</v>
      </c>
      <c r="G599" s="92" t="s">
        <v>1152</v>
      </c>
      <c r="H599" s="15">
        <v>9008000101</v>
      </c>
      <c r="I599" s="92" t="s">
        <v>1693</v>
      </c>
      <c r="J599" s="92">
        <v>1202110106</v>
      </c>
      <c r="K599" s="28"/>
      <c r="L599" s="95" t="s">
        <v>1920</v>
      </c>
      <c r="M599" s="69" t="s">
        <v>49</v>
      </c>
      <c r="N599" s="69"/>
      <c r="O599" s="94">
        <v>1</v>
      </c>
      <c r="P599" s="69" t="s">
        <v>50</v>
      </c>
      <c r="Q599" s="69" t="s">
        <v>51</v>
      </c>
      <c r="R599" s="69"/>
      <c r="S599" s="46">
        <v>44965</v>
      </c>
      <c r="T599" s="48">
        <v>44965</v>
      </c>
      <c r="U599" s="69"/>
      <c r="V599" s="69"/>
      <c r="W599" s="69"/>
      <c r="X599" s="69"/>
      <c r="Y599" s="69" t="s">
        <v>4129</v>
      </c>
      <c r="Z599" s="43">
        <v>72500</v>
      </c>
      <c r="AA599" s="43" t="s">
        <v>52</v>
      </c>
      <c r="AB599" s="43" t="s">
        <v>53</v>
      </c>
      <c r="AC599" s="43">
        <v>3650</v>
      </c>
      <c r="AD599" s="141">
        <v>10</v>
      </c>
      <c r="AE599" s="142">
        <v>0</v>
      </c>
      <c r="AF599" s="142"/>
      <c r="AG599" s="69" t="str">
        <f t="shared" si="396"/>
        <v>1 years 328 days</v>
      </c>
      <c r="AH599" s="69">
        <v>1</v>
      </c>
      <c r="AI599" s="69">
        <v>328</v>
      </c>
      <c r="AJ599" s="69">
        <v>0</v>
      </c>
      <c r="AK599" s="69">
        <v>0</v>
      </c>
      <c r="AL599" s="60">
        <v>72500</v>
      </c>
      <c r="AM599" s="60">
        <f t="shared" si="397"/>
        <v>72500</v>
      </c>
      <c r="AN599" s="59">
        <v>41084</v>
      </c>
      <c r="AO599" s="148">
        <f t="shared" si="398"/>
        <v>-41084</v>
      </c>
      <c r="AP599" s="58">
        <v>3595.5574288724965</v>
      </c>
      <c r="AQ599" s="143">
        <f t="shared" si="399"/>
        <v>-3595.56</v>
      </c>
    </row>
    <row r="600" spans="1:43" x14ac:dyDescent="0.35">
      <c r="A600" s="69" t="s">
        <v>43</v>
      </c>
      <c r="B600" s="15" t="s">
        <v>1921</v>
      </c>
      <c r="C600" s="15"/>
      <c r="D600" s="69" t="e">
        <f>_xlfn.XLOOKUP(B600,SOM!B:B,SOM!D:D,,0)</f>
        <v>#N/A</v>
      </c>
      <c r="E600" s="76">
        <v>4</v>
      </c>
      <c r="F600" s="69" t="s">
        <v>1151</v>
      </c>
      <c r="G600" s="92" t="s">
        <v>1152</v>
      </c>
      <c r="H600" s="15">
        <v>9008000101</v>
      </c>
      <c r="I600" s="92" t="s">
        <v>1693</v>
      </c>
      <c r="J600" s="92">
        <v>1202110106</v>
      </c>
      <c r="K600" s="28"/>
      <c r="L600" s="95" t="s">
        <v>1922</v>
      </c>
      <c r="M600" s="69" t="s">
        <v>49</v>
      </c>
      <c r="N600" s="69"/>
      <c r="O600" s="94">
        <v>1</v>
      </c>
      <c r="P600" s="69" t="s">
        <v>50</v>
      </c>
      <c r="Q600" s="69" t="s">
        <v>51</v>
      </c>
      <c r="R600" s="69"/>
      <c r="S600" s="46">
        <v>44965</v>
      </c>
      <c r="T600" s="48">
        <v>44965</v>
      </c>
      <c r="U600" s="69"/>
      <c r="V600" s="69"/>
      <c r="W600" s="69"/>
      <c r="X600" s="69"/>
      <c r="Y600" s="69" t="s">
        <v>4129</v>
      </c>
      <c r="Z600" s="43">
        <v>145000</v>
      </c>
      <c r="AA600" s="43" t="s">
        <v>52</v>
      </c>
      <c r="AB600" s="43" t="s">
        <v>53</v>
      </c>
      <c r="AC600" s="43">
        <v>3650</v>
      </c>
      <c r="AD600" s="141">
        <v>10</v>
      </c>
      <c r="AE600" s="142">
        <v>0</v>
      </c>
      <c r="AF600" s="142"/>
      <c r="AG600" s="69" t="str">
        <f t="shared" si="396"/>
        <v>1 years 328 days</v>
      </c>
      <c r="AH600" s="69">
        <v>1</v>
      </c>
      <c r="AI600" s="69">
        <v>328</v>
      </c>
      <c r="AJ600" s="69">
        <v>0</v>
      </c>
      <c r="AK600" s="69">
        <v>0</v>
      </c>
      <c r="AL600" s="60">
        <v>145000</v>
      </c>
      <c r="AM600" s="60">
        <f t="shared" si="397"/>
        <v>145000</v>
      </c>
      <c r="AN600" s="59">
        <v>83177</v>
      </c>
      <c r="AO600" s="148">
        <f t="shared" si="398"/>
        <v>-83177</v>
      </c>
      <c r="AP600" s="58">
        <v>7190.5447839831468</v>
      </c>
      <c r="AQ600" s="143">
        <f t="shared" si="399"/>
        <v>-7190.54</v>
      </c>
    </row>
    <row r="601" spans="1:43" x14ac:dyDescent="0.35">
      <c r="A601" s="69" t="s">
        <v>43</v>
      </c>
      <c r="B601" s="15" t="s">
        <v>1923</v>
      </c>
      <c r="C601" s="15"/>
      <c r="D601" s="69"/>
      <c r="E601" s="76">
        <v>0</v>
      </c>
      <c r="F601" s="69" t="s">
        <v>1151</v>
      </c>
      <c r="G601" s="10" t="s">
        <v>1152</v>
      </c>
      <c r="H601" s="15">
        <v>9008000102</v>
      </c>
      <c r="I601" s="97" t="s">
        <v>261</v>
      </c>
      <c r="J601" s="97" t="s">
        <v>1794</v>
      </c>
      <c r="K601" s="14" t="s">
        <v>818</v>
      </c>
      <c r="L601" s="95" t="s">
        <v>1924</v>
      </c>
      <c r="M601" s="69" t="s">
        <v>1925</v>
      </c>
      <c r="N601" s="69"/>
      <c r="O601" s="94">
        <v>1</v>
      </c>
      <c r="P601" s="69" t="s">
        <v>50</v>
      </c>
      <c r="Q601" s="69" t="s">
        <v>51</v>
      </c>
      <c r="R601" s="69"/>
      <c r="S601" s="46">
        <v>45056</v>
      </c>
      <c r="T601" s="48">
        <v>45056</v>
      </c>
      <c r="U601" s="69"/>
      <c r="V601" s="69"/>
      <c r="W601" s="69"/>
      <c r="X601" s="69"/>
      <c r="Y601" s="69" t="s">
        <v>4129</v>
      </c>
      <c r="Z601" s="43">
        <v>803850</v>
      </c>
      <c r="AA601" s="43" t="s">
        <v>52</v>
      </c>
      <c r="AB601" s="43" t="s">
        <v>53</v>
      </c>
      <c r="AC601" s="43">
        <v>3650</v>
      </c>
      <c r="AD601" s="141">
        <v>10</v>
      </c>
      <c r="AE601" s="142">
        <v>0</v>
      </c>
      <c r="AF601" s="142"/>
      <c r="AG601" s="69" t="str">
        <f t="shared" ref="AG601:AG603" si="400">_xlfn.CONCAT(AH601," years ",AI601," days")</f>
        <v>1 years 237 days</v>
      </c>
      <c r="AH601" s="69">
        <v>1</v>
      </c>
      <c r="AI601" s="69">
        <v>237</v>
      </c>
      <c r="AJ601" s="69">
        <v>0</v>
      </c>
      <c r="AK601" s="69">
        <v>0</v>
      </c>
      <c r="AL601" s="60">
        <v>803850</v>
      </c>
      <c r="AM601" s="60">
        <f t="shared" ref="AM601:AM603" si="401">ROUND(AL601,2)</f>
        <v>803850</v>
      </c>
      <c r="AN601" s="59">
        <v>132580</v>
      </c>
      <c r="AO601" s="148">
        <f t="shared" ref="AO601:AO603" si="402">ROUND(AN601,2)*-1</f>
        <v>-132580</v>
      </c>
      <c r="AP601" s="58">
        <v>39862.342465753405</v>
      </c>
      <c r="AQ601" s="143">
        <f t="shared" ref="AQ601:AQ603" si="403">ROUND(AP601,2)*-1</f>
        <v>-39862.339999999997</v>
      </c>
    </row>
    <row r="602" spans="1:43" x14ac:dyDescent="0.35">
      <c r="A602" s="69" t="s">
        <v>43</v>
      </c>
      <c r="B602" s="15" t="s">
        <v>1926</v>
      </c>
      <c r="C602" s="15"/>
      <c r="D602" s="69" t="e">
        <f>_xlfn.XLOOKUP(B602,SOM!B:B,SOM!D:D,,0)</f>
        <v>#N/A</v>
      </c>
      <c r="E602" s="76">
        <v>1</v>
      </c>
      <c r="F602" s="69" t="s">
        <v>1151</v>
      </c>
      <c r="G602" s="10" t="s">
        <v>1152</v>
      </c>
      <c r="H602" s="15">
        <v>9008000102</v>
      </c>
      <c r="I602" s="97" t="s">
        <v>261</v>
      </c>
      <c r="J602" s="97" t="s">
        <v>1794</v>
      </c>
      <c r="K602" s="14" t="s">
        <v>818</v>
      </c>
      <c r="L602" s="95" t="s">
        <v>1927</v>
      </c>
      <c r="M602" s="69" t="s">
        <v>1928</v>
      </c>
      <c r="N602" s="69"/>
      <c r="O602" s="94">
        <v>3</v>
      </c>
      <c r="P602" s="69" t="s">
        <v>50</v>
      </c>
      <c r="Q602" s="69" t="s">
        <v>51</v>
      </c>
      <c r="R602" s="69"/>
      <c r="S602" s="46">
        <v>44986</v>
      </c>
      <c r="T602" s="48">
        <v>44986</v>
      </c>
      <c r="U602" s="69"/>
      <c r="V602" s="69"/>
      <c r="W602" s="69"/>
      <c r="X602" s="69"/>
      <c r="Y602" s="69" t="s">
        <v>4129</v>
      </c>
      <c r="Z602" s="43">
        <v>803850</v>
      </c>
      <c r="AA602" s="43" t="s">
        <v>52</v>
      </c>
      <c r="AB602" s="43" t="s">
        <v>53</v>
      </c>
      <c r="AC602" s="43">
        <v>3650</v>
      </c>
      <c r="AD602" s="141">
        <v>10</v>
      </c>
      <c r="AE602" s="142">
        <v>0</v>
      </c>
      <c r="AF602" s="142"/>
      <c r="AG602" s="69" t="str">
        <f t="shared" si="400"/>
        <v>1 years 307 days</v>
      </c>
      <c r="AH602" s="69">
        <v>1</v>
      </c>
      <c r="AI602" s="69">
        <v>307</v>
      </c>
      <c r="AJ602" s="69">
        <v>0</v>
      </c>
      <c r="AK602" s="69">
        <v>0</v>
      </c>
      <c r="AL602" s="60">
        <v>803850</v>
      </c>
      <c r="AM602" s="60">
        <f t="shared" si="401"/>
        <v>803850</v>
      </c>
      <c r="AN602" s="59">
        <v>147996</v>
      </c>
      <c r="AO602" s="148">
        <f t="shared" si="402"/>
        <v>-147996</v>
      </c>
      <c r="AP602" s="58">
        <v>39862.643835616444</v>
      </c>
      <c r="AQ602" s="143">
        <f t="shared" si="403"/>
        <v>-39862.639999999999</v>
      </c>
    </row>
    <row r="603" spans="1:43" x14ac:dyDescent="0.35">
      <c r="A603" s="69" t="s">
        <v>43</v>
      </c>
      <c r="B603" s="15" t="s">
        <v>1929</v>
      </c>
      <c r="C603" s="15"/>
      <c r="D603" s="69" t="e">
        <f>_xlfn.XLOOKUP(B603,SOM!B:B,SOM!D:D,,0)</f>
        <v>#N/A</v>
      </c>
      <c r="E603" s="76">
        <v>2</v>
      </c>
      <c r="F603" s="69" t="s">
        <v>1151</v>
      </c>
      <c r="G603" s="10" t="s">
        <v>1152</v>
      </c>
      <c r="H603" s="15">
        <v>9008000102</v>
      </c>
      <c r="I603" s="97" t="s">
        <v>261</v>
      </c>
      <c r="J603" s="97" t="s">
        <v>1794</v>
      </c>
      <c r="K603" s="14" t="s">
        <v>818</v>
      </c>
      <c r="L603" s="95" t="s">
        <v>1930</v>
      </c>
      <c r="M603" s="69" t="s">
        <v>1931</v>
      </c>
      <c r="N603" s="69"/>
      <c r="O603" s="94">
        <v>2</v>
      </c>
      <c r="P603" s="69" t="s">
        <v>50</v>
      </c>
      <c r="Q603" s="69" t="s">
        <v>51</v>
      </c>
      <c r="R603" s="69"/>
      <c r="S603" s="46">
        <v>45439</v>
      </c>
      <c r="T603" s="48">
        <v>45439</v>
      </c>
      <c r="U603" s="69"/>
      <c r="V603" s="69"/>
      <c r="W603" s="69"/>
      <c r="X603" s="69"/>
      <c r="Y603" s="69" t="s">
        <v>4130</v>
      </c>
      <c r="Z603" s="43">
        <v>268000</v>
      </c>
      <c r="AA603" s="43" t="s">
        <v>52</v>
      </c>
      <c r="AB603" s="43" t="s">
        <v>53</v>
      </c>
      <c r="AC603" s="43">
        <v>3650</v>
      </c>
      <c r="AD603" s="141">
        <v>10</v>
      </c>
      <c r="AE603" s="142">
        <v>0</v>
      </c>
      <c r="AF603" s="142"/>
      <c r="AG603" s="69" t="str">
        <f t="shared" si="400"/>
        <v>0 years 219 days</v>
      </c>
      <c r="AH603" s="69">
        <v>0</v>
      </c>
      <c r="AI603" s="69">
        <v>219</v>
      </c>
      <c r="AJ603" s="69">
        <v>0</v>
      </c>
      <c r="AK603" s="69">
        <v>0</v>
      </c>
      <c r="AL603" s="60">
        <v>268000</v>
      </c>
      <c r="AM603" s="60">
        <f t="shared" si="401"/>
        <v>268000</v>
      </c>
      <c r="AN603" s="59">
        <v>16080</v>
      </c>
      <c r="AO603" s="148">
        <f t="shared" si="402"/>
        <v>-16080</v>
      </c>
      <c r="AP603" s="58">
        <v>13289.863013698632</v>
      </c>
      <c r="AQ603" s="143">
        <f t="shared" si="403"/>
        <v>-13289.86</v>
      </c>
    </row>
    <row r="604" spans="1:43" x14ac:dyDescent="0.35">
      <c r="A604" s="69" t="s">
        <v>43</v>
      </c>
      <c r="B604" s="15" t="s">
        <v>1932</v>
      </c>
      <c r="C604" s="15"/>
      <c r="D604" s="69"/>
      <c r="E604" s="76">
        <v>0</v>
      </c>
      <c r="F604" s="69" t="s">
        <v>1151</v>
      </c>
      <c r="G604" s="92" t="s">
        <v>1152</v>
      </c>
      <c r="H604" s="135">
        <v>9008000103</v>
      </c>
      <c r="I604" s="92" t="s">
        <v>1933</v>
      </c>
      <c r="J604" s="92">
        <v>1202110103</v>
      </c>
      <c r="K604" s="14"/>
      <c r="L604" s="95" t="s">
        <v>1934</v>
      </c>
      <c r="M604" s="69" t="s">
        <v>49</v>
      </c>
      <c r="N604" s="69"/>
      <c r="O604" s="94">
        <v>2</v>
      </c>
      <c r="P604" s="69" t="s">
        <v>50</v>
      </c>
      <c r="Q604" s="69" t="s">
        <v>51</v>
      </c>
      <c r="R604" s="69"/>
      <c r="S604" s="46">
        <v>41237</v>
      </c>
      <c r="T604" s="48">
        <v>43191</v>
      </c>
      <c r="U604" s="69"/>
      <c r="V604" s="69"/>
      <c r="W604" s="69"/>
      <c r="X604" s="69"/>
      <c r="Y604" s="69" t="s">
        <v>4125</v>
      </c>
      <c r="Z604" s="43">
        <v>1225000</v>
      </c>
      <c r="AA604" s="43" t="s">
        <v>52</v>
      </c>
      <c r="AB604" s="43" t="s">
        <v>53</v>
      </c>
      <c r="AC604" s="43">
        <v>3504</v>
      </c>
      <c r="AD604" s="141">
        <v>9</v>
      </c>
      <c r="AE604" s="142">
        <v>7</v>
      </c>
      <c r="AF604" s="142"/>
      <c r="AG604" s="69" t="str">
        <f t="shared" ref="AG604:AG611" si="404">_xlfn.CONCAT(AH604," years ",AI604," days")</f>
        <v>6 years 277 days</v>
      </c>
      <c r="AH604" s="69">
        <v>6</v>
      </c>
      <c r="AI604" s="69">
        <v>277</v>
      </c>
      <c r="AJ604" s="69">
        <v>0</v>
      </c>
      <c r="AK604" s="69">
        <v>0</v>
      </c>
      <c r="AL604" s="60">
        <v>1225000</v>
      </c>
      <c r="AM604" s="60">
        <f t="shared" ref="AM604:AM611" si="405">ROUND(AL604,2)</f>
        <v>1225000</v>
      </c>
      <c r="AN604" s="59">
        <v>862464</v>
      </c>
      <c r="AO604" s="148">
        <f t="shared" ref="AO604:AO611" si="406">ROUND(AN604,2)*-1</f>
        <v>-862464</v>
      </c>
      <c r="AP604" s="58">
        <v>63278.009132420062</v>
      </c>
      <c r="AQ604" s="143">
        <f t="shared" ref="AQ604:AQ611" si="407">ROUND(AP604,2)*-1</f>
        <v>-63278.01</v>
      </c>
    </row>
    <row r="605" spans="1:43" x14ac:dyDescent="0.35">
      <c r="A605" s="69" t="s">
        <v>43</v>
      </c>
      <c r="B605" s="15" t="s">
        <v>1935</v>
      </c>
      <c r="C605" s="15"/>
      <c r="D605" s="69" t="e">
        <f>_xlfn.XLOOKUP(B605,SOM!B:B,SOM!D:D,,0)</f>
        <v>#N/A</v>
      </c>
      <c r="E605" s="76">
        <v>1</v>
      </c>
      <c r="F605" s="69" t="s">
        <v>1151</v>
      </c>
      <c r="G605" s="92" t="s">
        <v>1152</v>
      </c>
      <c r="H605" s="135">
        <v>9008000103</v>
      </c>
      <c r="I605" s="92" t="s">
        <v>1933</v>
      </c>
      <c r="J605" s="92">
        <v>1202110103</v>
      </c>
      <c r="K605" s="14"/>
      <c r="L605" s="95" t="s">
        <v>1936</v>
      </c>
      <c r="M605" s="69" t="s">
        <v>49</v>
      </c>
      <c r="N605" s="69"/>
      <c r="O605" s="94">
        <v>1</v>
      </c>
      <c r="P605" s="69" t="s">
        <v>50</v>
      </c>
      <c r="Q605" s="69" t="s">
        <v>51</v>
      </c>
      <c r="R605" s="69"/>
      <c r="S605" s="46">
        <v>40634</v>
      </c>
      <c r="T605" s="48">
        <v>43191</v>
      </c>
      <c r="U605" s="69"/>
      <c r="V605" s="69"/>
      <c r="W605" s="69"/>
      <c r="X605" s="69"/>
      <c r="Y605" s="69" t="s">
        <v>4125</v>
      </c>
      <c r="Z605" s="43">
        <v>6750</v>
      </c>
      <c r="AA605" s="43" t="s">
        <v>52</v>
      </c>
      <c r="AB605" s="43" t="s">
        <v>53</v>
      </c>
      <c r="AC605" s="43">
        <v>2920</v>
      </c>
      <c r="AD605" s="141">
        <v>8</v>
      </c>
      <c r="AE605" s="142">
        <v>0</v>
      </c>
      <c r="AF605" s="142"/>
      <c r="AG605" s="69" t="str">
        <f t="shared" si="404"/>
        <v>6 years 277 days</v>
      </c>
      <c r="AH605" s="69">
        <v>6</v>
      </c>
      <c r="AI605" s="69">
        <v>277</v>
      </c>
      <c r="AJ605" s="69">
        <v>0</v>
      </c>
      <c r="AK605" s="69">
        <v>0</v>
      </c>
      <c r="AL605" s="60">
        <v>6750</v>
      </c>
      <c r="AM605" s="60">
        <f t="shared" si="405"/>
        <v>6750</v>
      </c>
      <c r="AN605" s="59">
        <v>6750</v>
      </c>
      <c r="AO605" s="148">
        <f t="shared" si="406"/>
        <v>-6750</v>
      </c>
      <c r="AP605" s="58">
        <v>0</v>
      </c>
      <c r="AQ605" s="143">
        <f t="shared" si="407"/>
        <v>0</v>
      </c>
    </row>
    <row r="606" spans="1:43" x14ac:dyDescent="0.35">
      <c r="A606" s="69" t="s">
        <v>43</v>
      </c>
      <c r="B606" s="15" t="s">
        <v>1937</v>
      </c>
      <c r="C606" s="15"/>
      <c r="D606" s="69" t="e">
        <f>_xlfn.XLOOKUP(B606,SOM!B:B,SOM!D:D,,0)</f>
        <v>#N/A</v>
      </c>
      <c r="E606" s="76">
        <v>2</v>
      </c>
      <c r="F606" s="69" t="s">
        <v>1151</v>
      </c>
      <c r="G606" s="92" t="s">
        <v>1152</v>
      </c>
      <c r="H606" s="135">
        <v>9008000103</v>
      </c>
      <c r="I606" s="92" t="s">
        <v>1933</v>
      </c>
      <c r="J606" s="92">
        <v>1202110103</v>
      </c>
      <c r="K606" s="14"/>
      <c r="L606" s="95" t="s">
        <v>1938</v>
      </c>
      <c r="M606" s="69" t="s">
        <v>49</v>
      </c>
      <c r="N606" s="69"/>
      <c r="O606" s="94">
        <v>1</v>
      </c>
      <c r="P606" s="69" t="s">
        <v>50</v>
      </c>
      <c r="Q606" s="69" t="s">
        <v>51</v>
      </c>
      <c r="R606" s="69"/>
      <c r="S606" s="46">
        <v>40639</v>
      </c>
      <c r="T606" s="48">
        <v>43191</v>
      </c>
      <c r="U606" s="69"/>
      <c r="V606" s="69"/>
      <c r="W606" s="69"/>
      <c r="X606" s="69"/>
      <c r="Y606" s="69" t="s">
        <v>4125</v>
      </c>
      <c r="Z606" s="43">
        <v>18500</v>
      </c>
      <c r="AA606" s="43" t="s">
        <v>52</v>
      </c>
      <c r="AB606" s="43" t="s">
        <v>53</v>
      </c>
      <c r="AC606" s="43">
        <v>1095</v>
      </c>
      <c r="AD606" s="141">
        <v>3</v>
      </c>
      <c r="AE606" s="142">
        <v>0</v>
      </c>
      <c r="AF606" s="142"/>
      <c r="AG606" s="69" t="str">
        <f t="shared" si="404"/>
        <v>3 years 0 days</v>
      </c>
      <c r="AH606" s="69">
        <v>3</v>
      </c>
      <c r="AI606" s="69">
        <v>0</v>
      </c>
      <c r="AJ606" s="69">
        <v>0</v>
      </c>
      <c r="AK606" s="69">
        <v>0</v>
      </c>
      <c r="AL606" s="60">
        <v>18500</v>
      </c>
      <c r="AM606" s="60">
        <f t="shared" si="405"/>
        <v>18500</v>
      </c>
      <c r="AN606" s="59">
        <v>18500</v>
      </c>
      <c r="AO606" s="148">
        <f t="shared" si="406"/>
        <v>-18500</v>
      </c>
      <c r="AP606" s="58">
        <v>0</v>
      </c>
      <c r="AQ606" s="143">
        <f t="shared" si="407"/>
        <v>0</v>
      </c>
    </row>
    <row r="607" spans="1:43" x14ac:dyDescent="0.35">
      <c r="A607" s="69" t="s">
        <v>43</v>
      </c>
      <c r="B607" s="15" t="s">
        <v>1939</v>
      </c>
      <c r="C607" s="15"/>
      <c r="D607" s="69" t="e">
        <f>_xlfn.XLOOKUP(B607,SOM!B:B,SOM!D:D,,0)</f>
        <v>#N/A</v>
      </c>
      <c r="E607" s="76">
        <v>3</v>
      </c>
      <c r="F607" s="69" t="s">
        <v>1151</v>
      </c>
      <c r="G607" s="92" t="s">
        <v>1152</v>
      </c>
      <c r="H607" s="135">
        <v>9008000103</v>
      </c>
      <c r="I607" s="92" t="s">
        <v>1933</v>
      </c>
      <c r="J607" s="92">
        <v>1202110103</v>
      </c>
      <c r="K607" s="14"/>
      <c r="L607" s="95" t="s">
        <v>1940</v>
      </c>
      <c r="M607" s="69" t="s">
        <v>49</v>
      </c>
      <c r="N607" s="69"/>
      <c r="O607" s="94">
        <v>1</v>
      </c>
      <c r="P607" s="69" t="s">
        <v>50</v>
      </c>
      <c r="Q607" s="69" t="s">
        <v>51</v>
      </c>
      <c r="R607" s="69"/>
      <c r="S607" s="46">
        <v>40357</v>
      </c>
      <c r="T607" s="48">
        <v>43191</v>
      </c>
      <c r="U607" s="69"/>
      <c r="V607" s="69"/>
      <c r="W607" s="69"/>
      <c r="X607" s="69"/>
      <c r="Y607" s="69" t="s">
        <v>4125</v>
      </c>
      <c r="Z607" s="43">
        <v>205000</v>
      </c>
      <c r="AA607" s="43" t="s">
        <v>52</v>
      </c>
      <c r="AB607" s="43" t="s">
        <v>53</v>
      </c>
      <c r="AC607" s="43">
        <v>2628</v>
      </c>
      <c r="AD607" s="141">
        <v>7</v>
      </c>
      <c r="AE607" s="142">
        <v>2</v>
      </c>
      <c r="AF607" s="142"/>
      <c r="AG607" s="69" t="str">
        <f t="shared" si="404"/>
        <v>6 years 277 days</v>
      </c>
      <c r="AH607" s="69">
        <v>6</v>
      </c>
      <c r="AI607" s="69">
        <v>277</v>
      </c>
      <c r="AJ607" s="69">
        <v>0</v>
      </c>
      <c r="AK607" s="69">
        <v>0</v>
      </c>
      <c r="AL607" s="60">
        <v>205000</v>
      </c>
      <c r="AM607" s="60">
        <f t="shared" si="405"/>
        <v>205000</v>
      </c>
      <c r="AN607" s="59">
        <v>192441</v>
      </c>
      <c r="AO607" s="148">
        <f t="shared" si="406"/>
        <v>-192441</v>
      </c>
      <c r="AP607" s="58">
        <v>12559</v>
      </c>
      <c r="AQ607" s="143">
        <f t="shared" si="407"/>
        <v>-12559</v>
      </c>
    </row>
    <row r="608" spans="1:43" x14ac:dyDescent="0.35">
      <c r="A608" s="69" t="s">
        <v>43</v>
      </c>
      <c r="B608" s="15" t="s">
        <v>1941</v>
      </c>
      <c r="C608" s="15"/>
      <c r="D608" s="69" t="e">
        <f>_xlfn.XLOOKUP(B608,SOM!B:B,SOM!D:D,,0)</f>
        <v>#N/A</v>
      </c>
      <c r="E608" s="76">
        <v>4</v>
      </c>
      <c r="F608" s="69" t="s">
        <v>1151</v>
      </c>
      <c r="G608" s="92" t="s">
        <v>1152</v>
      </c>
      <c r="H608" s="135">
        <v>9008000103</v>
      </c>
      <c r="I608" s="92" t="s">
        <v>1933</v>
      </c>
      <c r="J608" s="92">
        <v>1202110103</v>
      </c>
      <c r="K608" s="14"/>
      <c r="L608" s="95" t="s">
        <v>1942</v>
      </c>
      <c r="M608" s="69" t="s">
        <v>49</v>
      </c>
      <c r="N608" s="69"/>
      <c r="O608" s="94">
        <v>1</v>
      </c>
      <c r="P608" s="69" t="s">
        <v>50</v>
      </c>
      <c r="Q608" s="69" t="s">
        <v>51</v>
      </c>
      <c r="R608" s="69"/>
      <c r="S608" s="46">
        <v>40429</v>
      </c>
      <c r="T608" s="48">
        <v>43191</v>
      </c>
      <c r="U608" s="69"/>
      <c r="V608" s="69"/>
      <c r="W608" s="69"/>
      <c r="X608" s="69"/>
      <c r="Y608" s="69" t="s">
        <v>4125</v>
      </c>
      <c r="Z608" s="43">
        <v>190000</v>
      </c>
      <c r="AA608" s="43" t="s">
        <v>52</v>
      </c>
      <c r="AB608" s="43" t="s">
        <v>53</v>
      </c>
      <c r="AC608" s="43">
        <v>2701</v>
      </c>
      <c r="AD608" s="141">
        <v>7</v>
      </c>
      <c r="AE608" s="142">
        <v>5</v>
      </c>
      <c r="AF608" s="142"/>
      <c r="AG608" s="69" t="str">
        <f t="shared" si="404"/>
        <v>6 years 277 days</v>
      </c>
      <c r="AH608" s="69">
        <v>6</v>
      </c>
      <c r="AI608" s="69">
        <v>277</v>
      </c>
      <c r="AJ608" s="69">
        <v>0</v>
      </c>
      <c r="AK608" s="69">
        <v>0</v>
      </c>
      <c r="AL608" s="60">
        <v>190000</v>
      </c>
      <c r="AM608" s="60">
        <f t="shared" si="405"/>
        <v>190000</v>
      </c>
      <c r="AN608" s="59">
        <v>173539</v>
      </c>
      <c r="AO608" s="148">
        <f t="shared" si="406"/>
        <v>-173539</v>
      </c>
      <c r="AP608" s="58">
        <v>12732.751203258085</v>
      </c>
      <c r="AQ608" s="143">
        <f t="shared" si="407"/>
        <v>-12732.75</v>
      </c>
    </row>
    <row r="609" spans="1:43" x14ac:dyDescent="0.35">
      <c r="A609" s="69" t="s">
        <v>43</v>
      </c>
      <c r="B609" s="15" t="s">
        <v>1943</v>
      </c>
      <c r="C609" s="15"/>
      <c r="D609" s="69" t="e">
        <f>_xlfn.XLOOKUP(B609,SOM!B:B,SOM!D:D,,0)</f>
        <v>#N/A</v>
      </c>
      <c r="E609" s="76">
        <v>5</v>
      </c>
      <c r="F609" s="69" t="s">
        <v>1151</v>
      </c>
      <c r="G609" s="92" t="s">
        <v>1152</v>
      </c>
      <c r="H609" s="135">
        <v>9008000103</v>
      </c>
      <c r="I609" s="92" t="s">
        <v>1933</v>
      </c>
      <c r="J609" s="92">
        <v>1202110103</v>
      </c>
      <c r="K609" s="14"/>
      <c r="L609" s="95" t="s">
        <v>1944</v>
      </c>
      <c r="M609" s="69" t="s">
        <v>49</v>
      </c>
      <c r="N609" s="69"/>
      <c r="O609" s="94">
        <v>1</v>
      </c>
      <c r="P609" s="69" t="s">
        <v>50</v>
      </c>
      <c r="Q609" s="69" t="s">
        <v>51</v>
      </c>
      <c r="R609" s="69"/>
      <c r="S609" s="46">
        <v>41365</v>
      </c>
      <c r="T609" s="48">
        <v>43191</v>
      </c>
      <c r="U609" s="69"/>
      <c r="V609" s="69"/>
      <c r="W609" s="69"/>
      <c r="X609" s="69"/>
      <c r="Y609" s="69" t="s">
        <v>4125</v>
      </c>
      <c r="Z609" s="43">
        <v>130000</v>
      </c>
      <c r="AA609" s="43" t="s">
        <v>52</v>
      </c>
      <c r="AB609" s="43" t="s">
        <v>53</v>
      </c>
      <c r="AC609" s="43">
        <v>3650</v>
      </c>
      <c r="AD609" s="141">
        <v>10</v>
      </c>
      <c r="AE609" s="142">
        <v>0</v>
      </c>
      <c r="AF609" s="142"/>
      <c r="AG609" s="69" t="str">
        <f t="shared" si="404"/>
        <v>6 years 277 days</v>
      </c>
      <c r="AH609" s="69">
        <v>6</v>
      </c>
      <c r="AI609" s="69">
        <v>277</v>
      </c>
      <c r="AJ609" s="69">
        <v>0</v>
      </c>
      <c r="AK609" s="69">
        <v>0</v>
      </c>
      <c r="AL609" s="60">
        <v>130000</v>
      </c>
      <c r="AM609" s="60">
        <f t="shared" si="405"/>
        <v>130000</v>
      </c>
      <c r="AN609" s="59">
        <v>87866</v>
      </c>
      <c r="AO609" s="148">
        <f t="shared" si="406"/>
        <v>-87866</v>
      </c>
      <c r="AP609" s="58">
        <v>6446.3287671232829</v>
      </c>
      <c r="AQ609" s="143">
        <f t="shared" si="407"/>
        <v>-6446.33</v>
      </c>
    </row>
    <row r="610" spans="1:43" x14ac:dyDescent="0.35">
      <c r="A610" s="69" t="s">
        <v>43</v>
      </c>
      <c r="B610" s="15" t="s">
        <v>1945</v>
      </c>
      <c r="C610" s="15"/>
      <c r="D610" s="69" t="e">
        <f>_xlfn.XLOOKUP(B610,SOM!B:B,SOM!D:D,,0)</f>
        <v>#N/A</v>
      </c>
      <c r="E610" s="76">
        <v>6</v>
      </c>
      <c r="F610" s="69" t="s">
        <v>1151</v>
      </c>
      <c r="G610" s="92" t="s">
        <v>1152</v>
      </c>
      <c r="H610" s="135">
        <v>9008000103</v>
      </c>
      <c r="I610" s="92" t="s">
        <v>1933</v>
      </c>
      <c r="J610" s="92">
        <v>1202110103</v>
      </c>
      <c r="K610" s="14"/>
      <c r="L610" s="95" t="s">
        <v>1946</v>
      </c>
      <c r="M610" s="69" t="s">
        <v>49</v>
      </c>
      <c r="N610" s="69"/>
      <c r="O610" s="94">
        <v>1</v>
      </c>
      <c r="P610" s="69" t="s">
        <v>50</v>
      </c>
      <c r="Q610" s="69" t="s">
        <v>51</v>
      </c>
      <c r="R610" s="69"/>
      <c r="S610" s="46">
        <v>38303</v>
      </c>
      <c r="T610" s="48">
        <v>43191</v>
      </c>
      <c r="U610" s="69"/>
      <c r="V610" s="69"/>
      <c r="W610" s="69"/>
      <c r="X610" s="69"/>
      <c r="Y610" s="69" t="s">
        <v>4125</v>
      </c>
      <c r="Z610" s="43">
        <v>100000</v>
      </c>
      <c r="AA610" s="43" t="s">
        <v>52</v>
      </c>
      <c r="AB610" s="43" t="s">
        <v>53</v>
      </c>
      <c r="AC610" s="43">
        <v>584</v>
      </c>
      <c r="AD610" s="141">
        <v>1</v>
      </c>
      <c r="AE610" s="142">
        <v>7</v>
      </c>
      <c r="AF610" s="142"/>
      <c r="AG610" s="69" t="str">
        <f t="shared" si="404"/>
        <v>1 years 219 days</v>
      </c>
      <c r="AH610" s="69">
        <v>1</v>
      </c>
      <c r="AI610" s="69">
        <v>219</v>
      </c>
      <c r="AJ610" s="69">
        <v>0</v>
      </c>
      <c r="AK610" s="69">
        <v>0</v>
      </c>
      <c r="AL610" s="60">
        <v>100000</v>
      </c>
      <c r="AM610" s="60">
        <f t="shared" si="405"/>
        <v>100000</v>
      </c>
      <c r="AN610" s="59">
        <v>100000</v>
      </c>
      <c r="AO610" s="148">
        <f t="shared" si="406"/>
        <v>-100000</v>
      </c>
      <c r="AP610" s="58">
        <v>0</v>
      </c>
      <c r="AQ610" s="143">
        <f t="shared" si="407"/>
        <v>0</v>
      </c>
    </row>
    <row r="611" spans="1:43" x14ac:dyDescent="0.35">
      <c r="A611" s="69" t="s">
        <v>43</v>
      </c>
      <c r="B611" s="15" t="s">
        <v>1947</v>
      </c>
      <c r="C611" s="15"/>
      <c r="D611" s="69" t="e">
        <f>_xlfn.XLOOKUP(B611,SOM!B:B,SOM!D:D,,0)</f>
        <v>#N/A</v>
      </c>
      <c r="E611" s="76">
        <v>7</v>
      </c>
      <c r="F611" s="69" t="s">
        <v>1151</v>
      </c>
      <c r="G611" s="92" t="s">
        <v>1152</v>
      </c>
      <c r="H611" s="135">
        <v>9008000103</v>
      </c>
      <c r="I611" s="92" t="s">
        <v>1933</v>
      </c>
      <c r="J611" s="92">
        <v>1202110103</v>
      </c>
      <c r="K611" s="14"/>
      <c r="L611" s="95" t="s">
        <v>1948</v>
      </c>
      <c r="M611" s="69" t="s">
        <v>1204</v>
      </c>
      <c r="N611" s="69"/>
      <c r="O611" s="94">
        <v>1</v>
      </c>
      <c r="P611" s="69" t="s">
        <v>50</v>
      </c>
      <c r="Q611" s="69" t="s">
        <v>51</v>
      </c>
      <c r="R611" s="69"/>
      <c r="S611" s="46">
        <v>41260</v>
      </c>
      <c r="T611" s="48">
        <v>43191</v>
      </c>
      <c r="U611" s="69"/>
      <c r="V611" s="69"/>
      <c r="W611" s="69"/>
      <c r="X611" s="69"/>
      <c r="Y611" s="69" t="s">
        <v>4125</v>
      </c>
      <c r="Z611" s="43">
        <v>520000</v>
      </c>
      <c r="AA611" s="43" t="s">
        <v>52</v>
      </c>
      <c r="AB611" s="43" t="s">
        <v>53</v>
      </c>
      <c r="AC611" s="43">
        <v>3541</v>
      </c>
      <c r="AD611" s="141">
        <v>9</v>
      </c>
      <c r="AE611" s="142">
        <v>9</v>
      </c>
      <c r="AF611" s="142"/>
      <c r="AG611" s="69" t="str">
        <f t="shared" si="404"/>
        <v>6 years 277 days</v>
      </c>
      <c r="AH611" s="69">
        <v>6</v>
      </c>
      <c r="AI611" s="69">
        <v>277</v>
      </c>
      <c r="AJ611" s="69">
        <v>0</v>
      </c>
      <c r="AK611" s="69">
        <v>0</v>
      </c>
      <c r="AL611" s="60">
        <v>520000</v>
      </c>
      <c r="AM611" s="60">
        <f t="shared" si="405"/>
        <v>520000</v>
      </c>
      <c r="AN611" s="59">
        <v>362282</v>
      </c>
      <c r="AO611" s="148">
        <f t="shared" si="406"/>
        <v>-362282</v>
      </c>
      <c r="AP611" s="58">
        <v>26579.903417113761</v>
      </c>
      <c r="AQ611" s="143">
        <f t="shared" si="407"/>
        <v>-26579.9</v>
      </c>
    </row>
    <row r="612" spans="1:43" x14ac:dyDescent="0.35">
      <c r="A612" s="69" t="s">
        <v>43</v>
      </c>
      <c r="B612" s="15" t="s">
        <v>1949</v>
      </c>
      <c r="C612" s="15"/>
      <c r="D612" s="69"/>
      <c r="E612" s="76">
        <v>0</v>
      </c>
      <c r="F612" s="69" t="s">
        <v>1950</v>
      </c>
      <c r="G612" s="92" t="s">
        <v>1951</v>
      </c>
      <c r="H612" s="15">
        <v>9009000001</v>
      </c>
      <c r="I612" s="92" t="s">
        <v>261</v>
      </c>
      <c r="J612" s="92">
        <v>1202010217</v>
      </c>
      <c r="K612" s="23" t="s">
        <v>1952</v>
      </c>
      <c r="L612" s="95" t="s">
        <v>1953</v>
      </c>
      <c r="M612" s="69" t="s">
        <v>1954</v>
      </c>
      <c r="N612" s="69"/>
      <c r="O612" s="94">
        <v>1</v>
      </c>
      <c r="P612" s="69" t="s">
        <v>50</v>
      </c>
      <c r="Q612" s="69" t="s">
        <v>51</v>
      </c>
      <c r="R612" s="69"/>
      <c r="S612" s="46">
        <v>44101</v>
      </c>
      <c r="T612" s="48">
        <v>44101</v>
      </c>
      <c r="U612" s="69"/>
      <c r="V612" s="69"/>
      <c r="W612" s="69"/>
      <c r="X612" s="69"/>
      <c r="Y612" s="69" t="s">
        <v>4127</v>
      </c>
      <c r="Z612" s="43">
        <v>4806633</v>
      </c>
      <c r="AA612" s="43" t="s">
        <v>52</v>
      </c>
      <c r="AB612" s="43" t="s">
        <v>53</v>
      </c>
      <c r="AC612" s="43">
        <v>3650</v>
      </c>
      <c r="AD612" s="141">
        <v>10</v>
      </c>
      <c r="AE612" s="142">
        <v>0</v>
      </c>
      <c r="AF612" s="142"/>
      <c r="AG612" s="69" t="str">
        <f t="shared" ref="AG612:AG675" si="408">_xlfn.CONCAT(AH612," years ",AI612," days")</f>
        <v>4 years 97 days</v>
      </c>
      <c r="AH612" s="69">
        <v>4</v>
      </c>
      <c r="AI612" s="69">
        <v>97</v>
      </c>
      <c r="AJ612" s="69">
        <v>0</v>
      </c>
      <c r="AK612" s="69">
        <v>0</v>
      </c>
      <c r="AL612" s="60">
        <v>4806633</v>
      </c>
      <c r="AM612" s="60">
        <f t="shared" ref="AM612:AM675" si="409">ROUND(AL612,2)</f>
        <v>4806633</v>
      </c>
      <c r="AN612" s="59">
        <v>2050391</v>
      </c>
      <c r="AO612" s="148">
        <f t="shared" ref="AO612:AO675" si="410">ROUND(AN612,2)*-1</f>
        <v>-2050391</v>
      </c>
      <c r="AP612" s="58">
        <v>238356.43945205491</v>
      </c>
      <c r="AQ612" s="143">
        <f t="shared" ref="AQ612:AQ675" si="411">ROUND(AP612,2)*-1</f>
        <v>-238356.44</v>
      </c>
    </row>
    <row r="613" spans="1:43" x14ac:dyDescent="0.35">
      <c r="A613" s="69" t="s">
        <v>43</v>
      </c>
      <c r="B613" s="15" t="s">
        <v>1955</v>
      </c>
      <c r="C613" s="15"/>
      <c r="D613" s="69"/>
      <c r="E613" s="76">
        <v>0</v>
      </c>
      <c r="F613" s="69" t="s">
        <v>1950</v>
      </c>
      <c r="G613" s="92" t="s">
        <v>1951</v>
      </c>
      <c r="H613" s="15">
        <v>9009000002</v>
      </c>
      <c r="I613" s="92" t="s">
        <v>261</v>
      </c>
      <c r="J613" s="92">
        <v>1202010217</v>
      </c>
      <c r="K613" s="22" t="s">
        <v>1956</v>
      </c>
      <c r="L613" s="95" t="s">
        <v>1957</v>
      </c>
      <c r="M613" s="69" t="s">
        <v>1958</v>
      </c>
      <c r="N613" s="69"/>
      <c r="O613" s="94">
        <v>1</v>
      </c>
      <c r="P613" s="69" t="s">
        <v>50</v>
      </c>
      <c r="Q613" s="69" t="s">
        <v>51</v>
      </c>
      <c r="R613" s="69"/>
      <c r="S613" s="46">
        <v>44100</v>
      </c>
      <c r="T613" s="48">
        <v>44100</v>
      </c>
      <c r="U613" s="69"/>
      <c r="V613" s="69"/>
      <c r="W613" s="69"/>
      <c r="X613" s="69"/>
      <c r="Y613" s="69" t="s">
        <v>4127</v>
      </c>
      <c r="Z613" s="43">
        <v>2368200</v>
      </c>
      <c r="AA613" s="43" t="s">
        <v>52</v>
      </c>
      <c r="AB613" s="43" t="s">
        <v>53</v>
      </c>
      <c r="AC613" s="43">
        <v>3650</v>
      </c>
      <c r="AD613" s="141">
        <v>10</v>
      </c>
      <c r="AE613" s="142">
        <v>0</v>
      </c>
      <c r="AF613" s="142"/>
      <c r="AG613" s="69" t="str">
        <f t="shared" si="408"/>
        <v>4 years 98 days</v>
      </c>
      <c r="AH613" s="69">
        <v>4</v>
      </c>
      <c r="AI613" s="69">
        <v>98</v>
      </c>
      <c r="AJ613" s="69">
        <v>0</v>
      </c>
      <c r="AK613" s="69">
        <v>0</v>
      </c>
      <c r="AL613" s="60">
        <v>2368200</v>
      </c>
      <c r="AM613" s="60">
        <f t="shared" si="409"/>
        <v>2368200</v>
      </c>
      <c r="AN613" s="59">
        <v>1010865</v>
      </c>
      <c r="AO613" s="148">
        <f t="shared" si="410"/>
        <v>-1010865</v>
      </c>
      <c r="AP613" s="58">
        <v>117436.31506849313</v>
      </c>
      <c r="AQ613" s="143">
        <f t="shared" si="411"/>
        <v>-117436.32</v>
      </c>
    </row>
    <row r="614" spans="1:43" x14ac:dyDescent="0.35">
      <c r="A614" s="69" t="s">
        <v>43</v>
      </c>
      <c r="B614" s="15" t="s">
        <v>1959</v>
      </c>
      <c r="C614" s="15"/>
      <c r="D614" s="69"/>
      <c r="E614" s="76">
        <v>0</v>
      </c>
      <c r="F614" s="69" t="s">
        <v>1960</v>
      </c>
      <c r="G614" s="13" t="s">
        <v>1961</v>
      </c>
      <c r="H614" s="77">
        <v>9010000001</v>
      </c>
      <c r="I614" s="92" t="s">
        <v>261</v>
      </c>
      <c r="J614" s="92">
        <v>1202010217</v>
      </c>
      <c r="K614" s="15"/>
      <c r="L614" s="95" t="s">
        <v>1962</v>
      </c>
      <c r="M614" s="69" t="s">
        <v>1837</v>
      </c>
      <c r="N614" s="69"/>
      <c r="O614" s="94">
        <v>1</v>
      </c>
      <c r="P614" s="69" t="s">
        <v>50</v>
      </c>
      <c r="Q614" s="69" t="s">
        <v>51</v>
      </c>
      <c r="R614" s="69"/>
      <c r="S614" s="46">
        <v>40993</v>
      </c>
      <c r="T614" s="48">
        <v>43191</v>
      </c>
      <c r="U614" s="69"/>
      <c r="V614" s="69"/>
      <c r="W614" s="69"/>
      <c r="X614" s="69"/>
      <c r="Y614" s="69" t="s">
        <v>4125</v>
      </c>
      <c r="Z614" s="43">
        <v>17000</v>
      </c>
      <c r="AA614" s="43" t="s">
        <v>52</v>
      </c>
      <c r="AB614" s="43" t="s">
        <v>53</v>
      </c>
      <c r="AC614" s="43">
        <v>183</v>
      </c>
      <c r="AD614" s="141">
        <v>0</v>
      </c>
      <c r="AE614" s="142">
        <v>6</v>
      </c>
      <c r="AF614" s="142"/>
      <c r="AG614" s="69" t="str">
        <f t="shared" si="408"/>
        <v>0 years 183 days</v>
      </c>
      <c r="AH614" s="69">
        <v>0</v>
      </c>
      <c r="AI614" s="69">
        <v>183</v>
      </c>
      <c r="AJ614" s="69">
        <v>0</v>
      </c>
      <c r="AK614" s="69">
        <v>0</v>
      </c>
      <c r="AL614" s="60">
        <v>17000</v>
      </c>
      <c r="AM614" s="60">
        <f t="shared" si="409"/>
        <v>17000</v>
      </c>
      <c r="AN614" s="59">
        <v>17000</v>
      </c>
      <c r="AO614" s="148">
        <f t="shared" si="410"/>
        <v>-17000</v>
      </c>
      <c r="AP614" s="58">
        <v>0</v>
      </c>
      <c r="AQ614" s="143">
        <f t="shared" si="411"/>
        <v>0</v>
      </c>
    </row>
    <row r="615" spans="1:43" x14ac:dyDescent="0.35">
      <c r="A615" s="69" t="s">
        <v>43</v>
      </c>
      <c r="B615" s="15" t="s">
        <v>1963</v>
      </c>
      <c r="C615" s="15"/>
      <c r="D615" s="69"/>
      <c r="E615" s="76">
        <v>0</v>
      </c>
      <c r="F615" s="69" t="s">
        <v>1960</v>
      </c>
      <c r="G615" s="13" t="s">
        <v>1961</v>
      </c>
      <c r="H615" s="77">
        <v>9010000001</v>
      </c>
      <c r="I615" s="92" t="s">
        <v>261</v>
      </c>
      <c r="J615" s="92">
        <v>1202010217</v>
      </c>
      <c r="K615" s="15"/>
      <c r="L615" s="95" t="s">
        <v>1964</v>
      </c>
      <c r="M615" s="69" t="s">
        <v>1965</v>
      </c>
      <c r="N615" s="69"/>
      <c r="O615" s="94">
        <v>1</v>
      </c>
      <c r="P615" s="69" t="s">
        <v>50</v>
      </c>
      <c r="Q615" s="69" t="s">
        <v>51</v>
      </c>
      <c r="R615" s="69"/>
      <c r="S615" s="46">
        <v>40994</v>
      </c>
      <c r="T615" s="48">
        <v>43191</v>
      </c>
      <c r="U615" s="69"/>
      <c r="V615" s="69"/>
      <c r="W615" s="69"/>
      <c r="X615" s="69"/>
      <c r="Y615" s="69" t="s">
        <v>4125</v>
      </c>
      <c r="Z615" s="43">
        <v>5000</v>
      </c>
      <c r="AA615" s="43" t="s">
        <v>52</v>
      </c>
      <c r="AB615" s="43" t="s">
        <v>53</v>
      </c>
      <c r="AC615" s="43">
        <v>183</v>
      </c>
      <c r="AD615" s="141">
        <v>0</v>
      </c>
      <c r="AE615" s="142">
        <v>6</v>
      </c>
      <c r="AF615" s="142"/>
      <c r="AG615" s="69" t="str">
        <f t="shared" si="408"/>
        <v>0 years 183 days</v>
      </c>
      <c r="AH615" s="69">
        <v>0</v>
      </c>
      <c r="AI615" s="69">
        <v>183</v>
      </c>
      <c r="AJ615" s="69">
        <v>0</v>
      </c>
      <c r="AK615" s="69">
        <v>0</v>
      </c>
      <c r="AL615" s="60">
        <v>5000</v>
      </c>
      <c r="AM615" s="60">
        <f t="shared" si="409"/>
        <v>5000</v>
      </c>
      <c r="AN615" s="59">
        <v>5000</v>
      </c>
      <c r="AO615" s="148">
        <f t="shared" si="410"/>
        <v>-5000</v>
      </c>
      <c r="AP615" s="58">
        <v>0</v>
      </c>
      <c r="AQ615" s="143">
        <f t="shared" si="411"/>
        <v>0</v>
      </c>
    </row>
    <row r="616" spans="1:43" x14ac:dyDescent="0.35">
      <c r="A616" s="69" t="s">
        <v>43</v>
      </c>
      <c r="B616" s="15" t="s">
        <v>1966</v>
      </c>
      <c r="C616" s="15"/>
      <c r="D616" s="69"/>
      <c r="E616" s="76">
        <v>0</v>
      </c>
      <c r="F616" s="69" t="s">
        <v>1960</v>
      </c>
      <c r="G616" s="13" t="s">
        <v>1961</v>
      </c>
      <c r="H616" s="77">
        <v>9010000001</v>
      </c>
      <c r="I616" s="92" t="s">
        <v>261</v>
      </c>
      <c r="J616" s="92">
        <v>1202010217</v>
      </c>
      <c r="K616" s="15"/>
      <c r="L616" s="95" t="s">
        <v>1967</v>
      </c>
      <c r="M616" s="69" t="s">
        <v>49</v>
      </c>
      <c r="N616" s="69"/>
      <c r="O616" s="94">
        <v>1</v>
      </c>
      <c r="P616" s="69" t="s">
        <v>50</v>
      </c>
      <c r="Q616" s="69" t="s">
        <v>51</v>
      </c>
      <c r="R616" s="69"/>
      <c r="S616" s="46">
        <v>41474</v>
      </c>
      <c r="T616" s="48">
        <v>43191</v>
      </c>
      <c r="U616" s="69"/>
      <c r="V616" s="69"/>
      <c r="W616" s="69"/>
      <c r="X616" s="69"/>
      <c r="Y616" s="69" t="s">
        <v>4125</v>
      </c>
      <c r="Z616" s="43">
        <v>1200</v>
      </c>
      <c r="AA616" s="43" t="s">
        <v>52</v>
      </c>
      <c r="AB616" s="43" t="s">
        <v>53</v>
      </c>
      <c r="AC616" s="43">
        <v>183</v>
      </c>
      <c r="AD616" s="141">
        <v>0</v>
      </c>
      <c r="AE616" s="142">
        <v>6</v>
      </c>
      <c r="AF616" s="142"/>
      <c r="AG616" s="69" t="str">
        <f t="shared" si="408"/>
        <v>0 years 183 days</v>
      </c>
      <c r="AH616" s="69">
        <v>0</v>
      </c>
      <c r="AI616" s="69">
        <v>183</v>
      </c>
      <c r="AJ616" s="69">
        <v>0</v>
      </c>
      <c r="AK616" s="69">
        <v>0</v>
      </c>
      <c r="AL616" s="60">
        <v>1200</v>
      </c>
      <c r="AM616" s="60">
        <f t="shared" si="409"/>
        <v>1200</v>
      </c>
      <c r="AN616" s="59">
        <v>1200</v>
      </c>
      <c r="AO616" s="148">
        <f t="shared" si="410"/>
        <v>-1200</v>
      </c>
      <c r="AP616" s="58">
        <v>0</v>
      </c>
      <c r="AQ616" s="143">
        <f t="shared" si="411"/>
        <v>0</v>
      </c>
    </row>
    <row r="617" spans="1:43" x14ac:dyDescent="0.35">
      <c r="A617" s="69" t="s">
        <v>43</v>
      </c>
      <c r="B617" s="15" t="s">
        <v>1968</v>
      </c>
      <c r="C617" s="15"/>
      <c r="D617" s="69"/>
      <c r="E617" s="76">
        <v>0</v>
      </c>
      <c r="F617" s="69" t="s">
        <v>1960</v>
      </c>
      <c r="G617" s="13" t="s">
        <v>1961</v>
      </c>
      <c r="H617" s="77">
        <v>9010000001</v>
      </c>
      <c r="I617" s="92" t="s">
        <v>261</v>
      </c>
      <c r="J617" s="92">
        <v>1202010217</v>
      </c>
      <c r="K617" s="15"/>
      <c r="L617" s="95" t="s">
        <v>1969</v>
      </c>
      <c r="M617" s="69" t="s">
        <v>1970</v>
      </c>
      <c r="N617" s="69"/>
      <c r="O617" s="94">
        <v>1</v>
      </c>
      <c r="P617" s="69" t="s">
        <v>50</v>
      </c>
      <c r="Q617" s="69" t="s">
        <v>51</v>
      </c>
      <c r="R617" s="69"/>
      <c r="S617" s="46">
        <v>41535</v>
      </c>
      <c r="T617" s="48">
        <v>43191</v>
      </c>
      <c r="U617" s="69"/>
      <c r="V617" s="69"/>
      <c r="W617" s="69"/>
      <c r="X617" s="69"/>
      <c r="Y617" s="69" t="s">
        <v>4125</v>
      </c>
      <c r="Z617" s="43">
        <v>2600</v>
      </c>
      <c r="AA617" s="43" t="s">
        <v>52</v>
      </c>
      <c r="AB617" s="43" t="s">
        <v>53</v>
      </c>
      <c r="AC617" s="43">
        <v>183</v>
      </c>
      <c r="AD617" s="141">
        <v>0</v>
      </c>
      <c r="AE617" s="142">
        <v>6</v>
      </c>
      <c r="AF617" s="142"/>
      <c r="AG617" s="69" t="str">
        <f t="shared" si="408"/>
        <v>0 years 183 days</v>
      </c>
      <c r="AH617" s="69">
        <v>0</v>
      </c>
      <c r="AI617" s="69">
        <v>183</v>
      </c>
      <c r="AJ617" s="69">
        <v>0</v>
      </c>
      <c r="AK617" s="69">
        <v>0</v>
      </c>
      <c r="AL617" s="60">
        <v>2600</v>
      </c>
      <c r="AM617" s="60">
        <f t="shared" si="409"/>
        <v>2600</v>
      </c>
      <c r="AN617" s="59">
        <v>2600</v>
      </c>
      <c r="AO617" s="148">
        <f t="shared" si="410"/>
        <v>-2600</v>
      </c>
      <c r="AP617" s="58">
        <v>0</v>
      </c>
      <c r="AQ617" s="143">
        <f t="shared" si="411"/>
        <v>0</v>
      </c>
    </row>
    <row r="618" spans="1:43" x14ac:dyDescent="0.35">
      <c r="A618" s="69" t="s">
        <v>43</v>
      </c>
      <c r="B618" s="15" t="s">
        <v>1971</v>
      </c>
      <c r="C618" s="15"/>
      <c r="D618" s="69"/>
      <c r="E618" s="76">
        <v>0</v>
      </c>
      <c r="F618" s="69" t="s">
        <v>1960</v>
      </c>
      <c r="G618" s="13" t="s">
        <v>1961</v>
      </c>
      <c r="H618" s="77">
        <v>9010000001</v>
      </c>
      <c r="I618" s="92" t="s">
        <v>261</v>
      </c>
      <c r="J618" s="92">
        <v>1202010217</v>
      </c>
      <c r="K618" s="15"/>
      <c r="L618" s="95" t="s">
        <v>1972</v>
      </c>
      <c r="M618" s="69" t="s">
        <v>49</v>
      </c>
      <c r="N618" s="69"/>
      <c r="O618" s="94">
        <v>1</v>
      </c>
      <c r="P618" s="69" t="s">
        <v>50</v>
      </c>
      <c r="Q618" s="69" t="s">
        <v>51</v>
      </c>
      <c r="R618" s="69"/>
      <c r="S618" s="46">
        <v>41611</v>
      </c>
      <c r="T618" s="48">
        <v>43191</v>
      </c>
      <c r="U618" s="69"/>
      <c r="V618" s="69"/>
      <c r="W618" s="69"/>
      <c r="X618" s="69"/>
      <c r="Y618" s="69" t="s">
        <v>4125</v>
      </c>
      <c r="Z618" s="43">
        <v>900</v>
      </c>
      <c r="AA618" s="43" t="s">
        <v>52</v>
      </c>
      <c r="AB618" s="43" t="s">
        <v>53</v>
      </c>
      <c r="AC618" s="43">
        <v>256</v>
      </c>
      <c r="AD618" s="141">
        <v>0</v>
      </c>
      <c r="AE618" s="142">
        <v>9</v>
      </c>
      <c r="AF618" s="142"/>
      <c r="AG618" s="69" t="str">
        <f t="shared" si="408"/>
        <v>0 years 256 days</v>
      </c>
      <c r="AH618" s="69">
        <v>0</v>
      </c>
      <c r="AI618" s="69">
        <v>256</v>
      </c>
      <c r="AJ618" s="69">
        <v>0</v>
      </c>
      <c r="AK618" s="69">
        <v>0</v>
      </c>
      <c r="AL618" s="60">
        <v>900</v>
      </c>
      <c r="AM618" s="60">
        <f t="shared" si="409"/>
        <v>900</v>
      </c>
      <c r="AN618" s="59">
        <v>900</v>
      </c>
      <c r="AO618" s="148">
        <f t="shared" si="410"/>
        <v>-900</v>
      </c>
      <c r="AP618" s="58">
        <v>0</v>
      </c>
      <c r="AQ618" s="143">
        <f t="shared" si="411"/>
        <v>0</v>
      </c>
    </row>
    <row r="619" spans="1:43" x14ac:dyDescent="0.35">
      <c r="A619" s="69" t="s">
        <v>43</v>
      </c>
      <c r="B619" s="15" t="s">
        <v>1973</v>
      </c>
      <c r="C619" s="15"/>
      <c r="D619" s="69"/>
      <c r="E619" s="76">
        <v>0</v>
      </c>
      <c r="F619" s="69" t="s">
        <v>1960</v>
      </c>
      <c r="G619" s="13" t="s">
        <v>1961</v>
      </c>
      <c r="H619" s="78">
        <v>9010000001</v>
      </c>
      <c r="I619" s="92" t="s">
        <v>261</v>
      </c>
      <c r="J619" s="92">
        <v>1202010217</v>
      </c>
      <c r="K619" s="15" t="s">
        <v>1974</v>
      </c>
      <c r="L619" s="95" t="s">
        <v>1975</v>
      </c>
      <c r="M619" s="69" t="s">
        <v>49</v>
      </c>
      <c r="N619" s="69"/>
      <c r="O619" s="94">
        <v>8</v>
      </c>
      <c r="P619" s="69" t="s">
        <v>50</v>
      </c>
      <c r="Q619" s="69" t="s">
        <v>51</v>
      </c>
      <c r="R619" s="69"/>
      <c r="S619" s="46">
        <v>41887</v>
      </c>
      <c r="T619" s="48">
        <v>43191</v>
      </c>
      <c r="U619" s="69"/>
      <c r="V619" s="69"/>
      <c r="W619" s="69"/>
      <c r="X619" s="69"/>
      <c r="Y619" s="69" t="s">
        <v>4125</v>
      </c>
      <c r="Z619" s="43">
        <v>6000</v>
      </c>
      <c r="AA619" s="43" t="s">
        <v>52</v>
      </c>
      <c r="AB619" s="43" t="s">
        <v>53</v>
      </c>
      <c r="AC619" s="43">
        <v>511</v>
      </c>
      <c r="AD619" s="141">
        <v>1</v>
      </c>
      <c r="AE619" s="142">
        <v>5</v>
      </c>
      <c r="AF619" s="142"/>
      <c r="AG619" s="69" t="str">
        <f t="shared" si="408"/>
        <v>1 years 146 days</v>
      </c>
      <c r="AH619" s="69">
        <v>1</v>
      </c>
      <c r="AI619" s="69">
        <v>146</v>
      </c>
      <c r="AJ619" s="69">
        <v>0</v>
      </c>
      <c r="AK619" s="69">
        <v>0</v>
      </c>
      <c r="AL619" s="60">
        <v>6000</v>
      </c>
      <c r="AM619" s="60">
        <f t="shared" si="409"/>
        <v>6000</v>
      </c>
      <c r="AN619" s="59">
        <v>6000</v>
      </c>
      <c r="AO619" s="148">
        <f t="shared" si="410"/>
        <v>-6000</v>
      </c>
      <c r="AP619" s="58">
        <v>0</v>
      </c>
      <c r="AQ619" s="143">
        <f t="shared" si="411"/>
        <v>0</v>
      </c>
    </row>
    <row r="620" spans="1:43" x14ac:dyDescent="0.35">
      <c r="A620" s="69" t="s">
        <v>43</v>
      </c>
      <c r="B620" s="15" t="s">
        <v>1976</v>
      </c>
      <c r="C620" s="15"/>
      <c r="D620" s="69"/>
      <c r="E620" s="76">
        <v>0</v>
      </c>
      <c r="F620" s="69" t="s">
        <v>1960</v>
      </c>
      <c r="G620" s="13" t="s">
        <v>1961</v>
      </c>
      <c r="H620" s="78">
        <v>9010000001</v>
      </c>
      <c r="I620" s="92" t="s">
        <v>261</v>
      </c>
      <c r="J620" s="92">
        <v>1202010217</v>
      </c>
      <c r="K620" s="15" t="s">
        <v>1977</v>
      </c>
      <c r="L620" s="95" t="s">
        <v>1978</v>
      </c>
      <c r="M620" s="69" t="s">
        <v>1979</v>
      </c>
      <c r="N620" s="69"/>
      <c r="O620" s="94">
        <v>3</v>
      </c>
      <c r="P620" s="69" t="s">
        <v>50</v>
      </c>
      <c r="Q620" s="69" t="s">
        <v>51</v>
      </c>
      <c r="R620" s="69"/>
      <c r="S620" s="46">
        <v>41890</v>
      </c>
      <c r="T620" s="48">
        <v>43191</v>
      </c>
      <c r="U620" s="69"/>
      <c r="V620" s="69"/>
      <c r="W620" s="69"/>
      <c r="X620" s="69"/>
      <c r="Y620" s="69" t="s">
        <v>4125</v>
      </c>
      <c r="Z620" s="43">
        <v>5250</v>
      </c>
      <c r="AA620" s="43" t="s">
        <v>52</v>
      </c>
      <c r="AB620" s="43" t="s">
        <v>53</v>
      </c>
      <c r="AC620" s="43">
        <v>511</v>
      </c>
      <c r="AD620" s="141">
        <v>1</v>
      </c>
      <c r="AE620" s="142">
        <v>5</v>
      </c>
      <c r="AF620" s="142"/>
      <c r="AG620" s="69" t="str">
        <f t="shared" si="408"/>
        <v>1 years 146 days</v>
      </c>
      <c r="AH620" s="69">
        <v>1</v>
      </c>
      <c r="AI620" s="69">
        <v>146</v>
      </c>
      <c r="AJ620" s="69">
        <v>0</v>
      </c>
      <c r="AK620" s="69">
        <v>0</v>
      </c>
      <c r="AL620" s="60">
        <v>5250</v>
      </c>
      <c r="AM620" s="60">
        <f t="shared" si="409"/>
        <v>5250</v>
      </c>
      <c r="AN620" s="59">
        <v>5250</v>
      </c>
      <c r="AO620" s="148">
        <f t="shared" si="410"/>
        <v>-5250</v>
      </c>
      <c r="AP620" s="58">
        <v>0</v>
      </c>
      <c r="AQ620" s="143">
        <f t="shared" si="411"/>
        <v>0</v>
      </c>
    </row>
    <row r="621" spans="1:43" x14ac:dyDescent="0.35">
      <c r="A621" s="69" t="s">
        <v>43</v>
      </c>
      <c r="B621" s="15" t="s">
        <v>1980</v>
      </c>
      <c r="C621" s="15"/>
      <c r="D621" s="69"/>
      <c r="E621" s="76">
        <v>0</v>
      </c>
      <c r="F621" s="69" t="s">
        <v>1960</v>
      </c>
      <c r="G621" s="13" t="s">
        <v>1961</v>
      </c>
      <c r="H621" s="78">
        <v>9010000001</v>
      </c>
      <c r="I621" s="92" t="s">
        <v>261</v>
      </c>
      <c r="J621" s="92">
        <v>1202010217</v>
      </c>
      <c r="K621" s="15" t="s">
        <v>1981</v>
      </c>
      <c r="L621" s="95" t="s">
        <v>1982</v>
      </c>
      <c r="M621" s="69" t="s">
        <v>1983</v>
      </c>
      <c r="N621" s="69"/>
      <c r="O621" s="94">
        <v>16</v>
      </c>
      <c r="P621" s="69" t="s">
        <v>50</v>
      </c>
      <c r="Q621" s="69" t="s">
        <v>51</v>
      </c>
      <c r="R621" s="69"/>
      <c r="S621" s="46">
        <v>42009</v>
      </c>
      <c r="T621" s="48">
        <v>43191</v>
      </c>
      <c r="U621" s="69"/>
      <c r="V621" s="69"/>
      <c r="W621" s="69"/>
      <c r="X621" s="69"/>
      <c r="Y621" s="69" t="s">
        <v>4125</v>
      </c>
      <c r="Z621" s="43">
        <v>6750</v>
      </c>
      <c r="AA621" s="43" t="s">
        <v>52</v>
      </c>
      <c r="AB621" s="43" t="s">
        <v>53</v>
      </c>
      <c r="AC621" s="43">
        <v>657</v>
      </c>
      <c r="AD621" s="141">
        <v>1</v>
      </c>
      <c r="AE621" s="142">
        <v>10</v>
      </c>
      <c r="AF621" s="142"/>
      <c r="AG621" s="69" t="str">
        <f t="shared" si="408"/>
        <v>1 years 292 days</v>
      </c>
      <c r="AH621" s="69">
        <v>1</v>
      </c>
      <c r="AI621" s="69">
        <v>292</v>
      </c>
      <c r="AJ621" s="69">
        <v>0</v>
      </c>
      <c r="AK621" s="69">
        <v>0</v>
      </c>
      <c r="AL621" s="60">
        <v>6750</v>
      </c>
      <c r="AM621" s="60">
        <f t="shared" si="409"/>
        <v>6750</v>
      </c>
      <c r="AN621" s="59">
        <v>6750</v>
      </c>
      <c r="AO621" s="148">
        <f t="shared" si="410"/>
        <v>-6750</v>
      </c>
      <c r="AP621" s="58">
        <v>0</v>
      </c>
      <c r="AQ621" s="143">
        <f t="shared" si="411"/>
        <v>0</v>
      </c>
    </row>
    <row r="622" spans="1:43" x14ac:dyDescent="0.35">
      <c r="A622" s="69" t="s">
        <v>43</v>
      </c>
      <c r="B622" s="15" t="s">
        <v>1984</v>
      </c>
      <c r="C622" s="15"/>
      <c r="D622" s="69"/>
      <c r="E622" s="76">
        <v>0</v>
      </c>
      <c r="F622" s="69" t="s">
        <v>1960</v>
      </c>
      <c r="G622" s="13" t="s">
        <v>1961</v>
      </c>
      <c r="H622" s="77">
        <v>9010000001</v>
      </c>
      <c r="I622" s="92" t="s">
        <v>261</v>
      </c>
      <c r="J622" s="92">
        <v>1202010217</v>
      </c>
      <c r="K622" s="15"/>
      <c r="L622" s="95" t="s">
        <v>1985</v>
      </c>
      <c r="M622" s="69" t="s">
        <v>49</v>
      </c>
      <c r="N622" s="69"/>
      <c r="O622" s="94">
        <v>1</v>
      </c>
      <c r="P622" s="69" t="s">
        <v>50</v>
      </c>
      <c r="Q622" s="69" t="s">
        <v>51</v>
      </c>
      <c r="R622" s="69"/>
      <c r="S622" s="46">
        <v>42040</v>
      </c>
      <c r="T622" s="48">
        <v>43191</v>
      </c>
      <c r="U622" s="69"/>
      <c r="V622" s="69"/>
      <c r="W622" s="69"/>
      <c r="X622" s="69"/>
      <c r="Y622" s="69" t="s">
        <v>4125</v>
      </c>
      <c r="Z622" s="43">
        <v>1900</v>
      </c>
      <c r="AA622" s="43" t="s">
        <v>52</v>
      </c>
      <c r="AB622" s="43" t="s">
        <v>53</v>
      </c>
      <c r="AC622" s="43">
        <v>657</v>
      </c>
      <c r="AD622" s="141">
        <v>1</v>
      </c>
      <c r="AE622" s="142">
        <v>10</v>
      </c>
      <c r="AF622" s="142"/>
      <c r="AG622" s="69" t="str">
        <f t="shared" si="408"/>
        <v>1 years 292 days</v>
      </c>
      <c r="AH622" s="69">
        <v>1</v>
      </c>
      <c r="AI622" s="69">
        <v>292</v>
      </c>
      <c r="AJ622" s="69">
        <v>0</v>
      </c>
      <c r="AK622" s="69">
        <v>0</v>
      </c>
      <c r="AL622" s="60">
        <v>1900</v>
      </c>
      <c r="AM622" s="60">
        <f t="shared" si="409"/>
        <v>1900</v>
      </c>
      <c r="AN622" s="59">
        <v>1900</v>
      </c>
      <c r="AO622" s="148">
        <f t="shared" si="410"/>
        <v>-1900</v>
      </c>
      <c r="AP622" s="58">
        <v>0</v>
      </c>
      <c r="AQ622" s="143">
        <f t="shared" si="411"/>
        <v>0</v>
      </c>
    </row>
    <row r="623" spans="1:43" x14ac:dyDescent="0.35">
      <c r="A623" s="69" t="s">
        <v>43</v>
      </c>
      <c r="B623" s="15" t="s">
        <v>1986</v>
      </c>
      <c r="C623" s="15"/>
      <c r="D623" s="69"/>
      <c r="E623" s="76">
        <v>0</v>
      </c>
      <c r="F623" s="69" t="s">
        <v>1960</v>
      </c>
      <c r="G623" s="13" t="s">
        <v>1961</v>
      </c>
      <c r="H623" s="78">
        <v>9010000001</v>
      </c>
      <c r="I623" s="92" t="s">
        <v>261</v>
      </c>
      <c r="J623" s="92">
        <v>1202010217</v>
      </c>
      <c r="K623" s="15" t="s">
        <v>1987</v>
      </c>
      <c r="L623" s="95" t="s">
        <v>1988</v>
      </c>
      <c r="M623" s="69" t="s">
        <v>1989</v>
      </c>
      <c r="N623" s="69"/>
      <c r="O623" s="94">
        <v>4</v>
      </c>
      <c r="P623" s="69" t="s">
        <v>50</v>
      </c>
      <c r="Q623" s="69" t="s">
        <v>51</v>
      </c>
      <c r="R623" s="69"/>
      <c r="S623" s="46">
        <v>42613</v>
      </c>
      <c r="T623" s="48">
        <v>43191</v>
      </c>
      <c r="U623" s="69"/>
      <c r="V623" s="69"/>
      <c r="W623" s="69"/>
      <c r="X623" s="69"/>
      <c r="Y623" s="69" t="s">
        <v>4125</v>
      </c>
      <c r="Z623" s="43">
        <v>67500</v>
      </c>
      <c r="AA623" s="43" t="s">
        <v>52</v>
      </c>
      <c r="AB623" s="43" t="s">
        <v>53</v>
      </c>
      <c r="AC623" s="43">
        <v>1241</v>
      </c>
      <c r="AD623" s="141">
        <v>3</v>
      </c>
      <c r="AE623" s="142">
        <v>5</v>
      </c>
      <c r="AF623" s="142"/>
      <c r="AG623" s="69" t="str">
        <f t="shared" si="408"/>
        <v>3 years 146 days</v>
      </c>
      <c r="AH623" s="69">
        <v>3</v>
      </c>
      <c r="AI623" s="69">
        <v>146</v>
      </c>
      <c r="AJ623" s="69">
        <v>0</v>
      </c>
      <c r="AK623" s="69">
        <v>0</v>
      </c>
      <c r="AL623" s="60">
        <v>67500</v>
      </c>
      <c r="AM623" s="60">
        <f t="shared" si="409"/>
        <v>67500</v>
      </c>
      <c r="AN623" s="59">
        <v>67500</v>
      </c>
      <c r="AO623" s="148">
        <f t="shared" si="410"/>
        <v>-67500</v>
      </c>
      <c r="AP623" s="58">
        <v>0</v>
      </c>
      <c r="AQ623" s="143">
        <f t="shared" si="411"/>
        <v>0</v>
      </c>
    </row>
    <row r="624" spans="1:43" x14ac:dyDescent="0.35">
      <c r="A624" s="69" t="s">
        <v>43</v>
      </c>
      <c r="B624" s="15" t="s">
        <v>1990</v>
      </c>
      <c r="C624" s="15"/>
      <c r="D624" s="69"/>
      <c r="E624" s="76">
        <v>0</v>
      </c>
      <c r="F624" s="69" t="s">
        <v>1960</v>
      </c>
      <c r="G624" s="13" t="s">
        <v>1961</v>
      </c>
      <c r="H624" s="78">
        <v>9010000001</v>
      </c>
      <c r="I624" s="92" t="s">
        <v>261</v>
      </c>
      <c r="J624" s="92">
        <v>1202010217</v>
      </c>
      <c r="K624" s="15" t="s">
        <v>1991</v>
      </c>
      <c r="L624" s="95" t="s">
        <v>1992</v>
      </c>
      <c r="M624" s="69" t="s">
        <v>1993</v>
      </c>
      <c r="N624" s="69"/>
      <c r="O624" s="94">
        <v>4</v>
      </c>
      <c r="P624" s="69" t="s">
        <v>50</v>
      </c>
      <c r="Q624" s="69" t="s">
        <v>51</v>
      </c>
      <c r="R624" s="69"/>
      <c r="S624" s="46">
        <v>42737</v>
      </c>
      <c r="T624" s="48">
        <v>43191</v>
      </c>
      <c r="U624" s="69"/>
      <c r="V624" s="69"/>
      <c r="W624" s="69"/>
      <c r="X624" s="69"/>
      <c r="Y624" s="69" t="s">
        <v>4125</v>
      </c>
      <c r="Z624" s="43">
        <v>47000</v>
      </c>
      <c r="AA624" s="43" t="s">
        <v>52</v>
      </c>
      <c r="AB624" s="43" t="s">
        <v>53</v>
      </c>
      <c r="AC624" s="43">
        <v>1387</v>
      </c>
      <c r="AD624" s="141">
        <v>3</v>
      </c>
      <c r="AE624" s="142">
        <v>10</v>
      </c>
      <c r="AF624" s="142"/>
      <c r="AG624" s="69" t="str">
        <f t="shared" si="408"/>
        <v>3 years 292 days</v>
      </c>
      <c r="AH624" s="69">
        <v>3</v>
      </c>
      <c r="AI624" s="69">
        <v>292</v>
      </c>
      <c r="AJ624" s="69">
        <v>0</v>
      </c>
      <c r="AK624" s="69">
        <v>0</v>
      </c>
      <c r="AL624" s="60">
        <v>47000</v>
      </c>
      <c r="AM624" s="60">
        <f t="shared" si="409"/>
        <v>47000</v>
      </c>
      <c r="AN624" s="59">
        <v>47000</v>
      </c>
      <c r="AO624" s="148">
        <f t="shared" si="410"/>
        <v>-47000</v>
      </c>
      <c r="AP624" s="58">
        <v>0</v>
      </c>
      <c r="AQ624" s="143">
        <f t="shared" si="411"/>
        <v>0</v>
      </c>
    </row>
    <row r="625" spans="1:43" x14ac:dyDescent="0.35">
      <c r="A625" s="69" t="s">
        <v>43</v>
      </c>
      <c r="B625" s="134" t="s">
        <v>1994</v>
      </c>
      <c r="C625" s="134"/>
      <c r="D625" s="69"/>
      <c r="E625" s="76">
        <v>0</v>
      </c>
      <c r="F625" s="69" t="s">
        <v>1960</v>
      </c>
      <c r="G625" s="13" t="s">
        <v>1961</v>
      </c>
      <c r="H625" s="78">
        <v>9010000001</v>
      </c>
      <c r="I625" s="92" t="s">
        <v>261</v>
      </c>
      <c r="J625" s="92">
        <v>1202010217</v>
      </c>
      <c r="K625" s="15" t="s">
        <v>1995</v>
      </c>
      <c r="L625" s="95" t="s">
        <v>1996</v>
      </c>
      <c r="M625" s="69" t="s">
        <v>1997</v>
      </c>
      <c r="N625" s="69"/>
      <c r="O625" s="94">
        <v>4</v>
      </c>
      <c r="P625" s="69" t="s">
        <v>50</v>
      </c>
      <c r="Q625" s="69" t="s">
        <v>51</v>
      </c>
      <c r="R625" s="69"/>
      <c r="S625" s="46">
        <v>43117</v>
      </c>
      <c r="T625" s="48">
        <v>43191</v>
      </c>
      <c r="U625" s="69"/>
      <c r="V625" s="69"/>
      <c r="W625" s="69"/>
      <c r="X625" s="69"/>
      <c r="Y625" s="69" t="s">
        <v>4125</v>
      </c>
      <c r="Z625" s="43">
        <v>35000</v>
      </c>
      <c r="AA625" s="43" t="s">
        <v>52</v>
      </c>
      <c r="AB625" s="43" t="s">
        <v>53</v>
      </c>
      <c r="AC625" s="43">
        <v>1752</v>
      </c>
      <c r="AD625" s="141">
        <v>4</v>
      </c>
      <c r="AE625" s="142">
        <v>10</v>
      </c>
      <c r="AF625" s="142"/>
      <c r="AG625" s="69" t="str">
        <f t="shared" si="408"/>
        <v>4 years 292 days</v>
      </c>
      <c r="AH625" s="69">
        <v>4</v>
      </c>
      <c r="AI625" s="69">
        <v>292</v>
      </c>
      <c r="AJ625" s="69">
        <v>0</v>
      </c>
      <c r="AK625" s="69">
        <v>0</v>
      </c>
      <c r="AL625" s="60">
        <v>35000</v>
      </c>
      <c r="AM625" s="60">
        <f t="shared" si="409"/>
        <v>35000</v>
      </c>
      <c r="AN625" s="59">
        <v>35000</v>
      </c>
      <c r="AO625" s="148">
        <f t="shared" si="410"/>
        <v>-35000</v>
      </c>
      <c r="AP625" s="58">
        <v>0</v>
      </c>
      <c r="AQ625" s="143">
        <f t="shared" si="411"/>
        <v>0</v>
      </c>
    </row>
    <row r="626" spans="1:43" x14ac:dyDescent="0.35">
      <c r="A626" s="69" t="s">
        <v>43</v>
      </c>
      <c r="B626" s="15" t="s">
        <v>1998</v>
      </c>
      <c r="C626" s="15"/>
      <c r="D626" s="69"/>
      <c r="E626" s="76">
        <v>0</v>
      </c>
      <c r="F626" s="69" t="s">
        <v>1960</v>
      </c>
      <c r="G626" s="13" t="s">
        <v>1961</v>
      </c>
      <c r="H626" s="77">
        <v>9010000001</v>
      </c>
      <c r="I626" s="92" t="s">
        <v>261</v>
      </c>
      <c r="J626" s="92">
        <v>1202010217</v>
      </c>
      <c r="K626" s="15"/>
      <c r="L626" s="95" t="s">
        <v>1999</v>
      </c>
      <c r="M626" s="69" t="s">
        <v>49</v>
      </c>
      <c r="N626" s="69"/>
      <c r="O626" s="94">
        <v>1</v>
      </c>
      <c r="P626" s="69" t="s">
        <v>50</v>
      </c>
      <c r="Q626" s="69" t="s">
        <v>51</v>
      </c>
      <c r="R626" s="69"/>
      <c r="S626" s="46">
        <v>43341</v>
      </c>
      <c r="T626" s="48">
        <v>43341</v>
      </c>
      <c r="U626" s="69"/>
      <c r="V626" s="69"/>
      <c r="W626" s="69"/>
      <c r="X626" s="69"/>
      <c r="Y626" s="69" t="s">
        <v>4125</v>
      </c>
      <c r="Z626" s="43">
        <v>73828.3</v>
      </c>
      <c r="AA626" s="43" t="s">
        <v>52</v>
      </c>
      <c r="AB626" s="43" t="s">
        <v>53</v>
      </c>
      <c r="AC626" s="43">
        <v>1825</v>
      </c>
      <c r="AD626" s="141">
        <v>5</v>
      </c>
      <c r="AE626" s="142">
        <v>0</v>
      </c>
      <c r="AF626" s="142"/>
      <c r="AG626" s="69" t="str">
        <f t="shared" si="408"/>
        <v>5 years 0 days</v>
      </c>
      <c r="AH626" s="69">
        <v>5</v>
      </c>
      <c r="AI626" s="69">
        <v>0</v>
      </c>
      <c r="AJ626" s="69">
        <v>0</v>
      </c>
      <c r="AK626" s="69">
        <v>0</v>
      </c>
      <c r="AL626" s="60">
        <v>73828.3</v>
      </c>
      <c r="AM626" s="60">
        <f t="shared" si="409"/>
        <v>73828.3</v>
      </c>
      <c r="AN626" s="59">
        <v>73828</v>
      </c>
      <c r="AO626" s="148">
        <f t="shared" si="410"/>
        <v>-73828</v>
      </c>
      <c r="AP626" s="58">
        <v>0.30000000000291038</v>
      </c>
      <c r="AQ626" s="143">
        <f t="shared" si="411"/>
        <v>-0.3</v>
      </c>
    </row>
    <row r="627" spans="1:43" x14ac:dyDescent="0.35">
      <c r="A627" s="69" t="s">
        <v>43</v>
      </c>
      <c r="B627" s="15" t="s">
        <v>2000</v>
      </c>
      <c r="C627" s="15"/>
      <c r="D627" s="69"/>
      <c r="E627" s="76">
        <v>0</v>
      </c>
      <c r="F627" s="69" t="s">
        <v>1960</v>
      </c>
      <c r="G627" s="13" t="s">
        <v>1961</v>
      </c>
      <c r="H627" s="78">
        <v>9010000001</v>
      </c>
      <c r="I627" s="92" t="s">
        <v>261</v>
      </c>
      <c r="J627" s="92">
        <v>1202010217</v>
      </c>
      <c r="K627" s="15" t="s">
        <v>2001</v>
      </c>
      <c r="L627" s="95" t="s">
        <v>2002</v>
      </c>
      <c r="M627" s="69" t="s">
        <v>2003</v>
      </c>
      <c r="N627" s="69"/>
      <c r="O627" s="94">
        <v>1</v>
      </c>
      <c r="P627" s="69" t="s">
        <v>50</v>
      </c>
      <c r="Q627" s="69" t="s">
        <v>51</v>
      </c>
      <c r="R627" s="69"/>
      <c r="S627" s="46">
        <v>43404</v>
      </c>
      <c r="T627" s="48">
        <v>43404</v>
      </c>
      <c r="U627" s="69"/>
      <c r="V627" s="69"/>
      <c r="W627" s="69"/>
      <c r="X627" s="69"/>
      <c r="Y627" s="69" t="s">
        <v>4125</v>
      </c>
      <c r="Z627" s="43">
        <v>102802</v>
      </c>
      <c r="AA627" s="43" t="s">
        <v>52</v>
      </c>
      <c r="AB627" s="43" t="s">
        <v>53</v>
      </c>
      <c r="AC627" s="43">
        <v>1825</v>
      </c>
      <c r="AD627" s="141">
        <v>5</v>
      </c>
      <c r="AE627" s="142">
        <v>0</v>
      </c>
      <c r="AF627" s="142"/>
      <c r="AG627" s="69" t="str">
        <f t="shared" si="408"/>
        <v>5 years 0 days</v>
      </c>
      <c r="AH627" s="69">
        <v>5</v>
      </c>
      <c r="AI627" s="69">
        <v>0</v>
      </c>
      <c r="AJ627" s="69">
        <v>0</v>
      </c>
      <c r="AK627" s="69">
        <v>0</v>
      </c>
      <c r="AL627" s="60">
        <v>102802</v>
      </c>
      <c r="AM627" s="60">
        <f t="shared" si="409"/>
        <v>102802</v>
      </c>
      <c r="AN627" s="59">
        <v>102802</v>
      </c>
      <c r="AO627" s="148">
        <f t="shared" si="410"/>
        <v>-102802</v>
      </c>
      <c r="AP627" s="58">
        <v>0</v>
      </c>
      <c r="AQ627" s="143">
        <f t="shared" si="411"/>
        <v>0</v>
      </c>
    </row>
    <row r="628" spans="1:43" x14ac:dyDescent="0.35">
      <c r="A628" s="69" t="s">
        <v>43</v>
      </c>
      <c r="B628" s="15" t="s">
        <v>2004</v>
      </c>
      <c r="C628" s="15"/>
      <c r="D628" s="69"/>
      <c r="E628" s="76">
        <v>0</v>
      </c>
      <c r="F628" s="69" t="s">
        <v>1960</v>
      </c>
      <c r="G628" s="13" t="s">
        <v>1961</v>
      </c>
      <c r="H628" s="77">
        <v>9010000001</v>
      </c>
      <c r="I628" s="92" t="s">
        <v>261</v>
      </c>
      <c r="J628" s="92">
        <v>1202010217</v>
      </c>
      <c r="K628" s="15"/>
      <c r="L628" s="95" t="s">
        <v>2005</v>
      </c>
      <c r="M628" s="69" t="s">
        <v>2006</v>
      </c>
      <c r="N628" s="69"/>
      <c r="O628" s="94">
        <v>1</v>
      </c>
      <c r="P628" s="69" t="s">
        <v>50</v>
      </c>
      <c r="Q628" s="69" t="s">
        <v>51</v>
      </c>
      <c r="R628" s="69"/>
      <c r="S628" s="46">
        <v>43495</v>
      </c>
      <c r="T628" s="48">
        <v>43495</v>
      </c>
      <c r="U628" s="69"/>
      <c r="V628" s="69"/>
      <c r="W628" s="69"/>
      <c r="X628" s="69"/>
      <c r="Y628" s="69" t="s">
        <v>4126</v>
      </c>
      <c r="Z628" s="43">
        <v>26166</v>
      </c>
      <c r="AA628" s="43" t="s">
        <v>52</v>
      </c>
      <c r="AB628" s="43" t="s">
        <v>53</v>
      </c>
      <c r="AC628" s="43">
        <v>1825</v>
      </c>
      <c r="AD628" s="141">
        <v>5</v>
      </c>
      <c r="AE628" s="142">
        <v>0</v>
      </c>
      <c r="AF628" s="142"/>
      <c r="AG628" s="69" t="str">
        <f t="shared" si="408"/>
        <v>5 years 0 days</v>
      </c>
      <c r="AH628" s="69">
        <v>5</v>
      </c>
      <c r="AI628" s="69">
        <v>0</v>
      </c>
      <c r="AJ628" s="69">
        <v>0</v>
      </c>
      <c r="AK628" s="69">
        <v>0</v>
      </c>
      <c r="AL628" s="60">
        <v>26166</v>
      </c>
      <c r="AM628" s="60">
        <f t="shared" si="409"/>
        <v>26166</v>
      </c>
      <c r="AN628" s="59">
        <v>26166</v>
      </c>
      <c r="AO628" s="148">
        <f t="shared" si="410"/>
        <v>-26166</v>
      </c>
      <c r="AP628" s="58">
        <v>0</v>
      </c>
      <c r="AQ628" s="143">
        <f t="shared" si="411"/>
        <v>0</v>
      </c>
    </row>
    <row r="629" spans="1:43" x14ac:dyDescent="0.35">
      <c r="A629" s="69" t="s">
        <v>43</v>
      </c>
      <c r="B629" s="15" t="s">
        <v>2007</v>
      </c>
      <c r="C629" s="15"/>
      <c r="D629" s="69"/>
      <c r="E629" s="76">
        <v>0</v>
      </c>
      <c r="F629" s="69" t="s">
        <v>1960</v>
      </c>
      <c r="G629" s="13" t="s">
        <v>1961</v>
      </c>
      <c r="H629" s="77">
        <v>9010000001</v>
      </c>
      <c r="I629" s="92" t="s">
        <v>261</v>
      </c>
      <c r="J629" s="92">
        <v>1202010217</v>
      </c>
      <c r="K629" s="15"/>
      <c r="L629" s="95" t="s">
        <v>2008</v>
      </c>
      <c r="M629" s="69" t="s">
        <v>2009</v>
      </c>
      <c r="N629" s="69"/>
      <c r="O629" s="94">
        <v>1</v>
      </c>
      <c r="P629" s="69" t="s">
        <v>50</v>
      </c>
      <c r="Q629" s="69" t="s">
        <v>51</v>
      </c>
      <c r="R629" s="69"/>
      <c r="S629" s="46">
        <v>43555</v>
      </c>
      <c r="T629" s="48">
        <v>43555</v>
      </c>
      <c r="U629" s="69"/>
      <c r="V629" s="69"/>
      <c r="W629" s="69"/>
      <c r="X629" s="69"/>
      <c r="Y629" s="69" t="s">
        <v>4126</v>
      </c>
      <c r="Z629" s="43">
        <v>21470</v>
      </c>
      <c r="AA629" s="43" t="s">
        <v>52</v>
      </c>
      <c r="AB629" s="43" t="s">
        <v>53</v>
      </c>
      <c r="AC629" s="43">
        <v>1825</v>
      </c>
      <c r="AD629" s="141">
        <v>5</v>
      </c>
      <c r="AE629" s="142">
        <v>0</v>
      </c>
      <c r="AF629" s="142"/>
      <c r="AG629" s="69" t="str">
        <f t="shared" si="408"/>
        <v>5 years 0 days</v>
      </c>
      <c r="AH629" s="69">
        <v>5</v>
      </c>
      <c r="AI629" s="69">
        <v>0</v>
      </c>
      <c r="AJ629" s="69">
        <v>0</v>
      </c>
      <c r="AK629" s="69">
        <v>0</v>
      </c>
      <c r="AL629" s="60">
        <v>21470</v>
      </c>
      <c r="AM629" s="60">
        <f t="shared" si="409"/>
        <v>21470</v>
      </c>
      <c r="AN629" s="59">
        <v>21470</v>
      </c>
      <c r="AO629" s="148">
        <f t="shared" si="410"/>
        <v>-21470</v>
      </c>
      <c r="AP629" s="58">
        <v>0</v>
      </c>
      <c r="AQ629" s="143">
        <f t="shared" si="411"/>
        <v>0</v>
      </c>
    </row>
    <row r="630" spans="1:43" x14ac:dyDescent="0.35">
      <c r="A630" s="69" t="s">
        <v>43</v>
      </c>
      <c r="B630" s="15" t="s">
        <v>2010</v>
      </c>
      <c r="C630" s="15"/>
      <c r="D630" s="69"/>
      <c r="E630" s="76">
        <v>0</v>
      </c>
      <c r="F630" s="69" t="s">
        <v>1960</v>
      </c>
      <c r="G630" s="13" t="s">
        <v>1961</v>
      </c>
      <c r="H630" s="77">
        <v>9010000001</v>
      </c>
      <c r="I630" s="92" t="s">
        <v>261</v>
      </c>
      <c r="J630" s="92">
        <v>1202010217</v>
      </c>
      <c r="K630" s="15"/>
      <c r="L630" s="95" t="s">
        <v>2011</v>
      </c>
      <c r="M630" s="69" t="s">
        <v>2012</v>
      </c>
      <c r="N630" s="69"/>
      <c r="O630" s="94">
        <v>1</v>
      </c>
      <c r="P630" s="69" t="s">
        <v>50</v>
      </c>
      <c r="Q630" s="69" t="s">
        <v>51</v>
      </c>
      <c r="R630" s="69"/>
      <c r="S630" s="46">
        <v>43726</v>
      </c>
      <c r="T630" s="48">
        <v>43726</v>
      </c>
      <c r="U630" s="69"/>
      <c r="V630" s="69"/>
      <c r="W630" s="69"/>
      <c r="X630" s="69"/>
      <c r="Y630" s="69" t="s">
        <v>4126</v>
      </c>
      <c r="Z630" s="43">
        <v>7800</v>
      </c>
      <c r="AA630" s="43" t="s">
        <v>52</v>
      </c>
      <c r="AB630" s="43" t="s">
        <v>53</v>
      </c>
      <c r="AC630" s="43">
        <v>1825</v>
      </c>
      <c r="AD630" s="141">
        <v>5</v>
      </c>
      <c r="AE630" s="142">
        <v>0</v>
      </c>
      <c r="AF630" s="142"/>
      <c r="AG630" s="69" t="str">
        <f t="shared" si="408"/>
        <v>5 years 0 days</v>
      </c>
      <c r="AH630" s="69">
        <v>5</v>
      </c>
      <c r="AI630" s="69">
        <v>0</v>
      </c>
      <c r="AJ630" s="69">
        <v>0</v>
      </c>
      <c r="AK630" s="69">
        <v>0</v>
      </c>
      <c r="AL630" s="60">
        <v>7800</v>
      </c>
      <c r="AM630" s="60">
        <f t="shared" si="409"/>
        <v>7800</v>
      </c>
      <c r="AN630" s="59">
        <v>7800</v>
      </c>
      <c r="AO630" s="148">
        <f t="shared" si="410"/>
        <v>-7800</v>
      </c>
      <c r="AP630" s="58">
        <v>0</v>
      </c>
      <c r="AQ630" s="143">
        <f t="shared" si="411"/>
        <v>0</v>
      </c>
    </row>
    <row r="631" spans="1:43" x14ac:dyDescent="0.35">
      <c r="A631" s="69" t="s">
        <v>43</v>
      </c>
      <c r="B631" s="15" t="s">
        <v>2013</v>
      </c>
      <c r="C631" s="15"/>
      <c r="D631" s="69"/>
      <c r="E631" s="76">
        <v>0</v>
      </c>
      <c r="F631" s="69" t="s">
        <v>1960</v>
      </c>
      <c r="G631" s="13" t="s">
        <v>1961</v>
      </c>
      <c r="H631" s="78">
        <v>9010000001</v>
      </c>
      <c r="I631" s="92" t="s">
        <v>261</v>
      </c>
      <c r="J631" s="92">
        <v>1202010217</v>
      </c>
      <c r="K631" s="15" t="s">
        <v>2014</v>
      </c>
      <c r="L631" s="95" t="s">
        <v>2015</v>
      </c>
      <c r="M631" s="69" t="s">
        <v>2016</v>
      </c>
      <c r="N631" s="69"/>
      <c r="O631" s="94">
        <v>9</v>
      </c>
      <c r="P631" s="69" t="s">
        <v>50</v>
      </c>
      <c r="Q631" s="69" t="s">
        <v>51</v>
      </c>
      <c r="R631" s="69"/>
      <c r="S631" s="46">
        <v>43931</v>
      </c>
      <c r="T631" s="48">
        <v>43931</v>
      </c>
      <c r="U631" s="69"/>
      <c r="V631" s="69"/>
      <c r="W631" s="69"/>
      <c r="X631" s="69"/>
      <c r="Y631" s="69" t="s">
        <v>4127</v>
      </c>
      <c r="Z631" s="43">
        <v>198164</v>
      </c>
      <c r="AA631" s="43" t="s">
        <v>52</v>
      </c>
      <c r="AB631" s="43" t="s">
        <v>53</v>
      </c>
      <c r="AC631" s="43">
        <v>1825</v>
      </c>
      <c r="AD631" s="141">
        <v>5</v>
      </c>
      <c r="AE631" s="142">
        <v>0</v>
      </c>
      <c r="AF631" s="142"/>
      <c r="AG631" s="69" t="str">
        <f t="shared" si="408"/>
        <v>4 years 267 days</v>
      </c>
      <c r="AH631" s="69">
        <v>4</v>
      </c>
      <c r="AI631" s="69">
        <v>267</v>
      </c>
      <c r="AJ631" s="69">
        <v>0</v>
      </c>
      <c r="AK631" s="69">
        <v>0</v>
      </c>
      <c r="AL631" s="60">
        <v>198164</v>
      </c>
      <c r="AM631" s="60">
        <f t="shared" si="409"/>
        <v>198164</v>
      </c>
      <c r="AN631" s="59">
        <v>187523</v>
      </c>
      <c r="AO631" s="148">
        <f t="shared" si="410"/>
        <v>-187523</v>
      </c>
      <c r="AP631" s="58">
        <v>10641</v>
      </c>
      <c r="AQ631" s="143">
        <f t="shared" si="411"/>
        <v>-10641</v>
      </c>
    </row>
    <row r="632" spans="1:43" x14ac:dyDescent="0.35">
      <c r="A632" s="69" t="s">
        <v>43</v>
      </c>
      <c r="B632" s="15" t="s">
        <v>2017</v>
      </c>
      <c r="C632" s="15"/>
      <c r="D632" s="69"/>
      <c r="E632" s="76">
        <v>0</v>
      </c>
      <c r="F632" s="69" t="s">
        <v>1960</v>
      </c>
      <c r="G632" s="13" t="s">
        <v>1961</v>
      </c>
      <c r="H632" s="76">
        <v>9010000001</v>
      </c>
      <c r="I632" s="92" t="s">
        <v>261</v>
      </c>
      <c r="J632" s="92">
        <v>1202010217</v>
      </c>
      <c r="K632" s="15" t="s">
        <v>2018</v>
      </c>
      <c r="L632" s="95" t="s">
        <v>2019</v>
      </c>
      <c r="M632" s="69" t="s">
        <v>2020</v>
      </c>
      <c r="N632" s="69"/>
      <c r="O632" s="94">
        <v>1</v>
      </c>
      <c r="P632" s="69" t="s">
        <v>50</v>
      </c>
      <c r="Q632" s="69" t="s">
        <v>51</v>
      </c>
      <c r="R632" s="69"/>
      <c r="S632" s="46">
        <v>44150</v>
      </c>
      <c r="T632" s="48">
        <v>44150</v>
      </c>
      <c r="U632" s="69"/>
      <c r="V632" s="69"/>
      <c r="W632" s="69"/>
      <c r="X632" s="69"/>
      <c r="Y632" s="69" t="s">
        <v>4127</v>
      </c>
      <c r="Z632" s="43">
        <v>23058</v>
      </c>
      <c r="AA632" s="43" t="s">
        <v>52</v>
      </c>
      <c r="AB632" s="43" t="s">
        <v>53</v>
      </c>
      <c r="AC632" s="43">
        <v>1825</v>
      </c>
      <c r="AD632" s="141">
        <v>5</v>
      </c>
      <c r="AE632" s="142">
        <v>0</v>
      </c>
      <c r="AF632" s="142"/>
      <c r="AG632" s="69" t="str">
        <f t="shared" si="408"/>
        <v>4 years 48 days</v>
      </c>
      <c r="AH632" s="69">
        <v>4</v>
      </c>
      <c r="AI632" s="69">
        <v>48</v>
      </c>
      <c r="AJ632" s="69">
        <v>0</v>
      </c>
      <c r="AK632" s="69">
        <v>0</v>
      </c>
      <c r="AL632" s="60">
        <v>23058</v>
      </c>
      <c r="AM632" s="60">
        <f t="shared" si="409"/>
        <v>23058</v>
      </c>
      <c r="AN632" s="59">
        <v>19053</v>
      </c>
      <c r="AO632" s="148">
        <f t="shared" si="410"/>
        <v>-19053</v>
      </c>
      <c r="AP632" s="58">
        <v>2286.7052054794549</v>
      </c>
      <c r="AQ632" s="143">
        <f t="shared" si="411"/>
        <v>-2286.71</v>
      </c>
    </row>
    <row r="633" spans="1:43" x14ac:dyDescent="0.35">
      <c r="A633" s="69" t="s">
        <v>43</v>
      </c>
      <c r="B633" s="15" t="s">
        <v>2021</v>
      </c>
      <c r="C633" s="15"/>
      <c r="D633" s="69"/>
      <c r="E633" s="76">
        <v>0</v>
      </c>
      <c r="F633" s="69" t="s">
        <v>1960</v>
      </c>
      <c r="G633" s="13" t="s">
        <v>1961</v>
      </c>
      <c r="H633" s="76">
        <v>9010000001</v>
      </c>
      <c r="I633" s="92" t="s">
        <v>261</v>
      </c>
      <c r="J633" s="92">
        <v>1202010217</v>
      </c>
      <c r="K633" s="15" t="s">
        <v>2022</v>
      </c>
      <c r="L633" s="95" t="s">
        <v>2023</v>
      </c>
      <c r="M633" s="69" t="s">
        <v>2024</v>
      </c>
      <c r="N633" s="69"/>
      <c r="O633" s="94">
        <v>1</v>
      </c>
      <c r="P633" s="69" t="s">
        <v>50</v>
      </c>
      <c r="Q633" s="69" t="s">
        <v>51</v>
      </c>
      <c r="R633" s="69"/>
      <c r="S633" s="46">
        <v>44344</v>
      </c>
      <c r="T633" s="48">
        <v>44344</v>
      </c>
      <c r="U633" s="69"/>
      <c r="V633" s="69"/>
      <c r="W633" s="69"/>
      <c r="X633" s="69"/>
      <c r="Y633" s="69" t="s">
        <v>4128</v>
      </c>
      <c r="Z633" s="43">
        <v>55500</v>
      </c>
      <c r="AA633" s="43" t="s">
        <v>52</v>
      </c>
      <c r="AB633" s="43" t="s">
        <v>53</v>
      </c>
      <c r="AC633" s="43">
        <v>1825</v>
      </c>
      <c r="AD633" s="141">
        <v>5</v>
      </c>
      <c r="AE633" s="142">
        <v>0</v>
      </c>
      <c r="AF633" s="142"/>
      <c r="AG633" s="69" t="str">
        <f t="shared" si="408"/>
        <v>3 years 219 days</v>
      </c>
      <c r="AH633" s="69">
        <v>3</v>
      </c>
      <c r="AI633" s="69">
        <v>219</v>
      </c>
      <c r="AJ633" s="69">
        <v>0</v>
      </c>
      <c r="AK633" s="69">
        <v>0</v>
      </c>
      <c r="AL633" s="60">
        <v>55500</v>
      </c>
      <c r="AM633" s="60">
        <f t="shared" si="409"/>
        <v>55500</v>
      </c>
      <c r="AN633" s="59">
        <v>39960</v>
      </c>
      <c r="AO633" s="148">
        <f t="shared" si="410"/>
        <v>-39960</v>
      </c>
      <c r="AP633" s="58">
        <v>5504.3835616438373</v>
      </c>
      <c r="AQ633" s="143">
        <f t="shared" si="411"/>
        <v>-5504.38</v>
      </c>
    </row>
    <row r="634" spans="1:43" x14ac:dyDescent="0.35">
      <c r="A634" s="69" t="s">
        <v>43</v>
      </c>
      <c r="B634" s="15" t="s">
        <v>2025</v>
      </c>
      <c r="C634" s="15"/>
      <c r="D634" s="69"/>
      <c r="E634" s="76">
        <v>0</v>
      </c>
      <c r="F634" s="69" t="s">
        <v>1960</v>
      </c>
      <c r="G634" s="13" t="s">
        <v>1961</v>
      </c>
      <c r="H634" s="76">
        <v>9010000001</v>
      </c>
      <c r="I634" s="92" t="s">
        <v>261</v>
      </c>
      <c r="J634" s="92">
        <v>1202010217</v>
      </c>
      <c r="K634" s="15" t="s">
        <v>2026</v>
      </c>
      <c r="L634" s="95" t="s">
        <v>2027</v>
      </c>
      <c r="M634" s="69" t="s">
        <v>2028</v>
      </c>
      <c r="N634" s="69"/>
      <c r="O634" s="94">
        <v>4</v>
      </c>
      <c r="P634" s="69" t="s">
        <v>50</v>
      </c>
      <c r="Q634" s="69" t="s">
        <v>51</v>
      </c>
      <c r="R634" s="69"/>
      <c r="S634" s="46">
        <v>44392</v>
      </c>
      <c r="T634" s="48">
        <v>44392</v>
      </c>
      <c r="U634" s="69"/>
      <c r="V634" s="69"/>
      <c r="W634" s="69"/>
      <c r="X634" s="69"/>
      <c r="Y634" s="69" t="s">
        <v>4128</v>
      </c>
      <c r="Z634" s="43">
        <v>37457</v>
      </c>
      <c r="AA634" s="43" t="s">
        <v>52</v>
      </c>
      <c r="AB634" s="43" t="s">
        <v>53</v>
      </c>
      <c r="AC634" s="43">
        <v>1825</v>
      </c>
      <c r="AD634" s="141">
        <v>5</v>
      </c>
      <c r="AE634" s="142">
        <v>0</v>
      </c>
      <c r="AF634" s="142"/>
      <c r="AG634" s="69" t="str">
        <f t="shared" si="408"/>
        <v>3 years 171 days</v>
      </c>
      <c r="AH634" s="69">
        <v>3</v>
      </c>
      <c r="AI634" s="69">
        <v>171</v>
      </c>
      <c r="AJ634" s="69">
        <v>0</v>
      </c>
      <c r="AK634" s="69">
        <v>0</v>
      </c>
      <c r="AL634" s="60">
        <v>37457</v>
      </c>
      <c r="AM634" s="60">
        <f t="shared" si="409"/>
        <v>37457</v>
      </c>
      <c r="AN634" s="59">
        <v>25984</v>
      </c>
      <c r="AO634" s="148">
        <f t="shared" si="410"/>
        <v>-25984</v>
      </c>
      <c r="AP634" s="58">
        <v>3714.7830136986267</v>
      </c>
      <c r="AQ634" s="143">
        <f t="shared" si="411"/>
        <v>-3714.78</v>
      </c>
    </row>
    <row r="635" spans="1:43" x14ac:dyDescent="0.35">
      <c r="A635" s="69" t="s">
        <v>43</v>
      </c>
      <c r="B635" s="15" t="s">
        <v>2029</v>
      </c>
      <c r="C635" s="15"/>
      <c r="D635" s="69"/>
      <c r="E635" s="76">
        <v>0</v>
      </c>
      <c r="F635" s="69" t="s">
        <v>1960</v>
      </c>
      <c r="G635" s="13" t="s">
        <v>1961</v>
      </c>
      <c r="H635" s="15">
        <v>9010000001</v>
      </c>
      <c r="I635" s="92" t="s">
        <v>261</v>
      </c>
      <c r="J635" s="92">
        <v>1202010217</v>
      </c>
      <c r="K635" s="14" t="s">
        <v>1961</v>
      </c>
      <c r="L635" s="95" t="s">
        <v>2030</v>
      </c>
      <c r="M635" s="69" t="s">
        <v>2031</v>
      </c>
      <c r="N635" s="69"/>
      <c r="O635" s="94">
        <v>1</v>
      </c>
      <c r="P635" s="69" t="s">
        <v>50</v>
      </c>
      <c r="Q635" s="69" t="s">
        <v>51</v>
      </c>
      <c r="R635" s="69"/>
      <c r="S635" s="46">
        <v>44558</v>
      </c>
      <c r="T635" s="48">
        <v>44558</v>
      </c>
      <c r="U635" s="69"/>
      <c r="V635" s="69"/>
      <c r="W635" s="69"/>
      <c r="X635" s="69"/>
      <c r="Y635" s="69" t="s">
        <v>4128</v>
      </c>
      <c r="Z635" s="43">
        <v>65091</v>
      </c>
      <c r="AA635" s="43" t="s">
        <v>52</v>
      </c>
      <c r="AB635" s="43" t="s">
        <v>53</v>
      </c>
      <c r="AC635" s="43">
        <v>3650</v>
      </c>
      <c r="AD635" s="141">
        <v>10</v>
      </c>
      <c r="AE635" s="142">
        <v>0</v>
      </c>
      <c r="AF635" s="142"/>
      <c r="AG635" s="69" t="str">
        <f t="shared" si="408"/>
        <v>3 years 5 days</v>
      </c>
      <c r="AH635" s="69">
        <v>3</v>
      </c>
      <c r="AI635" s="69">
        <v>5</v>
      </c>
      <c r="AJ635" s="69">
        <v>0</v>
      </c>
      <c r="AK635" s="69">
        <v>0</v>
      </c>
      <c r="AL635" s="60">
        <v>65091</v>
      </c>
      <c r="AM635" s="60">
        <f t="shared" si="409"/>
        <v>65091</v>
      </c>
      <c r="AN635" s="59">
        <v>19616</v>
      </c>
      <c r="AO635" s="148">
        <f t="shared" si="410"/>
        <v>-19616</v>
      </c>
      <c r="AP635" s="58">
        <v>3228.2660273972615</v>
      </c>
      <c r="AQ635" s="143">
        <f t="shared" si="411"/>
        <v>-3228.27</v>
      </c>
    </row>
    <row r="636" spans="1:43" x14ac:dyDescent="0.35">
      <c r="A636" s="69" t="s">
        <v>43</v>
      </c>
      <c r="B636" s="15" t="s">
        <v>2032</v>
      </c>
      <c r="C636" s="15"/>
      <c r="D636" s="69"/>
      <c r="E636" s="76">
        <v>0</v>
      </c>
      <c r="F636" s="69" t="s">
        <v>1960</v>
      </c>
      <c r="G636" s="13" t="s">
        <v>1961</v>
      </c>
      <c r="H636" s="15">
        <v>9010000001</v>
      </c>
      <c r="I636" s="92" t="s">
        <v>261</v>
      </c>
      <c r="J636" s="92">
        <v>1202010217</v>
      </c>
      <c r="K636" s="14" t="s">
        <v>1961</v>
      </c>
      <c r="L636" s="95" t="s">
        <v>2033</v>
      </c>
      <c r="M636" s="69" t="s">
        <v>2034</v>
      </c>
      <c r="N636" s="69"/>
      <c r="O636" s="94">
        <v>3</v>
      </c>
      <c r="P636" s="69" t="s">
        <v>50</v>
      </c>
      <c r="Q636" s="69" t="s">
        <v>51</v>
      </c>
      <c r="R636" s="69"/>
      <c r="S636" s="46">
        <v>44896</v>
      </c>
      <c r="T636" s="48">
        <v>44896</v>
      </c>
      <c r="U636" s="69"/>
      <c r="V636" s="69"/>
      <c r="W636" s="69"/>
      <c r="X636" s="69"/>
      <c r="Y636" s="69" t="s">
        <v>4131</v>
      </c>
      <c r="Z636" s="43">
        <v>138239</v>
      </c>
      <c r="AA636" s="43" t="s">
        <v>52</v>
      </c>
      <c r="AB636" s="43" t="s">
        <v>53</v>
      </c>
      <c r="AC636" s="43">
        <v>3650</v>
      </c>
      <c r="AD636" s="141">
        <v>10</v>
      </c>
      <c r="AE636" s="142">
        <v>0</v>
      </c>
      <c r="AF636" s="142"/>
      <c r="AG636" s="69" t="str">
        <f t="shared" si="408"/>
        <v>2 years 32 days</v>
      </c>
      <c r="AH636" s="69">
        <v>2</v>
      </c>
      <c r="AI636" s="69">
        <v>32</v>
      </c>
      <c r="AJ636" s="69">
        <v>0</v>
      </c>
      <c r="AK636" s="69">
        <v>0</v>
      </c>
      <c r="AL636" s="60">
        <v>138239</v>
      </c>
      <c r="AM636" s="60">
        <f t="shared" si="409"/>
        <v>138239</v>
      </c>
      <c r="AN636" s="59">
        <v>28860</v>
      </c>
      <c r="AO636" s="148">
        <f t="shared" si="410"/>
        <v>-28860</v>
      </c>
      <c r="AP636" s="58">
        <v>6854.8978082191752</v>
      </c>
      <c r="AQ636" s="143">
        <f t="shared" si="411"/>
        <v>-6854.9</v>
      </c>
    </row>
    <row r="637" spans="1:43" x14ac:dyDescent="0.35">
      <c r="A637" s="69" t="s">
        <v>43</v>
      </c>
      <c r="B637" s="15" t="s">
        <v>2035</v>
      </c>
      <c r="C637" s="15"/>
      <c r="D637" s="69"/>
      <c r="E637" s="76">
        <v>0</v>
      </c>
      <c r="F637" s="69" t="s">
        <v>1960</v>
      </c>
      <c r="G637" s="13" t="s">
        <v>1961</v>
      </c>
      <c r="H637" s="76">
        <v>9010000001</v>
      </c>
      <c r="I637" s="92" t="s">
        <v>261</v>
      </c>
      <c r="J637" s="92">
        <v>1202010217</v>
      </c>
      <c r="K637" s="15" t="s">
        <v>2036</v>
      </c>
      <c r="L637" s="95" t="s">
        <v>2037</v>
      </c>
      <c r="M637" s="69" t="s">
        <v>2038</v>
      </c>
      <c r="N637" s="69"/>
      <c r="O637" s="94">
        <v>44</v>
      </c>
      <c r="P637" s="69" t="s">
        <v>50</v>
      </c>
      <c r="Q637" s="69" t="s">
        <v>51</v>
      </c>
      <c r="R637" s="69"/>
      <c r="S637" s="46">
        <v>44986</v>
      </c>
      <c r="T637" s="48">
        <v>44986</v>
      </c>
      <c r="U637" s="69"/>
      <c r="V637" s="69"/>
      <c r="W637" s="69"/>
      <c r="X637" s="69"/>
      <c r="Y637" s="69" t="s">
        <v>4129</v>
      </c>
      <c r="Z637" s="43">
        <v>1572202.83</v>
      </c>
      <c r="AA637" s="43" t="s">
        <v>52</v>
      </c>
      <c r="AB637" s="43" t="s">
        <v>53</v>
      </c>
      <c r="AC637" s="43">
        <v>1825</v>
      </c>
      <c r="AD637" s="141">
        <v>5</v>
      </c>
      <c r="AE637" s="142">
        <v>0</v>
      </c>
      <c r="AF637" s="142"/>
      <c r="AG637" s="69" t="str">
        <f t="shared" si="408"/>
        <v>1 years 307 days</v>
      </c>
      <c r="AH637" s="69">
        <v>1</v>
      </c>
      <c r="AI637" s="69">
        <v>307</v>
      </c>
      <c r="AJ637" s="69">
        <v>0</v>
      </c>
      <c r="AK637" s="69">
        <v>0</v>
      </c>
      <c r="AL637" s="60">
        <v>1572202.83</v>
      </c>
      <c r="AM637" s="60">
        <f t="shared" si="409"/>
        <v>1572202.83</v>
      </c>
      <c r="AN637" s="59">
        <v>578915</v>
      </c>
      <c r="AO637" s="148">
        <f t="shared" si="410"/>
        <v>-578915</v>
      </c>
      <c r="AP637" s="58">
        <v>155928.29822465766</v>
      </c>
      <c r="AQ637" s="143">
        <f t="shared" si="411"/>
        <v>-155928.29999999999</v>
      </c>
    </row>
    <row r="638" spans="1:43" x14ac:dyDescent="0.35">
      <c r="A638" s="69" t="s">
        <v>43</v>
      </c>
      <c r="B638" s="15" t="s">
        <v>2039</v>
      </c>
      <c r="C638" s="15"/>
      <c r="D638" s="69"/>
      <c r="E638" s="76">
        <v>0</v>
      </c>
      <c r="F638" s="69" t="s">
        <v>1960</v>
      </c>
      <c r="G638" s="13" t="s">
        <v>1961</v>
      </c>
      <c r="H638" s="76">
        <v>9010000001</v>
      </c>
      <c r="I638" s="92" t="s">
        <v>261</v>
      </c>
      <c r="J638" s="92">
        <v>1202010217</v>
      </c>
      <c r="K638" s="15" t="s">
        <v>2040</v>
      </c>
      <c r="L638" s="95" t="s">
        <v>2041</v>
      </c>
      <c r="M638" s="69" t="s">
        <v>2042</v>
      </c>
      <c r="N638" s="69"/>
      <c r="O638" s="94">
        <v>1</v>
      </c>
      <c r="P638" s="69" t="s">
        <v>50</v>
      </c>
      <c r="Q638" s="69" t="s">
        <v>51</v>
      </c>
      <c r="R638" s="69"/>
      <c r="S638" s="46">
        <v>45068</v>
      </c>
      <c r="T638" s="48">
        <v>45068</v>
      </c>
      <c r="U638" s="69"/>
      <c r="V638" s="69"/>
      <c r="W638" s="69"/>
      <c r="X638" s="69"/>
      <c r="Y638" s="69" t="s">
        <v>4129</v>
      </c>
      <c r="Z638" s="43">
        <v>49343</v>
      </c>
      <c r="AA638" s="43" t="s">
        <v>52</v>
      </c>
      <c r="AB638" s="43" t="s">
        <v>53</v>
      </c>
      <c r="AC638" s="43">
        <v>3650</v>
      </c>
      <c r="AD638" s="141">
        <v>10</v>
      </c>
      <c r="AE638" s="142">
        <v>0</v>
      </c>
      <c r="AF638" s="142"/>
      <c r="AG638" s="69" t="str">
        <f t="shared" si="408"/>
        <v>1 years 225 days</v>
      </c>
      <c r="AH638" s="69">
        <v>1</v>
      </c>
      <c r="AI638" s="69">
        <v>225</v>
      </c>
      <c r="AJ638" s="69">
        <v>0</v>
      </c>
      <c r="AK638" s="69">
        <v>0</v>
      </c>
      <c r="AL638" s="60">
        <v>49343</v>
      </c>
      <c r="AM638" s="60">
        <f t="shared" si="409"/>
        <v>49343</v>
      </c>
      <c r="AN638" s="59">
        <v>30187</v>
      </c>
      <c r="AO638" s="148">
        <f t="shared" si="410"/>
        <v>-30187</v>
      </c>
      <c r="AP638" s="58">
        <v>2446.9731506849312</v>
      </c>
      <c r="AQ638" s="143">
        <f t="shared" si="411"/>
        <v>-2446.9699999999998</v>
      </c>
    </row>
    <row r="639" spans="1:43" x14ac:dyDescent="0.35">
      <c r="A639" s="69" t="s">
        <v>43</v>
      </c>
      <c r="B639" s="15" t="s">
        <v>2043</v>
      </c>
      <c r="C639" s="15"/>
      <c r="D639" s="69"/>
      <c r="E639" s="76">
        <v>0</v>
      </c>
      <c r="F639" s="69" t="s">
        <v>1960</v>
      </c>
      <c r="G639" s="13" t="s">
        <v>1961</v>
      </c>
      <c r="H639" s="76">
        <v>9010000001</v>
      </c>
      <c r="I639" s="92" t="s">
        <v>261</v>
      </c>
      <c r="J639" s="92">
        <v>1202010217</v>
      </c>
      <c r="K639" s="15" t="s">
        <v>2044</v>
      </c>
      <c r="L639" s="95" t="s">
        <v>2045</v>
      </c>
      <c r="M639" s="69" t="s">
        <v>2046</v>
      </c>
      <c r="N639" s="69"/>
      <c r="O639" s="94">
        <v>1</v>
      </c>
      <c r="P639" s="69" t="s">
        <v>50</v>
      </c>
      <c r="Q639" s="69" t="s">
        <v>51</v>
      </c>
      <c r="R639" s="69"/>
      <c r="S639" s="46">
        <v>45068</v>
      </c>
      <c r="T639" s="48">
        <v>45068</v>
      </c>
      <c r="U639" s="69"/>
      <c r="V639" s="69"/>
      <c r="W639" s="69"/>
      <c r="X639" s="69"/>
      <c r="Y639" s="69" t="s">
        <v>4129</v>
      </c>
      <c r="Z639" s="43">
        <v>24402</v>
      </c>
      <c r="AA639" s="43" t="s">
        <v>52</v>
      </c>
      <c r="AB639" s="43" t="s">
        <v>53</v>
      </c>
      <c r="AC639" s="43">
        <v>3650</v>
      </c>
      <c r="AD639" s="141">
        <v>10</v>
      </c>
      <c r="AE639" s="142">
        <v>0</v>
      </c>
      <c r="AF639" s="142"/>
      <c r="AG639" s="69" t="str">
        <f t="shared" si="408"/>
        <v>1 years 225 days</v>
      </c>
      <c r="AH639" s="69">
        <v>1</v>
      </c>
      <c r="AI639" s="69">
        <v>225</v>
      </c>
      <c r="AJ639" s="69">
        <v>0</v>
      </c>
      <c r="AK639" s="69">
        <v>0</v>
      </c>
      <c r="AL639" s="60">
        <v>24402</v>
      </c>
      <c r="AM639" s="60">
        <f t="shared" si="409"/>
        <v>24402</v>
      </c>
      <c r="AN639" s="59">
        <v>14835</v>
      </c>
      <c r="AO639" s="148">
        <f t="shared" si="410"/>
        <v>-14835</v>
      </c>
      <c r="AP639" s="58">
        <v>1210.1506849315065</v>
      </c>
      <c r="AQ639" s="143">
        <f t="shared" si="411"/>
        <v>-1210.1500000000001</v>
      </c>
    </row>
    <row r="640" spans="1:43" x14ac:dyDescent="0.35">
      <c r="A640" s="69" t="s">
        <v>43</v>
      </c>
      <c r="B640" s="146" t="s">
        <v>2047</v>
      </c>
      <c r="C640" s="15"/>
      <c r="D640" s="69"/>
      <c r="E640" s="76">
        <v>0</v>
      </c>
      <c r="F640" s="69" t="s">
        <v>1960</v>
      </c>
      <c r="G640" s="13" t="s">
        <v>1961</v>
      </c>
      <c r="H640" s="77">
        <v>9010000001</v>
      </c>
      <c r="I640" s="92" t="s">
        <v>261</v>
      </c>
      <c r="J640" s="92">
        <v>1202010217</v>
      </c>
      <c r="K640" s="15"/>
      <c r="L640" s="95" t="s">
        <v>2048</v>
      </c>
      <c r="M640" s="69" t="s">
        <v>49</v>
      </c>
      <c r="N640" s="69"/>
      <c r="O640" s="94">
        <v>1</v>
      </c>
      <c r="P640" s="69" t="s">
        <v>50</v>
      </c>
      <c r="Q640" s="69" t="s">
        <v>51</v>
      </c>
      <c r="R640" s="69"/>
      <c r="S640" s="46">
        <v>40563</v>
      </c>
      <c r="T640" s="48">
        <v>45068</v>
      </c>
      <c r="U640" s="69"/>
      <c r="V640" s="69"/>
      <c r="W640" s="69"/>
      <c r="X640" s="69"/>
      <c r="Y640" s="69" t="s">
        <v>4129</v>
      </c>
      <c r="Z640" s="43">
        <v>500</v>
      </c>
      <c r="AA640" s="43" t="s">
        <v>52</v>
      </c>
      <c r="AB640" s="43" t="s">
        <v>53</v>
      </c>
      <c r="AC640" s="43">
        <v>1825</v>
      </c>
      <c r="AD640" s="141">
        <v>5</v>
      </c>
      <c r="AE640" s="142">
        <v>0</v>
      </c>
      <c r="AF640" s="142"/>
      <c r="AG640" s="69" t="str">
        <f t="shared" si="408"/>
        <v>1 years 225 days</v>
      </c>
      <c r="AH640" s="69">
        <v>1</v>
      </c>
      <c r="AI640" s="69">
        <v>225</v>
      </c>
      <c r="AJ640" s="69">
        <v>0</v>
      </c>
      <c r="AK640" s="69">
        <v>0</v>
      </c>
      <c r="AL640" s="60">
        <v>500</v>
      </c>
      <c r="AM640" s="60">
        <f t="shared" si="409"/>
        <v>500</v>
      </c>
      <c r="AN640" s="59">
        <v>500</v>
      </c>
      <c r="AO640" s="148">
        <f t="shared" si="410"/>
        <v>-500</v>
      </c>
      <c r="AP640" s="58">
        <v>0</v>
      </c>
      <c r="AQ640" s="143">
        <f t="shared" si="411"/>
        <v>0</v>
      </c>
    </row>
    <row r="641" spans="1:43" x14ac:dyDescent="0.35">
      <c r="A641" s="69" t="s">
        <v>43</v>
      </c>
      <c r="B641" s="15" t="s">
        <v>2049</v>
      </c>
      <c r="C641" s="15"/>
      <c r="D641" s="69"/>
      <c r="E641" s="76">
        <v>0</v>
      </c>
      <c r="F641" s="69" t="s">
        <v>1960</v>
      </c>
      <c r="G641" s="13" t="s">
        <v>1961</v>
      </c>
      <c r="H641" s="76">
        <v>9010000001</v>
      </c>
      <c r="I641" s="92" t="s">
        <v>261</v>
      </c>
      <c r="J641" s="92">
        <v>1202010217</v>
      </c>
      <c r="K641" s="15" t="s">
        <v>2050</v>
      </c>
      <c r="L641" s="95" t="s">
        <v>2051</v>
      </c>
      <c r="M641" s="69" t="s">
        <v>2052</v>
      </c>
      <c r="N641" s="69"/>
      <c r="O641" s="94">
        <v>1</v>
      </c>
      <c r="P641" s="69" t="s">
        <v>50</v>
      </c>
      <c r="Q641" s="69" t="s">
        <v>51</v>
      </c>
      <c r="R641" s="69"/>
      <c r="S641" s="46">
        <v>45068</v>
      </c>
      <c r="T641" s="48">
        <v>45068</v>
      </c>
      <c r="U641" s="69"/>
      <c r="V641" s="69"/>
      <c r="W641" s="69"/>
      <c r="X641" s="69"/>
      <c r="Y641" s="69" t="s">
        <v>4129</v>
      </c>
      <c r="Z641" s="43">
        <v>82500</v>
      </c>
      <c r="AA641" s="43" t="s">
        <v>52</v>
      </c>
      <c r="AB641" s="43" t="s">
        <v>53</v>
      </c>
      <c r="AC641" s="43">
        <v>1825</v>
      </c>
      <c r="AD641" s="141">
        <v>5</v>
      </c>
      <c r="AE641" s="142">
        <v>0</v>
      </c>
      <c r="AF641" s="142"/>
      <c r="AG641" s="69" t="str">
        <f t="shared" si="408"/>
        <v>1 years 225 days</v>
      </c>
      <c r="AH641" s="69">
        <v>1</v>
      </c>
      <c r="AI641" s="69">
        <v>225</v>
      </c>
      <c r="AJ641" s="69">
        <v>0</v>
      </c>
      <c r="AK641" s="69">
        <v>0</v>
      </c>
      <c r="AL641" s="60">
        <v>82500</v>
      </c>
      <c r="AM641" s="60">
        <f t="shared" si="409"/>
        <v>82500</v>
      </c>
      <c r="AN641" s="59">
        <v>82500</v>
      </c>
      <c r="AO641" s="148">
        <f t="shared" si="410"/>
        <v>-82500</v>
      </c>
      <c r="AP641" s="58">
        <v>0</v>
      </c>
      <c r="AQ641" s="143">
        <f t="shared" si="411"/>
        <v>0</v>
      </c>
    </row>
    <row r="642" spans="1:43" x14ac:dyDescent="0.35">
      <c r="A642" s="69" t="s">
        <v>43</v>
      </c>
      <c r="B642" s="15" t="s">
        <v>2053</v>
      </c>
      <c r="C642" s="15"/>
      <c r="D642" s="69"/>
      <c r="E642" s="76">
        <v>0</v>
      </c>
      <c r="F642" s="69" t="s">
        <v>1960</v>
      </c>
      <c r="G642" s="13" t="s">
        <v>1961</v>
      </c>
      <c r="H642" s="77">
        <v>9010000001</v>
      </c>
      <c r="I642" s="92" t="s">
        <v>261</v>
      </c>
      <c r="J642" s="92">
        <v>1202010217</v>
      </c>
      <c r="K642" s="15"/>
      <c r="L642" s="95" t="s">
        <v>2054</v>
      </c>
      <c r="M642" s="69" t="s">
        <v>2055</v>
      </c>
      <c r="N642" s="69"/>
      <c r="O642" s="94">
        <v>1</v>
      </c>
      <c r="P642" s="69" t="s">
        <v>50</v>
      </c>
      <c r="Q642" s="69" t="s">
        <v>51</v>
      </c>
      <c r="R642" s="69"/>
      <c r="S642" s="46">
        <v>45068</v>
      </c>
      <c r="T642" s="48">
        <v>45068</v>
      </c>
      <c r="U642" s="69"/>
      <c r="V642" s="69"/>
      <c r="W642" s="69"/>
      <c r="X642" s="69"/>
      <c r="Y642" s="69" t="s">
        <v>4129</v>
      </c>
      <c r="Z642" s="43">
        <v>7800</v>
      </c>
      <c r="AA642" s="43" t="s">
        <v>52</v>
      </c>
      <c r="AB642" s="43" t="s">
        <v>53</v>
      </c>
      <c r="AC642" s="43">
        <v>1825</v>
      </c>
      <c r="AD642" s="141">
        <v>5</v>
      </c>
      <c r="AE642" s="142">
        <v>0</v>
      </c>
      <c r="AF642" s="142"/>
      <c r="AG642" s="69" t="str">
        <f t="shared" si="408"/>
        <v>1 years 225 days</v>
      </c>
      <c r="AH642" s="69">
        <v>1</v>
      </c>
      <c r="AI642" s="69">
        <v>225</v>
      </c>
      <c r="AJ642" s="69">
        <v>0</v>
      </c>
      <c r="AK642" s="69">
        <v>0</v>
      </c>
      <c r="AL642" s="60">
        <v>7800</v>
      </c>
      <c r="AM642" s="60">
        <f t="shared" si="409"/>
        <v>7800</v>
      </c>
      <c r="AN642" s="59">
        <v>7800</v>
      </c>
      <c r="AO642" s="148">
        <f t="shared" si="410"/>
        <v>-7800</v>
      </c>
      <c r="AP642" s="58">
        <v>0</v>
      </c>
      <c r="AQ642" s="143">
        <f t="shared" si="411"/>
        <v>0</v>
      </c>
    </row>
    <row r="643" spans="1:43" x14ac:dyDescent="0.35">
      <c r="A643" s="69" t="s">
        <v>43</v>
      </c>
      <c r="B643" s="15" t="s">
        <v>2056</v>
      </c>
      <c r="C643" s="15"/>
      <c r="D643" s="69"/>
      <c r="E643" s="76">
        <v>0</v>
      </c>
      <c r="F643" s="69" t="s">
        <v>1960</v>
      </c>
      <c r="G643" s="13" t="s">
        <v>1961</v>
      </c>
      <c r="H643" s="76">
        <v>9010000001</v>
      </c>
      <c r="I643" s="92" t="s">
        <v>261</v>
      </c>
      <c r="J643" s="92">
        <v>1202010217</v>
      </c>
      <c r="K643" s="15" t="s">
        <v>2057</v>
      </c>
      <c r="L643" s="95" t="s">
        <v>2058</v>
      </c>
      <c r="M643" s="69" t="s">
        <v>2059</v>
      </c>
      <c r="N643" s="69"/>
      <c r="O643" s="94">
        <v>6</v>
      </c>
      <c r="P643" s="69" t="s">
        <v>50</v>
      </c>
      <c r="Q643" s="69" t="s">
        <v>51</v>
      </c>
      <c r="R643" s="69"/>
      <c r="S643" s="46">
        <v>45068</v>
      </c>
      <c r="T643" s="48">
        <v>45068</v>
      </c>
      <c r="U643" s="69"/>
      <c r="V643" s="69"/>
      <c r="W643" s="69"/>
      <c r="X643" s="69"/>
      <c r="Y643" s="69" t="s">
        <v>4129</v>
      </c>
      <c r="Z643" s="43">
        <v>60045</v>
      </c>
      <c r="AA643" s="43" t="s">
        <v>52</v>
      </c>
      <c r="AB643" s="43" t="s">
        <v>53</v>
      </c>
      <c r="AC643" s="43">
        <v>1825</v>
      </c>
      <c r="AD643" s="141">
        <v>5</v>
      </c>
      <c r="AE643" s="142">
        <v>0</v>
      </c>
      <c r="AF643" s="142"/>
      <c r="AG643" s="69" t="str">
        <f t="shared" si="408"/>
        <v>1 years 225 days</v>
      </c>
      <c r="AH643" s="69">
        <v>1</v>
      </c>
      <c r="AI643" s="69">
        <v>225</v>
      </c>
      <c r="AJ643" s="69">
        <v>0</v>
      </c>
      <c r="AK643" s="69">
        <v>0</v>
      </c>
      <c r="AL643" s="60">
        <v>60045</v>
      </c>
      <c r="AM643" s="60">
        <f t="shared" si="409"/>
        <v>60045</v>
      </c>
      <c r="AN643" s="59">
        <v>53103</v>
      </c>
      <c r="AO643" s="148">
        <f t="shared" si="410"/>
        <v>-53103</v>
      </c>
      <c r="AP643" s="58">
        <v>5954.9589041095896</v>
      </c>
      <c r="AQ643" s="143">
        <f t="shared" si="411"/>
        <v>-5954.96</v>
      </c>
    </row>
    <row r="644" spans="1:43" x14ac:dyDescent="0.35">
      <c r="A644" s="69" t="s">
        <v>43</v>
      </c>
      <c r="B644" s="15" t="s">
        <v>2060</v>
      </c>
      <c r="C644" s="15"/>
      <c r="D644" s="69"/>
      <c r="E644" s="76">
        <v>0</v>
      </c>
      <c r="F644" s="69" t="s">
        <v>1960</v>
      </c>
      <c r="G644" s="13" t="s">
        <v>1961</v>
      </c>
      <c r="H644" s="76">
        <v>9010000001</v>
      </c>
      <c r="I644" s="92" t="s">
        <v>261</v>
      </c>
      <c r="J644" s="92">
        <v>1202010217</v>
      </c>
      <c r="K644" s="15" t="s">
        <v>2061</v>
      </c>
      <c r="L644" s="95" t="s">
        <v>2062</v>
      </c>
      <c r="M644" s="69" t="s">
        <v>2063</v>
      </c>
      <c r="N644" s="69"/>
      <c r="O644" s="94">
        <v>1</v>
      </c>
      <c r="P644" s="69" t="s">
        <v>50</v>
      </c>
      <c r="Q644" s="69" t="s">
        <v>51</v>
      </c>
      <c r="R644" s="69"/>
      <c r="S644" s="46">
        <v>45068</v>
      </c>
      <c r="T644" s="48">
        <v>45068</v>
      </c>
      <c r="U644" s="69"/>
      <c r="V644" s="69"/>
      <c r="W644" s="69"/>
      <c r="X644" s="69"/>
      <c r="Y644" s="69" t="s">
        <v>4129</v>
      </c>
      <c r="Z644" s="43">
        <v>8075</v>
      </c>
      <c r="AA644" s="43" t="s">
        <v>52</v>
      </c>
      <c r="AB644" s="43" t="s">
        <v>53</v>
      </c>
      <c r="AC644" s="43">
        <v>1825</v>
      </c>
      <c r="AD644" s="141">
        <v>5</v>
      </c>
      <c r="AE644" s="142">
        <v>0</v>
      </c>
      <c r="AF644" s="142"/>
      <c r="AG644" s="69" t="str">
        <f t="shared" si="408"/>
        <v>1 years 225 days</v>
      </c>
      <c r="AH644" s="69">
        <v>1</v>
      </c>
      <c r="AI644" s="69">
        <v>225</v>
      </c>
      <c r="AJ644" s="69">
        <v>0</v>
      </c>
      <c r="AK644" s="69">
        <v>0</v>
      </c>
      <c r="AL644" s="60">
        <v>8075</v>
      </c>
      <c r="AM644" s="60">
        <f t="shared" si="409"/>
        <v>8075</v>
      </c>
      <c r="AN644" s="59">
        <v>5526</v>
      </c>
      <c r="AO644" s="148">
        <f t="shared" si="410"/>
        <v>-5526</v>
      </c>
      <c r="AP644" s="58">
        <v>801.26027397260259</v>
      </c>
      <c r="AQ644" s="143">
        <f t="shared" si="411"/>
        <v>-801.26</v>
      </c>
    </row>
    <row r="645" spans="1:43" x14ac:dyDescent="0.35">
      <c r="A645" s="69" t="s">
        <v>43</v>
      </c>
      <c r="B645" s="15" t="s">
        <v>2064</v>
      </c>
      <c r="C645" s="15"/>
      <c r="D645" s="69"/>
      <c r="E645" s="76">
        <v>0</v>
      </c>
      <c r="F645" s="69" t="s">
        <v>1960</v>
      </c>
      <c r="G645" s="13" t="s">
        <v>1961</v>
      </c>
      <c r="H645" s="76">
        <v>9010000001</v>
      </c>
      <c r="I645" s="92" t="s">
        <v>261</v>
      </c>
      <c r="J645" s="92">
        <v>1202010217</v>
      </c>
      <c r="K645" s="15" t="s">
        <v>2065</v>
      </c>
      <c r="L645" s="95" t="s">
        <v>2066</v>
      </c>
      <c r="M645" s="69" t="s">
        <v>2067</v>
      </c>
      <c r="N645" s="69"/>
      <c r="O645" s="94">
        <v>3</v>
      </c>
      <c r="P645" s="69" t="s">
        <v>50</v>
      </c>
      <c r="Q645" s="69" t="s">
        <v>51</v>
      </c>
      <c r="R645" s="69"/>
      <c r="S645" s="46">
        <v>45068</v>
      </c>
      <c r="T645" s="48">
        <v>45068</v>
      </c>
      <c r="U645" s="69"/>
      <c r="V645" s="69"/>
      <c r="W645" s="69"/>
      <c r="X645" s="69"/>
      <c r="Y645" s="69" t="s">
        <v>4129</v>
      </c>
      <c r="Z645" s="43">
        <v>29769</v>
      </c>
      <c r="AA645" s="43" t="s">
        <v>52</v>
      </c>
      <c r="AB645" s="43" t="s">
        <v>53</v>
      </c>
      <c r="AC645" s="43">
        <v>1825</v>
      </c>
      <c r="AD645" s="141">
        <v>5</v>
      </c>
      <c r="AE645" s="142">
        <v>0</v>
      </c>
      <c r="AF645" s="142"/>
      <c r="AG645" s="69" t="str">
        <f t="shared" si="408"/>
        <v>1 years 225 days</v>
      </c>
      <c r="AH645" s="69">
        <v>1</v>
      </c>
      <c r="AI645" s="69">
        <v>225</v>
      </c>
      <c r="AJ645" s="69">
        <v>0</v>
      </c>
      <c r="AK645" s="69">
        <v>0</v>
      </c>
      <c r="AL645" s="60">
        <v>29769</v>
      </c>
      <c r="AM645" s="60">
        <f t="shared" si="409"/>
        <v>29769</v>
      </c>
      <c r="AN645" s="59">
        <v>16565</v>
      </c>
      <c r="AO645" s="148">
        <f t="shared" si="410"/>
        <v>-16565</v>
      </c>
      <c r="AP645" s="58">
        <v>2952.0457534246561</v>
      </c>
      <c r="AQ645" s="143">
        <f t="shared" si="411"/>
        <v>-2952.05</v>
      </c>
    </row>
    <row r="646" spans="1:43" x14ac:dyDescent="0.35">
      <c r="A646" s="69" t="s">
        <v>43</v>
      </c>
      <c r="B646" s="15" t="s">
        <v>2068</v>
      </c>
      <c r="C646" s="15"/>
      <c r="D646" s="69"/>
      <c r="E646" s="76">
        <v>0</v>
      </c>
      <c r="F646" s="69" t="s">
        <v>1960</v>
      </c>
      <c r="G646" s="13" t="s">
        <v>1961</v>
      </c>
      <c r="H646" s="76">
        <v>9010000001</v>
      </c>
      <c r="I646" s="92" t="s">
        <v>261</v>
      </c>
      <c r="J646" s="92">
        <v>1202010217</v>
      </c>
      <c r="K646" s="15" t="s">
        <v>2069</v>
      </c>
      <c r="L646" s="95" t="s">
        <v>2070</v>
      </c>
      <c r="M646" s="69" t="s">
        <v>2071</v>
      </c>
      <c r="N646" s="69"/>
      <c r="O646" s="94">
        <v>1</v>
      </c>
      <c r="P646" s="69" t="s">
        <v>50</v>
      </c>
      <c r="Q646" s="69" t="s">
        <v>51</v>
      </c>
      <c r="R646" s="69"/>
      <c r="S646" s="46">
        <v>45108</v>
      </c>
      <c r="T646" s="48">
        <v>45108</v>
      </c>
      <c r="U646" s="69"/>
      <c r="V646" s="69"/>
      <c r="W646" s="69"/>
      <c r="X646" s="69"/>
      <c r="Y646" s="69" t="s">
        <v>4129</v>
      </c>
      <c r="Z646" s="43">
        <v>109280</v>
      </c>
      <c r="AA646" s="43" t="s">
        <v>52</v>
      </c>
      <c r="AB646" s="43" t="s">
        <v>53</v>
      </c>
      <c r="AC646" s="43">
        <v>1825</v>
      </c>
      <c r="AD646" s="141">
        <v>5</v>
      </c>
      <c r="AE646" s="142">
        <v>0</v>
      </c>
      <c r="AF646" s="142"/>
      <c r="AG646" s="69" t="str">
        <f t="shared" si="408"/>
        <v>1 years 185 days</v>
      </c>
      <c r="AH646" s="69">
        <v>1</v>
      </c>
      <c r="AI646" s="69">
        <v>185</v>
      </c>
      <c r="AJ646" s="69">
        <v>0</v>
      </c>
      <c r="AK646" s="69">
        <v>0</v>
      </c>
      <c r="AL646" s="60">
        <v>109280</v>
      </c>
      <c r="AM646" s="60">
        <f t="shared" si="409"/>
        <v>109280</v>
      </c>
      <c r="AN646" s="59">
        <v>32934</v>
      </c>
      <c r="AO646" s="148">
        <f t="shared" si="410"/>
        <v>-32934</v>
      </c>
      <c r="AP646" s="58">
        <v>10837.879452054796</v>
      </c>
      <c r="AQ646" s="143">
        <f t="shared" si="411"/>
        <v>-10837.88</v>
      </c>
    </row>
    <row r="647" spans="1:43" x14ac:dyDescent="0.35">
      <c r="A647" s="69" t="s">
        <v>43</v>
      </c>
      <c r="B647" s="15" t="s">
        <v>2072</v>
      </c>
      <c r="C647" s="15"/>
      <c r="D647" s="69"/>
      <c r="E647" s="76">
        <v>0</v>
      </c>
      <c r="F647" s="69" t="s">
        <v>1960</v>
      </c>
      <c r="G647" s="13" t="s">
        <v>1961</v>
      </c>
      <c r="H647" s="76">
        <v>9010000001</v>
      </c>
      <c r="I647" s="92" t="s">
        <v>261</v>
      </c>
      <c r="J647" s="92">
        <v>1202010217</v>
      </c>
      <c r="K647" s="15" t="s">
        <v>2073</v>
      </c>
      <c r="L647" s="95" t="s">
        <v>2074</v>
      </c>
      <c r="M647" s="69" t="s">
        <v>2075</v>
      </c>
      <c r="N647" s="69"/>
      <c r="O647" s="94">
        <v>16</v>
      </c>
      <c r="P647" s="69" t="s">
        <v>50</v>
      </c>
      <c r="Q647" s="69" t="s">
        <v>51</v>
      </c>
      <c r="R647" s="69"/>
      <c r="S647" s="46">
        <v>45129</v>
      </c>
      <c r="T647" s="48">
        <v>45129</v>
      </c>
      <c r="U647" s="69"/>
      <c r="V647" s="69"/>
      <c r="W647" s="69"/>
      <c r="X647" s="69"/>
      <c r="Y647" s="69" t="s">
        <v>4129</v>
      </c>
      <c r="Z647" s="43">
        <v>152533</v>
      </c>
      <c r="AA647" s="43" t="s">
        <v>52</v>
      </c>
      <c r="AB647" s="43" t="s">
        <v>53</v>
      </c>
      <c r="AC647" s="43">
        <v>1825</v>
      </c>
      <c r="AD647" s="141">
        <v>5</v>
      </c>
      <c r="AE647" s="142">
        <v>0</v>
      </c>
      <c r="AF647" s="142"/>
      <c r="AG647" s="69" t="str">
        <f t="shared" si="408"/>
        <v>1 years 164 days</v>
      </c>
      <c r="AH647" s="69">
        <v>1</v>
      </c>
      <c r="AI647" s="69">
        <v>164</v>
      </c>
      <c r="AJ647" s="69">
        <v>0</v>
      </c>
      <c r="AK647" s="69">
        <v>0</v>
      </c>
      <c r="AL647" s="60">
        <v>152533</v>
      </c>
      <c r="AM647" s="60">
        <f t="shared" si="409"/>
        <v>152533</v>
      </c>
      <c r="AN647" s="59">
        <v>44214</v>
      </c>
      <c r="AO647" s="148">
        <f t="shared" si="410"/>
        <v>-44214</v>
      </c>
      <c r="AP647" s="58">
        <v>15127.605479452046</v>
      </c>
      <c r="AQ647" s="143">
        <f t="shared" si="411"/>
        <v>-15127.61</v>
      </c>
    </row>
    <row r="648" spans="1:43" x14ac:dyDescent="0.35">
      <c r="A648" s="69" t="s">
        <v>43</v>
      </c>
      <c r="B648" s="15" t="s">
        <v>2076</v>
      </c>
      <c r="C648" s="15"/>
      <c r="D648" s="69"/>
      <c r="E648" s="76">
        <v>0</v>
      </c>
      <c r="F648" s="69" t="s">
        <v>1960</v>
      </c>
      <c r="G648" s="13" t="s">
        <v>1961</v>
      </c>
      <c r="H648" s="77">
        <v>9010000001</v>
      </c>
      <c r="I648" s="92" t="s">
        <v>261</v>
      </c>
      <c r="J648" s="92">
        <v>1202010217</v>
      </c>
      <c r="K648" s="15"/>
      <c r="L648" s="95" t="s">
        <v>2077</v>
      </c>
      <c r="M648" s="69" t="s">
        <v>2078</v>
      </c>
      <c r="N648" s="69"/>
      <c r="O648" s="94">
        <v>3</v>
      </c>
      <c r="P648" s="69" t="s">
        <v>50</v>
      </c>
      <c r="Q648" s="69" t="s">
        <v>51</v>
      </c>
      <c r="R648" s="69"/>
      <c r="S648" s="46">
        <v>45145</v>
      </c>
      <c r="T648" s="48">
        <v>45145</v>
      </c>
      <c r="U648" s="69"/>
      <c r="V648" s="69"/>
      <c r="W648" s="69"/>
      <c r="X648" s="69"/>
      <c r="Y648" s="69" t="s">
        <v>4129</v>
      </c>
      <c r="Z648" s="43">
        <v>10039.5</v>
      </c>
      <c r="AA648" s="43" t="s">
        <v>52</v>
      </c>
      <c r="AB648" s="43" t="s">
        <v>53</v>
      </c>
      <c r="AC648" s="43">
        <v>1825</v>
      </c>
      <c r="AD648" s="141">
        <v>5</v>
      </c>
      <c r="AE648" s="142">
        <v>0</v>
      </c>
      <c r="AF648" s="142"/>
      <c r="AG648" s="69" t="str">
        <f t="shared" si="408"/>
        <v>1 years 148 days</v>
      </c>
      <c r="AH648" s="69">
        <v>1</v>
      </c>
      <c r="AI648" s="69">
        <v>148</v>
      </c>
      <c r="AJ648" s="69">
        <v>0</v>
      </c>
      <c r="AK648" s="69">
        <v>0</v>
      </c>
      <c r="AL648" s="60">
        <v>10039.5</v>
      </c>
      <c r="AM648" s="60">
        <f t="shared" si="409"/>
        <v>10039.5</v>
      </c>
      <c r="AN648" s="59">
        <v>2822</v>
      </c>
      <c r="AO648" s="148">
        <f t="shared" si="410"/>
        <v>-2822</v>
      </c>
      <c r="AP648" s="58">
        <v>995.76054794520542</v>
      </c>
      <c r="AQ648" s="143">
        <f t="shared" si="411"/>
        <v>-995.76</v>
      </c>
    </row>
    <row r="649" spans="1:43" x14ac:dyDescent="0.35">
      <c r="A649" s="69" t="s">
        <v>43</v>
      </c>
      <c r="B649" s="15" t="s">
        <v>2079</v>
      </c>
      <c r="C649" s="15"/>
      <c r="D649" s="69"/>
      <c r="E649" s="76">
        <v>0</v>
      </c>
      <c r="F649" s="69" t="s">
        <v>1960</v>
      </c>
      <c r="G649" s="13" t="s">
        <v>1961</v>
      </c>
      <c r="H649" s="77">
        <v>9010000001</v>
      </c>
      <c r="I649" s="92" t="s">
        <v>261</v>
      </c>
      <c r="J649" s="92">
        <v>1202010217</v>
      </c>
      <c r="K649" s="15"/>
      <c r="L649" s="95" t="s">
        <v>2080</v>
      </c>
      <c r="M649" s="69" t="s">
        <v>2081</v>
      </c>
      <c r="N649" s="69"/>
      <c r="O649" s="94">
        <v>103</v>
      </c>
      <c r="P649" s="69" t="s">
        <v>50</v>
      </c>
      <c r="Q649" s="69" t="s">
        <v>51</v>
      </c>
      <c r="R649" s="69"/>
      <c r="S649" s="46">
        <v>45231</v>
      </c>
      <c r="T649" s="48">
        <v>45231</v>
      </c>
      <c r="U649" s="69"/>
      <c r="V649" s="69"/>
      <c r="W649" s="69"/>
      <c r="X649" s="69"/>
      <c r="Y649" s="69" t="s">
        <v>4129</v>
      </c>
      <c r="Z649" s="43">
        <v>21776</v>
      </c>
      <c r="AA649" s="43" t="s">
        <v>52</v>
      </c>
      <c r="AB649" s="43" t="s">
        <v>53</v>
      </c>
      <c r="AC649" s="43">
        <v>1825</v>
      </c>
      <c r="AD649" s="141">
        <v>5</v>
      </c>
      <c r="AE649" s="142">
        <v>0</v>
      </c>
      <c r="AF649" s="142"/>
      <c r="AG649" s="69" t="str">
        <f t="shared" si="408"/>
        <v>1 years 62 days</v>
      </c>
      <c r="AH649" s="69">
        <v>1</v>
      </c>
      <c r="AI649" s="69">
        <v>62</v>
      </c>
      <c r="AJ649" s="69">
        <v>0</v>
      </c>
      <c r="AK649" s="69">
        <v>0</v>
      </c>
      <c r="AL649" s="60">
        <v>21776</v>
      </c>
      <c r="AM649" s="60">
        <f t="shared" si="409"/>
        <v>21776</v>
      </c>
      <c r="AN649" s="59">
        <v>5095</v>
      </c>
      <c r="AO649" s="148">
        <f t="shared" si="410"/>
        <v>-5095</v>
      </c>
      <c r="AP649" s="58">
        <v>2159.6893150684928</v>
      </c>
      <c r="AQ649" s="143">
        <f t="shared" si="411"/>
        <v>-2159.69</v>
      </c>
    </row>
    <row r="650" spans="1:43" x14ac:dyDescent="0.35">
      <c r="A650" s="69" t="s">
        <v>43</v>
      </c>
      <c r="B650" s="15" t="s">
        <v>2082</v>
      </c>
      <c r="C650" s="15"/>
      <c r="D650" s="69"/>
      <c r="E650" s="76">
        <v>0</v>
      </c>
      <c r="F650" s="69" t="s">
        <v>1960</v>
      </c>
      <c r="G650" s="13" t="s">
        <v>1961</v>
      </c>
      <c r="H650" s="77">
        <v>9010000001</v>
      </c>
      <c r="I650" s="92" t="s">
        <v>261</v>
      </c>
      <c r="J650" s="92">
        <v>1202010217</v>
      </c>
      <c r="K650" s="15"/>
      <c r="L650" s="95" t="s">
        <v>2083</v>
      </c>
      <c r="M650" s="69" t="s">
        <v>2084</v>
      </c>
      <c r="N650" s="69"/>
      <c r="O650" s="94">
        <v>1</v>
      </c>
      <c r="P650" s="69" t="s">
        <v>50</v>
      </c>
      <c r="Q650" s="69" t="s">
        <v>51</v>
      </c>
      <c r="R650" s="69"/>
      <c r="S650" s="46">
        <v>45271</v>
      </c>
      <c r="T650" s="48">
        <v>45271</v>
      </c>
      <c r="U650" s="69"/>
      <c r="V650" s="69"/>
      <c r="W650" s="69"/>
      <c r="X650" s="69"/>
      <c r="Y650" s="69" t="s">
        <v>4129</v>
      </c>
      <c r="Z650" s="43">
        <v>67915.5</v>
      </c>
      <c r="AA650" s="43" t="s">
        <v>52</v>
      </c>
      <c r="AB650" s="43" t="s">
        <v>53</v>
      </c>
      <c r="AC650" s="43">
        <v>1825</v>
      </c>
      <c r="AD650" s="141">
        <v>5</v>
      </c>
      <c r="AE650" s="142">
        <v>0</v>
      </c>
      <c r="AF650" s="142"/>
      <c r="AG650" s="69" t="str">
        <f t="shared" si="408"/>
        <v>1 years 22 days</v>
      </c>
      <c r="AH650" s="69">
        <v>1</v>
      </c>
      <c r="AI650" s="69">
        <v>22</v>
      </c>
      <c r="AJ650" s="69">
        <v>0</v>
      </c>
      <c r="AK650" s="69">
        <v>0</v>
      </c>
      <c r="AL650" s="60">
        <v>67915.5</v>
      </c>
      <c r="AM650" s="60">
        <f t="shared" si="409"/>
        <v>67915.5</v>
      </c>
      <c r="AN650" s="59">
        <v>14402</v>
      </c>
      <c r="AO650" s="148">
        <f t="shared" si="410"/>
        <v>-14402</v>
      </c>
      <c r="AP650" s="58">
        <v>6735.5364383561682</v>
      </c>
      <c r="AQ650" s="143">
        <f t="shared" si="411"/>
        <v>-6735.54</v>
      </c>
    </row>
    <row r="651" spans="1:43" x14ac:dyDescent="0.35">
      <c r="A651" s="69" t="s">
        <v>43</v>
      </c>
      <c r="B651" s="15" t="s">
        <v>2085</v>
      </c>
      <c r="C651" s="15"/>
      <c r="D651" s="69"/>
      <c r="E651" s="76">
        <v>0</v>
      </c>
      <c r="F651" s="69" t="s">
        <v>1960</v>
      </c>
      <c r="G651" s="13" t="s">
        <v>1961</v>
      </c>
      <c r="H651" s="76">
        <v>9010000001</v>
      </c>
      <c r="I651" s="92" t="s">
        <v>261</v>
      </c>
      <c r="J651" s="92">
        <v>1202010217</v>
      </c>
      <c r="K651" s="15" t="s">
        <v>2086</v>
      </c>
      <c r="L651" s="95" t="s">
        <v>2087</v>
      </c>
      <c r="M651" s="69" t="s">
        <v>2088</v>
      </c>
      <c r="N651" s="69"/>
      <c r="O651" s="94">
        <v>26</v>
      </c>
      <c r="P651" s="69" t="s">
        <v>50</v>
      </c>
      <c r="Q651" s="69" t="s">
        <v>51</v>
      </c>
      <c r="R651" s="69"/>
      <c r="S651" s="46">
        <v>45356</v>
      </c>
      <c r="T651" s="48">
        <v>45356</v>
      </c>
      <c r="U651" s="69"/>
      <c r="V651" s="69"/>
      <c r="W651" s="69"/>
      <c r="X651" s="69"/>
      <c r="Y651" s="69" t="s">
        <v>4130</v>
      </c>
      <c r="Z651" s="43">
        <v>26015.4</v>
      </c>
      <c r="AA651" s="43" t="s">
        <v>52</v>
      </c>
      <c r="AB651" s="43" t="s">
        <v>53</v>
      </c>
      <c r="AC651" s="43">
        <v>1825</v>
      </c>
      <c r="AD651" s="141">
        <v>5</v>
      </c>
      <c r="AE651" s="142">
        <v>0</v>
      </c>
      <c r="AF651" s="142"/>
      <c r="AG651" s="69" t="str">
        <f t="shared" si="408"/>
        <v>0 years 302 days</v>
      </c>
      <c r="AH651" s="69">
        <v>0</v>
      </c>
      <c r="AI651" s="69">
        <v>302</v>
      </c>
      <c r="AJ651" s="69">
        <v>0</v>
      </c>
      <c r="AK651" s="69">
        <v>0</v>
      </c>
      <c r="AL651" s="60">
        <v>26015.4</v>
      </c>
      <c r="AM651" s="60">
        <f t="shared" si="409"/>
        <v>26015.4</v>
      </c>
      <c r="AN651" s="59">
        <v>4305</v>
      </c>
      <c r="AO651" s="148">
        <f t="shared" si="410"/>
        <v>-4305</v>
      </c>
      <c r="AP651" s="58">
        <v>2580.1716164383561</v>
      </c>
      <c r="AQ651" s="143">
        <f t="shared" si="411"/>
        <v>-2580.17</v>
      </c>
    </row>
    <row r="652" spans="1:43" x14ac:dyDescent="0.35">
      <c r="A652" s="69" t="s">
        <v>43</v>
      </c>
      <c r="B652" s="15" t="s">
        <v>2089</v>
      </c>
      <c r="C652" s="15"/>
      <c r="D652" s="69"/>
      <c r="E652" s="76">
        <v>0</v>
      </c>
      <c r="F652" s="69" t="s">
        <v>1960</v>
      </c>
      <c r="G652" s="13" t="s">
        <v>1961</v>
      </c>
      <c r="H652" s="76">
        <v>9010000001</v>
      </c>
      <c r="I652" s="92" t="s">
        <v>261</v>
      </c>
      <c r="J652" s="92">
        <v>1202010217</v>
      </c>
      <c r="K652" s="15" t="s">
        <v>2090</v>
      </c>
      <c r="L652" s="95" t="s">
        <v>2091</v>
      </c>
      <c r="M652" s="69" t="s">
        <v>2092</v>
      </c>
      <c r="N652" s="69"/>
      <c r="O652" s="94">
        <v>4</v>
      </c>
      <c r="P652" s="69" t="s">
        <v>50</v>
      </c>
      <c r="Q652" s="69" t="s">
        <v>51</v>
      </c>
      <c r="R652" s="69"/>
      <c r="S652" s="46">
        <v>45382</v>
      </c>
      <c r="T652" s="48">
        <v>45382</v>
      </c>
      <c r="U652" s="69"/>
      <c r="V652" s="69"/>
      <c r="W652" s="69"/>
      <c r="X652" s="69"/>
      <c r="Y652" s="69" t="s">
        <v>4130</v>
      </c>
      <c r="Z652" s="43">
        <v>22116</v>
      </c>
      <c r="AA652" s="43" t="s">
        <v>52</v>
      </c>
      <c r="AB652" s="43" t="s">
        <v>53</v>
      </c>
      <c r="AC652" s="43">
        <v>1825</v>
      </c>
      <c r="AD652" s="141">
        <v>5</v>
      </c>
      <c r="AE652" s="142">
        <v>0</v>
      </c>
      <c r="AF652" s="142"/>
      <c r="AG652" s="69" t="str">
        <f t="shared" si="408"/>
        <v>0 years 276 days</v>
      </c>
      <c r="AH652" s="69">
        <v>0</v>
      </c>
      <c r="AI652" s="69">
        <v>276</v>
      </c>
      <c r="AJ652" s="69">
        <v>0</v>
      </c>
      <c r="AK652" s="69">
        <v>0</v>
      </c>
      <c r="AL652" s="60">
        <v>22116</v>
      </c>
      <c r="AM652" s="60">
        <f t="shared" si="409"/>
        <v>22116</v>
      </c>
      <c r="AN652" s="59">
        <v>3357</v>
      </c>
      <c r="AO652" s="148">
        <f t="shared" si="410"/>
        <v>-3357</v>
      </c>
      <c r="AP652" s="58">
        <v>2193.2071232876715</v>
      </c>
      <c r="AQ652" s="143">
        <f t="shared" si="411"/>
        <v>-2193.21</v>
      </c>
    </row>
    <row r="653" spans="1:43" x14ac:dyDescent="0.35">
      <c r="A653" s="69" t="s">
        <v>43</v>
      </c>
      <c r="B653" s="15" t="s">
        <v>2093</v>
      </c>
      <c r="C653" s="15"/>
      <c r="D653" s="69"/>
      <c r="E653" s="76">
        <v>0</v>
      </c>
      <c r="F653" s="69" t="s">
        <v>1960</v>
      </c>
      <c r="G653" s="12" t="s">
        <v>1961</v>
      </c>
      <c r="H653" s="76">
        <v>9010000002</v>
      </c>
      <c r="I653" s="92" t="s">
        <v>47</v>
      </c>
      <c r="J653" s="92">
        <v>1202010202</v>
      </c>
      <c r="K653" s="15"/>
      <c r="L653" s="95" t="s">
        <v>2094</v>
      </c>
      <c r="M653" s="69" t="s">
        <v>49</v>
      </c>
      <c r="N653" s="69"/>
      <c r="O653" s="94">
        <v>1</v>
      </c>
      <c r="P653" s="69" t="s">
        <v>50</v>
      </c>
      <c r="Q653" s="69" t="s">
        <v>51</v>
      </c>
      <c r="R653" s="69"/>
      <c r="S653" s="46">
        <v>37518</v>
      </c>
      <c r="T653" s="48">
        <v>43191</v>
      </c>
      <c r="U653" s="69"/>
      <c r="V653" s="69"/>
      <c r="W653" s="69"/>
      <c r="X653" s="69"/>
      <c r="Y653" s="69" t="s">
        <v>4125</v>
      </c>
      <c r="Z653" s="43">
        <v>700</v>
      </c>
      <c r="AA653" s="43" t="s">
        <v>52</v>
      </c>
      <c r="AB653" s="43" t="s">
        <v>53</v>
      </c>
      <c r="AC653" s="43">
        <v>183</v>
      </c>
      <c r="AD653" s="141">
        <v>0</v>
      </c>
      <c r="AE653" s="142">
        <v>6</v>
      </c>
      <c r="AF653" s="142"/>
      <c r="AG653" s="69" t="str">
        <f t="shared" si="408"/>
        <v>0 years 183 days</v>
      </c>
      <c r="AH653" s="69">
        <v>0</v>
      </c>
      <c r="AI653" s="69">
        <v>183</v>
      </c>
      <c r="AJ653" s="69">
        <v>0</v>
      </c>
      <c r="AK653" s="69">
        <v>0</v>
      </c>
      <c r="AL653" s="60">
        <v>700</v>
      </c>
      <c r="AM653" s="60">
        <f t="shared" si="409"/>
        <v>700</v>
      </c>
      <c r="AN653" s="59">
        <v>700</v>
      </c>
      <c r="AO653" s="148">
        <f t="shared" si="410"/>
        <v>-700</v>
      </c>
      <c r="AP653" s="58">
        <v>0</v>
      </c>
      <c r="AQ653" s="143">
        <f t="shared" si="411"/>
        <v>0</v>
      </c>
    </row>
    <row r="654" spans="1:43" x14ac:dyDescent="0.35">
      <c r="A654" s="69" t="s">
        <v>43</v>
      </c>
      <c r="B654" s="15" t="s">
        <v>2095</v>
      </c>
      <c r="C654" s="15"/>
      <c r="D654" s="69"/>
      <c r="E654" s="76">
        <v>0</v>
      </c>
      <c r="F654" s="69" t="s">
        <v>1960</v>
      </c>
      <c r="G654" s="12" t="s">
        <v>1961</v>
      </c>
      <c r="H654" s="76">
        <v>9010000003</v>
      </c>
      <c r="I654" s="92" t="s">
        <v>47</v>
      </c>
      <c r="J654" s="92">
        <v>1202010202</v>
      </c>
      <c r="K654" s="15"/>
      <c r="L654" s="95" t="s">
        <v>2096</v>
      </c>
      <c r="M654" s="69" t="s">
        <v>2097</v>
      </c>
      <c r="N654" s="69"/>
      <c r="O654" s="94">
        <v>1</v>
      </c>
      <c r="P654" s="69" t="s">
        <v>50</v>
      </c>
      <c r="Q654" s="69" t="s">
        <v>51</v>
      </c>
      <c r="R654" s="69"/>
      <c r="S654" s="46">
        <v>41099</v>
      </c>
      <c r="T654" s="48">
        <v>43191</v>
      </c>
      <c r="U654" s="69"/>
      <c r="V654" s="69"/>
      <c r="W654" s="69"/>
      <c r="X654" s="69"/>
      <c r="Y654" s="69" t="s">
        <v>4125</v>
      </c>
      <c r="Z654" s="43">
        <v>6250</v>
      </c>
      <c r="AA654" s="43" t="s">
        <v>52</v>
      </c>
      <c r="AB654" s="43" t="s">
        <v>53</v>
      </c>
      <c r="AC654" s="43">
        <v>183</v>
      </c>
      <c r="AD654" s="141">
        <v>0</v>
      </c>
      <c r="AE654" s="142">
        <v>6</v>
      </c>
      <c r="AF654" s="142"/>
      <c r="AG654" s="69" t="str">
        <f t="shared" si="408"/>
        <v>0 years 183 days</v>
      </c>
      <c r="AH654" s="69">
        <v>0</v>
      </c>
      <c r="AI654" s="69">
        <v>183</v>
      </c>
      <c r="AJ654" s="69">
        <v>0</v>
      </c>
      <c r="AK654" s="69">
        <v>0</v>
      </c>
      <c r="AL654" s="60">
        <v>6250</v>
      </c>
      <c r="AM654" s="60">
        <f t="shared" si="409"/>
        <v>6250</v>
      </c>
      <c r="AN654" s="59">
        <v>6250</v>
      </c>
      <c r="AO654" s="148">
        <f t="shared" si="410"/>
        <v>-6250</v>
      </c>
      <c r="AP654" s="58">
        <v>0</v>
      </c>
      <c r="AQ654" s="143">
        <f t="shared" si="411"/>
        <v>0</v>
      </c>
    </row>
    <row r="655" spans="1:43" x14ac:dyDescent="0.35">
      <c r="A655" s="69" t="s">
        <v>43</v>
      </c>
      <c r="B655" s="15" t="s">
        <v>2098</v>
      </c>
      <c r="C655" s="15"/>
      <c r="D655" s="69"/>
      <c r="E655" s="76">
        <v>0</v>
      </c>
      <c r="F655" s="69" t="s">
        <v>1960</v>
      </c>
      <c r="G655" s="12" t="s">
        <v>1961</v>
      </c>
      <c r="H655" s="76">
        <v>9010000004</v>
      </c>
      <c r="I655" s="92" t="s">
        <v>47</v>
      </c>
      <c r="J655" s="92">
        <v>1202010202</v>
      </c>
      <c r="K655" s="15"/>
      <c r="L655" s="95" t="s">
        <v>2099</v>
      </c>
      <c r="M655" s="69" t="s">
        <v>2100</v>
      </c>
      <c r="N655" s="69"/>
      <c r="O655" s="94">
        <v>1</v>
      </c>
      <c r="P655" s="69" t="s">
        <v>50</v>
      </c>
      <c r="Q655" s="69" t="s">
        <v>51</v>
      </c>
      <c r="R655" s="69"/>
      <c r="S655" s="46">
        <v>41102</v>
      </c>
      <c r="T655" s="48">
        <v>43191</v>
      </c>
      <c r="U655" s="69"/>
      <c r="V655" s="69"/>
      <c r="W655" s="69"/>
      <c r="X655" s="69"/>
      <c r="Y655" s="69" t="s">
        <v>4125</v>
      </c>
      <c r="Z655" s="43">
        <v>10000</v>
      </c>
      <c r="AA655" s="43" t="s">
        <v>52</v>
      </c>
      <c r="AB655" s="43" t="s">
        <v>53</v>
      </c>
      <c r="AC655" s="43">
        <v>183</v>
      </c>
      <c r="AD655" s="141">
        <v>0</v>
      </c>
      <c r="AE655" s="142">
        <v>6</v>
      </c>
      <c r="AF655" s="142"/>
      <c r="AG655" s="69" t="str">
        <f t="shared" si="408"/>
        <v>0 years 183 days</v>
      </c>
      <c r="AH655" s="69">
        <v>0</v>
      </c>
      <c r="AI655" s="69">
        <v>183</v>
      </c>
      <c r="AJ655" s="69">
        <v>0</v>
      </c>
      <c r="AK655" s="69">
        <v>0</v>
      </c>
      <c r="AL655" s="60">
        <v>10000</v>
      </c>
      <c r="AM655" s="60">
        <f t="shared" si="409"/>
        <v>10000</v>
      </c>
      <c r="AN655" s="59">
        <v>10000</v>
      </c>
      <c r="AO655" s="148">
        <f t="shared" si="410"/>
        <v>-10000</v>
      </c>
      <c r="AP655" s="58">
        <v>0</v>
      </c>
      <c r="AQ655" s="143">
        <f t="shared" si="411"/>
        <v>0</v>
      </c>
    </row>
    <row r="656" spans="1:43" x14ac:dyDescent="0.35">
      <c r="A656" s="69" t="s">
        <v>43</v>
      </c>
      <c r="B656" s="15" t="s">
        <v>2101</v>
      </c>
      <c r="C656" s="15"/>
      <c r="D656" s="69"/>
      <c r="E656" s="76">
        <v>0</v>
      </c>
      <c r="F656" s="69" t="s">
        <v>1960</v>
      </c>
      <c r="G656" s="12" t="s">
        <v>1961</v>
      </c>
      <c r="H656" s="76">
        <v>9010000005</v>
      </c>
      <c r="I656" s="92" t="s">
        <v>47</v>
      </c>
      <c r="J656" s="92">
        <v>1202010202</v>
      </c>
      <c r="K656" s="15"/>
      <c r="L656" s="95" t="s">
        <v>2102</v>
      </c>
      <c r="M656" s="69" t="s">
        <v>2103</v>
      </c>
      <c r="N656" s="69"/>
      <c r="O656" s="94">
        <v>1</v>
      </c>
      <c r="P656" s="69" t="s">
        <v>50</v>
      </c>
      <c r="Q656" s="69" t="s">
        <v>51</v>
      </c>
      <c r="R656" s="69"/>
      <c r="S656" s="46">
        <v>40993</v>
      </c>
      <c r="T656" s="48">
        <v>43191</v>
      </c>
      <c r="U656" s="69"/>
      <c r="V656" s="69"/>
      <c r="W656" s="69"/>
      <c r="X656" s="69"/>
      <c r="Y656" s="69" t="s">
        <v>4125</v>
      </c>
      <c r="Z656" s="43">
        <v>6250</v>
      </c>
      <c r="AA656" s="43" t="s">
        <v>52</v>
      </c>
      <c r="AB656" s="43" t="s">
        <v>53</v>
      </c>
      <c r="AC656" s="43">
        <v>730</v>
      </c>
      <c r="AD656" s="141">
        <v>2</v>
      </c>
      <c r="AE656" s="142">
        <v>0</v>
      </c>
      <c r="AF656" s="142"/>
      <c r="AG656" s="69" t="str">
        <f t="shared" si="408"/>
        <v>2 years 0 days</v>
      </c>
      <c r="AH656" s="69">
        <v>2</v>
      </c>
      <c r="AI656" s="69">
        <v>0</v>
      </c>
      <c r="AJ656" s="69">
        <v>0</v>
      </c>
      <c r="AK656" s="69">
        <v>0</v>
      </c>
      <c r="AL656" s="60">
        <v>6250</v>
      </c>
      <c r="AM656" s="60">
        <f t="shared" si="409"/>
        <v>6250</v>
      </c>
      <c r="AN656" s="59">
        <v>6250</v>
      </c>
      <c r="AO656" s="148">
        <f t="shared" si="410"/>
        <v>-6250</v>
      </c>
      <c r="AP656" s="58">
        <v>0</v>
      </c>
      <c r="AQ656" s="143">
        <f t="shared" si="411"/>
        <v>0</v>
      </c>
    </row>
    <row r="657" spans="1:43" x14ac:dyDescent="0.35">
      <c r="A657" s="69" t="s">
        <v>43</v>
      </c>
      <c r="B657" s="15" t="s">
        <v>2104</v>
      </c>
      <c r="C657" s="15"/>
      <c r="D657" s="69"/>
      <c r="E657" s="76">
        <v>0</v>
      </c>
      <c r="F657" s="69" t="s">
        <v>1960</v>
      </c>
      <c r="G657" s="12" t="s">
        <v>1961</v>
      </c>
      <c r="H657" s="76">
        <v>9010000006</v>
      </c>
      <c r="I657" s="92" t="s">
        <v>47</v>
      </c>
      <c r="J657" s="92">
        <v>1202010202</v>
      </c>
      <c r="K657" s="15"/>
      <c r="L657" s="95" t="s">
        <v>2105</v>
      </c>
      <c r="M657" s="69" t="s">
        <v>2106</v>
      </c>
      <c r="N657" s="69"/>
      <c r="O657" s="94">
        <v>1</v>
      </c>
      <c r="P657" s="69" t="s">
        <v>50</v>
      </c>
      <c r="Q657" s="69" t="s">
        <v>51</v>
      </c>
      <c r="R657" s="69"/>
      <c r="S657" s="46">
        <v>41391</v>
      </c>
      <c r="T657" s="48">
        <v>43191</v>
      </c>
      <c r="U657" s="69"/>
      <c r="V657" s="69"/>
      <c r="W657" s="69"/>
      <c r="X657" s="69"/>
      <c r="Y657" s="69" t="s">
        <v>4125</v>
      </c>
      <c r="Z657" s="43">
        <v>22000</v>
      </c>
      <c r="AA657" s="43" t="s">
        <v>52</v>
      </c>
      <c r="AB657" s="43" t="s">
        <v>53</v>
      </c>
      <c r="AC657" s="43">
        <v>183</v>
      </c>
      <c r="AD657" s="141">
        <v>0</v>
      </c>
      <c r="AE657" s="142">
        <v>6</v>
      </c>
      <c r="AF657" s="142"/>
      <c r="AG657" s="69" t="str">
        <f t="shared" si="408"/>
        <v>0 years 183 days</v>
      </c>
      <c r="AH657" s="69">
        <v>0</v>
      </c>
      <c r="AI657" s="69">
        <v>183</v>
      </c>
      <c r="AJ657" s="69">
        <v>0</v>
      </c>
      <c r="AK657" s="69">
        <v>0</v>
      </c>
      <c r="AL657" s="60">
        <v>22000</v>
      </c>
      <c r="AM657" s="60">
        <f t="shared" si="409"/>
        <v>22000</v>
      </c>
      <c r="AN657" s="59">
        <v>22000</v>
      </c>
      <c r="AO657" s="148">
        <f t="shared" si="410"/>
        <v>-22000</v>
      </c>
      <c r="AP657" s="58">
        <v>0</v>
      </c>
      <c r="AQ657" s="143">
        <f t="shared" si="411"/>
        <v>0</v>
      </c>
    </row>
    <row r="658" spans="1:43" x14ac:dyDescent="0.35">
      <c r="A658" s="69" t="s">
        <v>43</v>
      </c>
      <c r="B658" s="15" t="s">
        <v>2107</v>
      </c>
      <c r="C658" s="15"/>
      <c r="D658" s="69"/>
      <c r="E658" s="76">
        <v>0</v>
      </c>
      <c r="F658" s="69" t="s">
        <v>1960</v>
      </c>
      <c r="G658" s="12" t="s">
        <v>1961</v>
      </c>
      <c r="H658" s="76">
        <v>9010000007</v>
      </c>
      <c r="I658" s="92" t="s">
        <v>47</v>
      </c>
      <c r="J658" s="92">
        <v>1202010202</v>
      </c>
      <c r="K658" s="15"/>
      <c r="L658" s="95" t="s">
        <v>2108</v>
      </c>
      <c r="M658" s="69" t="s">
        <v>49</v>
      </c>
      <c r="N658" s="69"/>
      <c r="O658" s="94">
        <v>1</v>
      </c>
      <c r="P658" s="69" t="s">
        <v>50</v>
      </c>
      <c r="Q658" s="69" t="s">
        <v>51</v>
      </c>
      <c r="R658" s="69"/>
      <c r="S658" s="46">
        <v>41474</v>
      </c>
      <c r="T658" s="48">
        <v>43191</v>
      </c>
      <c r="U658" s="69"/>
      <c r="V658" s="69"/>
      <c r="W658" s="69"/>
      <c r="X658" s="69"/>
      <c r="Y658" s="69" t="s">
        <v>4125</v>
      </c>
      <c r="Z658" s="43">
        <v>1800</v>
      </c>
      <c r="AA658" s="43" t="s">
        <v>52</v>
      </c>
      <c r="AB658" s="43" t="s">
        <v>53</v>
      </c>
      <c r="AC658" s="43">
        <v>183</v>
      </c>
      <c r="AD658" s="141">
        <v>0</v>
      </c>
      <c r="AE658" s="142">
        <v>6</v>
      </c>
      <c r="AF658" s="142"/>
      <c r="AG658" s="69" t="str">
        <f t="shared" si="408"/>
        <v>0 years 183 days</v>
      </c>
      <c r="AH658" s="69">
        <v>0</v>
      </c>
      <c r="AI658" s="69">
        <v>183</v>
      </c>
      <c r="AJ658" s="69">
        <v>0</v>
      </c>
      <c r="AK658" s="69">
        <v>0</v>
      </c>
      <c r="AL658" s="60">
        <v>1800</v>
      </c>
      <c r="AM658" s="60">
        <f t="shared" si="409"/>
        <v>1800</v>
      </c>
      <c r="AN658" s="59">
        <v>1800</v>
      </c>
      <c r="AO658" s="148">
        <f t="shared" si="410"/>
        <v>-1800</v>
      </c>
      <c r="AP658" s="58">
        <v>0</v>
      </c>
      <c r="AQ658" s="143">
        <f t="shared" si="411"/>
        <v>0</v>
      </c>
    </row>
    <row r="659" spans="1:43" x14ac:dyDescent="0.35">
      <c r="A659" s="69" t="s">
        <v>43</v>
      </c>
      <c r="B659" s="15" t="s">
        <v>2109</v>
      </c>
      <c r="C659" s="15"/>
      <c r="D659" s="69"/>
      <c r="E659" s="76">
        <v>0</v>
      </c>
      <c r="F659" s="69" t="s">
        <v>1960</v>
      </c>
      <c r="G659" s="12" t="s">
        <v>1961</v>
      </c>
      <c r="H659" s="76">
        <v>9010000008</v>
      </c>
      <c r="I659" s="92" t="s">
        <v>47</v>
      </c>
      <c r="J659" s="92">
        <v>1202010202</v>
      </c>
      <c r="K659" s="15"/>
      <c r="L659" s="95" t="s">
        <v>2110</v>
      </c>
      <c r="M659" s="69" t="s">
        <v>49</v>
      </c>
      <c r="N659" s="69"/>
      <c r="O659" s="94">
        <v>1</v>
      </c>
      <c r="P659" s="69" t="s">
        <v>50</v>
      </c>
      <c r="Q659" s="69" t="s">
        <v>51</v>
      </c>
      <c r="R659" s="69"/>
      <c r="S659" s="46">
        <v>41599</v>
      </c>
      <c r="T659" s="48">
        <v>43191</v>
      </c>
      <c r="U659" s="69"/>
      <c r="V659" s="69"/>
      <c r="W659" s="69"/>
      <c r="X659" s="69"/>
      <c r="Y659" s="69" t="s">
        <v>4125</v>
      </c>
      <c r="Z659" s="43">
        <v>2500</v>
      </c>
      <c r="AA659" s="43" t="s">
        <v>52</v>
      </c>
      <c r="AB659" s="43" t="s">
        <v>53</v>
      </c>
      <c r="AC659" s="43">
        <v>219</v>
      </c>
      <c r="AD659" s="141">
        <v>0</v>
      </c>
      <c r="AE659" s="142">
        <v>7</v>
      </c>
      <c r="AF659" s="142"/>
      <c r="AG659" s="69" t="str">
        <f t="shared" si="408"/>
        <v>0 years 219 days</v>
      </c>
      <c r="AH659" s="69">
        <v>0</v>
      </c>
      <c r="AI659" s="69">
        <v>219</v>
      </c>
      <c r="AJ659" s="69">
        <v>0</v>
      </c>
      <c r="AK659" s="69">
        <v>0</v>
      </c>
      <c r="AL659" s="60">
        <v>2500</v>
      </c>
      <c r="AM659" s="60">
        <f t="shared" si="409"/>
        <v>2500</v>
      </c>
      <c r="AN659" s="59">
        <v>2500</v>
      </c>
      <c r="AO659" s="148">
        <f t="shared" si="410"/>
        <v>-2500</v>
      </c>
      <c r="AP659" s="58">
        <v>0</v>
      </c>
      <c r="AQ659" s="143">
        <f t="shared" si="411"/>
        <v>0</v>
      </c>
    </row>
    <row r="660" spans="1:43" x14ac:dyDescent="0.35">
      <c r="A660" s="69" t="s">
        <v>43</v>
      </c>
      <c r="B660" s="15" t="s">
        <v>2111</v>
      </c>
      <c r="C660" s="15"/>
      <c r="D660" s="69"/>
      <c r="E660" s="76">
        <v>0</v>
      </c>
      <c r="F660" s="69" t="s">
        <v>1960</v>
      </c>
      <c r="G660" s="12" t="s">
        <v>1961</v>
      </c>
      <c r="H660" s="76">
        <v>9010000009</v>
      </c>
      <c r="I660" s="92" t="s">
        <v>47</v>
      </c>
      <c r="J660" s="92">
        <v>1202010202</v>
      </c>
      <c r="K660" s="15"/>
      <c r="L660" s="95" t="s">
        <v>2112</v>
      </c>
      <c r="M660" s="69" t="s">
        <v>49</v>
      </c>
      <c r="N660" s="69"/>
      <c r="O660" s="94">
        <v>1</v>
      </c>
      <c r="P660" s="69" t="s">
        <v>50</v>
      </c>
      <c r="Q660" s="69" t="s">
        <v>51</v>
      </c>
      <c r="R660" s="69"/>
      <c r="S660" s="46">
        <v>41642</v>
      </c>
      <c r="T660" s="48">
        <v>43191</v>
      </c>
      <c r="U660" s="69"/>
      <c r="V660" s="69"/>
      <c r="W660" s="69"/>
      <c r="X660" s="69"/>
      <c r="Y660" s="69" t="s">
        <v>4125</v>
      </c>
      <c r="Z660" s="43">
        <v>4000</v>
      </c>
      <c r="AA660" s="43" t="s">
        <v>52</v>
      </c>
      <c r="AB660" s="43" t="s">
        <v>53</v>
      </c>
      <c r="AC660" s="43">
        <v>292</v>
      </c>
      <c r="AD660" s="141">
        <v>0</v>
      </c>
      <c r="AE660" s="142">
        <v>10</v>
      </c>
      <c r="AF660" s="142"/>
      <c r="AG660" s="69" t="str">
        <f t="shared" si="408"/>
        <v>0 years 292 days</v>
      </c>
      <c r="AH660" s="69">
        <v>0</v>
      </c>
      <c r="AI660" s="69">
        <v>292</v>
      </c>
      <c r="AJ660" s="69">
        <v>0</v>
      </c>
      <c r="AK660" s="69">
        <v>0</v>
      </c>
      <c r="AL660" s="60">
        <v>4000</v>
      </c>
      <c r="AM660" s="60">
        <f t="shared" si="409"/>
        <v>4000</v>
      </c>
      <c r="AN660" s="59">
        <v>4000</v>
      </c>
      <c r="AO660" s="148">
        <f t="shared" si="410"/>
        <v>-4000</v>
      </c>
      <c r="AP660" s="58">
        <v>0</v>
      </c>
      <c r="AQ660" s="143">
        <f t="shared" si="411"/>
        <v>0</v>
      </c>
    </row>
    <row r="661" spans="1:43" x14ac:dyDescent="0.35">
      <c r="A661" s="69" t="s">
        <v>43</v>
      </c>
      <c r="B661" s="15" t="s">
        <v>2113</v>
      </c>
      <c r="C661" s="15"/>
      <c r="D661" s="69"/>
      <c r="E661" s="76">
        <v>0</v>
      </c>
      <c r="F661" s="69" t="s">
        <v>1960</v>
      </c>
      <c r="G661" s="12" t="s">
        <v>1961</v>
      </c>
      <c r="H661" s="76">
        <v>9010000010</v>
      </c>
      <c r="I661" s="92" t="s">
        <v>47</v>
      </c>
      <c r="J661" s="92">
        <v>1202010202</v>
      </c>
      <c r="K661" s="15"/>
      <c r="L661" s="95" t="s">
        <v>2114</v>
      </c>
      <c r="M661" s="69" t="s">
        <v>49</v>
      </c>
      <c r="N661" s="69"/>
      <c r="O661" s="94">
        <v>1</v>
      </c>
      <c r="P661" s="69" t="s">
        <v>50</v>
      </c>
      <c r="Q661" s="69" t="s">
        <v>51</v>
      </c>
      <c r="R661" s="69"/>
      <c r="S661" s="46">
        <v>41820</v>
      </c>
      <c r="T661" s="48">
        <v>43191</v>
      </c>
      <c r="U661" s="69"/>
      <c r="V661" s="69"/>
      <c r="W661" s="69"/>
      <c r="X661" s="69"/>
      <c r="Y661" s="69" t="s">
        <v>4125</v>
      </c>
      <c r="Z661" s="43">
        <v>1400</v>
      </c>
      <c r="AA661" s="43" t="s">
        <v>52</v>
      </c>
      <c r="AB661" s="43" t="s">
        <v>53</v>
      </c>
      <c r="AC661" s="43">
        <v>438</v>
      </c>
      <c r="AD661" s="141">
        <v>1</v>
      </c>
      <c r="AE661" s="142">
        <v>2</v>
      </c>
      <c r="AF661" s="142"/>
      <c r="AG661" s="69" t="str">
        <f t="shared" si="408"/>
        <v>1 years 73 days</v>
      </c>
      <c r="AH661" s="69">
        <v>1</v>
      </c>
      <c r="AI661" s="69">
        <v>73</v>
      </c>
      <c r="AJ661" s="69">
        <v>0</v>
      </c>
      <c r="AK661" s="69">
        <v>0</v>
      </c>
      <c r="AL661" s="60">
        <v>1400</v>
      </c>
      <c r="AM661" s="60">
        <f t="shared" si="409"/>
        <v>1400</v>
      </c>
      <c r="AN661" s="59">
        <v>1400</v>
      </c>
      <c r="AO661" s="148">
        <f t="shared" si="410"/>
        <v>-1400</v>
      </c>
      <c r="AP661" s="58">
        <v>0</v>
      </c>
      <c r="AQ661" s="143">
        <f t="shared" si="411"/>
        <v>0</v>
      </c>
    </row>
    <row r="662" spans="1:43" x14ac:dyDescent="0.35">
      <c r="A662" s="69" t="s">
        <v>43</v>
      </c>
      <c r="B662" s="15" t="s">
        <v>2115</v>
      </c>
      <c r="C662" s="15"/>
      <c r="D662" s="69"/>
      <c r="E662" s="76">
        <v>0</v>
      </c>
      <c r="F662" s="69" t="s">
        <v>1960</v>
      </c>
      <c r="G662" s="12" t="s">
        <v>1961</v>
      </c>
      <c r="H662" s="76">
        <v>9010000011</v>
      </c>
      <c r="I662" s="92" t="s">
        <v>47</v>
      </c>
      <c r="J662" s="92">
        <v>1202010202</v>
      </c>
      <c r="K662" s="15"/>
      <c r="L662" s="95" t="s">
        <v>2116</v>
      </c>
      <c r="M662" s="69" t="s">
        <v>49</v>
      </c>
      <c r="N662" s="69"/>
      <c r="O662" s="94">
        <v>1</v>
      </c>
      <c r="P662" s="69" t="s">
        <v>50</v>
      </c>
      <c r="Q662" s="69" t="s">
        <v>51</v>
      </c>
      <c r="R662" s="69"/>
      <c r="S662" s="46">
        <v>41820</v>
      </c>
      <c r="T662" s="48">
        <v>43191</v>
      </c>
      <c r="U662" s="69"/>
      <c r="V662" s="69"/>
      <c r="W662" s="69"/>
      <c r="X662" s="69"/>
      <c r="Y662" s="69" t="s">
        <v>4125</v>
      </c>
      <c r="Z662" s="43">
        <v>19500</v>
      </c>
      <c r="AA662" s="43" t="s">
        <v>52</v>
      </c>
      <c r="AB662" s="43" t="s">
        <v>53</v>
      </c>
      <c r="AC662" s="43">
        <v>4088</v>
      </c>
      <c r="AD662" s="141">
        <v>11</v>
      </c>
      <c r="AE662" s="142">
        <v>2</v>
      </c>
      <c r="AF662" s="142"/>
      <c r="AG662" s="69" t="str">
        <f t="shared" si="408"/>
        <v>6 years 277 days</v>
      </c>
      <c r="AH662" s="69">
        <v>6</v>
      </c>
      <c r="AI662" s="69">
        <v>277</v>
      </c>
      <c r="AJ662" s="69">
        <v>0</v>
      </c>
      <c r="AK662" s="69">
        <v>0</v>
      </c>
      <c r="AL662" s="60">
        <v>19500</v>
      </c>
      <c r="AM662" s="60">
        <f t="shared" si="409"/>
        <v>19500</v>
      </c>
      <c r="AN662" s="59">
        <v>11768</v>
      </c>
      <c r="AO662" s="148">
        <f t="shared" si="410"/>
        <v>-11768</v>
      </c>
      <c r="AP662" s="58">
        <v>863.11545988258513</v>
      </c>
      <c r="AQ662" s="143">
        <f t="shared" si="411"/>
        <v>-863.12</v>
      </c>
    </row>
    <row r="663" spans="1:43" x14ac:dyDescent="0.35">
      <c r="A663" s="69" t="s">
        <v>43</v>
      </c>
      <c r="B663" s="15" t="s">
        <v>2117</v>
      </c>
      <c r="C663" s="15"/>
      <c r="D663" s="69"/>
      <c r="E663" s="76">
        <v>0</v>
      </c>
      <c r="F663" s="69" t="s">
        <v>1960</v>
      </c>
      <c r="G663" s="12" t="s">
        <v>1961</v>
      </c>
      <c r="H663" s="76">
        <v>9010000012</v>
      </c>
      <c r="I663" s="92" t="s">
        <v>47</v>
      </c>
      <c r="J663" s="92">
        <v>1202010202</v>
      </c>
      <c r="K663" s="15"/>
      <c r="L663" s="95" t="s">
        <v>2118</v>
      </c>
      <c r="M663" s="69" t="s">
        <v>49</v>
      </c>
      <c r="N663" s="69"/>
      <c r="O663" s="94">
        <v>1</v>
      </c>
      <c r="P663" s="69" t="s">
        <v>50</v>
      </c>
      <c r="Q663" s="69" t="s">
        <v>51</v>
      </c>
      <c r="R663" s="69"/>
      <c r="S663" s="46">
        <v>41991</v>
      </c>
      <c r="T663" s="48">
        <v>43191</v>
      </c>
      <c r="U663" s="69"/>
      <c r="V663" s="69"/>
      <c r="W663" s="69"/>
      <c r="X663" s="69"/>
      <c r="Y663" s="69" t="s">
        <v>4125</v>
      </c>
      <c r="Z663" s="43">
        <v>11500</v>
      </c>
      <c r="AA663" s="43" t="s">
        <v>52</v>
      </c>
      <c r="AB663" s="43" t="s">
        <v>53</v>
      </c>
      <c r="AC663" s="43">
        <v>621</v>
      </c>
      <c r="AD663" s="141">
        <v>1</v>
      </c>
      <c r="AE663" s="142">
        <v>9</v>
      </c>
      <c r="AF663" s="142"/>
      <c r="AG663" s="69" t="str">
        <f t="shared" si="408"/>
        <v>1 years 256 days</v>
      </c>
      <c r="AH663" s="69">
        <v>1</v>
      </c>
      <c r="AI663" s="69">
        <v>256</v>
      </c>
      <c r="AJ663" s="69">
        <v>0</v>
      </c>
      <c r="AK663" s="69">
        <v>0</v>
      </c>
      <c r="AL663" s="60">
        <v>11500</v>
      </c>
      <c r="AM663" s="60">
        <f t="shared" si="409"/>
        <v>11500</v>
      </c>
      <c r="AN663" s="59">
        <v>11500</v>
      </c>
      <c r="AO663" s="148">
        <f t="shared" si="410"/>
        <v>-11500</v>
      </c>
      <c r="AP663" s="58">
        <v>0</v>
      </c>
      <c r="AQ663" s="143">
        <f t="shared" si="411"/>
        <v>0</v>
      </c>
    </row>
    <row r="664" spans="1:43" x14ac:dyDescent="0.35">
      <c r="A664" s="69" t="s">
        <v>43</v>
      </c>
      <c r="B664" s="15" t="s">
        <v>2119</v>
      </c>
      <c r="C664" s="15"/>
      <c r="D664" s="69"/>
      <c r="E664" s="76">
        <v>0</v>
      </c>
      <c r="F664" s="69" t="s">
        <v>1960</v>
      </c>
      <c r="G664" s="12" t="s">
        <v>1961</v>
      </c>
      <c r="H664" s="76">
        <v>9010000013</v>
      </c>
      <c r="I664" s="92" t="s">
        <v>47</v>
      </c>
      <c r="J664" s="92">
        <v>1202010202</v>
      </c>
      <c r="K664" s="15"/>
      <c r="L664" s="95" t="s">
        <v>2120</v>
      </c>
      <c r="M664" s="69" t="s">
        <v>49</v>
      </c>
      <c r="N664" s="69"/>
      <c r="O664" s="94">
        <v>1</v>
      </c>
      <c r="P664" s="69" t="s">
        <v>50</v>
      </c>
      <c r="Q664" s="69" t="s">
        <v>51</v>
      </c>
      <c r="R664" s="69"/>
      <c r="S664" s="46">
        <v>42004</v>
      </c>
      <c r="T664" s="48">
        <v>43191</v>
      </c>
      <c r="U664" s="69"/>
      <c r="V664" s="69"/>
      <c r="W664" s="69"/>
      <c r="X664" s="69"/>
      <c r="Y664" s="69" t="s">
        <v>4125</v>
      </c>
      <c r="Z664" s="43">
        <v>27000</v>
      </c>
      <c r="AA664" s="43" t="s">
        <v>52</v>
      </c>
      <c r="AB664" s="43" t="s">
        <v>53</v>
      </c>
      <c r="AC664" s="43">
        <v>4271</v>
      </c>
      <c r="AD664" s="141">
        <v>11</v>
      </c>
      <c r="AE664" s="142">
        <v>9</v>
      </c>
      <c r="AF664" s="142"/>
      <c r="AG664" s="69" t="str">
        <f t="shared" si="408"/>
        <v>6 years 277 days</v>
      </c>
      <c r="AH664" s="69">
        <v>6</v>
      </c>
      <c r="AI664" s="69">
        <v>277</v>
      </c>
      <c r="AJ664" s="69">
        <v>0</v>
      </c>
      <c r="AK664" s="69">
        <v>0</v>
      </c>
      <c r="AL664" s="60">
        <v>27000</v>
      </c>
      <c r="AM664" s="60">
        <f t="shared" si="409"/>
        <v>27000</v>
      </c>
      <c r="AN664" s="59">
        <v>15596</v>
      </c>
      <c r="AO664" s="148">
        <f t="shared" si="410"/>
        <v>-15596</v>
      </c>
      <c r="AP664" s="58">
        <v>1143.8735659096201</v>
      </c>
      <c r="AQ664" s="143">
        <f t="shared" si="411"/>
        <v>-1143.8699999999999</v>
      </c>
    </row>
    <row r="665" spans="1:43" x14ac:dyDescent="0.35">
      <c r="A665" s="69" t="s">
        <v>43</v>
      </c>
      <c r="B665" s="15" t="s">
        <v>2121</v>
      </c>
      <c r="C665" s="15"/>
      <c r="D665" s="69"/>
      <c r="E665" s="76">
        <v>0</v>
      </c>
      <c r="F665" s="69" t="s">
        <v>1960</v>
      </c>
      <c r="G665" s="12" t="s">
        <v>1961</v>
      </c>
      <c r="H665" s="79">
        <v>9010000014</v>
      </c>
      <c r="I665" s="92" t="s">
        <v>47</v>
      </c>
      <c r="J665" s="92">
        <v>1202010202</v>
      </c>
      <c r="K665" s="15"/>
      <c r="L665" s="95" t="s">
        <v>2122</v>
      </c>
      <c r="M665" s="69" t="s">
        <v>49</v>
      </c>
      <c r="N665" s="69"/>
      <c r="O665" s="94">
        <v>1</v>
      </c>
      <c r="P665" s="69" t="s">
        <v>50</v>
      </c>
      <c r="Q665" s="69" t="s">
        <v>51</v>
      </c>
      <c r="R665" s="69"/>
      <c r="S665" s="46">
        <v>42509</v>
      </c>
      <c r="T665" s="48">
        <v>43191</v>
      </c>
      <c r="U665" s="69"/>
      <c r="V665" s="69"/>
      <c r="W665" s="69"/>
      <c r="X665" s="69"/>
      <c r="Y665" s="69" t="s">
        <v>4125</v>
      </c>
      <c r="Z665" s="43">
        <v>26000</v>
      </c>
      <c r="AA665" s="43" t="s">
        <v>52</v>
      </c>
      <c r="AB665" s="43" t="s">
        <v>53</v>
      </c>
      <c r="AC665" s="43">
        <v>1132</v>
      </c>
      <c r="AD665" s="141">
        <v>3</v>
      </c>
      <c r="AE665" s="142">
        <v>1</v>
      </c>
      <c r="AF665" s="142"/>
      <c r="AG665" s="69" t="str">
        <f t="shared" si="408"/>
        <v>3 years 37 days</v>
      </c>
      <c r="AH665" s="69">
        <v>3</v>
      </c>
      <c r="AI665" s="69">
        <v>37</v>
      </c>
      <c r="AJ665" s="69">
        <v>0</v>
      </c>
      <c r="AK665" s="69">
        <v>0</v>
      </c>
      <c r="AL665" s="60">
        <v>26000</v>
      </c>
      <c r="AM665" s="60">
        <f t="shared" si="409"/>
        <v>26000</v>
      </c>
      <c r="AN665" s="59">
        <v>26000</v>
      </c>
      <c r="AO665" s="148">
        <f t="shared" si="410"/>
        <v>-26000</v>
      </c>
      <c r="AP665" s="58">
        <v>0</v>
      </c>
      <c r="AQ665" s="143">
        <f t="shared" si="411"/>
        <v>0</v>
      </c>
    </row>
    <row r="666" spans="1:43" x14ac:dyDescent="0.35">
      <c r="A666" s="69" t="s">
        <v>43</v>
      </c>
      <c r="B666" s="15" t="s">
        <v>2123</v>
      </c>
      <c r="C666" s="15"/>
      <c r="D666" s="69"/>
      <c r="E666" s="76">
        <v>0</v>
      </c>
      <c r="F666" s="69" t="s">
        <v>1960</v>
      </c>
      <c r="G666" s="12" t="s">
        <v>1961</v>
      </c>
      <c r="H666" s="76">
        <v>9010000015</v>
      </c>
      <c r="I666" s="92" t="s">
        <v>47</v>
      </c>
      <c r="J666" s="92">
        <v>1202010202</v>
      </c>
      <c r="K666" s="15"/>
      <c r="L666" s="95" t="s">
        <v>2124</v>
      </c>
      <c r="M666" s="69" t="s">
        <v>49</v>
      </c>
      <c r="N666" s="69"/>
      <c r="O666" s="94">
        <v>1</v>
      </c>
      <c r="P666" s="69" t="s">
        <v>50</v>
      </c>
      <c r="Q666" s="69" t="s">
        <v>51</v>
      </c>
      <c r="R666" s="69"/>
      <c r="S666" s="46">
        <v>42634</v>
      </c>
      <c r="T666" s="48">
        <v>43191</v>
      </c>
      <c r="U666" s="69"/>
      <c r="V666" s="69"/>
      <c r="W666" s="69"/>
      <c r="X666" s="69"/>
      <c r="Y666" s="69" t="s">
        <v>4125</v>
      </c>
      <c r="Z666" s="43">
        <v>5750</v>
      </c>
      <c r="AA666" s="43" t="s">
        <v>52</v>
      </c>
      <c r="AB666" s="43" t="s">
        <v>53</v>
      </c>
      <c r="AC666" s="43">
        <v>1278</v>
      </c>
      <c r="AD666" s="141">
        <v>3</v>
      </c>
      <c r="AE666" s="142">
        <v>6</v>
      </c>
      <c r="AF666" s="142"/>
      <c r="AG666" s="69" t="str">
        <f t="shared" si="408"/>
        <v>3 years 183 days</v>
      </c>
      <c r="AH666" s="69">
        <v>3</v>
      </c>
      <c r="AI666" s="69">
        <v>183</v>
      </c>
      <c r="AJ666" s="69">
        <v>0</v>
      </c>
      <c r="AK666" s="69">
        <v>0</v>
      </c>
      <c r="AL666" s="60">
        <v>5750</v>
      </c>
      <c r="AM666" s="60">
        <f t="shared" si="409"/>
        <v>5750</v>
      </c>
      <c r="AN666" s="59">
        <v>5750</v>
      </c>
      <c r="AO666" s="148">
        <f t="shared" si="410"/>
        <v>-5750</v>
      </c>
      <c r="AP666" s="58">
        <v>0</v>
      </c>
      <c r="AQ666" s="143">
        <f t="shared" si="411"/>
        <v>0</v>
      </c>
    </row>
    <row r="667" spans="1:43" x14ac:dyDescent="0.35">
      <c r="A667" s="69" t="s">
        <v>43</v>
      </c>
      <c r="B667" s="15" t="s">
        <v>2125</v>
      </c>
      <c r="C667" s="15"/>
      <c r="D667" s="69"/>
      <c r="E667" s="76">
        <v>0</v>
      </c>
      <c r="F667" s="69" t="s">
        <v>1960</v>
      </c>
      <c r="G667" s="12" t="s">
        <v>1961</v>
      </c>
      <c r="H667" s="76">
        <v>9010000016</v>
      </c>
      <c r="I667" s="92" t="s">
        <v>47</v>
      </c>
      <c r="J667" s="92">
        <v>1202010202</v>
      </c>
      <c r="K667" s="15"/>
      <c r="L667" s="95" t="s">
        <v>2126</v>
      </c>
      <c r="M667" s="69" t="s">
        <v>2127</v>
      </c>
      <c r="N667" s="69"/>
      <c r="O667" s="94">
        <v>1</v>
      </c>
      <c r="P667" s="69" t="s">
        <v>50</v>
      </c>
      <c r="Q667" s="69" t="s">
        <v>51</v>
      </c>
      <c r="R667" s="69"/>
      <c r="S667" s="46">
        <v>42905</v>
      </c>
      <c r="T667" s="48">
        <v>43191</v>
      </c>
      <c r="U667" s="69"/>
      <c r="V667" s="69"/>
      <c r="W667" s="69"/>
      <c r="X667" s="69"/>
      <c r="Y667" s="69" t="s">
        <v>4125</v>
      </c>
      <c r="Z667" s="43">
        <v>24000</v>
      </c>
      <c r="AA667" s="43" t="s">
        <v>52</v>
      </c>
      <c r="AB667" s="43" t="s">
        <v>53</v>
      </c>
      <c r="AC667" s="43">
        <v>1533</v>
      </c>
      <c r="AD667" s="141">
        <v>4</v>
      </c>
      <c r="AE667" s="142">
        <v>2</v>
      </c>
      <c r="AF667" s="142"/>
      <c r="AG667" s="69" t="str">
        <f t="shared" si="408"/>
        <v>4 years 73 days</v>
      </c>
      <c r="AH667" s="69">
        <v>4</v>
      </c>
      <c r="AI667" s="69">
        <v>73</v>
      </c>
      <c r="AJ667" s="69">
        <v>0</v>
      </c>
      <c r="AK667" s="69">
        <v>0</v>
      </c>
      <c r="AL667" s="60">
        <v>24000</v>
      </c>
      <c r="AM667" s="60">
        <f t="shared" si="409"/>
        <v>24000</v>
      </c>
      <c r="AN667" s="59">
        <v>24000</v>
      </c>
      <c r="AO667" s="148">
        <f t="shared" si="410"/>
        <v>-24000</v>
      </c>
      <c r="AP667" s="58">
        <v>0</v>
      </c>
      <c r="AQ667" s="143">
        <f t="shared" si="411"/>
        <v>0</v>
      </c>
    </row>
    <row r="668" spans="1:43" x14ac:dyDescent="0.35">
      <c r="A668" s="69" t="s">
        <v>43</v>
      </c>
      <c r="B668" s="15" t="s">
        <v>2128</v>
      </c>
      <c r="C668" s="15"/>
      <c r="D668" s="69"/>
      <c r="E668" s="76">
        <v>0</v>
      </c>
      <c r="F668" s="69" t="s">
        <v>1960</v>
      </c>
      <c r="G668" s="12" t="s">
        <v>1961</v>
      </c>
      <c r="H668" s="76">
        <v>9010000017</v>
      </c>
      <c r="I668" s="92" t="s">
        <v>47</v>
      </c>
      <c r="J668" s="92">
        <v>1202010202</v>
      </c>
      <c r="K668" s="15"/>
      <c r="L668" s="95" t="s">
        <v>2129</v>
      </c>
      <c r="M668" s="69" t="s">
        <v>2130</v>
      </c>
      <c r="N668" s="69"/>
      <c r="O668" s="94">
        <v>1</v>
      </c>
      <c r="P668" s="69" t="s">
        <v>50</v>
      </c>
      <c r="Q668" s="69" t="s">
        <v>51</v>
      </c>
      <c r="R668" s="69"/>
      <c r="S668" s="46">
        <v>43117</v>
      </c>
      <c r="T668" s="48">
        <v>43191</v>
      </c>
      <c r="U668" s="69"/>
      <c r="V668" s="69"/>
      <c r="W668" s="69"/>
      <c r="X668" s="69"/>
      <c r="Y668" s="69" t="s">
        <v>4125</v>
      </c>
      <c r="Z668" s="43">
        <v>8250</v>
      </c>
      <c r="AA668" s="43" t="s">
        <v>52</v>
      </c>
      <c r="AB668" s="43" t="s">
        <v>53</v>
      </c>
      <c r="AC668" s="43">
        <v>1752</v>
      </c>
      <c r="AD668" s="141">
        <v>4</v>
      </c>
      <c r="AE668" s="142">
        <v>10</v>
      </c>
      <c r="AF668" s="142"/>
      <c r="AG668" s="69" t="str">
        <f t="shared" si="408"/>
        <v>4 years 292 days</v>
      </c>
      <c r="AH668" s="69">
        <v>4</v>
      </c>
      <c r="AI668" s="69">
        <v>292</v>
      </c>
      <c r="AJ668" s="69">
        <v>0</v>
      </c>
      <c r="AK668" s="69">
        <v>0</v>
      </c>
      <c r="AL668" s="60">
        <v>8250</v>
      </c>
      <c r="AM668" s="60">
        <f t="shared" si="409"/>
        <v>8250</v>
      </c>
      <c r="AN668" s="59">
        <v>8250</v>
      </c>
      <c r="AO668" s="148">
        <f t="shared" si="410"/>
        <v>-8250</v>
      </c>
      <c r="AP668" s="58">
        <v>0</v>
      </c>
      <c r="AQ668" s="143">
        <f t="shared" si="411"/>
        <v>0</v>
      </c>
    </row>
    <row r="669" spans="1:43" x14ac:dyDescent="0.35">
      <c r="A669" s="69" t="s">
        <v>43</v>
      </c>
      <c r="B669" s="15" t="s">
        <v>2131</v>
      </c>
      <c r="C669" s="15"/>
      <c r="D669" s="69"/>
      <c r="E669" s="76">
        <v>0</v>
      </c>
      <c r="F669" s="69" t="s">
        <v>1960</v>
      </c>
      <c r="G669" s="12" t="s">
        <v>1961</v>
      </c>
      <c r="H669" s="76">
        <v>9010000018</v>
      </c>
      <c r="I669" s="92" t="s">
        <v>47</v>
      </c>
      <c r="J669" s="92">
        <v>1202010202</v>
      </c>
      <c r="K669" s="15"/>
      <c r="L669" s="95" t="s">
        <v>2132</v>
      </c>
      <c r="M669" s="69" t="s">
        <v>49</v>
      </c>
      <c r="N669" s="69"/>
      <c r="O669" s="94">
        <v>1</v>
      </c>
      <c r="P669" s="69" t="s">
        <v>50</v>
      </c>
      <c r="Q669" s="69" t="s">
        <v>51</v>
      </c>
      <c r="R669" s="69"/>
      <c r="S669" s="46">
        <v>43138</v>
      </c>
      <c r="T669" s="48">
        <v>43191</v>
      </c>
      <c r="U669" s="69"/>
      <c r="V669" s="69"/>
      <c r="W669" s="69"/>
      <c r="X669" s="69"/>
      <c r="Y669" s="69" t="s">
        <v>4125</v>
      </c>
      <c r="Z669" s="43">
        <v>25000</v>
      </c>
      <c r="AA669" s="43" t="s">
        <v>52</v>
      </c>
      <c r="AB669" s="43" t="s">
        <v>53</v>
      </c>
      <c r="AC669" s="43">
        <v>2847</v>
      </c>
      <c r="AD669" s="141">
        <v>7</v>
      </c>
      <c r="AE669" s="142">
        <v>10</v>
      </c>
      <c r="AF669" s="142"/>
      <c r="AG669" s="69" t="str">
        <f t="shared" si="408"/>
        <v>6 years 277 days</v>
      </c>
      <c r="AH669" s="69">
        <v>6</v>
      </c>
      <c r="AI669" s="69">
        <v>277</v>
      </c>
      <c r="AJ669" s="69">
        <v>0</v>
      </c>
      <c r="AK669" s="69">
        <v>0</v>
      </c>
      <c r="AL669" s="60">
        <v>25000</v>
      </c>
      <c r="AM669" s="60">
        <f t="shared" si="409"/>
        <v>25000</v>
      </c>
      <c r="AN669" s="59">
        <v>21663</v>
      </c>
      <c r="AO669" s="148">
        <f t="shared" si="410"/>
        <v>-21663</v>
      </c>
      <c r="AP669" s="58">
        <v>1589.5465402177724</v>
      </c>
      <c r="AQ669" s="143">
        <f t="shared" si="411"/>
        <v>-1589.55</v>
      </c>
    </row>
    <row r="670" spans="1:43" x14ac:dyDescent="0.35">
      <c r="A670" s="69" t="s">
        <v>43</v>
      </c>
      <c r="B670" s="15" t="s">
        <v>2133</v>
      </c>
      <c r="C670" s="15"/>
      <c r="D670" s="69"/>
      <c r="E670" s="76">
        <v>0</v>
      </c>
      <c r="F670" s="69" t="s">
        <v>1960</v>
      </c>
      <c r="G670" s="12" t="s">
        <v>1961</v>
      </c>
      <c r="H670" s="76">
        <v>9010000019</v>
      </c>
      <c r="I670" s="92" t="s">
        <v>47</v>
      </c>
      <c r="J670" s="92">
        <v>1202010202</v>
      </c>
      <c r="K670" s="15"/>
      <c r="L670" s="95" t="s">
        <v>2134</v>
      </c>
      <c r="M670" s="69" t="s">
        <v>49</v>
      </c>
      <c r="N670" s="69"/>
      <c r="O670" s="94">
        <v>1</v>
      </c>
      <c r="P670" s="69" t="s">
        <v>50</v>
      </c>
      <c r="Q670" s="69" t="s">
        <v>51</v>
      </c>
      <c r="R670" s="69"/>
      <c r="S670" s="46">
        <v>43141</v>
      </c>
      <c r="T670" s="48">
        <v>43191</v>
      </c>
      <c r="U670" s="69"/>
      <c r="V670" s="69"/>
      <c r="W670" s="69"/>
      <c r="X670" s="69"/>
      <c r="Y670" s="69" t="s">
        <v>4125</v>
      </c>
      <c r="Z670" s="43">
        <v>4400</v>
      </c>
      <c r="AA670" s="43" t="s">
        <v>52</v>
      </c>
      <c r="AB670" s="43" t="s">
        <v>53</v>
      </c>
      <c r="AC670" s="43">
        <v>2884</v>
      </c>
      <c r="AD670" s="141">
        <v>7</v>
      </c>
      <c r="AE670" s="142">
        <v>11</v>
      </c>
      <c r="AF670" s="142"/>
      <c r="AG670" s="69" t="str">
        <f t="shared" si="408"/>
        <v>6 years 277 days</v>
      </c>
      <c r="AH670" s="69">
        <v>6</v>
      </c>
      <c r="AI670" s="69">
        <v>277</v>
      </c>
      <c r="AJ670" s="69">
        <v>0</v>
      </c>
      <c r="AK670" s="69">
        <v>0</v>
      </c>
      <c r="AL670" s="60">
        <v>4400</v>
      </c>
      <c r="AM670" s="60">
        <f t="shared" si="409"/>
        <v>4400</v>
      </c>
      <c r="AN670" s="59">
        <v>4400</v>
      </c>
      <c r="AO670" s="148">
        <f t="shared" si="410"/>
        <v>-4400</v>
      </c>
      <c r="AP670" s="58">
        <v>0</v>
      </c>
      <c r="AQ670" s="143">
        <f t="shared" si="411"/>
        <v>0</v>
      </c>
    </row>
    <row r="671" spans="1:43" x14ac:dyDescent="0.35">
      <c r="A671" s="69" t="s">
        <v>43</v>
      </c>
      <c r="B671" s="15" t="s">
        <v>2135</v>
      </c>
      <c r="C671" s="15"/>
      <c r="D671" s="69"/>
      <c r="E671" s="76">
        <v>0</v>
      </c>
      <c r="F671" s="69" t="s">
        <v>1960</v>
      </c>
      <c r="G671" s="12" t="s">
        <v>1961</v>
      </c>
      <c r="H671" s="76">
        <v>9010000020</v>
      </c>
      <c r="I671" s="92" t="s">
        <v>47</v>
      </c>
      <c r="J671" s="92">
        <v>1202010202</v>
      </c>
      <c r="K671" s="15"/>
      <c r="L671" s="95" t="s">
        <v>2136</v>
      </c>
      <c r="M671" s="69" t="s">
        <v>2137</v>
      </c>
      <c r="N671" s="69"/>
      <c r="O671" s="94">
        <v>1</v>
      </c>
      <c r="P671" s="69" t="s">
        <v>50</v>
      </c>
      <c r="Q671" s="69" t="s">
        <v>51</v>
      </c>
      <c r="R671" s="69"/>
      <c r="S671" s="46">
        <v>43495</v>
      </c>
      <c r="T671" s="48">
        <v>43495</v>
      </c>
      <c r="U671" s="69"/>
      <c r="V671" s="69"/>
      <c r="W671" s="69"/>
      <c r="X671" s="69"/>
      <c r="Y671" s="69" t="s">
        <v>4126</v>
      </c>
      <c r="Z671" s="43">
        <v>13034</v>
      </c>
      <c r="AA671" s="43" t="s">
        <v>52</v>
      </c>
      <c r="AB671" s="43" t="s">
        <v>53</v>
      </c>
      <c r="AC671" s="43">
        <v>1825</v>
      </c>
      <c r="AD671" s="141">
        <v>5</v>
      </c>
      <c r="AE671" s="142">
        <v>0</v>
      </c>
      <c r="AF671" s="142"/>
      <c r="AG671" s="69" t="str">
        <f t="shared" si="408"/>
        <v>5 years 0 days</v>
      </c>
      <c r="AH671" s="69">
        <v>5</v>
      </c>
      <c r="AI671" s="69">
        <v>0</v>
      </c>
      <c r="AJ671" s="69">
        <v>0</v>
      </c>
      <c r="AK671" s="69">
        <v>0</v>
      </c>
      <c r="AL671" s="60">
        <v>13034</v>
      </c>
      <c r="AM671" s="60">
        <f t="shared" si="409"/>
        <v>13034</v>
      </c>
      <c r="AN671" s="59">
        <v>13034</v>
      </c>
      <c r="AO671" s="148">
        <f t="shared" si="410"/>
        <v>-13034</v>
      </c>
      <c r="AP671" s="58">
        <v>0</v>
      </c>
      <c r="AQ671" s="143">
        <f t="shared" si="411"/>
        <v>0</v>
      </c>
    </row>
    <row r="672" spans="1:43" x14ac:dyDescent="0.35">
      <c r="A672" s="69" t="s">
        <v>43</v>
      </c>
      <c r="B672" s="15" t="s">
        <v>2138</v>
      </c>
      <c r="C672" s="15"/>
      <c r="D672" s="69"/>
      <c r="E672" s="76">
        <v>0</v>
      </c>
      <c r="F672" s="69" t="s">
        <v>1960</v>
      </c>
      <c r="G672" s="12" t="s">
        <v>1961</v>
      </c>
      <c r="H672" s="76">
        <v>9010000021</v>
      </c>
      <c r="I672" s="92" t="s">
        <v>47</v>
      </c>
      <c r="J672" s="92">
        <v>1202010202</v>
      </c>
      <c r="K672" s="15"/>
      <c r="L672" s="95" t="s">
        <v>2139</v>
      </c>
      <c r="M672" s="69" t="s">
        <v>2140</v>
      </c>
      <c r="N672" s="69"/>
      <c r="O672" s="94">
        <v>1</v>
      </c>
      <c r="P672" s="69" t="s">
        <v>50</v>
      </c>
      <c r="Q672" s="69" t="s">
        <v>51</v>
      </c>
      <c r="R672" s="69"/>
      <c r="S672" s="46">
        <v>43497</v>
      </c>
      <c r="T672" s="48">
        <v>43497</v>
      </c>
      <c r="U672" s="69"/>
      <c r="V672" s="69"/>
      <c r="W672" s="69"/>
      <c r="X672" s="69"/>
      <c r="Y672" s="69" t="s">
        <v>4126</v>
      </c>
      <c r="Z672" s="43">
        <v>16500</v>
      </c>
      <c r="AA672" s="43" t="s">
        <v>52</v>
      </c>
      <c r="AB672" s="43" t="s">
        <v>53</v>
      </c>
      <c r="AC672" s="43">
        <v>1825</v>
      </c>
      <c r="AD672" s="141">
        <v>5</v>
      </c>
      <c r="AE672" s="142">
        <v>0</v>
      </c>
      <c r="AF672" s="142"/>
      <c r="AG672" s="69" t="str">
        <f t="shared" si="408"/>
        <v>5 years 0 days</v>
      </c>
      <c r="AH672" s="69">
        <v>5</v>
      </c>
      <c r="AI672" s="69">
        <v>0</v>
      </c>
      <c r="AJ672" s="69">
        <v>0</v>
      </c>
      <c r="AK672" s="69">
        <v>0</v>
      </c>
      <c r="AL672" s="60">
        <v>16500</v>
      </c>
      <c r="AM672" s="60">
        <f t="shared" si="409"/>
        <v>16500</v>
      </c>
      <c r="AN672" s="59">
        <v>16500</v>
      </c>
      <c r="AO672" s="148">
        <f t="shared" si="410"/>
        <v>-16500</v>
      </c>
      <c r="AP672" s="58">
        <v>0</v>
      </c>
      <c r="AQ672" s="143">
        <f t="shared" si="411"/>
        <v>0</v>
      </c>
    </row>
    <row r="673" spans="1:43" x14ac:dyDescent="0.35">
      <c r="A673" s="69" t="s">
        <v>43</v>
      </c>
      <c r="B673" s="15" t="s">
        <v>2141</v>
      </c>
      <c r="C673" s="15"/>
      <c r="D673" s="69"/>
      <c r="E673" s="76">
        <v>0</v>
      </c>
      <c r="F673" s="69" t="s">
        <v>1960</v>
      </c>
      <c r="G673" s="12" t="s">
        <v>1961</v>
      </c>
      <c r="H673" s="76">
        <v>9010000022</v>
      </c>
      <c r="I673" s="92" t="s">
        <v>47</v>
      </c>
      <c r="J673" s="92">
        <v>1202010202</v>
      </c>
      <c r="K673" s="15"/>
      <c r="L673" s="95" t="s">
        <v>2142</v>
      </c>
      <c r="M673" s="69" t="s">
        <v>2143</v>
      </c>
      <c r="N673" s="69"/>
      <c r="O673" s="94">
        <v>1</v>
      </c>
      <c r="P673" s="69" t="s">
        <v>50</v>
      </c>
      <c r="Q673" s="69" t="s">
        <v>51</v>
      </c>
      <c r="R673" s="69"/>
      <c r="S673" s="46">
        <v>43555</v>
      </c>
      <c r="T673" s="48">
        <v>43555</v>
      </c>
      <c r="U673" s="69"/>
      <c r="V673" s="69"/>
      <c r="W673" s="69"/>
      <c r="X673" s="69"/>
      <c r="Y673" s="69" t="s">
        <v>4126</v>
      </c>
      <c r="Z673" s="43">
        <v>8820</v>
      </c>
      <c r="AA673" s="43" t="s">
        <v>52</v>
      </c>
      <c r="AB673" s="43" t="s">
        <v>53</v>
      </c>
      <c r="AC673" s="43">
        <v>1825</v>
      </c>
      <c r="AD673" s="141">
        <v>5</v>
      </c>
      <c r="AE673" s="142">
        <v>0</v>
      </c>
      <c r="AF673" s="142"/>
      <c r="AG673" s="69" t="str">
        <f t="shared" si="408"/>
        <v>5 years 0 days</v>
      </c>
      <c r="AH673" s="69">
        <v>5</v>
      </c>
      <c r="AI673" s="69">
        <v>0</v>
      </c>
      <c r="AJ673" s="69">
        <v>0</v>
      </c>
      <c r="AK673" s="69">
        <v>0</v>
      </c>
      <c r="AL673" s="60">
        <v>8820</v>
      </c>
      <c r="AM673" s="60">
        <f t="shared" si="409"/>
        <v>8820</v>
      </c>
      <c r="AN673" s="59">
        <v>8820</v>
      </c>
      <c r="AO673" s="148">
        <f t="shared" si="410"/>
        <v>-8820</v>
      </c>
      <c r="AP673" s="58">
        <v>0</v>
      </c>
      <c r="AQ673" s="143">
        <f t="shared" si="411"/>
        <v>0</v>
      </c>
    </row>
    <row r="674" spans="1:43" x14ac:dyDescent="0.35">
      <c r="A674" s="69" t="s">
        <v>43</v>
      </c>
      <c r="B674" s="15" t="s">
        <v>2144</v>
      </c>
      <c r="C674" s="15"/>
      <c r="D674" s="69"/>
      <c r="E674" s="76">
        <v>0</v>
      </c>
      <c r="F674" s="69" t="s">
        <v>1960</v>
      </c>
      <c r="G674" s="12" t="s">
        <v>1961</v>
      </c>
      <c r="H674" s="76">
        <v>9010000023</v>
      </c>
      <c r="I674" s="92" t="s">
        <v>47</v>
      </c>
      <c r="J674" s="92">
        <v>1202010202</v>
      </c>
      <c r="K674" s="15"/>
      <c r="L674" s="95" t="s">
        <v>2145</v>
      </c>
      <c r="M674" s="69" t="s">
        <v>2146</v>
      </c>
      <c r="N674" s="69"/>
      <c r="O674" s="94">
        <v>1</v>
      </c>
      <c r="P674" s="69" t="s">
        <v>50</v>
      </c>
      <c r="Q674" s="69" t="s">
        <v>51</v>
      </c>
      <c r="R674" s="69"/>
      <c r="S674" s="46">
        <v>43555</v>
      </c>
      <c r="T674" s="48">
        <v>43555</v>
      </c>
      <c r="U674" s="69"/>
      <c r="V674" s="69"/>
      <c r="W674" s="69"/>
      <c r="X674" s="69"/>
      <c r="Y674" s="69" t="s">
        <v>4126</v>
      </c>
      <c r="Z674" s="43">
        <v>47000</v>
      </c>
      <c r="AA674" s="43" t="s">
        <v>52</v>
      </c>
      <c r="AB674" s="43" t="s">
        <v>53</v>
      </c>
      <c r="AC674" s="43">
        <v>1825</v>
      </c>
      <c r="AD674" s="141">
        <v>5</v>
      </c>
      <c r="AE674" s="142">
        <v>0</v>
      </c>
      <c r="AF674" s="142"/>
      <c r="AG674" s="69" t="str">
        <f t="shared" si="408"/>
        <v>5 years 0 days</v>
      </c>
      <c r="AH674" s="69">
        <v>5</v>
      </c>
      <c r="AI674" s="69">
        <v>0</v>
      </c>
      <c r="AJ674" s="69">
        <v>0</v>
      </c>
      <c r="AK674" s="69">
        <v>0</v>
      </c>
      <c r="AL674" s="60">
        <v>47000</v>
      </c>
      <c r="AM674" s="60">
        <f t="shared" si="409"/>
        <v>47000</v>
      </c>
      <c r="AN674" s="59">
        <v>47000</v>
      </c>
      <c r="AO674" s="148">
        <f t="shared" si="410"/>
        <v>-47000</v>
      </c>
      <c r="AP674" s="58">
        <v>0</v>
      </c>
      <c r="AQ674" s="143">
        <f t="shared" si="411"/>
        <v>0</v>
      </c>
    </row>
    <row r="675" spans="1:43" x14ac:dyDescent="0.35">
      <c r="A675" s="69" t="s">
        <v>43</v>
      </c>
      <c r="B675" s="15" t="s">
        <v>2147</v>
      </c>
      <c r="C675" s="15"/>
      <c r="D675" s="69"/>
      <c r="E675" s="76">
        <v>0</v>
      </c>
      <c r="F675" s="69" t="s">
        <v>1960</v>
      </c>
      <c r="G675" s="12" t="s">
        <v>1961</v>
      </c>
      <c r="H675" s="76">
        <v>9010000024</v>
      </c>
      <c r="I675" s="92" t="s">
        <v>47</v>
      </c>
      <c r="J675" s="92">
        <v>1202010202</v>
      </c>
      <c r="K675" s="15"/>
      <c r="L675" s="95" t="s">
        <v>2148</v>
      </c>
      <c r="M675" s="69" t="s">
        <v>2149</v>
      </c>
      <c r="N675" s="69"/>
      <c r="O675" s="94">
        <v>1</v>
      </c>
      <c r="P675" s="69" t="s">
        <v>50</v>
      </c>
      <c r="Q675" s="69" t="s">
        <v>51</v>
      </c>
      <c r="R675" s="69"/>
      <c r="S675" s="46">
        <v>43555</v>
      </c>
      <c r="T675" s="48">
        <v>43555</v>
      </c>
      <c r="U675" s="69"/>
      <c r="V675" s="69"/>
      <c r="W675" s="69"/>
      <c r="X675" s="69"/>
      <c r="Y675" s="69" t="s">
        <v>4126</v>
      </c>
      <c r="Z675" s="43">
        <v>2100</v>
      </c>
      <c r="AA675" s="43" t="s">
        <v>52</v>
      </c>
      <c r="AB675" s="43" t="s">
        <v>53</v>
      </c>
      <c r="AC675" s="43">
        <v>1825</v>
      </c>
      <c r="AD675" s="141">
        <v>5</v>
      </c>
      <c r="AE675" s="142">
        <v>0</v>
      </c>
      <c r="AF675" s="142"/>
      <c r="AG675" s="69" t="str">
        <f t="shared" si="408"/>
        <v>5 years 0 days</v>
      </c>
      <c r="AH675" s="69">
        <v>5</v>
      </c>
      <c r="AI675" s="69">
        <v>0</v>
      </c>
      <c r="AJ675" s="69">
        <v>0</v>
      </c>
      <c r="AK675" s="69">
        <v>0</v>
      </c>
      <c r="AL675" s="60">
        <v>2100</v>
      </c>
      <c r="AM675" s="60">
        <f t="shared" si="409"/>
        <v>2100</v>
      </c>
      <c r="AN675" s="59">
        <v>2100</v>
      </c>
      <c r="AO675" s="148">
        <f t="shared" si="410"/>
        <v>-2100</v>
      </c>
      <c r="AP675" s="58">
        <v>0</v>
      </c>
      <c r="AQ675" s="143">
        <f t="shared" si="411"/>
        <v>0</v>
      </c>
    </row>
    <row r="676" spans="1:43" x14ac:dyDescent="0.35">
      <c r="A676" s="69" t="s">
        <v>43</v>
      </c>
      <c r="B676" s="15" t="s">
        <v>2150</v>
      </c>
      <c r="C676" s="15"/>
      <c r="D676" s="69"/>
      <c r="E676" s="76">
        <v>0</v>
      </c>
      <c r="F676" s="69" t="s">
        <v>1960</v>
      </c>
      <c r="G676" s="10" t="s">
        <v>1961</v>
      </c>
      <c r="H676" s="15">
        <v>9010000025</v>
      </c>
      <c r="I676" s="92" t="s">
        <v>47</v>
      </c>
      <c r="J676" s="92">
        <v>1202010202</v>
      </c>
      <c r="K676" s="14"/>
      <c r="L676" s="95" t="s">
        <v>2151</v>
      </c>
      <c r="M676" s="69" t="s">
        <v>2152</v>
      </c>
      <c r="N676" s="69"/>
      <c r="O676" s="94">
        <v>1</v>
      </c>
      <c r="P676" s="69" t="s">
        <v>50</v>
      </c>
      <c r="Q676" s="69" t="s">
        <v>51</v>
      </c>
      <c r="R676" s="69"/>
      <c r="S676" s="46">
        <v>44409</v>
      </c>
      <c r="T676" s="48">
        <v>44409</v>
      </c>
      <c r="U676" s="69"/>
      <c r="V676" s="69"/>
      <c r="W676" s="69"/>
      <c r="X676" s="69"/>
      <c r="Y676" s="69" t="s">
        <v>4128</v>
      </c>
      <c r="Z676" s="43">
        <v>8042</v>
      </c>
      <c r="AA676" s="43" t="s">
        <v>52</v>
      </c>
      <c r="AB676" s="43" t="s">
        <v>53</v>
      </c>
      <c r="AC676" s="43">
        <v>3650</v>
      </c>
      <c r="AD676" s="141">
        <v>10</v>
      </c>
      <c r="AE676" s="142">
        <v>0</v>
      </c>
      <c r="AF676" s="142"/>
      <c r="AG676" s="69" t="str">
        <f t="shared" ref="AG676:AG739" si="412">_xlfn.CONCAT(AH676," years ",AI676," days")</f>
        <v>3 years 154 days</v>
      </c>
      <c r="AH676" s="69">
        <v>3</v>
      </c>
      <c r="AI676" s="69">
        <v>154</v>
      </c>
      <c r="AJ676" s="69">
        <v>0</v>
      </c>
      <c r="AK676" s="69">
        <v>0</v>
      </c>
      <c r="AL676" s="60">
        <v>8042</v>
      </c>
      <c r="AM676" s="60">
        <f t="shared" ref="AM676:AM739" si="413">ROUND(AL676,2)</f>
        <v>8042</v>
      </c>
      <c r="AN676" s="59">
        <v>2752</v>
      </c>
      <c r="AO676" s="148">
        <f t="shared" ref="AO676:AO739" si="414">ROUND(AN676,2)*-1</f>
        <v>-2752</v>
      </c>
      <c r="AP676" s="58">
        <v>398.7013698630135</v>
      </c>
      <c r="AQ676" s="143">
        <f t="shared" ref="AQ676:AQ739" si="415">ROUND(AP676,2)*-1</f>
        <v>-398.7</v>
      </c>
    </row>
    <row r="677" spans="1:43" x14ac:dyDescent="0.35">
      <c r="A677" s="69" t="s">
        <v>43</v>
      </c>
      <c r="B677" s="15" t="s">
        <v>2153</v>
      </c>
      <c r="C677" s="15"/>
      <c r="D677" s="69"/>
      <c r="E677" s="76">
        <v>0</v>
      </c>
      <c r="F677" s="69" t="s">
        <v>1960</v>
      </c>
      <c r="G677" s="12" t="s">
        <v>1961</v>
      </c>
      <c r="H677" s="76">
        <v>9010000026</v>
      </c>
      <c r="I677" s="92" t="s">
        <v>47</v>
      </c>
      <c r="J677" s="92">
        <v>1202010202</v>
      </c>
      <c r="K677" s="15"/>
      <c r="L677" s="95" t="s">
        <v>2154</v>
      </c>
      <c r="M677" s="69" t="s">
        <v>2155</v>
      </c>
      <c r="N677" s="69"/>
      <c r="O677" s="94">
        <v>1</v>
      </c>
      <c r="P677" s="69" t="s">
        <v>50</v>
      </c>
      <c r="Q677" s="69" t="s">
        <v>51</v>
      </c>
      <c r="R677" s="69"/>
      <c r="S677" s="46">
        <v>43642</v>
      </c>
      <c r="T677" s="48">
        <v>43642</v>
      </c>
      <c r="U677" s="69"/>
      <c r="V677" s="69"/>
      <c r="W677" s="69"/>
      <c r="X677" s="69"/>
      <c r="Y677" s="69" t="s">
        <v>4126</v>
      </c>
      <c r="Z677" s="43">
        <v>7000</v>
      </c>
      <c r="AA677" s="43" t="s">
        <v>52</v>
      </c>
      <c r="AB677" s="43" t="s">
        <v>53</v>
      </c>
      <c r="AC677" s="43">
        <v>1825</v>
      </c>
      <c r="AD677" s="141">
        <v>5</v>
      </c>
      <c r="AE677" s="142">
        <v>0</v>
      </c>
      <c r="AF677" s="142"/>
      <c r="AG677" s="69" t="str">
        <f t="shared" si="412"/>
        <v>5 years 0 days</v>
      </c>
      <c r="AH677" s="69">
        <v>5</v>
      </c>
      <c r="AI677" s="69">
        <v>0</v>
      </c>
      <c r="AJ677" s="69">
        <v>0</v>
      </c>
      <c r="AK677" s="69">
        <v>0</v>
      </c>
      <c r="AL677" s="60">
        <v>7000</v>
      </c>
      <c r="AM677" s="60">
        <f t="shared" si="413"/>
        <v>7000</v>
      </c>
      <c r="AN677" s="59">
        <v>7000</v>
      </c>
      <c r="AO677" s="148">
        <f t="shared" si="414"/>
        <v>-7000</v>
      </c>
      <c r="AP677" s="58">
        <v>0</v>
      </c>
      <c r="AQ677" s="143">
        <f t="shared" si="415"/>
        <v>0</v>
      </c>
    </row>
    <row r="678" spans="1:43" x14ac:dyDescent="0.35">
      <c r="A678" s="69" t="s">
        <v>43</v>
      </c>
      <c r="B678" s="15" t="s">
        <v>2156</v>
      </c>
      <c r="C678" s="15"/>
      <c r="D678" s="69"/>
      <c r="E678" s="76">
        <v>0</v>
      </c>
      <c r="F678" s="69" t="s">
        <v>1960</v>
      </c>
      <c r="G678" s="12" t="s">
        <v>1961</v>
      </c>
      <c r="H678" s="76">
        <v>9010000027</v>
      </c>
      <c r="I678" s="92" t="s">
        <v>47</v>
      </c>
      <c r="J678" s="92">
        <v>1202010202</v>
      </c>
      <c r="K678" s="15"/>
      <c r="L678" s="95" t="s">
        <v>2157</v>
      </c>
      <c r="M678" s="69" t="s">
        <v>2158</v>
      </c>
      <c r="N678" s="69"/>
      <c r="O678" s="94">
        <v>1</v>
      </c>
      <c r="P678" s="69" t="s">
        <v>50</v>
      </c>
      <c r="Q678" s="69" t="s">
        <v>51</v>
      </c>
      <c r="R678" s="69"/>
      <c r="S678" s="46">
        <v>43723</v>
      </c>
      <c r="T678" s="48">
        <v>43723</v>
      </c>
      <c r="U678" s="69"/>
      <c r="V678" s="69"/>
      <c r="W678" s="69"/>
      <c r="X678" s="69"/>
      <c r="Y678" s="69" t="s">
        <v>4126</v>
      </c>
      <c r="Z678" s="43">
        <v>49500</v>
      </c>
      <c r="AA678" s="43" t="s">
        <v>52</v>
      </c>
      <c r="AB678" s="43" t="s">
        <v>53</v>
      </c>
      <c r="AC678" s="43">
        <v>3650</v>
      </c>
      <c r="AD678" s="141">
        <v>10</v>
      </c>
      <c r="AE678" s="142">
        <v>0</v>
      </c>
      <c r="AF678" s="142"/>
      <c r="AG678" s="69" t="str">
        <f t="shared" si="412"/>
        <v>5 years 110 days</v>
      </c>
      <c r="AH678" s="69">
        <v>5</v>
      </c>
      <c r="AI678" s="69">
        <v>110</v>
      </c>
      <c r="AJ678" s="69">
        <v>0</v>
      </c>
      <c r="AK678" s="69">
        <v>0</v>
      </c>
      <c r="AL678" s="60">
        <v>49500</v>
      </c>
      <c r="AM678" s="60">
        <f t="shared" si="413"/>
        <v>49500</v>
      </c>
      <c r="AN678" s="59">
        <v>26242</v>
      </c>
      <c r="AO678" s="148">
        <f t="shared" si="414"/>
        <v>-26242</v>
      </c>
      <c r="AP678" s="58">
        <v>2454.4383561643808</v>
      </c>
      <c r="AQ678" s="143">
        <f t="shared" si="415"/>
        <v>-2454.44</v>
      </c>
    </row>
    <row r="679" spans="1:43" x14ac:dyDescent="0.35">
      <c r="A679" s="69" t="s">
        <v>43</v>
      </c>
      <c r="B679" s="15" t="s">
        <v>2159</v>
      </c>
      <c r="C679" s="15"/>
      <c r="D679" s="69"/>
      <c r="E679" s="76">
        <v>0</v>
      </c>
      <c r="F679" s="69" t="s">
        <v>1960</v>
      </c>
      <c r="G679" s="10" t="s">
        <v>1961</v>
      </c>
      <c r="H679" s="76">
        <v>9010000028</v>
      </c>
      <c r="I679" s="92" t="s">
        <v>47</v>
      </c>
      <c r="J679" s="92">
        <v>1202010202</v>
      </c>
      <c r="K679" s="15"/>
      <c r="L679" s="95" t="s">
        <v>2160</v>
      </c>
      <c r="M679" s="69" t="s">
        <v>2161</v>
      </c>
      <c r="N679" s="69"/>
      <c r="O679" s="94">
        <v>1</v>
      </c>
      <c r="P679" s="69" t="s">
        <v>50</v>
      </c>
      <c r="Q679" s="69" t="s">
        <v>51</v>
      </c>
      <c r="R679" s="69"/>
      <c r="S679" s="46">
        <v>43709</v>
      </c>
      <c r="T679" s="48">
        <v>43709</v>
      </c>
      <c r="U679" s="69"/>
      <c r="V679" s="69"/>
      <c r="W679" s="69"/>
      <c r="X679" s="69"/>
      <c r="Y679" s="69" t="s">
        <v>4126</v>
      </c>
      <c r="Z679" s="43">
        <v>33035</v>
      </c>
      <c r="AA679" s="43" t="s">
        <v>52</v>
      </c>
      <c r="AB679" s="43" t="s">
        <v>53</v>
      </c>
      <c r="AC679" s="43">
        <v>1825</v>
      </c>
      <c r="AD679" s="141">
        <v>5</v>
      </c>
      <c r="AE679" s="142">
        <v>0</v>
      </c>
      <c r="AF679" s="142"/>
      <c r="AG679" s="69" t="str">
        <f t="shared" si="412"/>
        <v>5 years 0 days</v>
      </c>
      <c r="AH679" s="69">
        <v>5</v>
      </c>
      <c r="AI679" s="69">
        <v>0</v>
      </c>
      <c r="AJ679" s="69">
        <v>0</v>
      </c>
      <c r="AK679" s="69">
        <v>0</v>
      </c>
      <c r="AL679" s="60">
        <v>33035</v>
      </c>
      <c r="AM679" s="60">
        <f t="shared" si="413"/>
        <v>33035</v>
      </c>
      <c r="AN679" s="59">
        <v>33035</v>
      </c>
      <c r="AO679" s="148">
        <f t="shared" si="414"/>
        <v>-33035</v>
      </c>
      <c r="AP679" s="58">
        <v>0</v>
      </c>
      <c r="AQ679" s="143">
        <f t="shared" si="415"/>
        <v>0</v>
      </c>
    </row>
    <row r="680" spans="1:43" x14ac:dyDescent="0.35">
      <c r="A680" s="69" t="s">
        <v>43</v>
      </c>
      <c r="B680" s="15" t="s">
        <v>2162</v>
      </c>
      <c r="C680" s="15"/>
      <c r="D680" s="69"/>
      <c r="E680" s="76">
        <v>0</v>
      </c>
      <c r="F680" s="69" t="s">
        <v>1960</v>
      </c>
      <c r="G680" s="10" t="s">
        <v>1961</v>
      </c>
      <c r="H680" s="76">
        <v>9010000029</v>
      </c>
      <c r="I680" s="92" t="s">
        <v>47</v>
      </c>
      <c r="J680" s="92">
        <v>1202010202</v>
      </c>
      <c r="K680" s="15"/>
      <c r="L680" s="95" t="s">
        <v>2163</v>
      </c>
      <c r="M680" s="69" t="s">
        <v>2164</v>
      </c>
      <c r="N680" s="69"/>
      <c r="O680" s="94">
        <v>1</v>
      </c>
      <c r="P680" s="69" t="s">
        <v>50</v>
      </c>
      <c r="Q680" s="69" t="s">
        <v>51</v>
      </c>
      <c r="R680" s="69"/>
      <c r="S680" s="46">
        <v>43709</v>
      </c>
      <c r="T680" s="48">
        <v>43709</v>
      </c>
      <c r="U680" s="69"/>
      <c r="V680" s="69"/>
      <c r="W680" s="69"/>
      <c r="X680" s="69"/>
      <c r="Y680" s="69" t="s">
        <v>4126</v>
      </c>
      <c r="Z680" s="43">
        <v>26275</v>
      </c>
      <c r="AA680" s="43" t="s">
        <v>52</v>
      </c>
      <c r="AB680" s="43" t="s">
        <v>53</v>
      </c>
      <c r="AC680" s="43">
        <v>1825</v>
      </c>
      <c r="AD680" s="141">
        <v>5</v>
      </c>
      <c r="AE680" s="142">
        <v>0</v>
      </c>
      <c r="AF680" s="142"/>
      <c r="AG680" s="69" t="str">
        <f t="shared" si="412"/>
        <v>5 years 0 days</v>
      </c>
      <c r="AH680" s="69">
        <v>5</v>
      </c>
      <c r="AI680" s="69">
        <v>0</v>
      </c>
      <c r="AJ680" s="69">
        <v>0</v>
      </c>
      <c r="AK680" s="69">
        <v>0</v>
      </c>
      <c r="AL680" s="60">
        <v>26275</v>
      </c>
      <c r="AM680" s="60">
        <f t="shared" si="413"/>
        <v>26275</v>
      </c>
      <c r="AN680" s="59">
        <v>26275</v>
      </c>
      <c r="AO680" s="148">
        <f t="shared" si="414"/>
        <v>-26275</v>
      </c>
      <c r="AP680" s="58">
        <v>0</v>
      </c>
      <c r="AQ680" s="143">
        <f t="shared" si="415"/>
        <v>0</v>
      </c>
    </row>
    <row r="681" spans="1:43" x14ac:dyDescent="0.35">
      <c r="A681" s="69" t="s">
        <v>43</v>
      </c>
      <c r="B681" s="15" t="s">
        <v>2165</v>
      </c>
      <c r="C681" s="15"/>
      <c r="D681" s="69"/>
      <c r="E681" s="76">
        <v>0</v>
      </c>
      <c r="F681" s="69" t="s">
        <v>1960</v>
      </c>
      <c r="G681" s="12" t="s">
        <v>1961</v>
      </c>
      <c r="H681" s="76">
        <v>9010000030</v>
      </c>
      <c r="I681" s="92" t="s">
        <v>47</v>
      </c>
      <c r="J681" s="92">
        <v>1202010202</v>
      </c>
      <c r="K681" s="15"/>
      <c r="L681" s="95" t="s">
        <v>2166</v>
      </c>
      <c r="M681" s="69" t="s">
        <v>2167</v>
      </c>
      <c r="N681" s="69"/>
      <c r="O681" s="94">
        <v>1</v>
      </c>
      <c r="P681" s="69" t="s">
        <v>50</v>
      </c>
      <c r="Q681" s="69" t="s">
        <v>51</v>
      </c>
      <c r="R681" s="69"/>
      <c r="S681" s="46">
        <v>43770</v>
      </c>
      <c r="T681" s="48">
        <v>43770</v>
      </c>
      <c r="U681" s="69"/>
      <c r="V681" s="69"/>
      <c r="W681" s="69"/>
      <c r="X681" s="69"/>
      <c r="Y681" s="69" t="s">
        <v>4126</v>
      </c>
      <c r="Z681" s="43">
        <v>31000</v>
      </c>
      <c r="AA681" s="43" t="s">
        <v>52</v>
      </c>
      <c r="AB681" s="43" t="s">
        <v>53</v>
      </c>
      <c r="AC681" s="43">
        <v>1825</v>
      </c>
      <c r="AD681" s="141">
        <v>5</v>
      </c>
      <c r="AE681" s="142">
        <v>0</v>
      </c>
      <c r="AF681" s="142"/>
      <c r="AG681" s="69" t="str">
        <f t="shared" si="412"/>
        <v>5 years 0 days</v>
      </c>
      <c r="AH681" s="69">
        <v>5</v>
      </c>
      <c r="AI681" s="69">
        <v>0</v>
      </c>
      <c r="AJ681" s="69">
        <v>0</v>
      </c>
      <c r="AK681" s="69">
        <v>0</v>
      </c>
      <c r="AL681" s="60">
        <v>31000</v>
      </c>
      <c r="AM681" s="60">
        <f t="shared" si="413"/>
        <v>31000</v>
      </c>
      <c r="AN681" s="59">
        <v>31000</v>
      </c>
      <c r="AO681" s="148">
        <f t="shared" si="414"/>
        <v>-31000</v>
      </c>
      <c r="AP681" s="58">
        <v>0</v>
      </c>
      <c r="AQ681" s="143">
        <f t="shared" si="415"/>
        <v>0</v>
      </c>
    </row>
    <row r="682" spans="1:43" x14ac:dyDescent="0.35">
      <c r="A682" s="69" t="s">
        <v>43</v>
      </c>
      <c r="B682" s="15" t="s">
        <v>2168</v>
      </c>
      <c r="C682" s="15"/>
      <c r="D682" s="69"/>
      <c r="E682" s="76">
        <v>0</v>
      </c>
      <c r="F682" s="69" t="s">
        <v>1960</v>
      </c>
      <c r="G682" s="12" t="s">
        <v>1961</v>
      </c>
      <c r="H682" s="76">
        <v>9010000031</v>
      </c>
      <c r="I682" s="92" t="s">
        <v>47</v>
      </c>
      <c r="J682" s="92">
        <v>1202010202</v>
      </c>
      <c r="K682" s="15"/>
      <c r="L682" s="95" t="s">
        <v>2169</v>
      </c>
      <c r="M682" s="69" t="s">
        <v>49</v>
      </c>
      <c r="N682" s="69"/>
      <c r="O682" s="94">
        <v>1</v>
      </c>
      <c r="P682" s="69" t="s">
        <v>50</v>
      </c>
      <c r="Q682" s="69" t="s">
        <v>51</v>
      </c>
      <c r="R682" s="69"/>
      <c r="S682" s="46">
        <v>43824</v>
      </c>
      <c r="T682" s="48">
        <v>43824</v>
      </c>
      <c r="U682" s="69"/>
      <c r="V682" s="69"/>
      <c r="W682" s="69"/>
      <c r="X682" s="69"/>
      <c r="Y682" s="69" t="s">
        <v>4126</v>
      </c>
      <c r="Z682" s="43">
        <v>81146</v>
      </c>
      <c r="AA682" s="43" t="s">
        <v>52</v>
      </c>
      <c r="AB682" s="43" t="s">
        <v>53</v>
      </c>
      <c r="AC682" s="43">
        <v>3650</v>
      </c>
      <c r="AD682" s="141">
        <v>10</v>
      </c>
      <c r="AE682" s="142">
        <v>0</v>
      </c>
      <c r="AF682" s="142"/>
      <c r="AG682" s="69" t="str">
        <f t="shared" si="412"/>
        <v>5 years 9 days</v>
      </c>
      <c r="AH682" s="69">
        <v>5</v>
      </c>
      <c r="AI682" s="69">
        <v>9</v>
      </c>
      <c r="AJ682" s="69">
        <v>0</v>
      </c>
      <c r="AK682" s="69">
        <v>0</v>
      </c>
      <c r="AL682" s="60">
        <v>81146</v>
      </c>
      <c r="AM682" s="60">
        <f t="shared" si="413"/>
        <v>81146</v>
      </c>
      <c r="AN682" s="59">
        <v>40773</v>
      </c>
      <c r="AO682" s="148">
        <f t="shared" si="414"/>
        <v>-40773</v>
      </c>
      <c r="AP682" s="58">
        <v>4024.038356164383</v>
      </c>
      <c r="AQ682" s="143">
        <f t="shared" si="415"/>
        <v>-4024.04</v>
      </c>
    </row>
    <row r="683" spans="1:43" x14ac:dyDescent="0.35">
      <c r="A683" s="69" t="s">
        <v>43</v>
      </c>
      <c r="B683" s="15" t="s">
        <v>2170</v>
      </c>
      <c r="C683" s="15"/>
      <c r="D683" s="69"/>
      <c r="E683" s="76">
        <v>0</v>
      </c>
      <c r="F683" s="69" t="s">
        <v>1960</v>
      </c>
      <c r="G683" s="12" t="s">
        <v>1961</v>
      </c>
      <c r="H683" s="76">
        <v>9010000032</v>
      </c>
      <c r="I683" s="92" t="s">
        <v>47</v>
      </c>
      <c r="J683" s="92">
        <v>1202010202</v>
      </c>
      <c r="K683" s="15"/>
      <c r="L683" s="95" t="s">
        <v>2171</v>
      </c>
      <c r="M683" s="69" t="s">
        <v>2172</v>
      </c>
      <c r="N683" s="69"/>
      <c r="O683" s="94">
        <v>1</v>
      </c>
      <c r="P683" s="69" t="s">
        <v>50</v>
      </c>
      <c r="Q683" s="69" t="s">
        <v>51</v>
      </c>
      <c r="R683" s="69"/>
      <c r="S683" s="46">
        <v>43889</v>
      </c>
      <c r="T683" s="48">
        <v>43889</v>
      </c>
      <c r="U683" s="69"/>
      <c r="V683" s="69"/>
      <c r="W683" s="69"/>
      <c r="X683" s="69"/>
      <c r="Y683" s="69" t="s">
        <v>4127</v>
      </c>
      <c r="Z683" s="43">
        <v>24700</v>
      </c>
      <c r="AA683" s="43" t="s">
        <v>52</v>
      </c>
      <c r="AB683" s="43" t="s">
        <v>53</v>
      </c>
      <c r="AC683" s="43">
        <v>1825</v>
      </c>
      <c r="AD683" s="141">
        <v>5</v>
      </c>
      <c r="AE683" s="142">
        <v>0</v>
      </c>
      <c r="AF683" s="142"/>
      <c r="AG683" s="69" t="str">
        <f t="shared" si="412"/>
        <v>4 years 309 days</v>
      </c>
      <c r="AH683" s="69">
        <v>4</v>
      </c>
      <c r="AI683" s="69">
        <v>309</v>
      </c>
      <c r="AJ683" s="69">
        <v>0</v>
      </c>
      <c r="AK683" s="69">
        <v>0</v>
      </c>
      <c r="AL683" s="60">
        <v>24700</v>
      </c>
      <c r="AM683" s="60">
        <f t="shared" si="413"/>
        <v>24700</v>
      </c>
      <c r="AN683" s="59">
        <v>23942</v>
      </c>
      <c r="AO683" s="148">
        <f t="shared" si="414"/>
        <v>-23942</v>
      </c>
      <c r="AP683" s="58">
        <v>758</v>
      </c>
      <c r="AQ683" s="143">
        <f t="shared" si="415"/>
        <v>-758</v>
      </c>
    </row>
    <row r="684" spans="1:43" x14ac:dyDescent="0.35">
      <c r="A684" s="69" t="s">
        <v>43</v>
      </c>
      <c r="B684" s="15" t="s">
        <v>2173</v>
      </c>
      <c r="C684" s="15"/>
      <c r="D684" s="69"/>
      <c r="E684" s="76">
        <v>0</v>
      </c>
      <c r="F684" s="69" t="s">
        <v>1960</v>
      </c>
      <c r="G684" s="12" t="s">
        <v>1961</v>
      </c>
      <c r="H684" s="76">
        <v>9010000033</v>
      </c>
      <c r="I684" s="92" t="s">
        <v>47</v>
      </c>
      <c r="J684" s="92">
        <v>1202010202</v>
      </c>
      <c r="K684" s="15"/>
      <c r="L684" s="95" t="s">
        <v>2174</v>
      </c>
      <c r="M684" s="69" t="s">
        <v>2175</v>
      </c>
      <c r="N684" s="69"/>
      <c r="O684" s="94">
        <v>1</v>
      </c>
      <c r="P684" s="69" t="s">
        <v>50</v>
      </c>
      <c r="Q684" s="69" t="s">
        <v>51</v>
      </c>
      <c r="R684" s="69"/>
      <c r="S684" s="46">
        <v>43905</v>
      </c>
      <c r="T684" s="48">
        <v>43905</v>
      </c>
      <c r="U684" s="69"/>
      <c r="V684" s="69"/>
      <c r="W684" s="69"/>
      <c r="X684" s="69"/>
      <c r="Y684" s="69" t="s">
        <v>4127</v>
      </c>
      <c r="Z684" s="43">
        <v>90775</v>
      </c>
      <c r="AA684" s="43" t="s">
        <v>52</v>
      </c>
      <c r="AB684" s="43" t="s">
        <v>53</v>
      </c>
      <c r="AC684" s="43">
        <v>3650</v>
      </c>
      <c r="AD684" s="141">
        <v>10</v>
      </c>
      <c r="AE684" s="142">
        <v>0</v>
      </c>
      <c r="AF684" s="142"/>
      <c r="AG684" s="69" t="str">
        <f t="shared" si="412"/>
        <v>4 years 293 days</v>
      </c>
      <c r="AH684" s="69">
        <v>4</v>
      </c>
      <c r="AI684" s="69">
        <v>293</v>
      </c>
      <c r="AJ684" s="69">
        <v>0</v>
      </c>
      <c r="AK684" s="69">
        <v>0</v>
      </c>
      <c r="AL684" s="60">
        <v>90775</v>
      </c>
      <c r="AM684" s="60">
        <f t="shared" si="413"/>
        <v>90775</v>
      </c>
      <c r="AN684" s="59">
        <v>43597</v>
      </c>
      <c r="AO684" s="148">
        <f t="shared" si="414"/>
        <v>-43597</v>
      </c>
      <c r="AP684" s="58">
        <v>4501.3150684931461</v>
      </c>
      <c r="AQ684" s="143">
        <f t="shared" si="415"/>
        <v>-4501.32</v>
      </c>
    </row>
    <row r="685" spans="1:43" x14ac:dyDescent="0.35">
      <c r="A685" s="69" t="s">
        <v>43</v>
      </c>
      <c r="B685" s="15" t="s">
        <v>2176</v>
      </c>
      <c r="C685" s="15"/>
      <c r="D685" s="69"/>
      <c r="E685" s="76">
        <v>0</v>
      </c>
      <c r="F685" s="69" t="s">
        <v>1960</v>
      </c>
      <c r="G685" s="12" t="s">
        <v>1961</v>
      </c>
      <c r="H685" s="76">
        <v>9010000034</v>
      </c>
      <c r="I685" s="92" t="s">
        <v>47</v>
      </c>
      <c r="J685" s="92">
        <v>1202010202</v>
      </c>
      <c r="K685" s="15"/>
      <c r="L685" s="95" t="s">
        <v>2177</v>
      </c>
      <c r="M685" s="69" t="s">
        <v>2178</v>
      </c>
      <c r="N685" s="69"/>
      <c r="O685" s="94">
        <v>1</v>
      </c>
      <c r="P685" s="69" t="s">
        <v>50</v>
      </c>
      <c r="Q685" s="69" t="s">
        <v>51</v>
      </c>
      <c r="R685" s="69"/>
      <c r="S685" s="46">
        <v>43985</v>
      </c>
      <c r="T685" s="48">
        <v>43985</v>
      </c>
      <c r="U685" s="69"/>
      <c r="V685" s="69"/>
      <c r="W685" s="69"/>
      <c r="X685" s="69"/>
      <c r="Y685" s="69" t="s">
        <v>4127</v>
      </c>
      <c r="Z685" s="43">
        <v>107650</v>
      </c>
      <c r="AA685" s="43" t="s">
        <v>52</v>
      </c>
      <c r="AB685" s="43" t="s">
        <v>53</v>
      </c>
      <c r="AC685" s="43">
        <v>1825</v>
      </c>
      <c r="AD685" s="141">
        <v>5</v>
      </c>
      <c r="AE685" s="142">
        <v>0</v>
      </c>
      <c r="AF685" s="142"/>
      <c r="AG685" s="69" t="str">
        <f t="shared" si="412"/>
        <v>4 years 213 days</v>
      </c>
      <c r="AH685" s="69">
        <v>4</v>
      </c>
      <c r="AI685" s="69">
        <v>213</v>
      </c>
      <c r="AJ685" s="69">
        <v>0</v>
      </c>
      <c r="AK685" s="69">
        <v>0</v>
      </c>
      <c r="AL685" s="60">
        <v>107650</v>
      </c>
      <c r="AM685" s="60">
        <f t="shared" si="413"/>
        <v>107650</v>
      </c>
      <c r="AN685" s="59">
        <v>98684</v>
      </c>
      <c r="AO685" s="148">
        <f t="shared" si="414"/>
        <v>-98684</v>
      </c>
      <c r="AP685" s="58">
        <v>8966</v>
      </c>
      <c r="AQ685" s="143">
        <f t="shared" si="415"/>
        <v>-8966</v>
      </c>
    </row>
    <row r="686" spans="1:43" x14ac:dyDescent="0.35">
      <c r="A686" s="69" t="s">
        <v>43</v>
      </c>
      <c r="B686" s="15" t="s">
        <v>2179</v>
      </c>
      <c r="C686" s="15"/>
      <c r="D686" s="69"/>
      <c r="E686" s="76">
        <v>0</v>
      </c>
      <c r="F686" s="69" t="s">
        <v>1960</v>
      </c>
      <c r="G686" s="12" t="s">
        <v>1961</v>
      </c>
      <c r="H686" s="76">
        <v>9010000035</v>
      </c>
      <c r="I686" s="92" t="s">
        <v>47</v>
      </c>
      <c r="J686" s="92">
        <v>1202010202</v>
      </c>
      <c r="K686" s="15"/>
      <c r="L686" s="95" t="s">
        <v>2180</v>
      </c>
      <c r="M686" s="69" t="s">
        <v>2181</v>
      </c>
      <c r="N686" s="69"/>
      <c r="O686" s="94">
        <v>1</v>
      </c>
      <c r="P686" s="69" t="s">
        <v>50</v>
      </c>
      <c r="Q686" s="69" t="s">
        <v>51</v>
      </c>
      <c r="R686" s="69"/>
      <c r="S686" s="46">
        <v>44034</v>
      </c>
      <c r="T686" s="48">
        <v>44034</v>
      </c>
      <c r="U686" s="69"/>
      <c r="V686" s="69"/>
      <c r="W686" s="69"/>
      <c r="X686" s="69"/>
      <c r="Y686" s="69" t="s">
        <v>4127</v>
      </c>
      <c r="Z686" s="43">
        <v>2298</v>
      </c>
      <c r="AA686" s="43" t="s">
        <v>52</v>
      </c>
      <c r="AB686" s="43" t="s">
        <v>53</v>
      </c>
      <c r="AC686" s="43">
        <v>1825</v>
      </c>
      <c r="AD686" s="141">
        <v>5</v>
      </c>
      <c r="AE686" s="142">
        <v>0</v>
      </c>
      <c r="AF686" s="142"/>
      <c r="AG686" s="69" t="str">
        <f t="shared" si="412"/>
        <v>4 years 164 days</v>
      </c>
      <c r="AH686" s="69">
        <v>4</v>
      </c>
      <c r="AI686" s="69">
        <v>164</v>
      </c>
      <c r="AJ686" s="69">
        <v>0</v>
      </c>
      <c r="AK686" s="69">
        <v>0</v>
      </c>
      <c r="AL686" s="60">
        <v>2298</v>
      </c>
      <c r="AM686" s="60">
        <f t="shared" si="413"/>
        <v>2298</v>
      </c>
      <c r="AN686" s="59">
        <v>2298</v>
      </c>
      <c r="AO686" s="148">
        <f t="shared" si="414"/>
        <v>-2298</v>
      </c>
      <c r="AP686" s="58">
        <v>0</v>
      </c>
      <c r="AQ686" s="143">
        <f t="shared" si="415"/>
        <v>0</v>
      </c>
    </row>
    <row r="687" spans="1:43" x14ac:dyDescent="0.35">
      <c r="A687" s="69" t="s">
        <v>43</v>
      </c>
      <c r="B687" s="15" t="s">
        <v>2182</v>
      </c>
      <c r="C687" s="15"/>
      <c r="D687" s="69"/>
      <c r="E687" s="76">
        <v>0</v>
      </c>
      <c r="F687" s="69" t="s">
        <v>1960</v>
      </c>
      <c r="G687" s="12" t="s">
        <v>1961</v>
      </c>
      <c r="H687" s="76">
        <v>9010000036</v>
      </c>
      <c r="I687" s="92" t="s">
        <v>47</v>
      </c>
      <c r="J687" s="92">
        <v>1202010202</v>
      </c>
      <c r="K687" s="15"/>
      <c r="L687" s="95" t="s">
        <v>2183</v>
      </c>
      <c r="M687" s="69" t="s">
        <v>2184</v>
      </c>
      <c r="N687" s="69"/>
      <c r="O687" s="94">
        <v>1</v>
      </c>
      <c r="P687" s="69" t="s">
        <v>50</v>
      </c>
      <c r="Q687" s="69" t="s">
        <v>51</v>
      </c>
      <c r="R687" s="69"/>
      <c r="S687" s="46">
        <v>44076</v>
      </c>
      <c r="T687" s="48">
        <v>44076</v>
      </c>
      <c r="U687" s="69"/>
      <c r="V687" s="69"/>
      <c r="W687" s="69"/>
      <c r="X687" s="69"/>
      <c r="Y687" s="69" t="s">
        <v>4127</v>
      </c>
      <c r="Z687" s="43">
        <v>59000</v>
      </c>
      <c r="AA687" s="43" t="s">
        <v>52</v>
      </c>
      <c r="AB687" s="43" t="s">
        <v>53</v>
      </c>
      <c r="AC687" s="43">
        <v>1825</v>
      </c>
      <c r="AD687" s="141">
        <v>5</v>
      </c>
      <c r="AE687" s="142">
        <v>0</v>
      </c>
      <c r="AF687" s="142"/>
      <c r="AG687" s="69" t="str">
        <f t="shared" si="412"/>
        <v>4 years 122 days</v>
      </c>
      <c r="AH687" s="69">
        <v>4</v>
      </c>
      <c r="AI687" s="69">
        <v>122</v>
      </c>
      <c r="AJ687" s="69">
        <v>0</v>
      </c>
      <c r="AK687" s="69">
        <v>0</v>
      </c>
      <c r="AL687" s="60">
        <v>59000</v>
      </c>
      <c r="AM687" s="60">
        <f t="shared" si="413"/>
        <v>59000</v>
      </c>
      <c r="AN687" s="59">
        <v>51144</v>
      </c>
      <c r="AO687" s="148">
        <f t="shared" si="414"/>
        <v>-51144</v>
      </c>
      <c r="AP687" s="58">
        <v>5851.61643835617</v>
      </c>
      <c r="AQ687" s="143">
        <f t="shared" si="415"/>
        <v>-5851.62</v>
      </c>
    </row>
    <row r="688" spans="1:43" x14ac:dyDescent="0.35">
      <c r="A688" s="69" t="s">
        <v>43</v>
      </c>
      <c r="B688" s="15" t="s">
        <v>2185</v>
      </c>
      <c r="C688" s="15"/>
      <c r="D688" s="69"/>
      <c r="E688" s="76">
        <v>0</v>
      </c>
      <c r="F688" s="69" t="s">
        <v>1960</v>
      </c>
      <c r="G688" s="12" t="s">
        <v>1961</v>
      </c>
      <c r="H688" s="76">
        <v>9010000037</v>
      </c>
      <c r="I688" s="92" t="s">
        <v>47</v>
      </c>
      <c r="J688" s="92">
        <v>1202010202</v>
      </c>
      <c r="K688" s="34"/>
      <c r="L688" s="95" t="s">
        <v>2186</v>
      </c>
      <c r="M688" s="69" t="s">
        <v>2187</v>
      </c>
      <c r="N688" s="69"/>
      <c r="O688" s="94">
        <v>1</v>
      </c>
      <c r="P688" s="69" t="s">
        <v>50</v>
      </c>
      <c r="Q688" s="69" t="s">
        <v>51</v>
      </c>
      <c r="R688" s="69"/>
      <c r="S688" s="46">
        <v>44311</v>
      </c>
      <c r="T688" s="48">
        <v>44311</v>
      </c>
      <c r="U688" s="69"/>
      <c r="V688" s="69"/>
      <c r="W688" s="69"/>
      <c r="X688" s="69"/>
      <c r="Y688" s="69" t="s">
        <v>4128</v>
      </c>
      <c r="Z688" s="43">
        <v>30200</v>
      </c>
      <c r="AA688" s="43" t="s">
        <v>52</v>
      </c>
      <c r="AB688" s="43" t="s">
        <v>53</v>
      </c>
      <c r="AC688" s="43">
        <v>3650</v>
      </c>
      <c r="AD688" s="141">
        <v>10</v>
      </c>
      <c r="AE688" s="142">
        <v>0</v>
      </c>
      <c r="AF688" s="142"/>
      <c r="AG688" s="69" t="str">
        <f t="shared" si="412"/>
        <v>3 years 252 days</v>
      </c>
      <c r="AH688" s="69">
        <v>3</v>
      </c>
      <c r="AI688" s="69">
        <v>252</v>
      </c>
      <c r="AJ688" s="69">
        <v>0</v>
      </c>
      <c r="AK688" s="69">
        <v>0</v>
      </c>
      <c r="AL688" s="60">
        <v>30200</v>
      </c>
      <c r="AM688" s="60">
        <f t="shared" si="413"/>
        <v>30200</v>
      </c>
      <c r="AN688" s="59">
        <v>11145</v>
      </c>
      <c r="AO688" s="148">
        <f t="shared" si="414"/>
        <v>-11145</v>
      </c>
      <c r="AP688" s="58">
        <v>1497.6301369863013</v>
      </c>
      <c r="AQ688" s="143">
        <f t="shared" si="415"/>
        <v>-1497.63</v>
      </c>
    </row>
    <row r="689" spans="1:43" x14ac:dyDescent="0.35">
      <c r="A689" s="69" t="s">
        <v>43</v>
      </c>
      <c r="B689" s="15" t="s">
        <v>2188</v>
      </c>
      <c r="C689" s="15"/>
      <c r="D689" s="69"/>
      <c r="E689" s="76">
        <v>0</v>
      </c>
      <c r="F689" s="69" t="s">
        <v>1960</v>
      </c>
      <c r="G689" s="12" t="s">
        <v>1961</v>
      </c>
      <c r="H689" s="76">
        <v>9010000038</v>
      </c>
      <c r="I689" s="92" t="s">
        <v>47</v>
      </c>
      <c r="J689" s="92">
        <v>1202010202</v>
      </c>
      <c r="K689" s="15"/>
      <c r="L689" s="95" t="s">
        <v>2189</v>
      </c>
      <c r="M689" s="69" t="s">
        <v>2190</v>
      </c>
      <c r="N689" s="69"/>
      <c r="O689" s="94">
        <v>1</v>
      </c>
      <c r="P689" s="69" t="s">
        <v>50</v>
      </c>
      <c r="Q689" s="69" t="s">
        <v>51</v>
      </c>
      <c r="R689" s="69"/>
      <c r="S689" s="46">
        <v>44621</v>
      </c>
      <c r="T689" s="48">
        <v>44621</v>
      </c>
      <c r="U689" s="69"/>
      <c r="V689" s="69"/>
      <c r="W689" s="69"/>
      <c r="X689" s="69"/>
      <c r="Y689" s="69" t="s">
        <v>4131</v>
      </c>
      <c r="Z689" s="43">
        <v>10600</v>
      </c>
      <c r="AA689" s="43" t="s">
        <v>52</v>
      </c>
      <c r="AB689" s="43" t="s">
        <v>53</v>
      </c>
      <c r="AC689" s="43">
        <v>1825</v>
      </c>
      <c r="AD689" s="141">
        <v>5</v>
      </c>
      <c r="AE689" s="142">
        <v>0</v>
      </c>
      <c r="AF689" s="142"/>
      <c r="AG689" s="69" t="str">
        <f t="shared" si="412"/>
        <v>2 years 307 days</v>
      </c>
      <c r="AH689" s="69">
        <v>2</v>
      </c>
      <c r="AI689" s="69">
        <v>307</v>
      </c>
      <c r="AJ689" s="69">
        <v>0</v>
      </c>
      <c r="AK689" s="69">
        <v>0</v>
      </c>
      <c r="AL689" s="60">
        <v>10600</v>
      </c>
      <c r="AM689" s="60">
        <f t="shared" si="413"/>
        <v>10600</v>
      </c>
      <c r="AN689" s="59">
        <v>5933</v>
      </c>
      <c r="AO689" s="148">
        <f t="shared" si="414"/>
        <v>-5933</v>
      </c>
      <c r="AP689" s="58">
        <v>1051.3835616438364</v>
      </c>
      <c r="AQ689" s="143">
        <f t="shared" si="415"/>
        <v>-1051.3800000000001</v>
      </c>
    </row>
    <row r="690" spans="1:43" x14ac:dyDescent="0.35">
      <c r="A690" s="69" t="s">
        <v>43</v>
      </c>
      <c r="B690" s="15" t="s">
        <v>2191</v>
      </c>
      <c r="C690" s="15"/>
      <c r="D690" s="69"/>
      <c r="E690" s="76">
        <v>0</v>
      </c>
      <c r="F690" s="69" t="s">
        <v>1960</v>
      </c>
      <c r="G690" s="12" t="s">
        <v>1961</v>
      </c>
      <c r="H690" s="76">
        <v>9010000039</v>
      </c>
      <c r="I690" s="92" t="s">
        <v>47</v>
      </c>
      <c r="J690" s="92">
        <v>1202010202</v>
      </c>
      <c r="K690" s="15"/>
      <c r="L690" s="95" t="s">
        <v>2192</v>
      </c>
      <c r="M690" s="69" t="s">
        <v>2193</v>
      </c>
      <c r="N690" s="69"/>
      <c r="O690" s="94">
        <v>1</v>
      </c>
      <c r="P690" s="69" t="s">
        <v>50</v>
      </c>
      <c r="Q690" s="69" t="s">
        <v>51</v>
      </c>
      <c r="R690" s="69"/>
      <c r="S690" s="46">
        <v>44910</v>
      </c>
      <c r="T690" s="48">
        <v>44910</v>
      </c>
      <c r="U690" s="69"/>
      <c r="V690" s="69"/>
      <c r="W690" s="69"/>
      <c r="X690" s="69"/>
      <c r="Y690" s="69" t="s">
        <v>4131</v>
      </c>
      <c r="Z690" s="43">
        <v>157500</v>
      </c>
      <c r="AA690" s="43" t="s">
        <v>52</v>
      </c>
      <c r="AB690" s="43" t="s">
        <v>53</v>
      </c>
      <c r="AC690" s="43">
        <v>3650</v>
      </c>
      <c r="AD690" s="141">
        <v>10</v>
      </c>
      <c r="AE690" s="142">
        <v>0</v>
      </c>
      <c r="AF690" s="142"/>
      <c r="AG690" s="69" t="str">
        <f t="shared" si="412"/>
        <v>2 years 18 days</v>
      </c>
      <c r="AH690" s="69">
        <v>2</v>
      </c>
      <c r="AI690" s="69">
        <v>18</v>
      </c>
      <c r="AJ690" s="69">
        <v>0</v>
      </c>
      <c r="AK690" s="69">
        <v>0</v>
      </c>
      <c r="AL690" s="60">
        <v>157500</v>
      </c>
      <c r="AM690" s="60">
        <f t="shared" si="413"/>
        <v>157500</v>
      </c>
      <c r="AN690" s="59">
        <v>32277</v>
      </c>
      <c r="AO690" s="148">
        <f t="shared" si="414"/>
        <v>-32277</v>
      </c>
      <c r="AP690" s="58">
        <v>7809.9863013698559</v>
      </c>
      <c r="AQ690" s="143">
        <f t="shared" si="415"/>
        <v>-7809.99</v>
      </c>
    </row>
    <row r="691" spans="1:43" x14ac:dyDescent="0.35">
      <c r="A691" s="69" t="s">
        <v>43</v>
      </c>
      <c r="B691" s="15" t="s">
        <v>2194</v>
      </c>
      <c r="C691" s="15"/>
      <c r="D691" s="69"/>
      <c r="E691" s="76">
        <v>0</v>
      </c>
      <c r="F691" s="69" t="s">
        <v>1960</v>
      </c>
      <c r="G691" s="12" t="s">
        <v>1961</v>
      </c>
      <c r="H691" s="76">
        <v>9010000040</v>
      </c>
      <c r="I691" s="92" t="s">
        <v>47</v>
      </c>
      <c r="J691" s="92">
        <v>1202010202</v>
      </c>
      <c r="K691" s="15"/>
      <c r="L691" s="95" t="s">
        <v>2195</v>
      </c>
      <c r="M691" s="69" t="s">
        <v>2196</v>
      </c>
      <c r="N691" s="69"/>
      <c r="O691" s="94">
        <v>2668</v>
      </c>
      <c r="P691" s="69" t="s">
        <v>50</v>
      </c>
      <c r="Q691" s="69" t="s">
        <v>51</v>
      </c>
      <c r="R691" s="69"/>
      <c r="S691" s="46">
        <v>44910</v>
      </c>
      <c r="T691" s="48">
        <v>44910</v>
      </c>
      <c r="U691" s="69"/>
      <c r="V691" s="69"/>
      <c r="W691" s="69"/>
      <c r="X691" s="69"/>
      <c r="Y691" s="69" t="s">
        <v>4131</v>
      </c>
      <c r="Z691" s="43">
        <v>133483</v>
      </c>
      <c r="AA691" s="43" t="s">
        <v>52</v>
      </c>
      <c r="AB691" s="43" t="s">
        <v>53</v>
      </c>
      <c r="AC691" s="43">
        <v>1825</v>
      </c>
      <c r="AD691" s="141">
        <v>5</v>
      </c>
      <c r="AE691" s="142">
        <v>0</v>
      </c>
      <c r="AF691" s="142"/>
      <c r="AG691" s="69" t="str">
        <f t="shared" si="412"/>
        <v>2 years 18 days</v>
      </c>
      <c r="AH691" s="69">
        <v>2</v>
      </c>
      <c r="AI691" s="69">
        <v>18</v>
      </c>
      <c r="AJ691" s="69">
        <v>0</v>
      </c>
      <c r="AK691" s="69">
        <v>0</v>
      </c>
      <c r="AL691" s="60">
        <v>133483</v>
      </c>
      <c r="AM691" s="60">
        <f t="shared" si="413"/>
        <v>133483</v>
      </c>
      <c r="AN691" s="59">
        <v>54710</v>
      </c>
      <c r="AO691" s="148">
        <f t="shared" si="414"/>
        <v>-54710</v>
      </c>
      <c r="AP691" s="58">
        <v>13238.332602739727</v>
      </c>
      <c r="AQ691" s="143">
        <f t="shared" si="415"/>
        <v>-13238.33</v>
      </c>
    </row>
    <row r="692" spans="1:43" x14ac:dyDescent="0.35">
      <c r="A692" s="69" t="s">
        <v>43</v>
      </c>
      <c r="B692" s="15" t="s">
        <v>2197</v>
      </c>
      <c r="C692" s="15"/>
      <c r="D692" s="69"/>
      <c r="E692" s="76">
        <v>0</v>
      </c>
      <c r="F692" s="69" t="s">
        <v>1960</v>
      </c>
      <c r="G692" s="12" t="s">
        <v>1961</v>
      </c>
      <c r="H692" s="76">
        <v>9010000041</v>
      </c>
      <c r="I692" s="92" t="s">
        <v>47</v>
      </c>
      <c r="J692" s="92">
        <v>1202010202</v>
      </c>
      <c r="K692" s="15"/>
      <c r="L692" s="95" t="s">
        <v>2198</v>
      </c>
      <c r="M692" s="69" t="s">
        <v>2199</v>
      </c>
      <c r="N692" s="69"/>
      <c r="O692" s="94">
        <v>1</v>
      </c>
      <c r="P692" s="69" t="s">
        <v>50</v>
      </c>
      <c r="Q692" s="69" t="s">
        <v>51</v>
      </c>
      <c r="R692" s="69"/>
      <c r="S692" s="46">
        <v>44896</v>
      </c>
      <c r="T692" s="48">
        <v>44896</v>
      </c>
      <c r="U692" s="69"/>
      <c r="V692" s="69"/>
      <c r="W692" s="69"/>
      <c r="X692" s="69"/>
      <c r="Y692" s="69" t="s">
        <v>4131</v>
      </c>
      <c r="Z692" s="43">
        <v>39999</v>
      </c>
      <c r="AA692" s="43" t="s">
        <v>52</v>
      </c>
      <c r="AB692" s="43" t="s">
        <v>53</v>
      </c>
      <c r="AC692" s="43">
        <v>1825</v>
      </c>
      <c r="AD692" s="141">
        <v>5</v>
      </c>
      <c r="AE692" s="142">
        <v>0</v>
      </c>
      <c r="AF692" s="142"/>
      <c r="AG692" s="69" t="str">
        <f t="shared" si="412"/>
        <v>2 years 32 days</v>
      </c>
      <c r="AH692" s="69">
        <v>2</v>
      </c>
      <c r="AI692" s="69">
        <v>32</v>
      </c>
      <c r="AJ692" s="69">
        <v>0</v>
      </c>
      <c r="AK692" s="69">
        <v>0</v>
      </c>
      <c r="AL692" s="60">
        <v>39999</v>
      </c>
      <c r="AM692" s="60">
        <f t="shared" si="413"/>
        <v>39999</v>
      </c>
      <c r="AN692" s="59">
        <v>16701</v>
      </c>
      <c r="AO692" s="148">
        <f t="shared" si="414"/>
        <v>-16701</v>
      </c>
      <c r="AP692" s="58">
        <v>3966.9764383561669</v>
      </c>
      <c r="AQ692" s="143">
        <f t="shared" si="415"/>
        <v>-3966.98</v>
      </c>
    </row>
    <row r="693" spans="1:43" x14ac:dyDescent="0.35">
      <c r="A693" s="69" t="s">
        <v>43</v>
      </c>
      <c r="B693" s="15" t="s">
        <v>2200</v>
      </c>
      <c r="C693" s="15"/>
      <c r="D693" s="69"/>
      <c r="E693" s="76">
        <v>0</v>
      </c>
      <c r="F693" s="69" t="s">
        <v>1960</v>
      </c>
      <c r="G693" s="13" t="s">
        <v>1961</v>
      </c>
      <c r="H693" s="76">
        <v>9010000042</v>
      </c>
      <c r="I693" s="92" t="s">
        <v>47</v>
      </c>
      <c r="J693" s="92">
        <v>1202010202</v>
      </c>
      <c r="K693" s="15"/>
      <c r="L693" s="95" t="s">
        <v>2201</v>
      </c>
      <c r="M693" s="69" t="s">
        <v>2202</v>
      </c>
      <c r="N693" s="69"/>
      <c r="O693" s="94">
        <v>1</v>
      </c>
      <c r="P693" s="69" t="s">
        <v>50</v>
      </c>
      <c r="Q693" s="69" t="s">
        <v>51</v>
      </c>
      <c r="R693" s="69"/>
      <c r="S693" s="46">
        <v>44910</v>
      </c>
      <c r="T693" s="48">
        <v>44910</v>
      </c>
      <c r="U693" s="69"/>
      <c r="V693" s="69"/>
      <c r="W693" s="69"/>
      <c r="X693" s="69"/>
      <c r="Y693" s="69" t="s">
        <v>4131</v>
      </c>
      <c r="Z693" s="43">
        <v>59103.5</v>
      </c>
      <c r="AA693" s="43" t="s">
        <v>52</v>
      </c>
      <c r="AB693" s="43" t="s">
        <v>53</v>
      </c>
      <c r="AC693" s="43">
        <v>3650</v>
      </c>
      <c r="AD693" s="141">
        <v>10</v>
      </c>
      <c r="AE693" s="142">
        <v>0</v>
      </c>
      <c r="AF693" s="142"/>
      <c r="AG693" s="69" t="str">
        <f t="shared" si="412"/>
        <v>2 years 18 days</v>
      </c>
      <c r="AH693" s="69">
        <v>2</v>
      </c>
      <c r="AI693" s="69">
        <v>18</v>
      </c>
      <c r="AJ693" s="69">
        <v>0</v>
      </c>
      <c r="AK693" s="69">
        <v>0</v>
      </c>
      <c r="AL693" s="60">
        <v>59103.5</v>
      </c>
      <c r="AM693" s="60">
        <f t="shared" si="413"/>
        <v>59103.5</v>
      </c>
      <c r="AN693" s="59">
        <v>12112</v>
      </c>
      <c r="AO693" s="148">
        <f t="shared" si="414"/>
        <v>-12112</v>
      </c>
      <c r="AP693" s="58">
        <v>2931.0698630136976</v>
      </c>
      <c r="AQ693" s="143">
        <f t="shared" si="415"/>
        <v>-2931.07</v>
      </c>
    </row>
    <row r="694" spans="1:43" x14ac:dyDescent="0.35">
      <c r="A694" s="69" t="s">
        <v>43</v>
      </c>
      <c r="B694" s="15" t="s">
        <v>2203</v>
      </c>
      <c r="C694" s="15"/>
      <c r="D694" s="69"/>
      <c r="E694" s="76">
        <v>0</v>
      </c>
      <c r="F694" s="69" t="s">
        <v>1960</v>
      </c>
      <c r="G694" s="12" t="s">
        <v>1961</v>
      </c>
      <c r="H694" s="76">
        <v>9010000043</v>
      </c>
      <c r="I694" s="92" t="s">
        <v>47</v>
      </c>
      <c r="J694" s="92">
        <v>1202010202</v>
      </c>
      <c r="K694" s="15"/>
      <c r="L694" s="95" t="s">
        <v>2204</v>
      </c>
      <c r="M694" s="69" t="s">
        <v>2205</v>
      </c>
      <c r="N694" s="69"/>
      <c r="O694" s="94">
        <v>1</v>
      </c>
      <c r="P694" s="69" t="s">
        <v>50</v>
      </c>
      <c r="Q694" s="69" t="s">
        <v>51</v>
      </c>
      <c r="R694" s="69"/>
      <c r="S694" s="46">
        <v>44910</v>
      </c>
      <c r="T694" s="48">
        <v>44910</v>
      </c>
      <c r="U694" s="69"/>
      <c r="V694" s="69"/>
      <c r="W694" s="69"/>
      <c r="X694" s="69"/>
      <c r="Y694" s="69" t="s">
        <v>4131</v>
      </c>
      <c r="Z694" s="43">
        <v>539803.4</v>
      </c>
      <c r="AA694" s="43" t="s">
        <v>52</v>
      </c>
      <c r="AB694" s="43" t="s">
        <v>53</v>
      </c>
      <c r="AC694" s="43">
        <v>3650</v>
      </c>
      <c r="AD694" s="141">
        <v>10</v>
      </c>
      <c r="AE694" s="142">
        <v>0</v>
      </c>
      <c r="AF694" s="142"/>
      <c r="AG694" s="69" t="str">
        <f t="shared" si="412"/>
        <v>2 years 18 days</v>
      </c>
      <c r="AH694" s="69">
        <v>2</v>
      </c>
      <c r="AI694" s="69">
        <v>18</v>
      </c>
      <c r="AJ694" s="69">
        <v>0</v>
      </c>
      <c r="AK694" s="69">
        <v>0</v>
      </c>
      <c r="AL694" s="60">
        <v>539803.4</v>
      </c>
      <c r="AM694" s="60">
        <f t="shared" si="413"/>
        <v>539803.4</v>
      </c>
      <c r="AN694" s="59">
        <v>110623</v>
      </c>
      <c r="AO694" s="148">
        <f t="shared" si="414"/>
        <v>-110623</v>
      </c>
      <c r="AP694" s="58">
        <v>26768.045424657525</v>
      </c>
      <c r="AQ694" s="143">
        <f t="shared" si="415"/>
        <v>-26768.05</v>
      </c>
    </row>
    <row r="695" spans="1:43" x14ac:dyDescent="0.35">
      <c r="A695" s="69" t="s">
        <v>43</v>
      </c>
      <c r="B695" s="15" t="s">
        <v>2206</v>
      </c>
      <c r="C695" s="15"/>
      <c r="D695" s="69"/>
      <c r="E695" s="76">
        <v>0</v>
      </c>
      <c r="F695" s="69" t="s">
        <v>1960</v>
      </c>
      <c r="G695" s="12" t="s">
        <v>1961</v>
      </c>
      <c r="H695" s="76">
        <v>9010000044</v>
      </c>
      <c r="I695" s="92" t="s">
        <v>47</v>
      </c>
      <c r="J695" s="92">
        <v>1202010202</v>
      </c>
      <c r="K695" s="15"/>
      <c r="L695" s="95" t="s">
        <v>2207</v>
      </c>
      <c r="M695" s="69" t="s">
        <v>2208</v>
      </c>
      <c r="N695" s="69"/>
      <c r="O695" s="94">
        <v>1</v>
      </c>
      <c r="P695" s="69" t="s">
        <v>50</v>
      </c>
      <c r="Q695" s="69" t="s">
        <v>51</v>
      </c>
      <c r="R695" s="69"/>
      <c r="S695" s="46">
        <v>44910</v>
      </c>
      <c r="T695" s="48">
        <v>44910</v>
      </c>
      <c r="U695" s="69"/>
      <c r="V695" s="69"/>
      <c r="W695" s="69"/>
      <c r="X695" s="69"/>
      <c r="Y695" s="69" t="s">
        <v>4131</v>
      </c>
      <c r="Z695" s="43">
        <v>2356838.48</v>
      </c>
      <c r="AA695" s="43" t="s">
        <v>52</v>
      </c>
      <c r="AB695" s="43" t="s">
        <v>53</v>
      </c>
      <c r="AC695" s="43">
        <v>3650</v>
      </c>
      <c r="AD695" s="141">
        <v>10</v>
      </c>
      <c r="AE695" s="142">
        <v>0</v>
      </c>
      <c r="AF695" s="142"/>
      <c r="AG695" s="69" t="str">
        <f t="shared" si="412"/>
        <v>2 years 18 days</v>
      </c>
      <c r="AH695" s="69">
        <v>2</v>
      </c>
      <c r="AI695" s="69">
        <v>18</v>
      </c>
      <c r="AJ695" s="69">
        <v>0</v>
      </c>
      <c r="AK695" s="69">
        <v>0</v>
      </c>
      <c r="AL695" s="60">
        <v>2356838.48</v>
      </c>
      <c r="AM695" s="60">
        <f t="shared" si="413"/>
        <v>2356838.48</v>
      </c>
      <c r="AN695" s="59">
        <v>482990</v>
      </c>
      <c r="AO695" s="148">
        <f t="shared" si="414"/>
        <v>-482990</v>
      </c>
      <c r="AP695" s="58">
        <v>116873.80727671226</v>
      </c>
      <c r="AQ695" s="143">
        <f t="shared" si="415"/>
        <v>-116873.81</v>
      </c>
    </row>
    <row r="696" spans="1:43" x14ac:dyDescent="0.35">
      <c r="A696" s="69" t="s">
        <v>43</v>
      </c>
      <c r="B696" s="15" t="s">
        <v>2209</v>
      </c>
      <c r="C696" s="15"/>
      <c r="D696" s="69"/>
      <c r="E696" s="76">
        <v>0</v>
      </c>
      <c r="F696" s="69" t="s">
        <v>1960</v>
      </c>
      <c r="G696" s="12" t="s">
        <v>1961</v>
      </c>
      <c r="H696" s="79">
        <v>9010000045</v>
      </c>
      <c r="I696" s="92" t="s">
        <v>47</v>
      </c>
      <c r="J696" s="92">
        <v>1202010202</v>
      </c>
      <c r="K696" s="15"/>
      <c r="L696" s="95" t="s">
        <v>2210</v>
      </c>
      <c r="M696" s="69" t="s">
        <v>2211</v>
      </c>
      <c r="N696" s="69"/>
      <c r="O696" s="94">
        <v>1</v>
      </c>
      <c r="P696" s="69" t="s">
        <v>50</v>
      </c>
      <c r="Q696" s="69" t="s">
        <v>51</v>
      </c>
      <c r="R696" s="69"/>
      <c r="S696" s="46">
        <v>45010</v>
      </c>
      <c r="T696" s="48">
        <v>45010</v>
      </c>
      <c r="U696" s="69"/>
      <c r="V696" s="69"/>
      <c r="W696" s="69"/>
      <c r="X696" s="69"/>
      <c r="Y696" s="69" t="s">
        <v>4129</v>
      </c>
      <c r="Z696" s="43">
        <v>893909</v>
      </c>
      <c r="AA696" s="43" t="s">
        <v>52</v>
      </c>
      <c r="AB696" s="43" t="s">
        <v>53</v>
      </c>
      <c r="AC696" s="43">
        <v>1825</v>
      </c>
      <c r="AD696" s="141">
        <v>5</v>
      </c>
      <c r="AE696" s="142">
        <v>0</v>
      </c>
      <c r="AF696" s="142"/>
      <c r="AG696" s="69" t="str">
        <f t="shared" si="412"/>
        <v>1 years 283 days</v>
      </c>
      <c r="AH696" s="69">
        <v>1</v>
      </c>
      <c r="AI696" s="69">
        <v>283</v>
      </c>
      <c r="AJ696" s="69">
        <v>0</v>
      </c>
      <c r="AK696" s="69">
        <v>0</v>
      </c>
      <c r="AL696" s="60">
        <v>893909</v>
      </c>
      <c r="AM696" s="60">
        <f t="shared" si="413"/>
        <v>893909</v>
      </c>
      <c r="AN696" s="59">
        <v>317399</v>
      </c>
      <c r="AO696" s="148">
        <f t="shared" si="414"/>
        <v>-317399</v>
      </c>
      <c r="AP696" s="58">
        <v>88656.101917808177</v>
      </c>
      <c r="AQ696" s="143">
        <f t="shared" si="415"/>
        <v>-88656.1</v>
      </c>
    </row>
    <row r="697" spans="1:43" x14ac:dyDescent="0.35">
      <c r="A697" s="69" t="s">
        <v>43</v>
      </c>
      <c r="B697" s="15" t="s">
        <v>2212</v>
      </c>
      <c r="C697" s="15"/>
      <c r="D697" s="69"/>
      <c r="E697" s="76">
        <v>0</v>
      </c>
      <c r="F697" s="69" t="s">
        <v>1960</v>
      </c>
      <c r="G697" s="10" t="s">
        <v>1961</v>
      </c>
      <c r="H697" s="76">
        <v>9010000046</v>
      </c>
      <c r="I697" s="92" t="s">
        <v>47</v>
      </c>
      <c r="J697" s="92">
        <v>1202010202</v>
      </c>
      <c r="K697" s="15"/>
      <c r="L697" s="95" t="s">
        <v>2213</v>
      </c>
      <c r="M697" s="69" t="s">
        <v>2214</v>
      </c>
      <c r="N697" s="69"/>
      <c r="O697" s="94">
        <v>1</v>
      </c>
      <c r="P697" s="69" t="s">
        <v>50</v>
      </c>
      <c r="Q697" s="69" t="s">
        <v>51</v>
      </c>
      <c r="R697" s="69"/>
      <c r="S697" s="46">
        <v>44986</v>
      </c>
      <c r="T697" s="48">
        <v>44986</v>
      </c>
      <c r="U697" s="69"/>
      <c r="V697" s="69"/>
      <c r="W697" s="69"/>
      <c r="X697" s="69"/>
      <c r="Y697" s="69" t="s">
        <v>4129</v>
      </c>
      <c r="Z697" s="43">
        <v>26891</v>
      </c>
      <c r="AA697" s="43" t="s">
        <v>52</v>
      </c>
      <c r="AB697" s="43" t="s">
        <v>53</v>
      </c>
      <c r="AC697" s="43">
        <v>3650</v>
      </c>
      <c r="AD697" s="141">
        <v>10</v>
      </c>
      <c r="AE697" s="142">
        <v>0</v>
      </c>
      <c r="AF697" s="142"/>
      <c r="AG697" s="69" t="str">
        <f t="shared" si="412"/>
        <v>1 years 307 days</v>
      </c>
      <c r="AH697" s="69">
        <v>1</v>
      </c>
      <c r="AI697" s="69">
        <v>307</v>
      </c>
      <c r="AJ697" s="69">
        <v>0</v>
      </c>
      <c r="AK697" s="69">
        <v>0</v>
      </c>
      <c r="AL697" s="60">
        <v>26891</v>
      </c>
      <c r="AM697" s="60">
        <f t="shared" si="413"/>
        <v>26891</v>
      </c>
      <c r="AN697" s="59">
        <v>4951</v>
      </c>
      <c r="AO697" s="148">
        <f t="shared" si="414"/>
        <v>-4951</v>
      </c>
      <c r="AP697" s="58">
        <v>1333.3898630136982</v>
      </c>
      <c r="AQ697" s="143">
        <f t="shared" si="415"/>
        <v>-1333.39</v>
      </c>
    </row>
    <row r="698" spans="1:43" x14ac:dyDescent="0.35">
      <c r="A698" s="69" t="s">
        <v>43</v>
      </c>
      <c r="B698" s="15" t="s">
        <v>2215</v>
      </c>
      <c r="C698" s="15"/>
      <c r="D698" s="69"/>
      <c r="E698" s="76">
        <v>0</v>
      </c>
      <c r="F698" s="69" t="s">
        <v>1960</v>
      </c>
      <c r="G698" s="10" t="s">
        <v>1961</v>
      </c>
      <c r="H698" s="76">
        <v>9010000047</v>
      </c>
      <c r="I698" s="92" t="s">
        <v>47</v>
      </c>
      <c r="J698" s="92">
        <v>1202010202</v>
      </c>
      <c r="K698" s="15"/>
      <c r="L698" s="95" t="s">
        <v>2216</v>
      </c>
      <c r="M698" s="69" t="s">
        <v>932</v>
      </c>
      <c r="N698" s="69"/>
      <c r="O698" s="94">
        <v>1</v>
      </c>
      <c r="P698" s="69" t="s">
        <v>50</v>
      </c>
      <c r="Q698" s="69" t="s">
        <v>51</v>
      </c>
      <c r="R698" s="69"/>
      <c r="S698" s="46">
        <v>44986</v>
      </c>
      <c r="T698" s="48">
        <v>44986</v>
      </c>
      <c r="U698" s="69"/>
      <c r="V698" s="69"/>
      <c r="W698" s="69"/>
      <c r="X698" s="69"/>
      <c r="Y698" s="69" t="s">
        <v>4129</v>
      </c>
      <c r="Z698" s="43">
        <v>29234</v>
      </c>
      <c r="AA698" s="43" t="s">
        <v>52</v>
      </c>
      <c r="AB698" s="43" t="s">
        <v>53</v>
      </c>
      <c r="AC698" s="43">
        <v>3650</v>
      </c>
      <c r="AD698" s="141">
        <v>10</v>
      </c>
      <c r="AE698" s="142">
        <v>0</v>
      </c>
      <c r="AF698" s="142"/>
      <c r="AG698" s="69" t="str">
        <f t="shared" si="412"/>
        <v>1 years 307 days</v>
      </c>
      <c r="AH698" s="69">
        <v>1</v>
      </c>
      <c r="AI698" s="69">
        <v>307</v>
      </c>
      <c r="AJ698" s="69">
        <v>0</v>
      </c>
      <c r="AK698" s="69">
        <v>0</v>
      </c>
      <c r="AL698" s="60">
        <v>29234</v>
      </c>
      <c r="AM698" s="60">
        <f t="shared" si="413"/>
        <v>29234</v>
      </c>
      <c r="AN698" s="59">
        <v>5382</v>
      </c>
      <c r="AO698" s="148">
        <f t="shared" si="414"/>
        <v>-5382</v>
      </c>
      <c r="AP698" s="58">
        <v>1449.9457534246567</v>
      </c>
      <c r="AQ698" s="143">
        <f t="shared" si="415"/>
        <v>-1449.95</v>
      </c>
    </row>
    <row r="699" spans="1:43" x14ac:dyDescent="0.35">
      <c r="A699" s="69" t="s">
        <v>43</v>
      </c>
      <c r="B699" s="15" t="s">
        <v>2217</v>
      </c>
      <c r="C699" s="15"/>
      <c r="D699" s="69"/>
      <c r="E699" s="76">
        <v>0</v>
      </c>
      <c r="F699" s="69" t="s">
        <v>1960</v>
      </c>
      <c r="G699" s="10" t="s">
        <v>1961</v>
      </c>
      <c r="H699" s="76">
        <v>9010000048</v>
      </c>
      <c r="I699" s="92" t="s">
        <v>47</v>
      </c>
      <c r="J699" s="92">
        <v>1202010202</v>
      </c>
      <c r="K699" s="15"/>
      <c r="L699" s="95" t="s">
        <v>2218</v>
      </c>
      <c r="M699" s="69" t="s">
        <v>2219</v>
      </c>
      <c r="N699" s="69"/>
      <c r="O699" s="94">
        <v>1</v>
      </c>
      <c r="P699" s="69" t="s">
        <v>50</v>
      </c>
      <c r="Q699" s="69" t="s">
        <v>51</v>
      </c>
      <c r="R699" s="69"/>
      <c r="S699" s="46">
        <v>45066</v>
      </c>
      <c r="T699" s="48">
        <v>45066</v>
      </c>
      <c r="U699" s="69"/>
      <c r="V699" s="69"/>
      <c r="W699" s="69"/>
      <c r="X699" s="69"/>
      <c r="Y699" s="69" t="s">
        <v>4129</v>
      </c>
      <c r="Z699" s="43">
        <v>66093.75</v>
      </c>
      <c r="AA699" s="43" t="s">
        <v>52</v>
      </c>
      <c r="AB699" s="43" t="s">
        <v>53</v>
      </c>
      <c r="AC699" s="43">
        <v>1825</v>
      </c>
      <c r="AD699" s="141">
        <v>5</v>
      </c>
      <c r="AE699" s="142">
        <v>0</v>
      </c>
      <c r="AF699" s="142"/>
      <c r="AG699" s="69" t="str">
        <f t="shared" si="412"/>
        <v>1 years 227 days</v>
      </c>
      <c r="AH699" s="69">
        <v>1</v>
      </c>
      <c r="AI699" s="69">
        <v>227</v>
      </c>
      <c r="AJ699" s="69">
        <v>0</v>
      </c>
      <c r="AK699" s="69">
        <v>0</v>
      </c>
      <c r="AL699" s="60">
        <v>66093.75</v>
      </c>
      <c r="AM699" s="60">
        <f t="shared" si="413"/>
        <v>66093.75</v>
      </c>
      <c r="AN699" s="59">
        <v>21440</v>
      </c>
      <c r="AO699" s="148">
        <f t="shared" si="414"/>
        <v>-21440</v>
      </c>
      <c r="AP699" s="58">
        <v>6554.7773972602736</v>
      </c>
      <c r="AQ699" s="143">
        <f t="shared" si="415"/>
        <v>-6554.78</v>
      </c>
    </row>
    <row r="700" spans="1:43" x14ac:dyDescent="0.35">
      <c r="A700" s="69" t="s">
        <v>43</v>
      </c>
      <c r="B700" s="15" t="s">
        <v>2220</v>
      </c>
      <c r="C700" s="15"/>
      <c r="D700" s="69"/>
      <c r="E700" s="76">
        <v>0</v>
      </c>
      <c r="F700" s="69" t="s">
        <v>1960</v>
      </c>
      <c r="G700" s="12" t="s">
        <v>1961</v>
      </c>
      <c r="H700" s="76">
        <v>9010000049</v>
      </c>
      <c r="I700" s="92" t="s">
        <v>47</v>
      </c>
      <c r="J700" s="92">
        <v>1202010202</v>
      </c>
      <c r="K700" s="15"/>
      <c r="L700" s="95" t="s">
        <v>2221</v>
      </c>
      <c r="M700" s="69" t="s">
        <v>2222</v>
      </c>
      <c r="N700" s="69"/>
      <c r="O700" s="94">
        <v>1</v>
      </c>
      <c r="P700" s="69" t="s">
        <v>50</v>
      </c>
      <c r="Q700" s="69" t="s">
        <v>51</v>
      </c>
      <c r="R700" s="69"/>
      <c r="S700" s="46">
        <v>45047</v>
      </c>
      <c r="T700" s="48">
        <v>45047</v>
      </c>
      <c r="U700" s="69"/>
      <c r="V700" s="69"/>
      <c r="W700" s="69"/>
      <c r="X700" s="69"/>
      <c r="Y700" s="69" t="s">
        <v>4129</v>
      </c>
      <c r="Z700" s="43">
        <v>57950</v>
      </c>
      <c r="AA700" s="43" t="s">
        <v>52</v>
      </c>
      <c r="AB700" s="43" t="s">
        <v>53</v>
      </c>
      <c r="AC700" s="43">
        <v>1825</v>
      </c>
      <c r="AD700" s="141">
        <v>5</v>
      </c>
      <c r="AE700" s="142">
        <v>0</v>
      </c>
      <c r="AF700" s="142"/>
      <c r="AG700" s="69" t="str">
        <f t="shared" si="412"/>
        <v>1 years 246 days</v>
      </c>
      <c r="AH700" s="69">
        <v>1</v>
      </c>
      <c r="AI700" s="69">
        <v>246</v>
      </c>
      <c r="AJ700" s="69">
        <v>0</v>
      </c>
      <c r="AK700" s="69">
        <v>0</v>
      </c>
      <c r="AL700" s="60">
        <v>57950</v>
      </c>
      <c r="AM700" s="60">
        <f t="shared" si="413"/>
        <v>57950</v>
      </c>
      <c r="AN700" s="59">
        <v>19401</v>
      </c>
      <c r="AO700" s="148">
        <f t="shared" si="414"/>
        <v>-19401</v>
      </c>
      <c r="AP700" s="58">
        <v>5747.7123287671202</v>
      </c>
      <c r="AQ700" s="143">
        <f t="shared" si="415"/>
        <v>-5747.71</v>
      </c>
    </row>
    <row r="701" spans="1:43" x14ac:dyDescent="0.35">
      <c r="A701" s="69" t="s">
        <v>43</v>
      </c>
      <c r="B701" s="15" t="s">
        <v>2223</v>
      </c>
      <c r="C701" s="15"/>
      <c r="D701" s="69"/>
      <c r="E701" s="76">
        <v>0</v>
      </c>
      <c r="F701" s="69" t="s">
        <v>1960</v>
      </c>
      <c r="G701" s="12" t="s">
        <v>1961</v>
      </c>
      <c r="H701" s="76">
        <v>9010000050</v>
      </c>
      <c r="I701" s="92" t="s">
        <v>47</v>
      </c>
      <c r="J701" s="92">
        <v>1202010202</v>
      </c>
      <c r="K701" s="15"/>
      <c r="L701" s="95" t="s">
        <v>2224</v>
      </c>
      <c r="M701" s="69" t="s">
        <v>2225</v>
      </c>
      <c r="N701" s="69"/>
      <c r="O701" s="94">
        <v>1</v>
      </c>
      <c r="P701" s="69" t="s">
        <v>50</v>
      </c>
      <c r="Q701" s="69" t="s">
        <v>51</v>
      </c>
      <c r="R701" s="69"/>
      <c r="S701" s="46">
        <v>45047</v>
      </c>
      <c r="T701" s="48">
        <v>45047</v>
      </c>
      <c r="U701" s="69"/>
      <c r="V701" s="69"/>
      <c r="W701" s="69"/>
      <c r="X701" s="69"/>
      <c r="Y701" s="69" t="s">
        <v>4129</v>
      </c>
      <c r="Z701" s="43">
        <v>41966</v>
      </c>
      <c r="AA701" s="43" t="s">
        <v>52</v>
      </c>
      <c r="AB701" s="43" t="s">
        <v>53</v>
      </c>
      <c r="AC701" s="43">
        <v>1825</v>
      </c>
      <c r="AD701" s="141">
        <v>5</v>
      </c>
      <c r="AE701" s="142">
        <v>0</v>
      </c>
      <c r="AF701" s="142"/>
      <c r="AG701" s="69" t="str">
        <f t="shared" si="412"/>
        <v>1 years 246 days</v>
      </c>
      <c r="AH701" s="69">
        <v>1</v>
      </c>
      <c r="AI701" s="69">
        <v>246</v>
      </c>
      <c r="AJ701" s="69">
        <v>0</v>
      </c>
      <c r="AK701" s="69">
        <v>0</v>
      </c>
      <c r="AL701" s="60">
        <v>41966</v>
      </c>
      <c r="AM701" s="60">
        <f t="shared" si="413"/>
        <v>41966</v>
      </c>
      <c r="AN701" s="59">
        <v>14050</v>
      </c>
      <c r="AO701" s="148">
        <f t="shared" si="414"/>
        <v>-14050</v>
      </c>
      <c r="AP701" s="58">
        <v>4162.0942465753433</v>
      </c>
      <c r="AQ701" s="143">
        <f t="shared" si="415"/>
        <v>-4162.09</v>
      </c>
    </row>
    <row r="702" spans="1:43" x14ac:dyDescent="0.35">
      <c r="A702" s="69" t="s">
        <v>43</v>
      </c>
      <c r="B702" s="15" t="s">
        <v>2226</v>
      </c>
      <c r="C702" s="15"/>
      <c r="D702" s="69"/>
      <c r="E702" s="76">
        <v>0</v>
      </c>
      <c r="F702" s="69" t="s">
        <v>1960</v>
      </c>
      <c r="G702" s="12" t="s">
        <v>1961</v>
      </c>
      <c r="H702" s="76">
        <v>9010000051</v>
      </c>
      <c r="I702" s="92" t="s">
        <v>47</v>
      </c>
      <c r="J702" s="92">
        <v>1202010202</v>
      </c>
      <c r="K702" s="15"/>
      <c r="L702" s="95" t="s">
        <v>2227</v>
      </c>
      <c r="M702" s="69" t="s">
        <v>49</v>
      </c>
      <c r="N702" s="69"/>
      <c r="O702" s="94">
        <v>1</v>
      </c>
      <c r="P702" s="69" t="s">
        <v>50</v>
      </c>
      <c r="Q702" s="69" t="s">
        <v>51</v>
      </c>
      <c r="R702" s="69"/>
      <c r="S702" s="46">
        <v>45047</v>
      </c>
      <c r="T702" s="48">
        <v>45047</v>
      </c>
      <c r="U702" s="69"/>
      <c r="V702" s="69"/>
      <c r="W702" s="69"/>
      <c r="X702" s="69"/>
      <c r="Y702" s="69" t="s">
        <v>4129</v>
      </c>
      <c r="Z702" s="43">
        <v>1115419.2</v>
      </c>
      <c r="AA702" s="43" t="s">
        <v>52</v>
      </c>
      <c r="AB702" s="43" t="s">
        <v>53</v>
      </c>
      <c r="AC702" s="43">
        <v>3650</v>
      </c>
      <c r="AD702" s="141">
        <v>10</v>
      </c>
      <c r="AE702" s="142">
        <v>0</v>
      </c>
      <c r="AF702" s="142"/>
      <c r="AG702" s="69" t="str">
        <f t="shared" si="412"/>
        <v>1 years 246 days</v>
      </c>
      <c r="AH702" s="69">
        <v>1</v>
      </c>
      <c r="AI702" s="69">
        <v>246</v>
      </c>
      <c r="AJ702" s="69">
        <v>0</v>
      </c>
      <c r="AK702" s="69">
        <v>0</v>
      </c>
      <c r="AL702" s="60">
        <v>1115419.2</v>
      </c>
      <c r="AM702" s="60">
        <f t="shared" si="413"/>
        <v>1115419.2</v>
      </c>
      <c r="AN702" s="59">
        <v>186718</v>
      </c>
      <c r="AO702" s="148">
        <f t="shared" si="414"/>
        <v>-186718</v>
      </c>
      <c r="AP702" s="58">
        <v>55312.686684931512</v>
      </c>
      <c r="AQ702" s="143">
        <f t="shared" si="415"/>
        <v>-55312.69</v>
      </c>
    </row>
    <row r="703" spans="1:43" x14ac:dyDescent="0.35">
      <c r="A703" s="69" t="s">
        <v>43</v>
      </c>
      <c r="B703" s="15" t="s">
        <v>2228</v>
      </c>
      <c r="C703" s="15"/>
      <c r="D703" s="69"/>
      <c r="E703" s="76">
        <v>0</v>
      </c>
      <c r="F703" s="69" t="s">
        <v>1960</v>
      </c>
      <c r="G703" s="12" t="s">
        <v>1961</v>
      </c>
      <c r="H703" s="76">
        <v>9010000052</v>
      </c>
      <c r="I703" s="92" t="s">
        <v>47</v>
      </c>
      <c r="J703" s="92">
        <v>1202010202</v>
      </c>
      <c r="K703" s="15"/>
      <c r="L703" s="95" t="s">
        <v>2229</v>
      </c>
      <c r="M703" s="69" t="s">
        <v>2230</v>
      </c>
      <c r="N703" s="69"/>
      <c r="O703" s="94">
        <v>75</v>
      </c>
      <c r="P703" s="69" t="s">
        <v>50</v>
      </c>
      <c r="Q703" s="69" t="s">
        <v>51</v>
      </c>
      <c r="R703" s="69"/>
      <c r="S703" s="46">
        <v>45122</v>
      </c>
      <c r="T703" s="48">
        <v>45122</v>
      </c>
      <c r="U703" s="69"/>
      <c r="V703" s="69"/>
      <c r="W703" s="69"/>
      <c r="X703" s="69"/>
      <c r="Y703" s="69" t="s">
        <v>4129</v>
      </c>
      <c r="Z703" s="43">
        <v>34200</v>
      </c>
      <c r="AA703" s="43" t="s">
        <v>52</v>
      </c>
      <c r="AB703" s="43" t="s">
        <v>53</v>
      </c>
      <c r="AC703" s="43">
        <v>3650</v>
      </c>
      <c r="AD703" s="141">
        <v>10</v>
      </c>
      <c r="AE703" s="142">
        <v>0</v>
      </c>
      <c r="AF703" s="142"/>
      <c r="AG703" s="69" t="str">
        <f t="shared" si="412"/>
        <v>1 years 171 days</v>
      </c>
      <c r="AH703" s="69">
        <v>1</v>
      </c>
      <c r="AI703" s="69">
        <v>171</v>
      </c>
      <c r="AJ703" s="69">
        <v>0</v>
      </c>
      <c r="AK703" s="69">
        <v>0</v>
      </c>
      <c r="AL703" s="60">
        <v>34200</v>
      </c>
      <c r="AM703" s="60">
        <f t="shared" si="413"/>
        <v>34200</v>
      </c>
      <c r="AN703" s="59">
        <v>5022</v>
      </c>
      <c r="AO703" s="148">
        <f t="shared" si="414"/>
        <v>-5022</v>
      </c>
      <c r="AP703" s="58">
        <v>1696.1917808219168</v>
      </c>
      <c r="AQ703" s="143">
        <f t="shared" si="415"/>
        <v>-1696.19</v>
      </c>
    </row>
    <row r="704" spans="1:43" x14ac:dyDescent="0.35">
      <c r="A704" s="69" t="s">
        <v>43</v>
      </c>
      <c r="B704" s="15" t="s">
        <v>2231</v>
      </c>
      <c r="C704" s="15"/>
      <c r="D704" s="69"/>
      <c r="E704" s="76">
        <v>0</v>
      </c>
      <c r="F704" s="69" t="s">
        <v>1960</v>
      </c>
      <c r="G704" s="12" t="s">
        <v>1961</v>
      </c>
      <c r="H704" s="76">
        <v>9010000053</v>
      </c>
      <c r="I704" s="92" t="s">
        <v>47</v>
      </c>
      <c r="J704" s="92">
        <v>1202010202</v>
      </c>
      <c r="K704" s="15"/>
      <c r="L704" s="95" t="s">
        <v>2232</v>
      </c>
      <c r="M704" s="69" t="s">
        <v>2233</v>
      </c>
      <c r="N704" s="69"/>
      <c r="O704" s="94">
        <v>4</v>
      </c>
      <c r="P704" s="69" t="s">
        <v>50</v>
      </c>
      <c r="Q704" s="69" t="s">
        <v>51</v>
      </c>
      <c r="R704" s="69"/>
      <c r="S704" s="46">
        <v>45108</v>
      </c>
      <c r="T704" s="48">
        <v>45108</v>
      </c>
      <c r="U704" s="69"/>
      <c r="V704" s="69"/>
      <c r="W704" s="69"/>
      <c r="X704" s="69"/>
      <c r="Y704" s="69" t="s">
        <v>4129</v>
      </c>
      <c r="Z704" s="43">
        <v>35000</v>
      </c>
      <c r="AA704" s="43" t="s">
        <v>52</v>
      </c>
      <c r="AB704" s="43" t="s">
        <v>53</v>
      </c>
      <c r="AC704" s="43">
        <v>1825</v>
      </c>
      <c r="AD704" s="141">
        <v>5</v>
      </c>
      <c r="AE704" s="142">
        <v>0</v>
      </c>
      <c r="AF704" s="142"/>
      <c r="AG704" s="69" t="str">
        <f t="shared" si="412"/>
        <v>1 years 185 days</v>
      </c>
      <c r="AH704" s="69">
        <v>1</v>
      </c>
      <c r="AI704" s="69">
        <v>185</v>
      </c>
      <c r="AJ704" s="69">
        <v>0</v>
      </c>
      <c r="AK704" s="69">
        <v>0</v>
      </c>
      <c r="AL704" s="60">
        <v>35000</v>
      </c>
      <c r="AM704" s="60">
        <f t="shared" si="413"/>
        <v>35000</v>
      </c>
      <c r="AN704" s="59">
        <v>10548</v>
      </c>
      <c r="AO704" s="148">
        <f t="shared" si="414"/>
        <v>-10548</v>
      </c>
      <c r="AP704" s="58">
        <v>3471.1780821917819</v>
      </c>
      <c r="AQ704" s="143">
        <f t="shared" si="415"/>
        <v>-3471.18</v>
      </c>
    </row>
    <row r="705" spans="1:43" x14ac:dyDescent="0.35">
      <c r="A705" s="69" t="s">
        <v>43</v>
      </c>
      <c r="B705" s="15" t="s">
        <v>2234</v>
      </c>
      <c r="C705" s="15"/>
      <c r="D705" s="69"/>
      <c r="E705" s="76">
        <v>0</v>
      </c>
      <c r="F705" s="69" t="s">
        <v>1960</v>
      </c>
      <c r="G705" s="12" t="s">
        <v>1961</v>
      </c>
      <c r="H705" s="76">
        <v>9010000054</v>
      </c>
      <c r="I705" s="92" t="s">
        <v>47</v>
      </c>
      <c r="J705" s="92">
        <v>1202010202</v>
      </c>
      <c r="K705" s="15"/>
      <c r="L705" s="95" t="s">
        <v>2235</v>
      </c>
      <c r="M705" s="69" t="s">
        <v>2236</v>
      </c>
      <c r="N705" s="69"/>
      <c r="O705" s="94">
        <v>4</v>
      </c>
      <c r="P705" s="69" t="s">
        <v>50</v>
      </c>
      <c r="Q705" s="69" t="s">
        <v>51</v>
      </c>
      <c r="R705" s="69"/>
      <c r="S705" s="46">
        <v>45112</v>
      </c>
      <c r="T705" s="48">
        <v>45112</v>
      </c>
      <c r="U705" s="69"/>
      <c r="V705" s="69"/>
      <c r="W705" s="69"/>
      <c r="X705" s="69"/>
      <c r="Y705" s="69" t="s">
        <v>4129</v>
      </c>
      <c r="Z705" s="43">
        <v>14147</v>
      </c>
      <c r="AA705" s="43" t="s">
        <v>52</v>
      </c>
      <c r="AB705" s="43" t="s">
        <v>53</v>
      </c>
      <c r="AC705" s="43">
        <v>1825</v>
      </c>
      <c r="AD705" s="141">
        <v>5</v>
      </c>
      <c r="AE705" s="142">
        <v>0</v>
      </c>
      <c r="AF705" s="142"/>
      <c r="AG705" s="69" t="str">
        <f t="shared" si="412"/>
        <v>1 years 181 days</v>
      </c>
      <c r="AH705" s="69">
        <v>1</v>
      </c>
      <c r="AI705" s="69">
        <v>181</v>
      </c>
      <c r="AJ705" s="69">
        <v>0</v>
      </c>
      <c r="AK705" s="69">
        <v>0</v>
      </c>
      <c r="AL705" s="60">
        <v>14147</v>
      </c>
      <c r="AM705" s="60">
        <f t="shared" si="413"/>
        <v>14147</v>
      </c>
      <c r="AN705" s="59">
        <v>4232</v>
      </c>
      <c r="AO705" s="148">
        <f t="shared" si="414"/>
        <v>-4232</v>
      </c>
      <c r="AP705" s="58">
        <v>1403.5446575342467</v>
      </c>
      <c r="AQ705" s="143">
        <f t="shared" si="415"/>
        <v>-1403.54</v>
      </c>
    </row>
    <row r="706" spans="1:43" x14ac:dyDescent="0.35">
      <c r="A706" s="69" t="s">
        <v>43</v>
      </c>
      <c r="B706" s="15" t="s">
        <v>2237</v>
      </c>
      <c r="C706" s="15"/>
      <c r="D706" s="69"/>
      <c r="E706" s="76">
        <v>0</v>
      </c>
      <c r="F706" s="69" t="s">
        <v>1960</v>
      </c>
      <c r="G706" s="12" t="s">
        <v>1961</v>
      </c>
      <c r="H706" s="76">
        <v>9010000055</v>
      </c>
      <c r="I706" s="92" t="s">
        <v>47</v>
      </c>
      <c r="J706" s="92">
        <v>1202010202</v>
      </c>
      <c r="K706" s="15"/>
      <c r="L706" s="95" t="s">
        <v>2238</v>
      </c>
      <c r="M706" s="69" t="s">
        <v>2239</v>
      </c>
      <c r="N706" s="69"/>
      <c r="O706" s="94">
        <v>50</v>
      </c>
      <c r="P706" s="69" t="s">
        <v>50</v>
      </c>
      <c r="Q706" s="69" t="s">
        <v>51</v>
      </c>
      <c r="R706" s="69"/>
      <c r="S706" s="46">
        <v>45112</v>
      </c>
      <c r="T706" s="48">
        <v>45112</v>
      </c>
      <c r="U706" s="69"/>
      <c r="V706" s="69"/>
      <c r="W706" s="69"/>
      <c r="X706" s="69"/>
      <c r="Y706" s="69" t="s">
        <v>4129</v>
      </c>
      <c r="Z706" s="43">
        <v>107500</v>
      </c>
      <c r="AA706" s="43" t="s">
        <v>52</v>
      </c>
      <c r="AB706" s="43" t="s">
        <v>53</v>
      </c>
      <c r="AC706" s="43">
        <v>1825</v>
      </c>
      <c r="AD706" s="141">
        <v>5</v>
      </c>
      <c r="AE706" s="142">
        <v>0</v>
      </c>
      <c r="AF706" s="142"/>
      <c r="AG706" s="69" t="str">
        <f t="shared" si="412"/>
        <v>1 years 181 days</v>
      </c>
      <c r="AH706" s="69">
        <v>1</v>
      </c>
      <c r="AI706" s="69">
        <v>181</v>
      </c>
      <c r="AJ706" s="69">
        <v>0</v>
      </c>
      <c r="AK706" s="69">
        <v>0</v>
      </c>
      <c r="AL706" s="60">
        <v>107500</v>
      </c>
      <c r="AM706" s="60">
        <f t="shared" si="413"/>
        <v>107500</v>
      </c>
      <c r="AN706" s="59">
        <v>32162</v>
      </c>
      <c r="AO706" s="148">
        <f t="shared" si="414"/>
        <v>-32162</v>
      </c>
      <c r="AP706" s="58">
        <v>10661.287671232873</v>
      </c>
      <c r="AQ706" s="143">
        <f t="shared" si="415"/>
        <v>-10661.29</v>
      </c>
    </row>
    <row r="707" spans="1:43" x14ac:dyDescent="0.35">
      <c r="A707" s="69" t="s">
        <v>43</v>
      </c>
      <c r="B707" s="15" t="s">
        <v>2240</v>
      </c>
      <c r="C707" s="15"/>
      <c r="D707" s="69"/>
      <c r="E707" s="76">
        <v>0</v>
      </c>
      <c r="F707" s="69" t="s">
        <v>1960</v>
      </c>
      <c r="G707" s="12" t="s">
        <v>1961</v>
      </c>
      <c r="H707" s="76">
        <v>9010000056</v>
      </c>
      <c r="I707" s="92" t="s">
        <v>47</v>
      </c>
      <c r="J707" s="92">
        <v>1202010202</v>
      </c>
      <c r="K707" s="15"/>
      <c r="L707" s="95" t="s">
        <v>2241</v>
      </c>
      <c r="M707" s="69" t="s">
        <v>2242</v>
      </c>
      <c r="N707" s="69"/>
      <c r="O707" s="94">
        <v>2</v>
      </c>
      <c r="P707" s="69" t="s">
        <v>50</v>
      </c>
      <c r="Q707" s="69" t="s">
        <v>51</v>
      </c>
      <c r="R707" s="69"/>
      <c r="S707" s="46">
        <v>45139</v>
      </c>
      <c r="T707" s="48">
        <v>45139</v>
      </c>
      <c r="U707" s="69"/>
      <c r="V707" s="69"/>
      <c r="W707" s="69"/>
      <c r="X707" s="69"/>
      <c r="Y707" s="69" t="s">
        <v>4129</v>
      </c>
      <c r="Z707" s="43">
        <v>66406</v>
      </c>
      <c r="AA707" s="43" t="s">
        <v>52</v>
      </c>
      <c r="AB707" s="43" t="s">
        <v>53</v>
      </c>
      <c r="AC707" s="43">
        <v>1825</v>
      </c>
      <c r="AD707" s="141">
        <v>5</v>
      </c>
      <c r="AE707" s="142">
        <v>0</v>
      </c>
      <c r="AF707" s="142"/>
      <c r="AG707" s="69" t="str">
        <f t="shared" si="412"/>
        <v>1 years 154 days</v>
      </c>
      <c r="AH707" s="69">
        <v>1</v>
      </c>
      <c r="AI707" s="69">
        <v>154</v>
      </c>
      <c r="AJ707" s="69">
        <v>0</v>
      </c>
      <c r="AK707" s="69">
        <v>0</v>
      </c>
      <c r="AL707" s="60">
        <v>66406</v>
      </c>
      <c r="AM707" s="60">
        <f t="shared" si="413"/>
        <v>66406</v>
      </c>
      <c r="AN707" s="59">
        <v>18885</v>
      </c>
      <c r="AO707" s="148">
        <f t="shared" si="414"/>
        <v>-18885</v>
      </c>
      <c r="AP707" s="58">
        <v>6585.7945205479482</v>
      </c>
      <c r="AQ707" s="143">
        <f t="shared" si="415"/>
        <v>-6585.79</v>
      </c>
    </row>
    <row r="708" spans="1:43" x14ac:dyDescent="0.35">
      <c r="A708" s="69" t="s">
        <v>43</v>
      </c>
      <c r="B708" s="15" t="s">
        <v>2243</v>
      </c>
      <c r="C708" s="15"/>
      <c r="D708" s="69"/>
      <c r="E708" s="76">
        <v>0</v>
      </c>
      <c r="F708" s="69" t="s">
        <v>1960</v>
      </c>
      <c r="G708" s="12" t="s">
        <v>1961</v>
      </c>
      <c r="H708" s="76">
        <v>9010000057</v>
      </c>
      <c r="I708" s="92" t="s">
        <v>47</v>
      </c>
      <c r="J708" s="92">
        <v>1202010202</v>
      </c>
      <c r="K708" s="15"/>
      <c r="L708" s="95" t="s">
        <v>2244</v>
      </c>
      <c r="M708" s="69" t="s">
        <v>2245</v>
      </c>
      <c r="N708" s="69"/>
      <c r="O708" s="94">
        <v>1</v>
      </c>
      <c r="P708" s="69" t="s">
        <v>50</v>
      </c>
      <c r="Q708" s="69" t="s">
        <v>51</v>
      </c>
      <c r="R708" s="69"/>
      <c r="S708" s="46">
        <v>45176</v>
      </c>
      <c r="T708" s="48">
        <v>45176</v>
      </c>
      <c r="U708" s="69"/>
      <c r="V708" s="69"/>
      <c r="W708" s="69"/>
      <c r="X708" s="69"/>
      <c r="Y708" s="69" t="s">
        <v>4129</v>
      </c>
      <c r="Z708" s="43">
        <v>68194</v>
      </c>
      <c r="AA708" s="43" t="s">
        <v>52</v>
      </c>
      <c r="AB708" s="43" t="s">
        <v>53</v>
      </c>
      <c r="AC708" s="43">
        <v>1825</v>
      </c>
      <c r="AD708" s="141">
        <v>5</v>
      </c>
      <c r="AE708" s="142">
        <v>0</v>
      </c>
      <c r="AF708" s="142"/>
      <c r="AG708" s="69" t="str">
        <f t="shared" si="412"/>
        <v>1 years 117 days</v>
      </c>
      <c r="AH708" s="69">
        <v>1</v>
      </c>
      <c r="AI708" s="69">
        <v>117</v>
      </c>
      <c r="AJ708" s="69">
        <v>0</v>
      </c>
      <c r="AK708" s="69">
        <v>0</v>
      </c>
      <c r="AL708" s="60">
        <v>68194</v>
      </c>
      <c r="AM708" s="60">
        <f t="shared" si="413"/>
        <v>68194</v>
      </c>
      <c r="AN708" s="59">
        <v>18011</v>
      </c>
      <c r="AO708" s="148">
        <f t="shared" si="414"/>
        <v>-18011</v>
      </c>
      <c r="AP708" s="58">
        <v>6763.0394520547925</v>
      </c>
      <c r="AQ708" s="143">
        <f t="shared" si="415"/>
        <v>-6763.04</v>
      </c>
    </row>
    <row r="709" spans="1:43" x14ac:dyDescent="0.35">
      <c r="A709" s="69" t="s">
        <v>43</v>
      </c>
      <c r="B709" s="15" t="s">
        <v>2246</v>
      </c>
      <c r="C709" s="15"/>
      <c r="D709" s="69"/>
      <c r="E709" s="76">
        <v>0</v>
      </c>
      <c r="F709" s="69" t="s">
        <v>1960</v>
      </c>
      <c r="G709" s="12" t="s">
        <v>1961</v>
      </c>
      <c r="H709" s="76">
        <v>9010000058</v>
      </c>
      <c r="I709" s="92" t="s">
        <v>261</v>
      </c>
      <c r="J709" s="92">
        <v>1202010217</v>
      </c>
      <c r="K709" s="15" t="s">
        <v>2247</v>
      </c>
      <c r="L709" s="95" t="s">
        <v>2248</v>
      </c>
      <c r="M709" s="69" t="s">
        <v>2249</v>
      </c>
      <c r="N709" s="69"/>
      <c r="O709" s="94">
        <v>1</v>
      </c>
      <c r="P709" s="69" t="s">
        <v>50</v>
      </c>
      <c r="Q709" s="69" t="s">
        <v>51</v>
      </c>
      <c r="R709" s="69"/>
      <c r="S709" s="46">
        <v>45176</v>
      </c>
      <c r="T709" s="48">
        <v>45176</v>
      </c>
      <c r="U709" s="69"/>
      <c r="V709" s="69"/>
      <c r="W709" s="69"/>
      <c r="X709" s="69"/>
      <c r="Y709" s="69" t="s">
        <v>4129</v>
      </c>
      <c r="Z709" s="43">
        <v>245379</v>
      </c>
      <c r="AA709" s="43" t="s">
        <v>52</v>
      </c>
      <c r="AB709" s="43" t="s">
        <v>53</v>
      </c>
      <c r="AC709" s="43">
        <v>1825</v>
      </c>
      <c r="AD709" s="141">
        <v>5</v>
      </c>
      <c r="AE709" s="142">
        <v>0</v>
      </c>
      <c r="AF709" s="142"/>
      <c r="AG709" s="69" t="str">
        <f t="shared" si="412"/>
        <v>1 years 117 days</v>
      </c>
      <c r="AH709" s="69">
        <v>1</v>
      </c>
      <c r="AI709" s="69">
        <v>117</v>
      </c>
      <c r="AJ709" s="69">
        <v>0</v>
      </c>
      <c r="AK709" s="69">
        <v>0</v>
      </c>
      <c r="AL709" s="60">
        <v>245379</v>
      </c>
      <c r="AM709" s="60">
        <f t="shared" si="413"/>
        <v>245379</v>
      </c>
      <c r="AN709" s="59">
        <v>64806.681798232021</v>
      </c>
      <c r="AO709" s="148">
        <f t="shared" si="414"/>
        <v>-64806.68</v>
      </c>
      <c r="AP709" s="58">
        <v>24336.917653822777</v>
      </c>
      <c r="AQ709" s="143">
        <f t="shared" si="415"/>
        <v>-24336.92</v>
      </c>
    </row>
    <row r="710" spans="1:43" x14ac:dyDescent="0.35">
      <c r="A710" s="69" t="s">
        <v>43</v>
      </c>
      <c r="B710" s="15" t="s">
        <v>2250</v>
      </c>
      <c r="C710" s="15"/>
      <c r="D710" s="69"/>
      <c r="E710" s="76">
        <v>0</v>
      </c>
      <c r="F710" s="69" t="s">
        <v>1960</v>
      </c>
      <c r="G710" s="12" t="s">
        <v>1961</v>
      </c>
      <c r="H710" s="76">
        <v>9010000059</v>
      </c>
      <c r="I710" s="92" t="s">
        <v>47</v>
      </c>
      <c r="J710" s="92">
        <v>1202010202</v>
      </c>
      <c r="K710" s="15"/>
      <c r="L710" s="95" t="s">
        <v>2251</v>
      </c>
      <c r="M710" s="69" t="s">
        <v>2252</v>
      </c>
      <c r="N710" s="69"/>
      <c r="O710" s="94">
        <v>1</v>
      </c>
      <c r="P710" s="69" t="s">
        <v>50</v>
      </c>
      <c r="Q710" s="69" t="s">
        <v>51</v>
      </c>
      <c r="R710" s="69"/>
      <c r="S710" s="46">
        <v>45174</v>
      </c>
      <c r="T710" s="48">
        <v>45174</v>
      </c>
      <c r="U710" s="69"/>
      <c r="V710" s="69"/>
      <c r="W710" s="69"/>
      <c r="X710" s="69"/>
      <c r="Y710" s="69" t="s">
        <v>4129</v>
      </c>
      <c r="Z710" s="43">
        <v>145000</v>
      </c>
      <c r="AA710" s="43" t="s">
        <v>52</v>
      </c>
      <c r="AB710" s="43" t="s">
        <v>53</v>
      </c>
      <c r="AC710" s="43">
        <v>3650</v>
      </c>
      <c r="AD710" s="141">
        <v>10</v>
      </c>
      <c r="AE710" s="142">
        <v>0</v>
      </c>
      <c r="AF710" s="142"/>
      <c r="AG710" s="69" t="str">
        <f t="shared" si="412"/>
        <v>1 years 119 days</v>
      </c>
      <c r="AH710" s="69">
        <v>1</v>
      </c>
      <c r="AI710" s="69">
        <v>119</v>
      </c>
      <c r="AJ710" s="69">
        <v>0</v>
      </c>
      <c r="AK710" s="69">
        <v>0</v>
      </c>
      <c r="AL710" s="60">
        <v>145000</v>
      </c>
      <c r="AM710" s="60">
        <f t="shared" si="413"/>
        <v>145000</v>
      </c>
      <c r="AN710" s="59">
        <v>19227</v>
      </c>
      <c r="AO710" s="148">
        <f t="shared" si="414"/>
        <v>-19227</v>
      </c>
      <c r="AP710" s="58">
        <v>7190.8082191780813</v>
      </c>
      <c r="AQ710" s="143">
        <f t="shared" si="415"/>
        <v>-7190.81</v>
      </c>
    </row>
    <row r="711" spans="1:43" x14ac:dyDescent="0.35">
      <c r="A711" s="69" t="s">
        <v>43</v>
      </c>
      <c r="B711" s="15" t="s">
        <v>2253</v>
      </c>
      <c r="C711" s="15"/>
      <c r="D711" s="69"/>
      <c r="E711" s="76">
        <v>0</v>
      </c>
      <c r="F711" s="69" t="s">
        <v>1960</v>
      </c>
      <c r="G711" s="12" t="s">
        <v>1961</v>
      </c>
      <c r="H711" s="76">
        <v>9010000060</v>
      </c>
      <c r="I711" s="92" t="s">
        <v>47</v>
      </c>
      <c r="J711" s="92">
        <v>1202010202</v>
      </c>
      <c r="K711" s="15"/>
      <c r="L711" s="95" t="s">
        <v>2254</v>
      </c>
      <c r="M711" s="69" t="s">
        <v>2255</v>
      </c>
      <c r="N711" s="69"/>
      <c r="O711" s="94">
        <v>1</v>
      </c>
      <c r="P711" s="69" t="s">
        <v>50</v>
      </c>
      <c r="Q711" s="69" t="s">
        <v>51</v>
      </c>
      <c r="R711" s="69"/>
      <c r="S711" s="46">
        <v>45170</v>
      </c>
      <c r="T711" s="48">
        <v>45170</v>
      </c>
      <c r="U711" s="69"/>
      <c r="V711" s="69"/>
      <c r="W711" s="69"/>
      <c r="X711" s="69"/>
      <c r="Y711" s="69" t="s">
        <v>4129</v>
      </c>
      <c r="Z711" s="43">
        <v>138846</v>
      </c>
      <c r="AA711" s="43" t="s">
        <v>52</v>
      </c>
      <c r="AB711" s="43" t="s">
        <v>53</v>
      </c>
      <c r="AC711" s="43">
        <v>3650</v>
      </c>
      <c r="AD711" s="141">
        <v>10</v>
      </c>
      <c r="AE711" s="142">
        <v>0</v>
      </c>
      <c r="AF711" s="142"/>
      <c r="AG711" s="69" t="str">
        <f t="shared" si="412"/>
        <v>1 years 123 days</v>
      </c>
      <c r="AH711" s="69">
        <v>1</v>
      </c>
      <c r="AI711" s="69">
        <v>123</v>
      </c>
      <c r="AJ711" s="69">
        <v>0</v>
      </c>
      <c r="AK711" s="69">
        <v>0</v>
      </c>
      <c r="AL711" s="60">
        <v>138846</v>
      </c>
      <c r="AM711" s="60">
        <f t="shared" si="413"/>
        <v>138846</v>
      </c>
      <c r="AN711" s="59">
        <v>18564</v>
      </c>
      <c r="AO711" s="148">
        <f t="shared" si="414"/>
        <v>-18564</v>
      </c>
      <c r="AP711" s="58">
        <v>6884.760000000002</v>
      </c>
      <c r="AQ711" s="143">
        <f t="shared" si="415"/>
        <v>-6884.76</v>
      </c>
    </row>
    <row r="712" spans="1:43" x14ac:dyDescent="0.35">
      <c r="A712" s="69" t="s">
        <v>43</v>
      </c>
      <c r="B712" s="15" t="s">
        <v>2256</v>
      </c>
      <c r="C712" s="15"/>
      <c r="D712" s="69"/>
      <c r="E712" s="76">
        <v>0</v>
      </c>
      <c r="F712" s="69" t="s">
        <v>1960</v>
      </c>
      <c r="G712" s="12" t="s">
        <v>1961</v>
      </c>
      <c r="H712" s="76">
        <v>9010000061</v>
      </c>
      <c r="I712" s="92" t="s">
        <v>47</v>
      </c>
      <c r="J712" s="92">
        <v>1202010202</v>
      </c>
      <c r="K712" s="15"/>
      <c r="L712" s="95" t="s">
        <v>2257</v>
      </c>
      <c r="M712" s="69" t="s">
        <v>2258</v>
      </c>
      <c r="N712" s="69"/>
      <c r="O712" s="94">
        <v>1</v>
      </c>
      <c r="P712" s="69" t="s">
        <v>50</v>
      </c>
      <c r="Q712" s="69" t="s">
        <v>51</v>
      </c>
      <c r="R712" s="69"/>
      <c r="S712" s="46">
        <v>45170</v>
      </c>
      <c r="T712" s="48">
        <v>45170</v>
      </c>
      <c r="U712" s="69"/>
      <c r="V712" s="69"/>
      <c r="W712" s="69"/>
      <c r="X712" s="69"/>
      <c r="Y712" s="69" t="s">
        <v>4129</v>
      </c>
      <c r="Z712" s="43">
        <v>14430</v>
      </c>
      <c r="AA712" s="43" t="s">
        <v>52</v>
      </c>
      <c r="AB712" s="43" t="s">
        <v>53</v>
      </c>
      <c r="AC712" s="43">
        <v>3650</v>
      </c>
      <c r="AD712" s="141">
        <v>10</v>
      </c>
      <c r="AE712" s="142">
        <v>0</v>
      </c>
      <c r="AF712" s="142"/>
      <c r="AG712" s="69" t="str">
        <f t="shared" si="412"/>
        <v>1 years 123 days</v>
      </c>
      <c r="AH712" s="69">
        <v>1</v>
      </c>
      <c r="AI712" s="69">
        <v>123</v>
      </c>
      <c r="AJ712" s="69">
        <v>0</v>
      </c>
      <c r="AK712" s="69">
        <v>0</v>
      </c>
      <c r="AL712" s="60">
        <v>14430</v>
      </c>
      <c r="AM712" s="60">
        <f t="shared" si="413"/>
        <v>14430</v>
      </c>
      <c r="AN712" s="59">
        <v>1929</v>
      </c>
      <c r="AO712" s="148">
        <f t="shared" si="414"/>
        <v>-1929</v>
      </c>
      <c r="AP712" s="58">
        <v>715.84109589041054</v>
      </c>
      <c r="AQ712" s="143">
        <f t="shared" si="415"/>
        <v>-715.84</v>
      </c>
    </row>
    <row r="713" spans="1:43" x14ac:dyDescent="0.35">
      <c r="A713" s="69" t="s">
        <v>43</v>
      </c>
      <c r="B713" s="15" t="s">
        <v>2259</v>
      </c>
      <c r="C713" s="15"/>
      <c r="D713" s="69"/>
      <c r="E713" s="76">
        <v>0</v>
      </c>
      <c r="F713" s="69" t="s">
        <v>1960</v>
      </c>
      <c r="G713" s="12" t="s">
        <v>1961</v>
      </c>
      <c r="H713" s="76">
        <v>9010000062</v>
      </c>
      <c r="I713" s="92" t="s">
        <v>47</v>
      </c>
      <c r="J713" s="92">
        <v>1202010202</v>
      </c>
      <c r="K713" s="15"/>
      <c r="L713" s="95" t="s">
        <v>2260</v>
      </c>
      <c r="M713" s="69" t="s">
        <v>2261</v>
      </c>
      <c r="N713" s="69"/>
      <c r="O713" s="94">
        <v>200</v>
      </c>
      <c r="P713" s="69" t="s">
        <v>50</v>
      </c>
      <c r="Q713" s="69" t="s">
        <v>51</v>
      </c>
      <c r="R713" s="69"/>
      <c r="S713" s="46">
        <v>45231</v>
      </c>
      <c r="T713" s="48">
        <v>45231</v>
      </c>
      <c r="U713" s="69"/>
      <c r="V713" s="69"/>
      <c r="W713" s="69"/>
      <c r="X713" s="69"/>
      <c r="Y713" s="69" t="s">
        <v>4129</v>
      </c>
      <c r="Z713" s="43">
        <v>69820</v>
      </c>
      <c r="AA713" s="43" t="s">
        <v>52</v>
      </c>
      <c r="AB713" s="43" t="s">
        <v>53</v>
      </c>
      <c r="AC713" s="43">
        <v>3650</v>
      </c>
      <c r="AD713" s="141">
        <v>10</v>
      </c>
      <c r="AE713" s="142">
        <v>0</v>
      </c>
      <c r="AF713" s="142"/>
      <c r="AG713" s="69" t="str">
        <f t="shared" si="412"/>
        <v>1 years 62 days</v>
      </c>
      <c r="AH713" s="69">
        <v>1</v>
      </c>
      <c r="AI713" s="69">
        <v>62</v>
      </c>
      <c r="AJ713" s="69">
        <v>0</v>
      </c>
      <c r="AK713" s="69">
        <v>0</v>
      </c>
      <c r="AL713" s="60">
        <v>69820</v>
      </c>
      <c r="AM713" s="60">
        <f t="shared" si="413"/>
        <v>69820</v>
      </c>
      <c r="AN713" s="59">
        <v>8168</v>
      </c>
      <c r="AO713" s="148">
        <f t="shared" si="414"/>
        <v>-8168</v>
      </c>
      <c r="AP713" s="58">
        <v>3462.2904109589035</v>
      </c>
      <c r="AQ713" s="143">
        <f t="shared" si="415"/>
        <v>-3462.29</v>
      </c>
    </row>
    <row r="714" spans="1:43" x14ac:dyDescent="0.35">
      <c r="A714" s="69" t="s">
        <v>43</v>
      </c>
      <c r="B714" s="15" t="s">
        <v>2262</v>
      </c>
      <c r="C714" s="15"/>
      <c r="D714" s="69"/>
      <c r="E714" s="76">
        <v>0</v>
      </c>
      <c r="F714" s="69" t="s">
        <v>1960</v>
      </c>
      <c r="G714" s="12" t="s">
        <v>1961</v>
      </c>
      <c r="H714" s="76">
        <v>9010000063</v>
      </c>
      <c r="I714" s="92" t="s">
        <v>47</v>
      </c>
      <c r="J714" s="92">
        <v>1202010202</v>
      </c>
      <c r="K714" s="15"/>
      <c r="L714" s="95" t="s">
        <v>2263</v>
      </c>
      <c r="M714" s="69" t="s">
        <v>2264</v>
      </c>
      <c r="N714" s="69"/>
      <c r="O714" s="94">
        <v>1</v>
      </c>
      <c r="P714" s="69" t="s">
        <v>50</v>
      </c>
      <c r="Q714" s="69" t="s">
        <v>51</v>
      </c>
      <c r="R714" s="69"/>
      <c r="S714" s="46">
        <v>45231</v>
      </c>
      <c r="T714" s="48">
        <v>45231</v>
      </c>
      <c r="U714" s="69"/>
      <c r="V714" s="69"/>
      <c r="W714" s="69"/>
      <c r="X714" s="69"/>
      <c r="Y714" s="69" t="s">
        <v>4129</v>
      </c>
      <c r="Z714" s="43">
        <v>42100</v>
      </c>
      <c r="AA714" s="43" t="s">
        <v>52</v>
      </c>
      <c r="AB714" s="43" t="s">
        <v>53</v>
      </c>
      <c r="AC714" s="43">
        <v>3650</v>
      </c>
      <c r="AD714" s="141">
        <v>10</v>
      </c>
      <c r="AE714" s="142">
        <v>0</v>
      </c>
      <c r="AF714" s="142"/>
      <c r="AG714" s="69" t="str">
        <f t="shared" si="412"/>
        <v>1 years 62 days</v>
      </c>
      <c r="AH714" s="69">
        <v>1</v>
      </c>
      <c r="AI714" s="69">
        <v>62</v>
      </c>
      <c r="AJ714" s="69">
        <v>0</v>
      </c>
      <c r="AK714" s="69">
        <v>0</v>
      </c>
      <c r="AL714" s="60">
        <v>42100</v>
      </c>
      <c r="AM714" s="60">
        <f t="shared" si="413"/>
        <v>42100</v>
      </c>
      <c r="AN714" s="59">
        <v>4925</v>
      </c>
      <c r="AO714" s="148">
        <f t="shared" si="414"/>
        <v>-4925</v>
      </c>
      <c r="AP714" s="58">
        <v>2087.821917808219</v>
      </c>
      <c r="AQ714" s="143">
        <f t="shared" si="415"/>
        <v>-2087.8200000000002</v>
      </c>
    </row>
    <row r="715" spans="1:43" x14ac:dyDescent="0.35">
      <c r="A715" s="69" t="s">
        <v>43</v>
      </c>
      <c r="B715" s="15" t="s">
        <v>2265</v>
      </c>
      <c r="C715" s="15"/>
      <c r="D715" s="69"/>
      <c r="E715" s="76">
        <v>0</v>
      </c>
      <c r="F715" s="69" t="s">
        <v>1960</v>
      </c>
      <c r="G715" s="12" t="s">
        <v>1961</v>
      </c>
      <c r="H715" s="76">
        <v>9010000064</v>
      </c>
      <c r="I715" s="92" t="s">
        <v>47</v>
      </c>
      <c r="J715" s="92">
        <v>1202010202</v>
      </c>
      <c r="K715" s="15"/>
      <c r="L715" s="95" t="s">
        <v>2266</v>
      </c>
      <c r="M715" s="69" t="s">
        <v>2267</v>
      </c>
      <c r="N715" s="69"/>
      <c r="O715" s="94">
        <v>16</v>
      </c>
      <c r="P715" s="69" t="s">
        <v>50</v>
      </c>
      <c r="Q715" s="69" t="s">
        <v>51</v>
      </c>
      <c r="R715" s="69"/>
      <c r="S715" s="46">
        <v>45250</v>
      </c>
      <c r="T715" s="48">
        <v>45250</v>
      </c>
      <c r="U715" s="69"/>
      <c r="V715" s="69"/>
      <c r="W715" s="69"/>
      <c r="X715" s="69"/>
      <c r="Y715" s="69" t="s">
        <v>4129</v>
      </c>
      <c r="Z715" s="43">
        <v>65000</v>
      </c>
      <c r="AA715" s="43" t="s">
        <v>52</v>
      </c>
      <c r="AB715" s="43" t="s">
        <v>53</v>
      </c>
      <c r="AC715" s="43">
        <v>1825</v>
      </c>
      <c r="AD715" s="141">
        <v>5</v>
      </c>
      <c r="AE715" s="142">
        <v>0</v>
      </c>
      <c r="AF715" s="142"/>
      <c r="AG715" s="69" t="str">
        <f t="shared" si="412"/>
        <v>1 years 43 days</v>
      </c>
      <c r="AH715" s="69">
        <v>1</v>
      </c>
      <c r="AI715" s="69">
        <v>43</v>
      </c>
      <c r="AJ715" s="69">
        <v>0</v>
      </c>
      <c r="AK715" s="69">
        <v>0</v>
      </c>
      <c r="AL715" s="60">
        <v>65000</v>
      </c>
      <c r="AM715" s="60">
        <f t="shared" si="413"/>
        <v>65000</v>
      </c>
      <c r="AN715" s="59">
        <v>14532</v>
      </c>
      <c r="AO715" s="148">
        <f t="shared" si="414"/>
        <v>-14532</v>
      </c>
      <c r="AP715" s="58">
        <v>6446.0821917808207</v>
      </c>
      <c r="AQ715" s="143">
        <f t="shared" si="415"/>
        <v>-6446.08</v>
      </c>
    </row>
    <row r="716" spans="1:43" x14ac:dyDescent="0.35">
      <c r="A716" s="69" t="s">
        <v>43</v>
      </c>
      <c r="B716" s="15" t="s">
        <v>2268</v>
      </c>
      <c r="C716" s="15"/>
      <c r="D716" s="69"/>
      <c r="E716" s="76">
        <v>0</v>
      </c>
      <c r="F716" s="69" t="s">
        <v>1960</v>
      </c>
      <c r="G716" s="10" t="s">
        <v>1961</v>
      </c>
      <c r="H716" s="76">
        <v>9010000065</v>
      </c>
      <c r="I716" s="92" t="s">
        <v>47</v>
      </c>
      <c r="J716" s="92">
        <v>1202010202</v>
      </c>
      <c r="K716" s="15"/>
      <c r="L716" s="95" t="s">
        <v>2269</v>
      </c>
      <c r="M716" s="69" t="s">
        <v>2270</v>
      </c>
      <c r="N716" s="69"/>
      <c r="O716" s="94">
        <v>18</v>
      </c>
      <c r="P716" s="69" t="s">
        <v>50</v>
      </c>
      <c r="Q716" s="69" t="s">
        <v>51</v>
      </c>
      <c r="R716" s="69"/>
      <c r="S716" s="46">
        <v>45288</v>
      </c>
      <c r="T716" s="48">
        <v>45288</v>
      </c>
      <c r="U716" s="69"/>
      <c r="V716" s="69"/>
      <c r="W716" s="69"/>
      <c r="X716" s="69"/>
      <c r="Y716" s="69" t="s">
        <v>4129</v>
      </c>
      <c r="Z716" s="43">
        <v>66834</v>
      </c>
      <c r="AA716" s="43" t="s">
        <v>52</v>
      </c>
      <c r="AB716" s="43" t="s">
        <v>53</v>
      </c>
      <c r="AC716" s="43">
        <v>3650</v>
      </c>
      <c r="AD716" s="141">
        <v>10</v>
      </c>
      <c r="AE716" s="142">
        <v>0</v>
      </c>
      <c r="AF716" s="142"/>
      <c r="AG716" s="69" t="str">
        <f t="shared" si="412"/>
        <v>1 years 5 days</v>
      </c>
      <c r="AH716" s="69">
        <v>1</v>
      </c>
      <c r="AI716" s="69">
        <v>5</v>
      </c>
      <c r="AJ716" s="69">
        <v>0</v>
      </c>
      <c r="AK716" s="69">
        <v>0</v>
      </c>
      <c r="AL716" s="60">
        <v>66834</v>
      </c>
      <c r="AM716" s="60">
        <f t="shared" si="413"/>
        <v>66834</v>
      </c>
      <c r="AN716" s="59">
        <v>6775</v>
      </c>
      <c r="AO716" s="148">
        <f t="shared" si="414"/>
        <v>-6775</v>
      </c>
      <c r="AP716" s="58">
        <v>3314.1873972602734</v>
      </c>
      <c r="AQ716" s="143">
        <f t="shared" si="415"/>
        <v>-3314.19</v>
      </c>
    </row>
    <row r="717" spans="1:43" x14ac:dyDescent="0.35">
      <c r="A717" s="69" t="s">
        <v>43</v>
      </c>
      <c r="B717" s="15" t="s">
        <v>2271</v>
      </c>
      <c r="C717" s="15"/>
      <c r="D717" s="69"/>
      <c r="E717" s="76">
        <v>0</v>
      </c>
      <c r="F717" s="69" t="s">
        <v>1960</v>
      </c>
      <c r="G717" s="12" t="s">
        <v>1961</v>
      </c>
      <c r="H717" s="76">
        <v>9010000066</v>
      </c>
      <c r="I717" s="92" t="s">
        <v>47</v>
      </c>
      <c r="J717" s="92">
        <v>1202010202</v>
      </c>
      <c r="K717" s="15"/>
      <c r="L717" s="95" t="s">
        <v>2272</v>
      </c>
      <c r="M717" s="69" t="s">
        <v>2273</v>
      </c>
      <c r="N717" s="69"/>
      <c r="O717" s="94">
        <v>2</v>
      </c>
      <c r="P717" s="69" t="s">
        <v>50</v>
      </c>
      <c r="Q717" s="69" t="s">
        <v>51</v>
      </c>
      <c r="R717" s="69"/>
      <c r="S717" s="46">
        <v>45314</v>
      </c>
      <c r="T717" s="48">
        <v>45314</v>
      </c>
      <c r="U717" s="69"/>
      <c r="V717" s="69"/>
      <c r="W717" s="69"/>
      <c r="X717" s="69"/>
      <c r="Y717" s="69" t="s">
        <v>4130</v>
      </c>
      <c r="Z717" s="43">
        <v>103305</v>
      </c>
      <c r="AA717" s="43" t="s">
        <v>52</v>
      </c>
      <c r="AB717" s="43" t="s">
        <v>53</v>
      </c>
      <c r="AC717" s="43">
        <v>1825</v>
      </c>
      <c r="AD717" s="141">
        <v>5</v>
      </c>
      <c r="AE717" s="142">
        <v>0</v>
      </c>
      <c r="AF717" s="142"/>
      <c r="AG717" s="69" t="str">
        <f t="shared" si="412"/>
        <v>0 years 344 days</v>
      </c>
      <c r="AH717" s="69">
        <v>0</v>
      </c>
      <c r="AI717" s="69">
        <v>344</v>
      </c>
      <c r="AJ717" s="69">
        <v>0</v>
      </c>
      <c r="AK717" s="69">
        <v>0</v>
      </c>
      <c r="AL717" s="60">
        <v>103305</v>
      </c>
      <c r="AM717" s="60">
        <f t="shared" si="413"/>
        <v>103305</v>
      </c>
      <c r="AN717" s="59">
        <v>19472</v>
      </c>
      <c r="AO717" s="148">
        <f t="shared" si="414"/>
        <v>-19472</v>
      </c>
      <c r="AP717" s="58">
        <v>10245.876712328769</v>
      </c>
      <c r="AQ717" s="143">
        <f t="shared" si="415"/>
        <v>-10245.879999999999</v>
      </c>
    </row>
    <row r="718" spans="1:43" x14ac:dyDescent="0.35">
      <c r="A718" s="69" t="s">
        <v>43</v>
      </c>
      <c r="B718" s="15" t="s">
        <v>2274</v>
      </c>
      <c r="C718" s="15"/>
      <c r="D718" s="69"/>
      <c r="E718" s="76">
        <v>0</v>
      </c>
      <c r="F718" s="69" t="s">
        <v>1960</v>
      </c>
      <c r="G718" s="12" t="s">
        <v>1961</v>
      </c>
      <c r="H718" s="76">
        <v>9010000067</v>
      </c>
      <c r="I718" s="92" t="s">
        <v>47</v>
      </c>
      <c r="J718" s="92">
        <v>1202010202</v>
      </c>
      <c r="K718" s="15"/>
      <c r="L718" s="95" t="s">
        <v>2275</v>
      </c>
      <c r="M718" s="69" t="s">
        <v>2276</v>
      </c>
      <c r="N718" s="69"/>
      <c r="O718" s="94">
        <v>1</v>
      </c>
      <c r="P718" s="69" t="s">
        <v>50</v>
      </c>
      <c r="Q718" s="69" t="s">
        <v>51</v>
      </c>
      <c r="R718" s="69"/>
      <c r="S718" s="46">
        <v>45323</v>
      </c>
      <c r="T718" s="48">
        <v>45323</v>
      </c>
      <c r="U718" s="69"/>
      <c r="V718" s="69"/>
      <c r="W718" s="69"/>
      <c r="X718" s="69"/>
      <c r="Y718" s="69" t="s">
        <v>4130</v>
      </c>
      <c r="Z718" s="43">
        <v>45856</v>
      </c>
      <c r="AA718" s="43" t="s">
        <v>52</v>
      </c>
      <c r="AB718" s="43" t="s">
        <v>53</v>
      </c>
      <c r="AC718" s="43">
        <v>1825</v>
      </c>
      <c r="AD718" s="141">
        <v>5</v>
      </c>
      <c r="AE718" s="142">
        <v>0</v>
      </c>
      <c r="AF718" s="142"/>
      <c r="AG718" s="69" t="str">
        <f t="shared" si="412"/>
        <v>0 years 335 days</v>
      </c>
      <c r="AH718" s="69">
        <v>0</v>
      </c>
      <c r="AI718" s="69">
        <v>335</v>
      </c>
      <c r="AJ718" s="69">
        <v>0</v>
      </c>
      <c r="AK718" s="69">
        <v>0</v>
      </c>
      <c r="AL718" s="60">
        <v>45856</v>
      </c>
      <c r="AM718" s="60">
        <f t="shared" si="413"/>
        <v>45856</v>
      </c>
      <c r="AN718" s="59">
        <v>8417</v>
      </c>
      <c r="AO718" s="148">
        <f t="shared" si="414"/>
        <v>-8417</v>
      </c>
      <c r="AP718" s="58">
        <v>4548.3128767123308</v>
      </c>
      <c r="AQ718" s="143">
        <f t="shared" si="415"/>
        <v>-4548.3100000000004</v>
      </c>
    </row>
    <row r="719" spans="1:43" x14ac:dyDescent="0.35">
      <c r="A719" s="69" t="s">
        <v>43</v>
      </c>
      <c r="B719" s="15" t="s">
        <v>2277</v>
      </c>
      <c r="C719" s="15"/>
      <c r="D719" s="69"/>
      <c r="E719" s="76">
        <v>0</v>
      </c>
      <c r="F719" s="69" t="s">
        <v>1960</v>
      </c>
      <c r="G719" s="12" t="s">
        <v>1961</v>
      </c>
      <c r="H719" s="76">
        <v>9010000068</v>
      </c>
      <c r="I719" s="92" t="s">
        <v>47</v>
      </c>
      <c r="J719" s="92">
        <v>1202010202</v>
      </c>
      <c r="K719" s="15"/>
      <c r="L719" s="95" t="s">
        <v>2278</v>
      </c>
      <c r="M719" s="69" t="s">
        <v>2279</v>
      </c>
      <c r="N719" s="69"/>
      <c r="O719" s="94">
        <v>1</v>
      </c>
      <c r="P719" s="69" t="s">
        <v>50</v>
      </c>
      <c r="Q719" s="69" t="s">
        <v>51</v>
      </c>
      <c r="R719" s="69"/>
      <c r="S719" s="46">
        <v>45323</v>
      </c>
      <c r="T719" s="48">
        <v>45323</v>
      </c>
      <c r="U719" s="69"/>
      <c r="V719" s="69"/>
      <c r="W719" s="69"/>
      <c r="X719" s="69"/>
      <c r="Y719" s="69" t="s">
        <v>4130</v>
      </c>
      <c r="Z719" s="43">
        <v>25735</v>
      </c>
      <c r="AA719" s="43" t="s">
        <v>52</v>
      </c>
      <c r="AB719" s="43" t="s">
        <v>53</v>
      </c>
      <c r="AC719" s="43">
        <v>1825</v>
      </c>
      <c r="AD719" s="141">
        <v>5</v>
      </c>
      <c r="AE719" s="142">
        <v>0</v>
      </c>
      <c r="AF719" s="142"/>
      <c r="AG719" s="69" t="str">
        <f t="shared" si="412"/>
        <v>0 years 335 days</v>
      </c>
      <c r="AH719" s="69">
        <v>0</v>
      </c>
      <c r="AI719" s="69">
        <v>335</v>
      </c>
      <c r="AJ719" s="69">
        <v>0</v>
      </c>
      <c r="AK719" s="69">
        <v>0</v>
      </c>
      <c r="AL719" s="60">
        <v>25735</v>
      </c>
      <c r="AM719" s="60">
        <f t="shared" si="413"/>
        <v>25735</v>
      </c>
      <c r="AN719" s="59">
        <v>4724</v>
      </c>
      <c r="AO719" s="148">
        <f t="shared" si="414"/>
        <v>-4724</v>
      </c>
      <c r="AP719" s="58">
        <v>2552.3068493150677</v>
      </c>
      <c r="AQ719" s="143">
        <f t="shared" si="415"/>
        <v>-2552.31</v>
      </c>
    </row>
    <row r="720" spans="1:43" x14ac:dyDescent="0.35">
      <c r="A720" s="69" t="s">
        <v>43</v>
      </c>
      <c r="B720" s="15" t="s">
        <v>2280</v>
      </c>
      <c r="C720" s="15"/>
      <c r="D720" s="69"/>
      <c r="E720" s="76">
        <v>0</v>
      </c>
      <c r="F720" s="69" t="s">
        <v>1960</v>
      </c>
      <c r="G720" s="12" t="s">
        <v>1961</v>
      </c>
      <c r="H720" s="76">
        <v>9010000069</v>
      </c>
      <c r="I720" s="92" t="s">
        <v>47</v>
      </c>
      <c r="J720" s="92">
        <v>1202010202</v>
      </c>
      <c r="K720" s="15"/>
      <c r="L720" s="95" t="s">
        <v>2281</v>
      </c>
      <c r="M720" s="69" t="s">
        <v>2282</v>
      </c>
      <c r="N720" s="69"/>
      <c r="O720" s="94">
        <v>60</v>
      </c>
      <c r="P720" s="69" t="s">
        <v>50</v>
      </c>
      <c r="Q720" s="69" t="s">
        <v>51</v>
      </c>
      <c r="R720" s="69"/>
      <c r="S720" s="46">
        <v>45338</v>
      </c>
      <c r="T720" s="48">
        <v>45338</v>
      </c>
      <c r="U720" s="69"/>
      <c r="V720" s="69"/>
      <c r="W720" s="69"/>
      <c r="X720" s="69"/>
      <c r="Y720" s="69" t="s">
        <v>4130</v>
      </c>
      <c r="Z720" s="43">
        <v>33600</v>
      </c>
      <c r="AA720" s="43" t="s">
        <v>52</v>
      </c>
      <c r="AB720" s="43" t="s">
        <v>53</v>
      </c>
      <c r="AC720" s="43">
        <v>3650</v>
      </c>
      <c r="AD720" s="141">
        <v>10</v>
      </c>
      <c r="AE720" s="142">
        <v>0</v>
      </c>
      <c r="AF720" s="142"/>
      <c r="AG720" s="69" t="str">
        <f t="shared" si="412"/>
        <v>0 years 320 days</v>
      </c>
      <c r="AH720" s="69">
        <v>0</v>
      </c>
      <c r="AI720" s="69">
        <v>320</v>
      </c>
      <c r="AJ720" s="69">
        <v>0</v>
      </c>
      <c r="AK720" s="69">
        <v>0</v>
      </c>
      <c r="AL720" s="60">
        <v>33600</v>
      </c>
      <c r="AM720" s="60">
        <f t="shared" si="413"/>
        <v>33600</v>
      </c>
      <c r="AN720" s="59">
        <v>2946</v>
      </c>
      <c r="AO720" s="148">
        <f t="shared" si="414"/>
        <v>-2946</v>
      </c>
      <c r="AP720" s="58">
        <v>1665.9452054794519</v>
      </c>
      <c r="AQ720" s="143">
        <f t="shared" si="415"/>
        <v>-1665.95</v>
      </c>
    </row>
    <row r="721" spans="1:43" x14ac:dyDescent="0.35">
      <c r="A721" s="69" t="s">
        <v>43</v>
      </c>
      <c r="B721" s="15" t="s">
        <v>2283</v>
      </c>
      <c r="C721" s="15"/>
      <c r="D721" s="69"/>
      <c r="E721" s="76">
        <v>0</v>
      </c>
      <c r="F721" s="69" t="s">
        <v>1960</v>
      </c>
      <c r="G721" s="12" t="s">
        <v>1961</v>
      </c>
      <c r="H721" s="76">
        <v>9010000070</v>
      </c>
      <c r="I721" s="92" t="s">
        <v>47</v>
      </c>
      <c r="J721" s="92">
        <v>1202010202</v>
      </c>
      <c r="K721" s="15"/>
      <c r="L721" s="95" t="s">
        <v>2284</v>
      </c>
      <c r="M721" s="69" t="s">
        <v>2285</v>
      </c>
      <c r="N721" s="69"/>
      <c r="O721" s="94">
        <v>1000</v>
      </c>
      <c r="P721" s="69" t="s">
        <v>50</v>
      </c>
      <c r="Q721" s="69" t="s">
        <v>51</v>
      </c>
      <c r="R721" s="69"/>
      <c r="S721" s="46">
        <v>45339</v>
      </c>
      <c r="T721" s="48">
        <v>45339</v>
      </c>
      <c r="U721" s="69"/>
      <c r="V721" s="69"/>
      <c r="W721" s="69"/>
      <c r="X721" s="69"/>
      <c r="Y721" s="69" t="s">
        <v>4130</v>
      </c>
      <c r="Z721" s="43">
        <v>147416</v>
      </c>
      <c r="AA721" s="43" t="s">
        <v>52</v>
      </c>
      <c r="AB721" s="43" t="s">
        <v>53</v>
      </c>
      <c r="AC721" s="43">
        <v>3650</v>
      </c>
      <c r="AD721" s="141">
        <v>10</v>
      </c>
      <c r="AE721" s="142">
        <v>0</v>
      </c>
      <c r="AF721" s="142"/>
      <c r="AG721" s="69" t="str">
        <f t="shared" si="412"/>
        <v>0 years 319 days</v>
      </c>
      <c r="AH721" s="69">
        <v>0</v>
      </c>
      <c r="AI721" s="69">
        <v>319</v>
      </c>
      <c r="AJ721" s="69">
        <v>0</v>
      </c>
      <c r="AK721" s="69">
        <v>0</v>
      </c>
      <c r="AL721" s="60">
        <v>147416</v>
      </c>
      <c r="AM721" s="60">
        <f t="shared" si="413"/>
        <v>147416</v>
      </c>
      <c r="AN721" s="59">
        <v>12884</v>
      </c>
      <c r="AO721" s="148">
        <f t="shared" si="414"/>
        <v>-12884</v>
      </c>
      <c r="AP721" s="58">
        <v>7309.9726027397264</v>
      </c>
      <c r="AQ721" s="143">
        <f t="shared" si="415"/>
        <v>-7309.97</v>
      </c>
    </row>
    <row r="722" spans="1:43" x14ac:dyDescent="0.35">
      <c r="A722" s="69" t="s">
        <v>43</v>
      </c>
      <c r="B722" s="15" t="s">
        <v>2286</v>
      </c>
      <c r="C722" s="15"/>
      <c r="D722" s="69"/>
      <c r="E722" s="76">
        <v>0</v>
      </c>
      <c r="F722" s="69" t="s">
        <v>1960</v>
      </c>
      <c r="G722" s="12" t="s">
        <v>1961</v>
      </c>
      <c r="H722" s="76">
        <v>9010000071</v>
      </c>
      <c r="I722" s="92" t="s">
        <v>47</v>
      </c>
      <c r="J722" s="92">
        <v>1202010202</v>
      </c>
      <c r="K722" s="15"/>
      <c r="L722" s="95" t="s">
        <v>2287</v>
      </c>
      <c r="M722" s="69" t="s">
        <v>2288</v>
      </c>
      <c r="N722" s="69"/>
      <c r="O722" s="94">
        <v>100</v>
      </c>
      <c r="P722" s="69" t="s">
        <v>50</v>
      </c>
      <c r="Q722" s="69" t="s">
        <v>51</v>
      </c>
      <c r="R722" s="69"/>
      <c r="S722" s="46">
        <v>45356</v>
      </c>
      <c r="T722" s="48">
        <v>45356</v>
      </c>
      <c r="U722" s="69"/>
      <c r="V722" s="69"/>
      <c r="W722" s="69"/>
      <c r="X722" s="69"/>
      <c r="Y722" s="69" t="s">
        <v>4130</v>
      </c>
      <c r="Z722" s="43">
        <v>35409</v>
      </c>
      <c r="AA722" s="43" t="s">
        <v>52</v>
      </c>
      <c r="AB722" s="43" t="s">
        <v>53</v>
      </c>
      <c r="AC722" s="43">
        <v>3650</v>
      </c>
      <c r="AD722" s="141">
        <v>10</v>
      </c>
      <c r="AE722" s="142">
        <v>0</v>
      </c>
      <c r="AF722" s="142"/>
      <c r="AG722" s="69" t="str">
        <f t="shared" si="412"/>
        <v>0 years 302 days</v>
      </c>
      <c r="AH722" s="69">
        <v>0</v>
      </c>
      <c r="AI722" s="69">
        <v>302</v>
      </c>
      <c r="AJ722" s="69">
        <v>0</v>
      </c>
      <c r="AK722" s="69">
        <v>0</v>
      </c>
      <c r="AL722" s="60">
        <v>35409</v>
      </c>
      <c r="AM722" s="60">
        <f t="shared" si="413"/>
        <v>35409</v>
      </c>
      <c r="AN722" s="59">
        <v>2930</v>
      </c>
      <c r="AO722" s="148">
        <f t="shared" si="414"/>
        <v>-2930</v>
      </c>
      <c r="AP722" s="58">
        <v>1755.6293150684933</v>
      </c>
      <c r="AQ722" s="143">
        <f t="shared" si="415"/>
        <v>-1755.63</v>
      </c>
    </row>
    <row r="723" spans="1:43" x14ac:dyDescent="0.35">
      <c r="A723" s="69" t="s">
        <v>43</v>
      </c>
      <c r="B723" s="15" t="s">
        <v>2289</v>
      </c>
      <c r="C723" s="15"/>
      <c r="D723" s="69"/>
      <c r="E723" s="76">
        <v>0</v>
      </c>
      <c r="F723" s="69" t="s">
        <v>1960</v>
      </c>
      <c r="G723" s="12" t="s">
        <v>1961</v>
      </c>
      <c r="H723" s="76">
        <v>9010000072</v>
      </c>
      <c r="I723" s="92" t="s">
        <v>47</v>
      </c>
      <c r="J723" s="92">
        <v>1202010202</v>
      </c>
      <c r="K723" s="15"/>
      <c r="L723" s="95" t="s">
        <v>2290</v>
      </c>
      <c r="M723" s="69" t="s">
        <v>2291</v>
      </c>
      <c r="N723" s="69"/>
      <c r="O723" s="94">
        <v>48</v>
      </c>
      <c r="P723" s="69" t="s">
        <v>50</v>
      </c>
      <c r="Q723" s="69" t="s">
        <v>51</v>
      </c>
      <c r="R723" s="69"/>
      <c r="S723" s="46">
        <v>45356</v>
      </c>
      <c r="T723" s="48">
        <v>45356</v>
      </c>
      <c r="U723" s="69"/>
      <c r="V723" s="69"/>
      <c r="W723" s="69"/>
      <c r="X723" s="69"/>
      <c r="Y723" s="69" t="s">
        <v>4130</v>
      </c>
      <c r="Z723" s="43">
        <v>15765</v>
      </c>
      <c r="AA723" s="43" t="s">
        <v>52</v>
      </c>
      <c r="AB723" s="43" t="s">
        <v>53</v>
      </c>
      <c r="AC723" s="43">
        <v>3650</v>
      </c>
      <c r="AD723" s="141">
        <v>10</v>
      </c>
      <c r="AE723" s="142">
        <v>0</v>
      </c>
      <c r="AF723" s="142"/>
      <c r="AG723" s="69" t="str">
        <f t="shared" si="412"/>
        <v>0 years 302 days</v>
      </c>
      <c r="AH723" s="69">
        <v>0</v>
      </c>
      <c r="AI723" s="69">
        <v>302</v>
      </c>
      <c r="AJ723" s="69">
        <v>0</v>
      </c>
      <c r="AK723" s="69">
        <v>0</v>
      </c>
      <c r="AL723" s="60">
        <v>15765</v>
      </c>
      <c r="AM723" s="60">
        <f t="shared" si="413"/>
        <v>15765</v>
      </c>
      <c r="AN723" s="59">
        <v>1304</v>
      </c>
      <c r="AO723" s="148">
        <f t="shared" si="414"/>
        <v>-1304</v>
      </c>
      <c r="AP723" s="58">
        <v>782.16301369863049</v>
      </c>
      <c r="AQ723" s="143">
        <f t="shared" si="415"/>
        <v>-782.16</v>
      </c>
    </row>
    <row r="724" spans="1:43" x14ac:dyDescent="0.35">
      <c r="A724" s="69" t="s">
        <v>43</v>
      </c>
      <c r="B724" s="15" t="s">
        <v>2292</v>
      </c>
      <c r="C724" s="15"/>
      <c r="D724" s="69"/>
      <c r="E724" s="76">
        <v>0</v>
      </c>
      <c r="F724" s="69" t="s">
        <v>1960</v>
      </c>
      <c r="G724" s="12" t="s">
        <v>1961</v>
      </c>
      <c r="H724" s="76">
        <v>9010000073</v>
      </c>
      <c r="I724" s="92" t="s">
        <v>47</v>
      </c>
      <c r="J724" s="92">
        <v>1202010202</v>
      </c>
      <c r="K724" s="15"/>
      <c r="L724" s="95" t="s">
        <v>2293</v>
      </c>
      <c r="M724" s="69" t="s">
        <v>2294</v>
      </c>
      <c r="N724" s="69"/>
      <c r="O724" s="94">
        <v>872</v>
      </c>
      <c r="P724" s="69" t="s">
        <v>50</v>
      </c>
      <c r="Q724" s="69" t="s">
        <v>51</v>
      </c>
      <c r="R724" s="69"/>
      <c r="S724" s="46">
        <v>45382</v>
      </c>
      <c r="T724" s="48">
        <v>45382</v>
      </c>
      <c r="U724" s="69"/>
      <c r="V724" s="69"/>
      <c r="W724" s="69"/>
      <c r="X724" s="69"/>
      <c r="Y724" s="69" t="s">
        <v>4130</v>
      </c>
      <c r="Z724" s="43">
        <v>134376</v>
      </c>
      <c r="AA724" s="43" t="s">
        <v>52</v>
      </c>
      <c r="AB724" s="43" t="s">
        <v>53</v>
      </c>
      <c r="AC724" s="43">
        <v>3650</v>
      </c>
      <c r="AD724" s="141">
        <v>10</v>
      </c>
      <c r="AE724" s="142">
        <v>0</v>
      </c>
      <c r="AF724" s="142"/>
      <c r="AG724" s="69" t="str">
        <f t="shared" si="412"/>
        <v>0 years 276 days</v>
      </c>
      <c r="AH724" s="69">
        <v>0</v>
      </c>
      <c r="AI724" s="69">
        <v>276</v>
      </c>
      <c r="AJ724" s="69">
        <v>0</v>
      </c>
      <c r="AK724" s="69">
        <v>0</v>
      </c>
      <c r="AL724" s="60">
        <v>134376</v>
      </c>
      <c r="AM724" s="60">
        <f t="shared" si="413"/>
        <v>134376</v>
      </c>
      <c r="AN724" s="59">
        <v>10198</v>
      </c>
      <c r="AO724" s="148">
        <f t="shared" si="414"/>
        <v>-10198</v>
      </c>
      <c r="AP724" s="58">
        <v>6663.4268493150703</v>
      </c>
      <c r="AQ724" s="143">
        <f t="shared" si="415"/>
        <v>-6663.43</v>
      </c>
    </row>
    <row r="725" spans="1:43" x14ac:dyDescent="0.35">
      <c r="A725" s="69" t="s">
        <v>43</v>
      </c>
      <c r="B725" s="15" t="s">
        <v>2295</v>
      </c>
      <c r="C725" s="15"/>
      <c r="D725" s="69"/>
      <c r="E725" s="76">
        <v>0</v>
      </c>
      <c r="F725" s="69" t="s">
        <v>1960</v>
      </c>
      <c r="G725" s="12" t="s">
        <v>1961</v>
      </c>
      <c r="H725" s="76">
        <v>9010000074</v>
      </c>
      <c r="I725" s="92" t="s">
        <v>47</v>
      </c>
      <c r="J725" s="92">
        <v>1202010202</v>
      </c>
      <c r="K725" s="15"/>
      <c r="L725" s="95" t="s">
        <v>2296</v>
      </c>
      <c r="M725" s="69" t="s">
        <v>2297</v>
      </c>
      <c r="N725" s="69"/>
      <c r="O725" s="94">
        <v>11</v>
      </c>
      <c r="P725" s="69" t="s">
        <v>50</v>
      </c>
      <c r="Q725" s="69" t="s">
        <v>51</v>
      </c>
      <c r="R725" s="69"/>
      <c r="S725" s="46">
        <v>45382</v>
      </c>
      <c r="T725" s="48">
        <v>45382</v>
      </c>
      <c r="U725" s="69"/>
      <c r="V725" s="69"/>
      <c r="W725" s="69"/>
      <c r="X725" s="69"/>
      <c r="Y725" s="69" t="s">
        <v>4130</v>
      </c>
      <c r="Z725" s="43">
        <v>37477.4</v>
      </c>
      <c r="AA725" s="43" t="s">
        <v>52</v>
      </c>
      <c r="AB725" s="43" t="s">
        <v>53</v>
      </c>
      <c r="AC725" s="43">
        <v>3650</v>
      </c>
      <c r="AD725" s="141">
        <v>10</v>
      </c>
      <c r="AE725" s="142">
        <v>0</v>
      </c>
      <c r="AF725" s="142"/>
      <c r="AG725" s="69" t="str">
        <f t="shared" si="412"/>
        <v>0 years 276 days</v>
      </c>
      <c r="AH725" s="69">
        <v>0</v>
      </c>
      <c r="AI725" s="69">
        <v>276</v>
      </c>
      <c r="AJ725" s="69">
        <v>0</v>
      </c>
      <c r="AK725" s="69">
        <v>0</v>
      </c>
      <c r="AL725" s="60">
        <v>37477.4</v>
      </c>
      <c r="AM725" s="60">
        <f t="shared" si="413"/>
        <v>37477.4</v>
      </c>
      <c r="AN725" s="59">
        <v>2844</v>
      </c>
      <c r="AO725" s="148">
        <f t="shared" si="414"/>
        <v>-2844</v>
      </c>
      <c r="AP725" s="58">
        <v>1858.6436164383558</v>
      </c>
      <c r="AQ725" s="143">
        <f t="shared" si="415"/>
        <v>-1858.64</v>
      </c>
    </row>
    <row r="726" spans="1:43" x14ac:dyDescent="0.35">
      <c r="A726" s="69" t="s">
        <v>43</v>
      </c>
      <c r="B726" s="15" t="s">
        <v>2298</v>
      </c>
      <c r="C726" s="15"/>
      <c r="D726" s="69"/>
      <c r="E726" s="76">
        <v>0</v>
      </c>
      <c r="F726" s="69" t="s">
        <v>1960</v>
      </c>
      <c r="G726" s="12" t="s">
        <v>1961</v>
      </c>
      <c r="H726" s="76">
        <v>9010000075</v>
      </c>
      <c r="I726" s="92" t="s">
        <v>47</v>
      </c>
      <c r="J726" s="92">
        <v>1202010202</v>
      </c>
      <c r="K726" s="15"/>
      <c r="L726" s="95" t="s">
        <v>2299</v>
      </c>
      <c r="M726" s="69" t="s">
        <v>2300</v>
      </c>
      <c r="N726" s="69"/>
      <c r="O726" s="94">
        <v>2</v>
      </c>
      <c r="P726" s="69" t="s">
        <v>50</v>
      </c>
      <c r="Q726" s="69" t="s">
        <v>51</v>
      </c>
      <c r="R726" s="69"/>
      <c r="S726" s="46">
        <v>45382</v>
      </c>
      <c r="T726" s="48">
        <v>45382</v>
      </c>
      <c r="U726" s="69"/>
      <c r="V726" s="69"/>
      <c r="W726" s="69"/>
      <c r="X726" s="69"/>
      <c r="Y726" s="69" t="s">
        <v>4130</v>
      </c>
      <c r="Z726" s="43">
        <v>81704</v>
      </c>
      <c r="AA726" s="43" t="s">
        <v>52</v>
      </c>
      <c r="AB726" s="43" t="s">
        <v>53</v>
      </c>
      <c r="AC726" s="43">
        <v>1825</v>
      </c>
      <c r="AD726" s="141">
        <v>5</v>
      </c>
      <c r="AE726" s="142">
        <v>0</v>
      </c>
      <c r="AF726" s="142"/>
      <c r="AG726" s="69" t="str">
        <f t="shared" si="412"/>
        <v>0 years 276 days</v>
      </c>
      <c r="AH726" s="69">
        <v>0</v>
      </c>
      <c r="AI726" s="69">
        <v>276</v>
      </c>
      <c r="AJ726" s="69">
        <v>0</v>
      </c>
      <c r="AK726" s="69">
        <v>0</v>
      </c>
      <c r="AL726" s="60">
        <v>81704</v>
      </c>
      <c r="AM726" s="60">
        <f t="shared" si="413"/>
        <v>81704</v>
      </c>
      <c r="AN726" s="59">
        <v>12401</v>
      </c>
      <c r="AO726" s="148">
        <f t="shared" si="414"/>
        <v>-12401</v>
      </c>
      <c r="AP726" s="58">
        <v>8103.3463013698638</v>
      </c>
      <c r="AQ726" s="143">
        <f t="shared" si="415"/>
        <v>-8103.35</v>
      </c>
    </row>
    <row r="727" spans="1:43" x14ac:dyDescent="0.35">
      <c r="A727" s="69" t="s">
        <v>43</v>
      </c>
      <c r="B727" s="15" t="s">
        <v>2301</v>
      </c>
      <c r="C727" s="15"/>
      <c r="D727" s="69"/>
      <c r="E727" s="76">
        <v>0</v>
      </c>
      <c r="F727" s="69" t="s">
        <v>1960</v>
      </c>
      <c r="G727" s="12" t="s">
        <v>1961</v>
      </c>
      <c r="H727" s="76">
        <v>9010000076</v>
      </c>
      <c r="I727" s="92" t="s">
        <v>47</v>
      </c>
      <c r="J727" s="92">
        <v>1202010202</v>
      </c>
      <c r="K727" s="15"/>
      <c r="L727" s="95" t="s">
        <v>2302</v>
      </c>
      <c r="M727" s="69" t="s">
        <v>2303</v>
      </c>
      <c r="N727" s="69"/>
      <c r="O727" s="94">
        <v>1</v>
      </c>
      <c r="P727" s="69" t="s">
        <v>50</v>
      </c>
      <c r="Q727" s="69" t="s">
        <v>51</v>
      </c>
      <c r="R727" s="69"/>
      <c r="S727" s="46">
        <v>45382</v>
      </c>
      <c r="T727" s="48">
        <v>45382</v>
      </c>
      <c r="U727" s="69"/>
      <c r="V727" s="69"/>
      <c r="W727" s="69"/>
      <c r="X727" s="69"/>
      <c r="Y727" s="69" t="s">
        <v>4130</v>
      </c>
      <c r="Z727" s="43">
        <v>45425.1</v>
      </c>
      <c r="AA727" s="43" t="s">
        <v>52</v>
      </c>
      <c r="AB727" s="43" t="s">
        <v>53</v>
      </c>
      <c r="AC727" s="43">
        <v>1825</v>
      </c>
      <c r="AD727" s="141">
        <v>5</v>
      </c>
      <c r="AE727" s="142">
        <v>0</v>
      </c>
      <c r="AF727" s="142"/>
      <c r="AG727" s="69" t="str">
        <f t="shared" si="412"/>
        <v>0 years 276 days</v>
      </c>
      <c r="AH727" s="69">
        <v>0</v>
      </c>
      <c r="AI727" s="69">
        <v>276</v>
      </c>
      <c r="AJ727" s="69">
        <v>0</v>
      </c>
      <c r="AK727" s="69">
        <v>0</v>
      </c>
      <c r="AL727" s="60">
        <v>45425.1</v>
      </c>
      <c r="AM727" s="60">
        <f t="shared" si="413"/>
        <v>45425.1</v>
      </c>
      <c r="AN727" s="59">
        <v>6895</v>
      </c>
      <c r="AO727" s="148">
        <f t="shared" si="414"/>
        <v>-6895</v>
      </c>
      <c r="AP727" s="58">
        <v>4504.8333150684921</v>
      </c>
      <c r="AQ727" s="143">
        <f t="shared" si="415"/>
        <v>-4504.83</v>
      </c>
    </row>
    <row r="728" spans="1:43" x14ac:dyDescent="0.35">
      <c r="A728" s="69" t="s">
        <v>43</v>
      </c>
      <c r="B728" s="15" t="s">
        <v>2304</v>
      </c>
      <c r="C728" s="15"/>
      <c r="D728" s="69"/>
      <c r="E728" s="76">
        <v>0</v>
      </c>
      <c r="F728" s="69" t="s">
        <v>1960</v>
      </c>
      <c r="G728" s="12" t="s">
        <v>1961</v>
      </c>
      <c r="H728" s="76">
        <v>9010000077</v>
      </c>
      <c r="I728" s="92" t="s">
        <v>47</v>
      </c>
      <c r="J728" s="92">
        <v>1202010202</v>
      </c>
      <c r="K728" s="15"/>
      <c r="L728" s="95" t="s">
        <v>2305</v>
      </c>
      <c r="M728" s="69" t="s">
        <v>2306</v>
      </c>
      <c r="N728" s="69"/>
      <c r="O728" s="94">
        <v>25</v>
      </c>
      <c r="P728" s="69" t="s">
        <v>50</v>
      </c>
      <c r="Q728" s="69" t="s">
        <v>51</v>
      </c>
      <c r="R728" s="69"/>
      <c r="S728" s="46">
        <v>45382</v>
      </c>
      <c r="T728" s="48">
        <v>45382</v>
      </c>
      <c r="U728" s="69"/>
      <c r="V728" s="69"/>
      <c r="W728" s="69"/>
      <c r="X728" s="69"/>
      <c r="Y728" s="69" t="s">
        <v>4130</v>
      </c>
      <c r="Z728" s="43">
        <v>16344.5</v>
      </c>
      <c r="AA728" s="43" t="s">
        <v>52</v>
      </c>
      <c r="AB728" s="43" t="s">
        <v>53</v>
      </c>
      <c r="AC728" s="43">
        <v>1825</v>
      </c>
      <c r="AD728" s="141">
        <v>5</v>
      </c>
      <c r="AE728" s="142">
        <v>0</v>
      </c>
      <c r="AF728" s="142"/>
      <c r="AG728" s="69" t="str">
        <f t="shared" si="412"/>
        <v>0 years 276 days</v>
      </c>
      <c r="AH728" s="69">
        <v>0</v>
      </c>
      <c r="AI728" s="69">
        <v>276</v>
      </c>
      <c r="AJ728" s="69">
        <v>0</v>
      </c>
      <c r="AK728" s="69">
        <v>0</v>
      </c>
      <c r="AL728" s="60">
        <v>16344.5</v>
      </c>
      <c r="AM728" s="60">
        <f t="shared" si="413"/>
        <v>16344.5</v>
      </c>
      <c r="AN728" s="59">
        <v>2481</v>
      </c>
      <c r="AO728" s="148">
        <f t="shared" si="414"/>
        <v>-2481</v>
      </c>
      <c r="AP728" s="58">
        <v>1620.7978082191785</v>
      </c>
      <c r="AQ728" s="143">
        <f t="shared" si="415"/>
        <v>-1620.8</v>
      </c>
    </row>
    <row r="729" spans="1:43" x14ac:dyDescent="0.35">
      <c r="A729" s="69" t="s">
        <v>43</v>
      </c>
      <c r="B729" s="15" t="s">
        <v>2307</v>
      </c>
      <c r="C729" s="15"/>
      <c r="D729" s="69"/>
      <c r="E729" s="76">
        <v>0</v>
      </c>
      <c r="F729" s="69" t="s">
        <v>1960</v>
      </c>
      <c r="G729" s="12" t="s">
        <v>1961</v>
      </c>
      <c r="H729" s="76">
        <v>9010000078</v>
      </c>
      <c r="I729" s="92" t="s">
        <v>47</v>
      </c>
      <c r="J729" s="92">
        <v>1202010202</v>
      </c>
      <c r="K729" s="15"/>
      <c r="L729" s="95" t="s">
        <v>2308</v>
      </c>
      <c r="M729" s="69" t="s">
        <v>2309</v>
      </c>
      <c r="N729" s="69"/>
      <c r="O729" s="94">
        <v>3</v>
      </c>
      <c r="P729" s="69" t="s">
        <v>50</v>
      </c>
      <c r="Q729" s="69" t="s">
        <v>51</v>
      </c>
      <c r="R729" s="69"/>
      <c r="S729" s="46">
        <v>45382</v>
      </c>
      <c r="T729" s="48">
        <v>45382</v>
      </c>
      <c r="U729" s="69"/>
      <c r="V729" s="69"/>
      <c r="W729" s="69"/>
      <c r="X729" s="69"/>
      <c r="Y729" s="69" t="s">
        <v>4130</v>
      </c>
      <c r="Z729" s="43">
        <v>56163</v>
      </c>
      <c r="AA729" s="43" t="s">
        <v>52</v>
      </c>
      <c r="AB729" s="43" t="s">
        <v>53</v>
      </c>
      <c r="AC729" s="43">
        <v>1825</v>
      </c>
      <c r="AD729" s="141">
        <v>5</v>
      </c>
      <c r="AE729" s="142">
        <v>0</v>
      </c>
      <c r="AF729" s="142"/>
      <c r="AG729" s="69" t="str">
        <f t="shared" si="412"/>
        <v>0 years 276 days</v>
      </c>
      <c r="AH729" s="69">
        <v>0</v>
      </c>
      <c r="AI729" s="69">
        <v>276</v>
      </c>
      <c r="AJ729" s="69">
        <v>0</v>
      </c>
      <c r="AK729" s="69">
        <v>0</v>
      </c>
      <c r="AL729" s="60">
        <v>56163</v>
      </c>
      <c r="AM729" s="60">
        <f t="shared" si="413"/>
        <v>56163</v>
      </c>
      <c r="AN729" s="59">
        <v>8524</v>
      </c>
      <c r="AO729" s="148">
        <f t="shared" si="414"/>
        <v>-8524</v>
      </c>
      <c r="AP729" s="58">
        <v>5570.6049315068485</v>
      </c>
      <c r="AQ729" s="143">
        <f t="shared" si="415"/>
        <v>-5570.6</v>
      </c>
    </row>
    <row r="730" spans="1:43" x14ac:dyDescent="0.35">
      <c r="A730" s="69" t="s">
        <v>43</v>
      </c>
      <c r="B730" s="15" t="s">
        <v>2310</v>
      </c>
      <c r="C730" s="15"/>
      <c r="D730" s="69"/>
      <c r="E730" s="76">
        <v>0</v>
      </c>
      <c r="F730" s="69" t="s">
        <v>1960</v>
      </c>
      <c r="G730" s="12" t="s">
        <v>1961</v>
      </c>
      <c r="H730" s="76">
        <v>9010000079</v>
      </c>
      <c r="I730" s="92" t="s">
        <v>47</v>
      </c>
      <c r="J730" s="92">
        <v>1202010202</v>
      </c>
      <c r="K730" s="15"/>
      <c r="L730" s="95" t="s">
        <v>2311</v>
      </c>
      <c r="M730" s="69" t="s">
        <v>2312</v>
      </c>
      <c r="N730" s="69"/>
      <c r="O730" s="94">
        <v>5</v>
      </c>
      <c r="P730" s="69" t="s">
        <v>50</v>
      </c>
      <c r="Q730" s="69" t="s">
        <v>51</v>
      </c>
      <c r="R730" s="69"/>
      <c r="S730" s="46">
        <v>45382</v>
      </c>
      <c r="T730" s="48">
        <v>45382</v>
      </c>
      <c r="U730" s="69"/>
      <c r="V730" s="69"/>
      <c r="W730" s="69"/>
      <c r="X730" s="69"/>
      <c r="Y730" s="69" t="s">
        <v>4130</v>
      </c>
      <c r="Z730" s="43">
        <v>1100000</v>
      </c>
      <c r="AA730" s="43" t="s">
        <v>52</v>
      </c>
      <c r="AB730" s="43" t="s">
        <v>53</v>
      </c>
      <c r="AC730" s="43">
        <v>1825</v>
      </c>
      <c r="AD730" s="141">
        <v>5</v>
      </c>
      <c r="AE730" s="142">
        <v>0</v>
      </c>
      <c r="AF730" s="142"/>
      <c r="AG730" s="69" t="str">
        <f t="shared" si="412"/>
        <v>0 years 276 days</v>
      </c>
      <c r="AH730" s="69">
        <v>0</v>
      </c>
      <c r="AI730" s="69">
        <v>276</v>
      </c>
      <c r="AJ730" s="69">
        <v>0</v>
      </c>
      <c r="AK730" s="69">
        <v>0</v>
      </c>
      <c r="AL730" s="60">
        <v>1100000</v>
      </c>
      <c r="AM730" s="60">
        <f t="shared" si="413"/>
        <v>1100000</v>
      </c>
      <c r="AN730" s="59">
        <v>166959</v>
      </c>
      <c r="AO730" s="148">
        <f t="shared" si="414"/>
        <v>-166959</v>
      </c>
      <c r="AP730" s="58">
        <v>109095.7945205479</v>
      </c>
      <c r="AQ730" s="143">
        <f t="shared" si="415"/>
        <v>-109095.79</v>
      </c>
    </row>
    <row r="731" spans="1:43" x14ac:dyDescent="0.35">
      <c r="A731" s="69" t="s">
        <v>43</v>
      </c>
      <c r="B731" s="15" t="s">
        <v>2313</v>
      </c>
      <c r="C731" s="15"/>
      <c r="D731" s="69"/>
      <c r="E731" s="76">
        <v>0</v>
      </c>
      <c r="F731" s="69" t="s">
        <v>1960</v>
      </c>
      <c r="G731" s="12" t="s">
        <v>1961</v>
      </c>
      <c r="H731" s="76">
        <v>9010000080</v>
      </c>
      <c r="I731" s="92" t="s">
        <v>47</v>
      </c>
      <c r="J731" s="92">
        <v>1202010202</v>
      </c>
      <c r="K731" s="15"/>
      <c r="L731" s="95" t="s">
        <v>2314</v>
      </c>
      <c r="M731" s="69" t="s">
        <v>2315</v>
      </c>
      <c r="N731" s="69"/>
      <c r="O731" s="94">
        <v>1</v>
      </c>
      <c r="P731" s="69" t="s">
        <v>50</v>
      </c>
      <c r="Q731" s="69" t="s">
        <v>51</v>
      </c>
      <c r="R731" s="69"/>
      <c r="S731" s="46">
        <v>45399</v>
      </c>
      <c r="T731" s="48">
        <v>45399</v>
      </c>
      <c r="U731" s="69"/>
      <c r="V731" s="69"/>
      <c r="W731" s="69"/>
      <c r="X731" s="69"/>
      <c r="Y731" s="69" t="s">
        <v>4130</v>
      </c>
      <c r="Z731" s="43">
        <v>67740</v>
      </c>
      <c r="AA731" s="43" t="s">
        <v>52</v>
      </c>
      <c r="AB731" s="43" t="s">
        <v>53</v>
      </c>
      <c r="AC731" s="43">
        <v>1825</v>
      </c>
      <c r="AD731" s="141">
        <v>5</v>
      </c>
      <c r="AE731" s="142">
        <v>0</v>
      </c>
      <c r="AF731" s="142"/>
      <c r="AG731" s="69" t="str">
        <f t="shared" si="412"/>
        <v>0 years 259 days</v>
      </c>
      <c r="AH731" s="69">
        <v>0</v>
      </c>
      <c r="AI731" s="69">
        <v>259</v>
      </c>
      <c r="AJ731" s="69">
        <v>0</v>
      </c>
      <c r="AK731" s="69">
        <v>0</v>
      </c>
      <c r="AL731" s="60">
        <v>67740</v>
      </c>
      <c r="AM731" s="60">
        <f t="shared" si="413"/>
        <v>67740</v>
      </c>
      <c r="AN731" s="59">
        <v>9614</v>
      </c>
      <c r="AO731" s="148">
        <f t="shared" si="414"/>
        <v>-9614</v>
      </c>
      <c r="AP731" s="58">
        <v>6717.8356164383567</v>
      </c>
      <c r="AQ731" s="143">
        <f t="shared" si="415"/>
        <v>-6717.84</v>
      </c>
    </row>
    <row r="732" spans="1:43" x14ac:dyDescent="0.35">
      <c r="A732" s="69" t="s">
        <v>43</v>
      </c>
      <c r="B732" s="15" t="s">
        <v>2316</v>
      </c>
      <c r="C732" s="15"/>
      <c r="D732" s="69"/>
      <c r="E732" s="76">
        <v>0</v>
      </c>
      <c r="F732" s="69" t="s">
        <v>1960</v>
      </c>
      <c r="G732" s="12" t="s">
        <v>1961</v>
      </c>
      <c r="H732" s="76">
        <v>9010000081</v>
      </c>
      <c r="I732" s="92" t="s">
        <v>47</v>
      </c>
      <c r="J732" s="92">
        <v>1202010202</v>
      </c>
      <c r="K732" s="15"/>
      <c r="L732" s="95" t="s">
        <v>2317</v>
      </c>
      <c r="M732" s="69" t="s">
        <v>2318</v>
      </c>
      <c r="N732" s="69"/>
      <c r="O732" s="94">
        <v>15</v>
      </c>
      <c r="P732" s="69" t="s">
        <v>50</v>
      </c>
      <c r="Q732" s="69" t="s">
        <v>51</v>
      </c>
      <c r="R732" s="69"/>
      <c r="S732" s="46">
        <v>45412</v>
      </c>
      <c r="T732" s="48">
        <v>45412</v>
      </c>
      <c r="U732" s="69"/>
      <c r="V732" s="69"/>
      <c r="W732" s="69"/>
      <c r="X732" s="69"/>
      <c r="Y732" s="69" t="s">
        <v>4130</v>
      </c>
      <c r="Z732" s="43">
        <v>40132.800000000003</v>
      </c>
      <c r="AA732" s="43" t="s">
        <v>52</v>
      </c>
      <c r="AB732" s="43" t="s">
        <v>53</v>
      </c>
      <c r="AC732" s="43">
        <v>1825</v>
      </c>
      <c r="AD732" s="141">
        <v>5</v>
      </c>
      <c r="AE732" s="142">
        <v>0</v>
      </c>
      <c r="AF732" s="142"/>
      <c r="AG732" s="69" t="str">
        <f t="shared" si="412"/>
        <v>0 years 246 days</v>
      </c>
      <c r="AH732" s="69">
        <v>0</v>
      </c>
      <c r="AI732" s="69">
        <v>246</v>
      </c>
      <c r="AJ732" s="69">
        <v>0</v>
      </c>
      <c r="AK732" s="69">
        <v>0</v>
      </c>
      <c r="AL732" s="60">
        <v>40132.800000000003</v>
      </c>
      <c r="AM732" s="60">
        <f t="shared" si="413"/>
        <v>40132.800000000003</v>
      </c>
      <c r="AN732" s="59">
        <v>5410</v>
      </c>
      <c r="AO732" s="148">
        <f t="shared" si="414"/>
        <v>-5410</v>
      </c>
      <c r="AP732" s="58">
        <v>3979.9756712328781</v>
      </c>
      <c r="AQ732" s="143">
        <f t="shared" si="415"/>
        <v>-3979.98</v>
      </c>
    </row>
    <row r="733" spans="1:43" x14ac:dyDescent="0.35">
      <c r="A733" s="69" t="s">
        <v>43</v>
      </c>
      <c r="B733" s="15" t="s">
        <v>2319</v>
      </c>
      <c r="C733" s="15"/>
      <c r="D733" s="69"/>
      <c r="E733" s="76">
        <v>0</v>
      </c>
      <c r="F733" s="69" t="s">
        <v>1960</v>
      </c>
      <c r="G733" s="12" t="s">
        <v>1961</v>
      </c>
      <c r="H733" s="76">
        <v>9010000082</v>
      </c>
      <c r="I733" s="92" t="s">
        <v>47</v>
      </c>
      <c r="J733" s="92">
        <v>1202010202</v>
      </c>
      <c r="K733" s="15"/>
      <c r="L733" s="95" t="s">
        <v>2320</v>
      </c>
      <c r="M733" s="69" t="s">
        <v>2321</v>
      </c>
      <c r="N733" s="69"/>
      <c r="O733" s="94">
        <v>1</v>
      </c>
      <c r="P733" s="69" t="s">
        <v>50</v>
      </c>
      <c r="Q733" s="69" t="s">
        <v>51</v>
      </c>
      <c r="R733" s="69"/>
      <c r="S733" s="46">
        <v>45390</v>
      </c>
      <c r="T733" s="48">
        <v>45390</v>
      </c>
      <c r="U733" s="69"/>
      <c r="V733" s="69"/>
      <c r="W733" s="69"/>
      <c r="X733" s="69"/>
      <c r="Y733" s="69" t="s">
        <v>4130</v>
      </c>
      <c r="Z733" s="43">
        <v>21800</v>
      </c>
      <c r="AA733" s="43" t="s">
        <v>52</v>
      </c>
      <c r="AB733" s="43" t="s">
        <v>53</v>
      </c>
      <c r="AC733" s="43">
        <v>1825</v>
      </c>
      <c r="AD733" s="141">
        <v>5</v>
      </c>
      <c r="AE733" s="142">
        <v>0</v>
      </c>
      <c r="AF733" s="142"/>
      <c r="AG733" s="69" t="str">
        <f t="shared" si="412"/>
        <v>0 years 268 days</v>
      </c>
      <c r="AH733" s="69">
        <v>0</v>
      </c>
      <c r="AI733" s="69">
        <v>268</v>
      </c>
      <c r="AJ733" s="69">
        <v>0</v>
      </c>
      <c r="AK733" s="69">
        <v>0</v>
      </c>
      <c r="AL733" s="60">
        <v>21800</v>
      </c>
      <c r="AM733" s="60">
        <f t="shared" si="413"/>
        <v>21800</v>
      </c>
      <c r="AN733" s="59">
        <v>3201</v>
      </c>
      <c r="AO733" s="148">
        <f t="shared" si="414"/>
        <v>-3201</v>
      </c>
      <c r="AP733" s="58">
        <v>2162.3972602739723</v>
      </c>
      <c r="AQ733" s="143">
        <f t="shared" si="415"/>
        <v>-2162.4</v>
      </c>
    </row>
    <row r="734" spans="1:43" x14ac:dyDescent="0.35">
      <c r="A734" s="69" t="s">
        <v>43</v>
      </c>
      <c r="B734" s="15" t="s">
        <v>2322</v>
      </c>
      <c r="C734" s="15"/>
      <c r="D734" s="69"/>
      <c r="E734" s="76">
        <v>0</v>
      </c>
      <c r="F734" s="69" t="s">
        <v>1960</v>
      </c>
      <c r="G734" s="12" t="s">
        <v>1961</v>
      </c>
      <c r="H734" s="76">
        <v>9010000083</v>
      </c>
      <c r="I734" s="92" t="s">
        <v>47</v>
      </c>
      <c r="J734" s="92">
        <v>1202010202</v>
      </c>
      <c r="K734" s="15"/>
      <c r="L734" s="95" t="s">
        <v>2323</v>
      </c>
      <c r="M734" s="69" t="s">
        <v>2324</v>
      </c>
      <c r="N734" s="69"/>
      <c r="O734" s="94">
        <v>1</v>
      </c>
      <c r="P734" s="69" t="s">
        <v>50</v>
      </c>
      <c r="Q734" s="69" t="s">
        <v>51</v>
      </c>
      <c r="R734" s="69"/>
      <c r="S734" s="46">
        <v>45423</v>
      </c>
      <c r="T734" s="48">
        <v>45423</v>
      </c>
      <c r="U734" s="69"/>
      <c r="V734" s="69"/>
      <c r="W734" s="69"/>
      <c r="X734" s="69"/>
      <c r="Y734" s="69" t="s">
        <v>4130</v>
      </c>
      <c r="Z734" s="43">
        <v>103824.42</v>
      </c>
      <c r="AA734" s="43" t="s">
        <v>52</v>
      </c>
      <c r="AB734" s="43" t="s">
        <v>53</v>
      </c>
      <c r="AC734" s="43">
        <v>3650</v>
      </c>
      <c r="AD734" s="141">
        <v>10</v>
      </c>
      <c r="AE734" s="142">
        <v>0</v>
      </c>
      <c r="AF734" s="142"/>
      <c r="AG734" s="69" t="str">
        <f t="shared" si="412"/>
        <v>0 years 235 days</v>
      </c>
      <c r="AH734" s="69">
        <v>0</v>
      </c>
      <c r="AI734" s="69">
        <v>235</v>
      </c>
      <c r="AJ734" s="69">
        <v>0</v>
      </c>
      <c r="AK734" s="69">
        <v>0</v>
      </c>
      <c r="AL734" s="60">
        <v>103824.42</v>
      </c>
      <c r="AM734" s="60">
        <f t="shared" si="413"/>
        <v>103824.42</v>
      </c>
      <c r="AN734" s="59">
        <v>6685</v>
      </c>
      <c r="AO734" s="148">
        <f t="shared" si="414"/>
        <v>-6685</v>
      </c>
      <c r="AP734" s="58">
        <v>5148.1393753424654</v>
      </c>
      <c r="AQ734" s="143">
        <f t="shared" si="415"/>
        <v>-5148.1400000000003</v>
      </c>
    </row>
    <row r="735" spans="1:43" x14ac:dyDescent="0.35">
      <c r="A735" s="69" t="s">
        <v>43</v>
      </c>
      <c r="B735" s="15" t="s">
        <v>2325</v>
      </c>
      <c r="C735" s="15"/>
      <c r="D735" s="69"/>
      <c r="E735" s="76">
        <v>0</v>
      </c>
      <c r="F735" s="69" t="s">
        <v>1960</v>
      </c>
      <c r="G735" s="12" t="s">
        <v>1961</v>
      </c>
      <c r="H735" s="76">
        <v>9010000084</v>
      </c>
      <c r="I735" s="92" t="s">
        <v>47</v>
      </c>
      <c r="J735" s="92">
        <v>1202010202</v>
      </c>
      <c r="K735" s="15"/>
      <c r="L735" s="95" t="s">
        <v>2326</v>
      </c>
      <c r="M735" s="69" t="s">
        <v>2327</v>
      </c>
      <c r="N735" s="69"/>
      <c r="O735" s="94">
        <v>4</v>
      </c>
      <c r="P735" s="69" t="s">
        <v>50</v>
      </c>
      <c r="Q735" s="69" t="s">
        <v>51</v>
      </c>
      <c r="R735" s="69"/>
      <c r="S735" s="46">
        <v>45454</v>
      </c>
      <c r="T735" s="48">
        <v>45454</v>
      </c>
      <c r="U735" s="69"/>
      <c r="V735" s="69"/>
      <c r="W735" s="69"/>
      <c r="X735" s="69"/>
      <c r="Y735" s="69" t="s">
        <v>4130</v>
      </c>
      <c r="Z735" s="43">
        <v>60945</v>
      </c>
      <c r="AA735" s="43" t="s">
        <v>52</v>
      </c>
      <c r="AB735" s="43" t="s">
        <v>53</v>
      </c>
      <c r="AC735" s="43">
        <v>1825</v>
      </c>
      <c r="AD735" s="141">
        <v>5</v>
      </c>
      <c r="AE735" s="142">
        <v>0</v>
      </c>
      <c r="AF735" s="142"/>
      <c r="AG735" s="69" t="str">
        <f t="shared" si="412"/>
        <v>0 years 204 days</v>
      </c>
      <c r="AH735" s="69">
        <v>0</v>
      </c>
      <c r="AI735" s="69">
        <v>204</v>
      </c>
      <c r="AJ735" s="69">
        <v>0</v>
      </c>
      <c r="AK735" s="69">
        <v>0</v>
      </c>
      <c r="AL735" s="60">
        <v>60945</v>
      </c>
      <c r="AM735" s="60">
        <f t="shared" si="413"/>
        <v>60945</v>
      </c>
      <c r="AN735" s="59">
        <v>6812</v>
      </c>
      <c r="AO735" s="148">
        <f t="shared" si="414"/>
        <v>-6812</v>
      </c>
      <c r="AP735" s="58">
        <v>6044.8904109589039</v>
      </c>
      <c r="AQ735" s="143">
        <f t="shared" si="415"/>
        <v>-6044.89</v>
      </c>
    </row>
    <row r="736" spans="1:43" x14ac:dyDescent="0.35">
      <c r="A736" s="69" t="s">
        <v>43</v>
      </c>
      <c r="B736" s="15" t="s">
        <v>2328</v>
      </c>
      <c r="C736" s="15"/>
      <c r="D736" s="69"/>
      <c r="E736" s="76">
        <v>0</v>
      </c>
      <c r="F736" s="69" t="s">
        <v>1960</v>
      </c>
      <c r="G736" s="12" t="s">
        <v>1961</v>
      </c>
      <c r="H736" s="76">
        <v>9010000085</v>
      </c>
      <c r="I736" s="92" t="s">
        <v>47</v>
      </c>
      <c r="J736" s="92">
        <v>1202010202</v>
      </c>
      <c r="K736" s="15"/>
      <c r="L736" s="95" t="s">
        <v>2329</v>
      </c>
      <c r="M736" s="69" t="s">
        <v>2330</v>
      </c>
      <c r="N736" s="69"/>
      <c r="O736" s="94">
        <v>1</v>
      </c>
      <c r="P736" s="69" t="s">
        <v>50</v>
      </c>
      <c r="Q736" s="69" t="s">
        <v>51</v>
      </c>
      <c r="R736" s="69"/>
      <c r="S736" s="46">
        <v>45474</v>
      </c>
      <c r="T736" s="48">
        <v>45474</v>
      </c>
      <c r="U736" s="69"/>
      <c r="V736" s="69"/>
      <c r="W736" s="69"/>
      <c r="X736" s="69"/>
      <c r="Y736" s="69" t="s">
        <v>4130</v>
      </c>
      <c r="Z736" s="43">
        <v>104750</v>
      </c>
      <c r="AA736" s="43" t="s">
        <v>52</v>
      </c>
      <c r="AB736" s="43" t="s">
        <v>53</v>
      </c>
      <c r="AC736" s="43">
        <v>1825</v>
      </c>
      <c r="AD736" s="141">
        <v>5</v>
      </c>
      <c r="AE736" s="142">
        <v>0</v>
      </c>
      <c r="AF736" s="142"/>
      <c r="AG736" s="69" t="str">
        <f t="shared" si="412"/>
        <v>0 years 184 days</v>
      </c>
      <c r="AH736" s="69">
        <v>0</v>
      </c>
      <c r="AI736" s="69">
        <v>184</v>
      </c>
      <c r="AJ736" s="69">
        <v>0</v>
      </c>
      <c r="AK736" s="69">
        <v>0</v>
      </c>
      <c r="AL736" s="60">
        <v>104750</v>
      </c>
      <c r="AM736" s="60">
        <f t="shared" si="413"/>
        <v>104750</v>
      </c>
      <c r="AN736" s="59">
        <v>10561</v>
      </c>
      <c r="AO736" s="148">
        <f t="shared" si="414"/>
        <v>-10561</v>
      </c>
      <c r="AP736" s="58">
        <v>10389</v>
      </c>
      <c r="AQ736" s="143">
        <f t="shared" si="415"/>
        <v>-10389</v>
      </c>
    </row>
    <row r="737" spans="1:43" x14ac:dyDescent="0.35">
      <c r="A737" s="69" t="s">
        <v>43</v>
      </c>
      <c r="B737" s="15" t="s">
        <v>2331</v>
      </c>
      <c r="C737" s="15"/>
      <c r="D737" s="69"/>
      <c r="E737" s="76">
        <v>0</v>
      </c>
      <c r="F737" s="69" t="s">
        <v>1960</v>
      </c>
      <c r="G737" s="12" t="s">
        <v>1961</v>
      </c>
      <c r="H737" s="76">
        <v>9010000086</v>
      </c>
      <c r="I737" s="92" t="s">
        <v>47</v>
      </c>
      <c r="J737" s="92">
        <v>1202010202</v>
      </c>
      <c r="K737" s="15"/>
      <c r="L737" s="95" t="s">
        <v>2332</v>
      </c>
      <c r="M737" s="69" t="s">
        <v>49</v>
      </c>
      <c r="N737" s="69"/>
      <c r="O737" s="94">
        <v>1</v>
      </c>
      <c r="P737" s="69" t="s">
        <v>50</v>
      </c>
      <c r="Q737" s="69" t="s">
        <v>51</v>
      </c>
      <c r="R737" s="69"/>
      <c r="S737" s="46">
        <v>45688</v>
      </c>
      <c r="T737" s="48">
        <v>45688</v>
      </c>
      <c r="U737" s="69"/>
      <c r="V737" s="69"/>
      <c r="W737" s="69"/>
      <c r="X737" s="69"/>
      <c r="Y737" s="69" t="s">
        <v>4132</v>
      </c>
      <c r="Z737" s="43">
        <v>353893.5</v>
      </c>
      <c r="AA737" s="43" t="s">
        <v>52</v>
      </c>
      <c r="AB737" s="43" t="s">
        <v>53</v>
      </c>
      <c r="AC737" s="43">
        <v>1825</v>
      </c>
      <c r="AD737" s="141">
        <v>5</v>
      </c>
      <c r="AE737" s="142">
        <v>0</v>
      </c>
      <c r="AF737" s="142"/>
      <c r="AG737" s="69" t="str">
        <f t="shared" si="412"/>
        <v>0 years 0 days</v>
      </c>
      <c r="AH737" s="69">
        <v>0</v>
      </c>
      <c r="AI737" s="69">
        <v>0</v>
      </c>
      <c r="AJ737" s="69">
        <v>0</v>
      </c>
      <c r="AK737" s="69">
        <v>0</v>
      </c>
      <c r="AL737" s="60">
        <v>353893.5</v>
      </c>
      <c r="AM737" s="60">
        <f t="shared" si="413"/>
        <v>353893.5</v>
      </c>
      <c r="AN737" s="59">
        <v>0</v>
      </c>
      <c r="AO737" s="148">
        <f t="shared" si="414"/>
        <v>0</v>
      </c>
      <c r="AP737" s="58">
        <v>29281.051232876714</v>
      </c>
      <c r="AQ737" s="143">
        <f t="shared" si="415"/>
        <v>-29281.05</v>
      </c>
    </row>
    <row r="738" spans="1:43" x14ac:dyDescent="0.35">
      <c r="A738" s="69" t="s">
        <v>43</v>
      </c>
      <c r="B738" s="15" t="s">
        <v>2333</v>
      </c>
      <c r="C738" s="15"/>
      <c r="D738" s="69"/>
      <c r="E738" s="76">
        <v>0</v>
      </c>
      <c r="F738" s="69" t="s">
        <v>1960</v>
      </c>
      <c r="G738" s="12" t="s">
        <v>1961</v>
      </c>
      <c r="H738" s="76">
        <v>9010000087</v>
      </c>
      <c r="I738" s="92" t="s">
        <v>47</v>
      </c>
      <c r="J738" s="92">
        <v>1202010202</v>
      </c>
      <c r="K738" s="15"/>
      <c r="L738" s="95" t="s">
        <v>2334</v>
      </c>
      <c r="M738" s="69" t="s">
        <v>2335</v>
      </c>
      <c r="N738" s="69"/>
      <c r="O738" s="94">
        <v>2</v>
      </c>
      <c r="P738" s="69" t="s">
        <v>50</v>
      </c>
      <c r="Q738" s="69" t="s">
        <v>51</v>
      </c>
      <c r="R738" s="69"/>
      <c r="S738" s="46">
        <v>45825</v>
      </c>
      <c r="T738" s="48">
        <v>45825</v>
      </c>
      <c r="U738" s="69"/>
      <c r="V738" s="69"/>
      <c r="W738" s="69"/>
      <c r="X738" s="69"/>
      <c r="Y738" s="69" t="s">
        <v>4132</v>
      </c>
      <c r="Z738" s="43">
        <v>0</v>
      </c>
      <c r="AA738" s="43" t="s">
        <v>52</v>
      </c>
      <c r="AB738" s="43" t="s">
        <v>53</v>
      </c>
      <c r="AC738" s="43">
        <v>1825</v>
      </c>
      <c r="AD738" s="141">
        <v>5</v>
      </c>
      <c r="AE738" s="142">
        <v>0</v>
      </c>
      <c r="AF738" s="142"/>
      <c r="AG738" s="69" t="str">
        <f t="shared" si="412"/>
        <v>0 years 0 days</v>
      </c>
      <c r="AH738" s="69">
        <v>0</v>
      </c>
      <c r="AI738" s="69">
        <v>0</v>
      </c>
      <c r="AJ738" s="69">
        <v>0</v>
      </c>
      <c r="AK738" s="69">
        <v>0</v>
      </c>
      <c r="AL738" s="60">
        <v>57400</v>
      </c>
      <c r="AM738" s="60">
        <f t="shared" si="413"/>
        <v>57400</v>
      </c>
      <c r="AN738" s="59">
        <v>0</v>
      </c>
      <c r="AO738" s="148">
        <f t="shared" si="414"/>
        <v>0</v>
      </c>
      <c r="AP738" s="58">
        <v>440.32876712328766</v>
      </c>
      <c r="AQ738" s="143">
        <f t="shared" si="415"/>
        <v>-440.33</v>
      </c>
    </row>
    <row r="739" spans="1:43" x14ac:dyDescent="0.35">
      <c r="A739" s="69" t="s">
        <v>43</v>
      </c>
      <c r="B739" s="15" t="s">
        <v>2336</v>
      </c>
      <c r="C739" s="15"/>
      <c r="D739" s="69"/>
      <c r="E739" s="76">
        <v>0</v>
      </c>
      <c r="F739" s="69" t="s">
        <v>1960</v>
      </c>
      <c r="G739" s="10" t="s">
        <v>1961</v>
      </c>
      <c r="H739" s="76">
        <v>9010000088</v>
      </c>
      <c r="I739" s="92" t="s">
        <v>47</v>
      </c>
      <c r="J739" s="92">
        <v>1202010202</v>
      </c>
      <c r="K739" s="15"/>
      <c r="L739" s="95" t="s">
        <v>2337</v>
      </c>
      <c r="M739" s="69" t="s">
        <v>49</v>
      </c>
      <c r="N739" s="69"/>
      <c r="O739" s="94">
        <v>1</v>
      </c>
      <c r="P739" s="69" t="s">
        <v>50</v>
      </c>
      <c r="Q739" s="69" t="s">
        <v>51</v>
      </c>
      <c r="R739" s="69"/>
      <c r="S739" s="46">
        <v>37950</v>
      </c>
      <c r="T739" s="48">
        <v>43191</v>
      </c>
      <c r="U739" s="69"/>
      <c r="V739" s="69"/>
      <c r="W739" s="69"/>
      <c r="X739" s="69"/>
      <c r="Y739" s="69" t="s">
        <v>4125</v>
      </c>
      <c r="Z739" s="43">
        <v>4400</v>
      </c>
      <c r="AA739" s="43" t="s">
        <v>52</v>
      </c>
      <c r="AB739" s="43" t="s">
        <v>53</v>
      </c>
      <c r="AC739" s="43">
        <v>183</v>
      </c>
      <c r="AD739" s="141">
        <v>0</v>
      </c>
      <c r="AE739" s="142">
        <v>6</v>
      </c>
      <c r="AF739" s="142"/>
      <c r="AG739" s="69" t="str">
        <f t="shared" si="412"/>
        <v>0 years 183 days</v>
      </c>
      <c r="AH739" s="69">
        <v>0</v>
      </c>
      <c r="AI739" s="69">
        <v>183</v>
      </c>
      <c r="AJ739" s="69">
        <v>0</v>
      </c>
      <c r="AK739" s="69">
        <v>0</v>
      </c>
      <c r="AL739" s="60">
        <v>4400</v>
      </c>
      <c r="AM739" s="60">
        <f t="shared" si="413"/>
        <v>4400</v>
      </c>
      <c r="AN739" s="59">
        <v>4400</v>
      </c>
      <c r="AO739" s="148">
        <f t="shared" si="414"/>
        <v>-4400</v>
      </c>
      <c r="AP739" s="58">
        <v>0</v>
      </c>
      <c r="AQ739" s="143">
        <f t="shared" si="415"/>
        <v>0</v>
      </c>
    </row>
    <row r="740" spans="1:43" x14ac:dyDescent="0.35">
      <c r="A740" s="69" t="s">
        <v>43</v>
      </c>
      <c r="B740" s="15" t="s">
        <v>2338</v>
      </c>
      <c r="C740" s="15"/>
      <c r="D740" s="69"/>
      <c r="E740" s="76">
        <v>0</v>
      </c>
      <c r="F740" s="69" t="s">
        <v>1960</v>
      </c>
      <c r="G740" s="10" t="s">
        <v>1961</v>
      </c>
      <c r="H740" s="76">
        <v>9010000089</v>
      </c>
      <c r="I740" s="92" t="s">
        <v>47</v>
      </c>
      <c r="J740" s="92">
        <v>1202010202</v>
      </c>
      <c r="K740" s="15"/>
      <c r="L740" s="95" t="s">
        <v>2339</v>
      </c>
      <c r="M740" s="69" t="s">
        <v>49</v>
      </c>
      <c r="N740" s="69"/>
      <c r="O740" s="94">
        <v>1</v>
      </c>
      <c r="P740" s="69" t="s">
        <v>50</v>
      </c>
      <c r="Q740" s="69" t="s">
        <v>51</v>
      </c>
      <c r="R740" s="69"/>
      <c r="S740" s="46">
        <v>38074</v>
      </c>
      <c r="T740" s="48">
        <v>43191</v>
      </c>
      <c r="U740" s="69"/>
      <c r="V740" s="69"/>
      <c r="W740" s="69"/>
      <c r="X740" s="69"/>
      <c r="Y740" s="69" t="s">
        <v>4125</v>
      </c>
      <c r="Z740" s="43">
        <v>3000</v>
      </c>
      <c r="AA740" s="43" t="s">
        <v>52</v>
      </c>
      <c r="AB740" s="43" t="s">
        <v>53</v>
      </c>
      <c r="AC740" s="43">
        <v>183</v>
      </c>
      <c r="AD740" s="141">
        <v>0</v>
      </c>
      <c r="AE740" s="142">
        <v>6</v>
      </c>
      <c r="AF740" s="142"/>
      <c r="AG740" s="69" t="str">
        <f t="shared" ref="AG740:AG803" si="416">_xlfn.CONCAT(AH740," years ",AI740," days")</f>
        <v>0 years 183 days</v>
      </c>
      <c r="AH740" s="69">
        <v>0</v>
      </c>
      <c r="AI740" s="69">
        <v>183</v>
      </c>
      <c r="AJ740" s="69">
        <v>0</v>
      </c>
      <c r="AK740" s="69">
        <v>0</v>
      </c>
      <c r="AL740" s="60">
        <v>3000</v>
      </c>
      <c r="AM740" s="60">
        <f t="shared" ref="AM740:AM803" si="417">ROUND(AL740,2)</f>
        <v>3000</v>
      </c>
      <c r="AN740" s="59">
        <v>3000</v>
      </c>
      <c r="AO740" s="148">
        <f t="shared" ref="AO740:AO803" si="418">ROUND(AN740,2)*-1</f>
        <v>-3000</v>
      </c>
      <c r="AP740" s="58">
        <v>0</v>
      </c>
      <c r="AQ740" s="143">
        <f t="shared" ref="AQ740:AQ803" si="419">ROUND(AP740,2)*-1</f>
        <v>0</v>
      </c>
    </row>
    <row r="741" spans="1:43" x14ac:dyDescent="0.35">
      <c r="A741" s="69" t="s">
        <v>43</v>
      </c>
      <c r="B741" s="15" t="s">
        <v>2340</v>
      </c>
      <c r="C741" s="15"/>
      <c r="D741" s="69"/>
      <c r="E741" s="76">
        <v>0</v>
      </c>
      <c r="F741" s="69" t="s">
        <v>1960</v>
      </c>
      <c r="G741" s="12" t="s">
        <v>1961</v>
      </c>
      <c r="H741" s="76">
        <v>9010000090</v>
      </c>
      <c r="I741" s="92" t="s">
        <v>47</v>
      </c>
      <c r="J741" s="92">
        <v>1202010202</v>
      </c>
      <c r="K741" s="15"/>
      <c r="L741" s="95" t="s">
        <v>2341</v>
      </c>
      <c r="M741" s="69" t="s">
        <v>2342</v>
      </c>
      <c r="N741" s="69"/>
      <c r="O741" s="94">
        <v>25</v>
      </c>
      <c r="P741" s="69" t="s">
        <v>50</v>
      </c>
      <c r="Q741" s="69" t="s">
        <v>51</v>
      </c>
      <c r="R741" s="69"/>
      <c r="S741" s="46">
        <v>43246</v>
      </c>
      <c r="T741" s="48">
        <v>43246</v>
      </c>
      <c r="U741" s="69"/>
      <c r="V741" s="69"/>
      <c r="W741" s="69"/>
      <c r="X741" s="69"/>
      <c r="Y741" s="69" t="s">
        <v>4125</v>
      </c>
      <c r="Z741" s="43">
        <v>39026</v>
      </c>
      <c r="AA741" s="43" t="s">
        <v>52</v>
      </c>
      <c r="AB741" s="43" t="s">
        <v>53</v>
      </c>
      <c r="AC741" s="43">
        <v>3650</v>
      </c>
      <c r="AD741" s="141">
        <v>10</v>
      </c>
      <c r="AE741" s="142">
        <v>0</v>
      </c>
      <c r="AF741" s="142"/>
      <c r="AG741" s="69" t="str">
        <f t="shared" si="416"/>
        <v>6 years 222 days</v>
      </c>
      <c r="AH741" s="69">
        <v>6</v>
      </c>
      <c r="AI741" s="69">
        <v>222</v>
      </c>
      <c r="AJ741" s="69">
        <v>0</v>
      </c>
      <c r="AK741" s="69">
        <v>0</v>
      </c>
      <c r="AL741" s="60">
        <v>39026</v>
      </c>
      <c r="AM741" s="60">
        <f t="shared" si="417"/>
        <v>39026</v>
      </c>
      <c r="AN741" s="59">
        <v>25779</v>
      </c>
      <c r="AO741" s="148">
        <f t="shared" si="418"/>
        <v>-25779</v>
      </c>
      <c r="AP741" s="58">
        <v>1934.8060273972587</v>
      </c>
      <c r="AQ741" s="143">
        <f t="shared" si="419"/>
        <v>-1934.81</v>
      </c>
    </row>
    <row r="742" spans="1:43" x14ac:dyDescent="0.35">
      <c r="A742" s="69" t="s">
        <v>43</v>
      </c>
      <c r="B742" s="15" t="s">
        <v>2343</v>
      </c>
      <c r="C742" s="15"/>
      <c r="D742" s="69"/>
      <c r="E742" s="76">
        <v>0</v>
      </c>
      <c r="F742" s="69" t="s">
        <v>1960</v>
      </c>
      <c r="G742" s="12" t="s">
        <v>1961</v>
      </c>
      <c r="H742" s="76">
        <v>9010000091</v>
      </c>
      <c r="I742" s="92" t="s">
        <v>47</v>
      </c>
      <c r="J742" s="92">
        <v>1202010202</v>
      </c>
      <c r="K742" s="15"/>
      <c r="L742" s="95" t="s">
        <v>2344</v>
      </c>
      <c r="M742" s="69" t="s">
        <v>49</v>
      </c>
      <c r="N742" s="69"/>
      <c r="O742" s="94">
        <v>4</v>
      </c>
      <c r="P742" s="69" t="s">
        <v>50</v>
      </c>
      <c r="Q742" s="69" t="s">
        <v>51</v>
      </c>
      <c r="R742" s="69"/>
      <c r="S742" s="46">
        <v>43246</v>
      </c>
      <c r="T742" s="48">
        <v>43246</v>
      </c>
      <c r="U742" s="69"/>
      <c r="V742" s="69"/>
      <c r="W742" s="69"/>
      <c r="X742" s="69"/>
      <c r="Y742" s="69" t="s">
        <v>4125</v>
      </c>
      <c r="Z742" s="43">
        <v>21931</v>
      </c>
      <c r="AA742" s="43" t="s">
        <v>52</v>
      </c>
      <c r="AB742" s="43" t="s">
        <v>53</v>
      </c>
      <c r="AC742" s="43">
        <v>3650</v>
      </c>
      <c r="AD742" s="141">
        <v>10</v>
      </c>
      <c r="AE742" s="142">
        <v>0</v>
      </c>
      <c r="AF742" s="142"/>
      <c r="AG742" s="69" t="str">
        <f t="shared" si="416"/>
        <v>6 years 222 days</v>
      </c>
      <c r="AH742" s="69">
        <v>6</v>
      </c>
      <c r="AI742" s="69">
        <v>222</v>
      </c>
      <c r="AJ742" s="69">
        <v>0</v>
      </c>
      <c r="AK742" s="69">
        <v>0</v>
      </c>
      <c r="AL742" s="60">
        <v>21931</v>
      </c>
      <c r="AM742" s="60">
        <f t="shared" si="417"/>
        <v>21931</v>
      </c>
      <c r="AN742" s="59">
        <v>14486</v>
      </c>
      <c r="AO742" s="148">
        <f t="shared" si="418"/>
        <v>-14486</v>
      </c>
      <c r="AP742" s="58">
        <v>1088.0142465753415</v>
      </c>
      <c r="AQ742" s="143">
        <f t="shared" si="419"/>
        <v>-1088.01</v>
      </c>
    </row>
    <row r="743" spans="1:43" x14ac:dyDescent="0.35">
      <c r="A743" s="69" t="s">
        <v>43</v>
      </c>
      <c r="B743" s="15" t="s">
        <v>2345</v>
      </c>
      <c r="C743" s="15"/>
      <c r="D743" s="69"/>
      <c r="E743" s="76">
        <v>0</v>
      </c>
      <c r="F743" s="69" t="s">
        <v>1960</v>
      </c>
      <c r="G743" s="12" t="s">
        <v>1961</v>
      </c>
      <c r="H743" s="76">
        <v>9010000092</v>
      </c>
      <c r="I743" s="92" t="s">
        <v>47</v>
      </c>
      <c r="J743" s="92">
        <v>1202010202</v>
      </c>
      <c r="K743" s="15"/>
      <c r="L743" s="95" t="s">
        <v>2346</v>
      </c>
      <c r="M743" s="69" t="s">
        <v>49</v>
      </c>
      <c r="N743" s="69"/>
      <c r="O743" s="94">
        <v>6</v>
      </c>
      <c r="P743" s="69" t="s">
        <v>50</v>
      </c>
      <c r="Q743" s="69" t="s">
        <v>51</v>
      </c>
      <c r="R743" s="69"/>
      <c r="S743" s="46">
        <v>43343</v>
      </c>
      <c r="T743" s="48">
        <v>43343</v>
      </c>
      <c r="U743" s="69"/>
      <c r="V743" s="69"/>
      <c r="W743" s="69"/>
      <c r="X743" s="69"/>
      <c r="Y743" s="69" t="s">
        <v>4125</v>
      </c>
      <c r="Z743" s="43">
        <v>22649</v>
      </c>
      <c r="AA743" s="43" t="s">
        <v>52</v>
      </c>
      <c r="AB743" s="43" t="s">
        <v>53</v>
      </c>
      <c r="AC743" s="43">
        <v>3650</v>
      </c>
      <c r="AD743" s="141">
        <v>10</v>
      </c>
      <c r="AE743" s="142">
        <v>0</v>
      </c>
      <c r="AF743" s="142"/>
      <c r="AG743" s="69" t="str">
        <f t="shared" si="416"/>
        <v>6 years 125 days</v>
      </c>
      <c r="AH743" s="69">
        <v>6</v>
      </c>
      <c r="AI743" s="69">
        <v>125</v>
      </c>
      <c r="AJ743" s="69">
        <v>0</v>
      </c>
      <c r="AK743" s="69">
        <v>0</v>
      </c>
      <c r="AL743" s="60">
        <v>22649</v>
      </c>
      <c r="AM743" s="60">
        <f t="shared" si="417"/>
        <v>22649</v>
      </c>
      <c r="AN743" s="59">
        <v>14359</v>
      </c>
      <c r="AO743" s="148">
        <f t="shared" si="418"/>
        <v>-14359</v>
      </c>
      <c r="AP743" s="58">
        <v>1122.9876712328769</v>
      </c>
      <c r="AQ743" s="143">
        <f t="shared" si="419"/>
        <v>-1122.99</v>
      </c>
    </row>
    <row r="744" spans="1:43" x14ac:dyDescent="0.35">
      <c r="A744" s="69" t="s">
        <v>43</v>
      </c>
      <c r="B744" s="15" t="s">
        <v>2347</v>
      </c>
      <c r="C744" s="15"/>
      <c r="D744" s="69"/>
      <c r="E744" s="76">
        <v>0</v>
      </c>
      <c r="F744" s="69" t="s">
        <v>1960</v>
      </c>
      <c r="G744" s="12" t="s">
        <v>1961</v>
      </c>
      <c r="H744" s="76">
        <v>9010000093</v>
      </c>
      <c r="I744" s="92" t="s">
        <v>47</v>
      </c>
      <c r="J744" s="92">
        <v>1202010202</v>
      </c>
      <c r="K744" s="15"/>
      <c r="L744" s="95" t="s">
        <v>2348</v>
      </c>
      <c r="M744" s="69" t="s">
        <v>2349</v>
      </c>
      <c r="N744" s="69"/>
      <c r="O744" s="94">
        <v>16</v>
      </c>
      <c r="P744" s="69" t="s">
        <v>50</v>
      </c>
      <c r="Q744" s="69" t="s">
        <v>51</v>
      </c>
      <c r="R744" s="69"/>
      <c r="S744" s="46">
        <v>43855</v>
      </c>
      <c r="T744" s="48">
        <v>43855</v>
      </c>
      <c r="U744" s="69"/>
      <c r="V744" s="69"/>
      <c r="W744" s="69"/>
      <c r="X744" s="69"/>
      <c r="Y744" s="69" t="s">
        <v>4127</v>
      </c>
      <c r="Z744" s="43">
        <v>23560</v>
      </c>
      <c r="AA744" s="43" t="s">
        <v>52</v>
      </c>
      <c r="AB744" s="43" t="s">
        <v>53</v>
      </c>
      <c r="AC744" s="43">
        <v>1825</v>
      </c>
      <c r="AD744" s="141">
        <v>5</v>
      </c>
      <c r="AE744" s="142">
        <v>0</v>
      </c>
      <c r="AF744" s="142"/>
      <c r="AG744" s="69" t="str">
        <f t="shared" si="416"/>
        <v>4 years 343 days</v>
      </c>
      <c r="AH744" s="69">
        <v>4</v>
      </c>
      <c r="AI744" s="69">
        <v>343</v>
      </c>
      <c r="AJ744" s="69">
        <v>0</v>
      </c>
      <c r="AK744" s="69">
        <v>0</v>
      </c>
      <c r="AL744" s="60">
        <v>23560</v>
      </c>
      <c r="AM744" s="60">
        <f t="shared" si="417"/>
        <v>23560</v>
      </c>
      <c r="AN744" s="59">
        <v>23276</v>
      </c>
      <c r="AO744" s="148">
        <f t="shared" si="418"/>
        <v>-23276</v>
      </c>
      <c r="AP744" s="58">
        <v>284.00000000000364</v>
      </c>
      <c r="AQ744" s="143">
        <f t="shared" si="419"/>
        <v>-284</v>
      </c>
    </row>
    <row r="745" spans="1:43" x14ac:dyDescent="0.35">
      <c r="A745" s="69" t="s">
        <v>43</v>
      </c>
      <c r="B745" s="15" t="s">
        <v>2350</v>
      </c>
      <c r="C745" s="15"/>
      <c r="D745" s="69"/>
      <c r="E745" s="76">
        <v>0</v>
      </c>
      <c r="F745" s="69" t="s">
        <v>1960</v>
      </c>
      <c r="G745" s="12" t="s">
        <v>1961</v>
      </c>
      <c r="H745" s="76">
        <v>9010000094</v>
      </c>
      <c r="I745" s="92" t="s">
        <v>47</v>
      </c>
      <c r="J745" s="92">
        <v>1202010202</v>
      </c>
      <c r="K745" s="15"/>
      <c r="L745" s="95" t="s">
        <v>2351</v>
      </c>
      <c r="M745" s="69" t="s">
        <v>2352</v>
      </c>
      <c r="N745" s="69"/>
      <c r="O745" s="94">
        <v>1</v>
      </c>
      <c r="P745" s="69" t="s">
        <v>50</v>
      </c>
      <c r="Q745" s="69" t="s">
        <v>51</v>
      </c>
      <c r="R745" s="69"/>
      <c r="S745" s="46">
        <v>41912</v>
      </c>
      <c r="T745" s="48">
        <v>43191</v>
      </c>
      <c r="U745" s="69"/>
      <c r="V745" s="69"/>
      <c r="W745" s="69"/>
      <c r="X745" s="69"/>
      <c r="Y745" s="69" t="s">
        <v>4125</v>
      </c>
      <c r="Z745" s="43">
        <v>245000</v>
      </c>
      <c r="AA745" s="43" t="s">
        <v>52</v>
      </c>
      <c r="AB745" s="43" t="s">
        <v>53</v>
      </c>
      <c r="AC745" s="43">
        <v>2336</v>
      </c>
      <c r="AD745" s="141">
        <v>6</v>
      </c>
      <c r="AE745" s="142">
        <v>5</v>
      </c>
      <c r="AF745" s="142"/>
      <c r="AG745" s="69" t="str">
        <f t="shared" si="416"/>
        <v>6 years 146 days</v>
      </c>
      <c r="AH745" s="69">
        <v>6</v>
      </c>
      <c r="AI745" s="69">
        <v>146</v>
      </c>
      <c r="AJ745" s="69">
        <v>0</v>
      </c>
      <c r="AK745" s="69">
        <v>0</v>
      </c>
      <c r="AL745" s="60">
        <v>245000</v>
      </c>
      <c r="AM745" s="60">
        <f t="shared" si="417"/>
        <v>245000</v>
      </c>
      <c r="AN745" s="59">
        <v>245000</v>
      </c>
      <c r="AO745" s="148">
        <f t="shared" si="418"/>
        <v>-245000</v>
      </c>
      <c r="AP745" s="58">
        <v>0</v>
      </c>
      <c r="AQ745" s="143">
        <f t="shared" si="419"/>
        <v>0</v>
      </c>
    </row>
    <row r="746" spans="1:43" x14ac:dyDescent="0.35">
      <c r="A746" s="69" t="s">
        <v>43</v>
      </c>
      <c r="B746" s="15" t="s">
        <v>2353</v>
      </c>
      <c r="C746" s="15"/>
      <c r="D746" s="69"/>
      <c r="E746" s="76">
        <v>0</v>
      </c>
      <c r="F746" s="69" t="s">
        <v>1960</v>
      </c>
      <c r="G746" s="12" t="s">
        <v>1961</v>
      </c>
      <c r="H746" s="76">
        <v>9010000094</v>
      </c>
      <c r="I746" s="92" t="s">
        <v>47</v>
      </c>
      <c r="J746" s="92">
        <v>1202010202</v>
      </c>
      <c r="K746" s="15"/>
      <c r="L746" s="95" t="s">
        <v>2354</v>
      </c>
      <c r="M746" s="69" t="s">
        <v>2355</v>
      </c>
      <c r="N746" s="69"/>
      <c r="O746" s="94">
        <v>1</v>
      </c>
      <c r="P746" s="69" t="s">
        <v>50</v>
      </c>
      <c r="Q746" s="69" t="s">
        <v>51</v>
      </c>
      <c r="R746" s="69"/>
      <c r="S746" s="46">
        <v>44201</v>
      </c>
      <c r="T746" s="48">
        <v>44201</v>
      </c>
      <c r="U746" s="69"/>
      <c r="V746" s="69"/>
      <c r="W746" s="69"/>
      <c r="X746" s="69"/>
      <c r="Y746" s="69" t="s">
        <v>4128</v>
      </c>
      <c r="Z746" s="43">
        <v>89671</v>
      </c>
      <c r="AA746" s="43" t="s">
        <v>52</v>
      </c>
      <c r="AB746" s="43" t="s">
        <v>53</v>
      </c>
      <c r="AC746" s="43">
        <v>3650</v>
      </c>
      <c r="AD746" s="141">
        <v>10</v>
      </c>
      <c r="AE746" s="142">
        <v>0</v>
      </c>
      <c r="AF746" s="142"/>
      <c r="AG746" s="69" t="str">
        <f t="shared" si="416"/>
        <v>3 years 362 days</v>
      </c>
      <c r="AH746" s="69">
        <v>3</v>
      </c>
      <c r="AI746" s="69">
        <v>362</v>
      </c>
      <c r="AJ746" s="69">
        <v>0</v>
      </c>
      <c r="AK746" s="69">
        <v>0</v>
      </c>
      <c r="AL746" s="60">
        <v>89671</v>
      </c>
      <c r="AM746" s="60">
        <f t="shared" si="417"/>
        <v>89671</v>
      </c>
      <c r="AN746" s="59">
        <v>35795</v>
      </c>
      <c r="AO746" s="148">
        <f t="shared" si="418"/>
        <v>-35795</v>
      </c>
      <c r="AP746" s="58">
        <v>4446.3967123287657</v>
      </c>
      <c r="AQ746" s="143">
        <f t="shared" si="419"/>
        <v>-4446.3999999999996</v>
      </c>
    </row>
    <row r="747" spans="1:43" x14ac:dyDescent="0.35">
      <c r="A747" s="69" t="s">
        <v>43</v>
      </c>
      <c r="B747" s="15" t="s">
        <v>2356</v>
      </c>
      <c r="C747" s="15"/>
      <c r="D747" s="69"/>
      <c r="E747" s="76">
        <v>0</v>
      </c>
      <c r="F747" s="69" t="s">
        <v>1960</v>
      </c>
      <c r="G747" s="12" t="s">
        <v>1961</v>
      </c>
      <c r="H747" s="76">
        <v>9010000095</v>
      </c>
      <c r="I747" s="92" t="s">
        <v>47</v>
      </c>
      <c r="J747" s="92">
        <v>1202010202</v>
      </c>
      <c r="K747" s="15"/>
      <c r="L747" s="95" t="s">
        <v>2357</v>
      </c>
      <c r="M747" s="69" t="s">
        <v>2358</v>
      </c>
      <c r="N747" s="69"/>
      <c r="O747" s="94">
        <v>6</v>
      </c>
      <c r="P747" s="69" t="s">
        <v>50</v>
      </c>
      <c r="Q747" s="69" t="s">
        <v>51</v>
      </c>
      <c r="R747" s="69"/>
      <c r="S747" s="46">
        <v>41912</v>
      </c>
      <c r="T747" s="48">
        <v>43191</v>
      </c>
      <c r="U747" s="69"/>
      <c r="V747" s="69"/>
      <c r="W747" s="69"/>
      <c r="X747" s="69"/>
      <c r="Y747" s="69" t="s">
        <v>4125</v>
      </c>
      <c r="Z747" s="43">
        <v>115000</v>
      </c>
      <c r="AA747" s="43" t="s">
        <v>52</v>
      </c>
      <c r="AB747" s="43" t="s">
        <v>53</v>
      </c>
      <c r="AC747" s="43">
        <v>2336</v>
      </c>
      <c r="AD747" s="141">
        <v>6</v>
      </c>
      <c r="AE747" s="142">
        <v>5</v>
      </c>
      <c r="AF747" s="142"/>
      <c r="AG747" s="69" t="str">
        <f t="shared" si="416"/>
        <v>6 years 146 days</v>
      </c>
      <c r="AH747" s="69">
        <v>6</v>
      </c>
      <c r="AI747" s="69">
        <v>146</v>
      </c>
      <c r="AJ747" s="69">
        <v>0</v>
      </c>
      <c r="AK747" s="69">
        <v>0</v>
      </c>
      <c r="AL747" s="60">
        <v>115000</v>
      </c>
      <c r="AM747" s="60">
        <f t="shared" si="417"/>
        <v>115000</v>
      </c>
      <c r="AN747" s="59">
        <v>115000</v>
      </c>
      <c r="AO747" s="148">
        <f t="shared" si="418"/>
        <v>-115000</v>
      </c>
      <c r="AP747" s="58">
        <v>0</v>
      </c>
      <c r="AQ747" s="143">
        <f t="shared" si="419"/>
        <v>0</v>
      </c>
    </row>
    <row r="748" spans="1:43" x14ac:dyDescent="0.35">
      <c r="A748" s="69" t="s">
        <v>43</v>
      </c>
      <c r="B748" s="15" t="s">
        <v>2359</v>
      </c>
      <c r="C748" s="15"/>
      <c r="D748" s="69"/>
      <c r="E748" s="76">
        <v>0</v>
      </c>
      <c r="F748" s="69" t="s">
        <v>1960</v>
      </c>
      <c r="G748" s="12" t="s">
        <v>1961</v>
      </c>
      <c r="H748" s="76">
        <v>9010000095</v>
      </c>
      <c r="I748" s="92" t="s">
        <v>47</v>
      </c>
      <c r="J748" s="92">
        <v>1202010202</v>
      </c>
      <c r="K748" s="15"/>
      <c r="L748" s="95" t="s">
        <v>2360</v>
      </c>
      <c r="M748" s="69" t="s">
        <v>2361</v>
      </c>
      <c r="N748" s="69"/>
      <c r="O748" s="94">
        <v>1</v>
      </c>
      <c r="P748" s="69" t="s">
        <v>50</v>
      </c>
      <c r="Q748" s="69" t="s">
        <v>51</v>
      </c>
      <c r="R748" s="69"/>
      <c r="S748" s="46">
        <v>44387</v>
      </c>
      <c r="T748" s="48">
        <v>44387</v>
      </c>
      <c r="U748" s="69"/>
      <c r="V748" s="69"/>
      <c r="W748" s="69"/>
      <c r="X748" s="69"/>
      <c r="Y748" s="69" t="s">
        <v>4128</v>
      </c>
      <c r="Z748" s="43">
        <v>94452</v>
      </c>
      <c r="AA748" s="43" t="s">
        <v>52</v>
      </c>
      <c r="AB748" s="43" t="s">
        <v>53</v>
      </c>
      <c r="AC748" s="43">
        <v>3650</v>
      </c>
      <c r="AD748" s="141">
        <v>10</v>
      </c>
      <c r="AE748" s="142">
        <v>0</v>
      </c>
      <c r="AF748" s="142"/>
      <c r="AG748" s="69" t="str">
        <f t="shared" si="416"/>
        <v>3 years 176 days</v>
      </c>
      <c r="AH748" s="69">
        <v>3</v>
      </c>
      <c r="AI748" s="69">
        <v>176</v>
      </c>
      <c r="AJ748" s="69">
        <v>0</v>
      </c>
      <c r="AK748" s="69">
        <v>0</v>
      </c>
      <c r="AL748" s="60">
        <v>94452</v>
      </c>
      <c r="AM748" s="60">
        <f t="shared" si="417"/>
        <v>94452</v>
      </c>
      <c r="AN748" s="59">
        <v>32890</v>
      </c>
      <c r="AO748" s="148">
        <f t="shared" si="418"/>
        <v>-32890</v>
      </c>
      <c r="AP748" s="58">
        <v>4683.7819178082209</v>
      </c>
      <c r="AQ748" s="143">
        <f t="shared" si="419"/>
        <v>-4683.78</v>
      </c>
    </row>
    <row r="749" spans="1:43" x14ac:dyDescent="0.35">
      <c r="A749" s="69" t="s">
        <v>43</v>
      </c>
      <c r="B749" s="15" t="s">
        <v>2362</v>
      </c>
      <c r="C749" s="15"/>
      <c r="D749" s="69"/>
      <c r="E749" s="76">
        <v>0</v>
      </c>
      <c r="F749" s="69" t="s">
        <v>1960</v>
      </c>
      <c r="G749" s="12" t="s">
        <v>1961</v>
      </c>
      <c r="H749" s="76">
        <v>9010000096</v>
      </c>
      <c r="I749" s="92" t="s">
        <v>47</v>
      </c>
      <c r="J749" s="92">
        <v>1202010202</v>
      </c>
      <c r="K749" s="15"/>
      <c r="L749" s="95" t="s">
        <v>2363</v>
      </c>
      <c r="M749" s="69" t="s">
        <v>2364</v>
      </c>
      <c r="N749" s="69"/>
      <c r="O749" s="94">
        <v>1</v>
      </c>
      <c r="P749" s="69" t="s">
        <v>50</v>
      </c>
      <c r="Q749" s="69" t="s">
        <v>51</v>
      </c>
      <c r="R749" s="69"/>
      <c r="S749" s="46">
        <v>42364</v>
      </c>
      <c r="T749" s="48">
        <v>43191</v>
      </c>
      <c r="U749" s="69"/>
      <c r="V749" s="69"/>
      <c r="W749" s="69"/>
      <c r="X749" s="69"/>
      <c r="Y749" s="69" t="s">
        <v>4125</v>
      </c>
      <c r="Z749" s="43">
        <v>540000</v>
      </c>
      <c r="AA749" s="43" t="s">
        <v>52</v>
      </c>
      <c r="AB749" s="43" t="s">
        <v>53</v>
      </c>
      <c r="AC749" s="43">
        <v>2008</v>
      </c>
      <c r="AD749" s="141">
        <v>5</v>
      </c>
      <c r="AE749" s="142">
        <v>6</v>
      </c>
      <c r="AF749" s="142"/>
      <c r="AG749" s="69" t="str">
        <f t="shared" si="416"/>
        <v>5 years 183 days</v>
      </c>
      <c r="AH749" s="69">
        <v>5</v>
      </c>
      <c r="AI749" s="69">
        <v>183</v>
      </c>
      <c r="AJ749" s="69">
        <v>0</v>
      </c>
      <c r="AK749" s="69">
        <v>0</v>
      </c>
      <c r="AL749" s="60">
        <v>540000</v>
      </c>
      <c r="AM749" s="60">
        <f t="shared" si="417"/>
        <v>540000</v>
      </c>
      <c r="AN749" s="59">
        <v>540000</v>
      </c>
      <c r="AO749" s="148">
        <f t="shared" si="418"/>
        <v>-540000</v>
      </c>
      <c r="AP749" s="58">
        <v>0</v>
      </c>
      <c r="AQ749" s="143">
        <f t="shared" si="419"/>
        <v>0</v>
      </c>
    </row>
    <row r="750" spans="1:43" x14ac:dyDescent="0.35">
      <c r="A750" s="69" t="s">
        <v>43</v>
      </c>
      <c r="B750" s="15" t="s">
        <v>2365</v>
      </c>
      <c r="C750" s="15"/>
      <c r="D750" s="69"/>
      <c r="E750" s="76">
        <v>0</v>
      </c>
      <c r="F750" s="69" t="s">
        <v>1960</v>
      </c>
      <c r="G750" s="12" t="s">
        <v>1961</v>
      </c>
      <c r="H750" s="76">
        <v>9010000096</v>
      </c>
      <c r="I750" s="92" t="s">
        <v>47</v>
      </c>
      <c r="J750" s="92">
        <v>1202010202</v>
      </c>
      <c r="K750" s="15"/>
      <c r="L750" s="95" t="s">
        <v>2366</v>
      </c>
      <c r="M750" s="69" t="s">
        <v>2367</v>
      </c>
      <c r="N750" s="69"/>
      <c r="O750" s="94">
        <v>5</v>
      </c>
      <c r="P750" s="69" t="s">
        <v>50</v>
      </c>
      <c r="Q750" s="69" t="s">
        <v>51</v>
      </c>
      <c r="R750" s="69"/>
      <c r="S750" s="46">
        <v>44449</v>
      </c>
      <c r="T750" s="48">
        <v>44449</v>
      </c>
      <c r="U750" s="69"/>
      <c r="V750" s="69"/>
      <c r="W750" s="69"/>
      <c r="X750" s="69"/>
      <c r="Y750" s="69" t="s">
        <v>4128</v>
      </c>
      <c r="Z750" s="43">
        <v>13166</v>
      </c>
      <c r="AA750" s="43" t="s">
        <v>52</v>
      </c>
      <c r="AB750" s="43" t="s">
        <v>53</v>
      </c>
      <c r="AC750" s="43">
        <v>3650</v>
      </c>
      <c r="AD750" s="141">
        <v>10</v>
      </c>
      <c r="AE750" s="142">
        <v>0</v>
      </c>
      <c r="AF750" s="142"/>
      <c r="AG750" s="69" t="str">
        <f t="shared" si="416"/>
        <v>3 years 114 days</v>
      </c>
      <c r="AH750" s="69">
        <v>3</v>
      </c>
      <c r="AI750" s="69">
        <v>114</v>
      </c>
      <c r="AJ750" s="69">
        <v>0</v>
      </c>
      <c r="AK750" s="69">
        <v>0</v>
      </c>
      <c r="AL750" s="60">
        <v>13166</v>
      </c>
      <c r="AM750" s="60">
        <f t="shared" si="417"/>
        <v>13166</v>
      </c>
      <c r="AN750" s="59">
        <v>4361</v>
      </c>
      <c r="AO750" s="148">
        <f t="shared" si="418"/>
        <v>-4361</v>
      </c>
      <c r="AP750" s="58">
        <v>652.90136986301331</v>
      </c>
      <c r="AQ750" s="143">
        <f t="shared" si="419"/>
        <v>-652.9</v>
      </c>
    </row>
    <row r="751" spans="1:43" x14ac:dyDescent="0.35">
      <c r="A751" s="69" t="s">
        <v>43</v>
      </c>
      <c r="B751" s="15" t="s">
        <v>2368</v>
      </c>
      <c r="C751" s="15"/>
      <c r="D751" s="69"/>
      <c r="E751" s="76">
        <v>0</v>
      </c>
      <c r="F751" s="69" t="s">
        <v>1960</v>
      </c>
      <c r="G751" s="12" t="s">
        <v>1961</v>
      </c>
      <c r="H751" s="76">
        <v>9010000097</v>
      </c>
      <c r="I751" s="92" t="s">
        <v>47</v>
      </c>
      <c r="J751" s="92">
        <v>1202010202</v>
      </c>
      <c r="K751" s="15"/>
      <c r="L751" s="95" t="s">
        <v>2369</v>
      </c>
      <c r="M751" s="69" t="s">
        <v>2370</v>
      </c>
      <c r="N751" s="69"/>
      <c r="O751" s="94">
        <v>1</v>
      </c>
      <c r="P751" s="69" t="s">
        <v>50</v>
      </c>
      <c r="Q751" s="69" t="s">
        <v>51</v>
      </c>
      <c r="R751" s="69"/>
      <c r="S751" s="46">
        <v>42364</v>
      </c>
      <c r="T751" s="48">
        <v>43191</v>
      </c>
      <c r="U751" s="69"/>
      <c r="V751" s="69"/>
      <c r="W751" s="69"/>
      <c r="X751" s="69"/>
      <c r="Y751" s="69" t="s">
        <v>4125</v>
      </c>
      <c r="Z751" s="43">
        <v>220000</v>
      </c>
      <c r="AA751" s="43" t="s">
        <v>52</v>
      </c>
      <c r="AB751" s="43" t="s">
        <v>53</v>
      </c>
      <c r="AC751" s="43">
        <v>2738</v>
      </c>
      <c r="AD751" s="141">
        <v>7</v>
      </c>
      <c r="AE751" s="142">
        <v>6</v>
      </c>
      <c r="AF751" s="142"/>
      <c r="AG751" s="69" t="str">
        <f t="shared" si="416"/>
        <v>6 years 277 days</v>
      </c>
      <c r="AH751" s="69">
        <v>6</v>
      </c>
      <c r="AI751" s="69">
        <v>277</v>
      </c>
      <c r="AJ751" s="69">
        <v>0</v>
      </c>
      <c r="AK751" s="69">
        <v>0</v>
      </c>
      <c r="AL751" s="60">
        <v>220000</v>
      </c>
      <c r="AM751" s="60">
        <f t="shared" si="417"/>
        <v>220000</v>
      </c>
      <c r="AN751" s="59">
        <v>198225</v>
      </c>
      <c r="AO751" s="148">
        <f t="shared" si="418"/>
        <v>-198225</v>
      </c>
      <c r="AP751" s="58">
        <v>14543.444119795458</v>
      </c>
      <c r="AQ751" s="143">
        <f t="shared" si="419"/>
        <v>-14543.44</v>
      </c>
    </row>
    <row r="752" spans="1:43" x14ac:dyDescent="0.35">
      <c r="A752" s="69" t="s">
        <v>43</v>
      </c>
      <c r="B752" s="15" t="s">
        <v>2371</v>
      </c>
      <c r="C752" s="15"/>
      <c r="D752" s="69"/>
      <c r="E752" s="76">
        <v>0</v>
      </c>
      <c r="F752" s="69" t="s">
        <v>1960</v>
      </c>
      <c r="G752" s="12" t="s">
        <v>1961</v>
      </c>
      <c r="H752" s="76">
        <v>9010000097</v>
      </c>
      <c r="I752" s="92" t="s">
        <v>47</v>
      </c>
      <c r="J752" s="92">
        <v>1202010202</v>
      </c>
      <c r="K752" s="15"/>
      <c r="L752" s="95" t="s">
        <v>2372</v>
      </c>
      <c r="M752" s="69" t="s">
        <v>2373</v>
      </c>
      <c r="N752" s="69"/>
      <c r="O752" s="94">
        <v>1</v>
      </c>
      <c r="P752" s="69" t="s">
        <v>50</v>
      </c>
      <c r="Q752" s="69" t="s">
        <v>51</v>
      </c>
      <c r="R752" s="69"/>
      <c r="S752" s="46">
        <v>44531</v>
      </c>
      <c r="T752" s="48">
        <v>44531</v>
      </c>
      <c r="U752" s="69"/>
      <c r="V752" s="69"/>
      <c r="W752" s="69"/>
      <c r="X752" s="69"/>
      <c r="Y752" s="69" t="s">
        <v>4128</v>
      </c>
      <c r="Z752" s="43">
        <v>4950</v>
      </c>
      <c r="AA752" s="43" t="s">
        <v>52</v>
      </c>
      <c r="AB752" s="43" t="s">
        <v>53</v>
      </c>
      <c r="AC752" s="43">
        <v>1825</v>
      </c>
      <c r="AD752" s="141">
        <v>5</v>
      </c>
      <c r="AE752" s="142">
        <v>0</v>
      </c>
      <c r="AF752" s="142"/>
      <c r="AG752" s="69" t="str">
        <f t="shared" si="416"/>
        <v>3 years 32 days</v>
      </c>
      <c r="AH752" s="69">
        <v>3</v>
      </c>
      <c r="AI752" s="69">
        <v>32</v>
      </c>
      <c r="AJ752" s="69">
        <v>0</v>
      </c>
      <c r="AK752" s="69">
        <v>0</v>
      </c>
      <c r="AL752" s="60">
        <v>4950</v>
      </c>
      <c r="AM752" s="60">
        <f t="shared" si="417"/>
        <v>4950</v>
      </c>
      <c r="AN752" s="59">
        <v>3057</v>
      </c>
      <c r="AO752" s="148">
        <f t="shared" si="418"/>
        <v>-3057</v>
      </c>
      <c r="AP752" s="58">
        <v>490.72602739726017</v>
      </c>
      <c r="AQ752" s="143">
        <f t="shared" si="419"/>
        <v>-490.73</v>
      </c>
    </row>
    <row r="753" spans="1:43" x14ac:dyDescent="0.35">
      <c r="A753" s="69" t="s">
        <v>43</v>
      </c>
      <c r="B753" s="15" t="s">
        <v>2374</v>
      </c>
      <c r="C753" s="15"/>
      <c r="D753" s="69"/>
      <c r="E753" s="76">
        <v>0</v>
      </c>
      <c r="F753" s="69" t="s">
        <v>1960</v>
      </c>
      <c r="G753" s="12" t="s">
        <v>1961</v>
      </c>
      <c r="H753" s="76">
        <v>9010000098</v>
      </c>
      <c r="I753" s="92" t="s">
        <v>47</v>
      </c>
      <c r="J753" s="92">
        <v>1202010202</v>
      </c>
      <c r="K753" s="15"/>
      <c r="L753" s="95" t="s">
        <v>2375</v>
      </c>
      <c r="M753" s="69" t="s">
        <v>2376</v>
      </c>
      <c r="N753" s="69"/>
      <c r="O753" s="94">
        <v>1</v>
      </c>
      <c r="P753" s="69" t="s">
        <v>50</v>
      </c>
      <c r="Q753" s="69" t="s">
        <v>51</v>
      </c>
      <c r="R753" s="69"/>
      <c r="S753" s="46">
        <v>42364</v>
      </c>
      <c r="T753" s="48">
        <v>43191</v>
      </c>
      <c r="U753" s="69"/>
      <c r="V753" s="69"/>
      <c r="W753" s="69"/>
      <c r="X753" s="69"/>
      <c r="Y753" s="69" t="s">
        <v>4125</v>
      </c>
      <c r="Z753" s="43">
        <v>150000</v>
      </c>
      <c r="AA753" s="43" t="s">
        <v>52</v>
      </c>
      <c r="AB753" s="43" t="s">
        <v>53</v>
      </c>
      <c r="AC753" s="43">
        <v>2738</v>
      </c>
      <c r="AD753" s="141">
        <v>7</v>
      </c>
      <c r="AE753" s="142">
        <v>6</v>
      </c>
      <c r="AF753" s="142"/>
      <c r="AG753" s="69" t="str">
        <f t="shared" si="416"/>
        <v>6 years 277 days</v>
      </c>
      <c r="AH753" s="69">
        <v>6</v>
      </c>
      <c r="AI753" s="69">
        <v>277</v>
      </c>
      <c r="AJ753" s="69">
        <v>0</v>
      </c>
      <c r="AK753" s="69">
        <v>0</v>
      </c>
      <c r="AL753" s="60">
        <v>150000</v>
      </c>
      <c r="AM753" s="60">
        <f t="shared" si="417"/>
        <v>150000</v>
      </c>
      <c r="AN753" s="59">
        <v>135153</v>
      </c>
      <c r="AO753" s="148">
        <f t="shared" si="418"/>
        <v>-135153</v>
      </c>
      <c r="AP753" s="58">
        <v>9916.3937180423527</v>
      </c>
      <c r="AQ753" s="143">
        <f t="shared" si="419"/>
        <v>-9916.39</v>
      </c>
    </row>
    <row r="754" spans="1:43" x14ac:dyDescent="0.35">
      <c r="A754" s="69" t="s">
        <v>43</v>
      </c>
      <c r="B754" s="15" t="s">
        <v>2377</v>
      </c>
      <c r="C754" s="15"/>
      <c r="D754" s="69"/>
      <c r="E754" s="76">
        <v>0</v>
      </c>
      <c r="F754" s="69" t="s">
        <v>1960</v>
      </c>
      <c r="G754" s="12" t="s">
        <v>1961</v>
      </c>
      <c r="H754" s="76">
        <v>9010000098</v>
      </c>
      <c r="I754" s="92" t="s">
        <v>47</v>
      </c>
      <c r="J754" s="92">
        <v>1202010202</v>
      </c>
      <c r="K754" s="15"/>
      <c r="L754" s="95" t="s">
        <v>2378</v>
      </c>
      <c r="M754" s="69" t="s">
        <v>2379</v>
      </c>
      <c r="N754" s="69"/>
      <c r="O754" s="94">
        <v>2</v>
      </c>
      <c r="P754" s="69" t="s">
        <v>50</v>
      </c>
      <c r="Q754" s="69" t="s">
        <v>51</v>
      </c>
      <c r="R754" s="69"/>
      <c r="S754" s="46">
        <v>44612</v>
      </c>
      <c r="T754" s="48">
        <v>44612</v>
      </c>
      <c r="U754" s="69"/>
      <c r="V754" s="69"/>
      <c r="W754" s="69"/>
      <c r="X754" s="69"/>
      <c r="Y754" s="69" t="s">
        <v>4131</v>
      </c>
      <c r="Z754" s="43">
        <v>45417</v>
      </c>
      <c r="AA754" s="43" t="s">
        <v>52</v>
      </c>
      <c r="AB754" s="43" t="s">
        <v>53</v>
      </c>
      <c r="AC754" s="43">
        <v>3650</v>
      </c>
      <c r="AD754" s="141">
        <v>10</v>
      </c>
      <c r="AE754" s="142">
        <v>0</v>
      </c>
      <c r="AF754" s="142"/>
      <c r="AG754" s="69" t="str">
        <f t="shared" si="416"/>
        <v>2 years 316 days</v>
      </c>
      <c r="AH754" s="69">
        <v>2</v>
      </c>
      <c r="AI754" s="69">
        <v>316</v>
      </c>
      <c r="AJ754" s="69">
        <v>0</v>
      </c>
      <c r="AK754" s="69">
        <v>0</v>
      </c>
      <c r="AL754" s="60">
        <v>45417</v>
      </c>
      <c r="AM754" s="60">
        <f t="shared" si="417"/>
        <v>45417</v>
      </c>
      <c r="AN754" s="59">
        <v>13015</v>
      </c>
      <c r="AO754" s="148">
        <f t="shared" si="418"/>
        <v>-13015</v>
      </c>
      <c r="AP754" s="58">
        <v>2252.5778082191773</v>
      </c>
      <c r="AQ754" s="143">
        <f t="shared" si="419"/>
        <v>-2252.58</v>
      </c>
    </row>
    <row r="755" spans="1:43" x14ac:dyDescent="0.35">
      <c r="A755" s="69" t="s">
        <v>43</v>
      </c>
      <c r="B755" s="15" t="s">
        <v>2380</v>
      </c>
      <c r="C755" s="15"/>
      <c r="D755" s="69"/>
      <c r="E755" s="76">
        <v>0</v>
      </c>
      <c r="F755" s="69" t="s">
        <v>1960</v>
      </c>
      <c r="G755" s="12" t="s">
        <v>1961</v>
      </c>
      <c r="H755" s="76">
        <v>9010000099</v>
      </c>
      <c r="I755" s="92" t="s">
        <v>47</v>
      </c>
      <c r="J755" s="92">
        <v>1202010202</v>
      </c>
      <c r="K755" s="15"/>
      <c r="L755" s="95" t="s">
        <v>2381</v>
      </c>
      <c r="M755" s="69" t="s">
        <v>49</v>
      </c>
      <c r="N755" s="69"/>
      <c r="O755" s="94">
        <v>1</v>
      </c>
      <c r="P755" s="69" t="s">
        <v>50</v>
      </c>
      <c r="Q755" s="69" t="s">
        <v>51</v>
      </c>
      <c r="R755" s="69"/>
      <c r="S755" s="46">
        <v>42364</v>
      </c>
      <c r="T755" s="48">
        <v>43191</v>
      </c>
      <c r="U755" s="69"/>
      <c r="V755" s="69"/>
      <c r="W755" s="69"/>
      <c r="X755" s="69"/>
      <c r="Y755" s="69" t="s">
        <v>4125</v>
      </c>
      <c r="Z755" s="43">
        <v>180000</v>
      </c>
      <c r="AA755" s="43" t="s">
        <v>52</v>
      </c>
      <c r="AB755" s="43" t="s">
        <v>53</v>
      </c>
      <c r="AC755" s="43">
        <v>4599</v>
      </c>
      <c r="AD755" s="141">
        <v>12</v>
      </c>
      <c r="AE755" s="142">
        <v>7</v>
      </c>
      <c r="AF755" s="142"/>
      <c r="AG755" s="69" t="str">
        <f t="shared" si="416"/>
        <v>6 years 277 days</v>
      </c>
      <c r="AH755" s="69">
        <v>6</v>
      </c>
      <c r="AI755" s="69">
        <v>277</v>
      </c>
      <c r="AJ755" s="69">
        <v>0</v>
      </c>
      <c r="AK755" s="69">
        <v>0</v>
      </c>
      <c r="AL755" s="60">
        <v>180000</v>
      </c>
      <c r="AM755" s="60">
        <f t="shared" si="417"/>
        <v>180000</v>
      </c>
      <c r="AN755" s="59">
        <v>96556</v>
      </c>
      <c r="AO755" s="148">
        <f t="shared" si="418"/>
        <v>-96556</v>
      </c>
      <c r="AP755" s="58">
        <v>7083.9217221135186</v>
      </c>
      <c r="AQ755" s="143">
        <f t="shared" si="419"/>
        <v>-7083.92</v>
      </c>
    </row>
    <row r="756" spans="1:43" x14ac:dyDescent="0.35">
      <c r="A756" s="69" t="s">
        <v>43</v>
      </c>
      <c r="B756" s="15" t="s">
        <v>2382</v>
      </c>
      <c r="C756" s="15"/>
      <c r="D756" s="69"/>
      <c r="E756" s="76">
        <v>0</v>
      </c>
      <c r="F756" s="69" t="s">
        <v>1960</v>
      </c>
      <c r="G756" s="12" t="s">
        <v>1961</v>
      </c>
      <c r="H756" s="76">
        <v>9010000099</v>
      </c>
      <c r="I756" s="92" t="s">
        <v>47</v>
      </c>
      <c r="J756" s="92">
        <v>1202010202</v>
      </c>
      <c r="K756" s="15"/>
      <c r="L756" s="95" t="s">
        <v>2383</v>
      </c>
      <c r="M756" s="69" t="s">
        <v>2384</v>
      </c>
      <c r="N756" s="69"/>
      <c r="O756" s="94">
        <v>2</v>
      </c>
      <c r="P756" s="69" t="s">
        <v>50</v>
      </c>
      <c r="Q756" s="69" t="s">
        <v>51</v>
      </c>
      <c r="R756" s="69"/>
      <c r="S756" s="46">
        <v>44597</v>
      </c>
      <c r="T756" s="48">
        <v>44597</v>
      </c>
      <c r="U756" s="69"/>
      <c r="V756" s="69"/>
      <c r="W756" s="69"/>
      <c r="X756" s="69"/>
      <c r="Y756" s="69" t="s">
        <v>4131</v>
      </c>
      <c r="Z756" s="43">
        <v>89831</v>
      </c>
      <c r="AA756" s="43" t="s">
        <v>52</v>
      </c>
      <c r="AB756" s="43" t="s">
        <v>53</v>
      </c>
      <c r="AC756" s="43">
        <v>1825</v>
      </c>
      <c r="AD756" s="141">
        <v>5</v>
      </c>
      <c r="AE756" s="142">
        <v>0</v>
      </c>
      <c r="AF756" s="142"/>
      <c r="AG756" s="69" t="str">
        <f t="shared" si="416"/>
        <v>2 years 331 days</v>
      </c>
      <c r="AH756" s="69">
        <v>2</v>
      </c>
      <c r="AI756" s="69">
        <v>331</v>
      </c>
      <c r="AJ756" s="69">
        <v>0</v>
      </c>
      <c r="AK756" s="69">
        <v>0</v>
      </c>
      <c r="AL756" s="60">
        <v>89831</v>
      </c>
      <c r="AM756" s="60">
        <f t="shared" si="417"/>
        <v>89831</v>
      </c>
      <c r="AN756" s="59">
        <v>50871</v>
      </c>
      <c r="AO756" s="148">
        <f t="shared" si="418"/>
        <v>-50871</v>
      </c>
      <c r="AP756" s="58">
        <v>8909.6846575342497</v>
      </c>
      <c r="AQ756" s="143">
        <f t="shared" si="419"/>
        <v>-8909.68</v>
      </c>
    </row>
    <row r="757" spans="1:43" x14ac:dyDescent="0.35">
      <c r="A757" s="69" t="s">
        <v>43</v>
      </c>
      <c r="B757" s="15" t="s">
        <v>2385</v>
      </c>
      <c r="C757" s="15"/>
      <c r="D757" s="69"/>
      <c r="E757" s="76">
        <v>0</v>
      </c>
      <c r="F757" s="69" t="s">
        <v>1960</v>
      </c>
      <c r="G757" s="12" t="s">
        <v>1961</v>
      </c>
      <c r="H757" s="76">
        <v>9010000100</v>
      </c>
      <c r="I757" s="92" t="s">
        <v>47</v>
      </c>
      <c r="J757" s="92">
        <v>1202010202</v>
      </c>
      <c r="K757" s="15"/>
      <c r="L757" s="95" t="s">
        <v>2386</v>
      </c>
      <c r="M757" s="69" t="s">
        <v>2387</v>
      </c>
      <c r="N757" s="69"/>
      <c r="O757" s="94">
        <v>1</v>
      </c>
      <c r="P757" s="69" t="s">
        <v>50</v>
      </c>
      <c r="Q757" s="69" t="s">
        <v>51</v>
      </c>
      <c r="R757" s="69"/>
      <c r="S757" s="46">
        <v>42364</v>
      </c>
      <c r="T757" s="48">
        <v>43191</v>
      </c>
      <c r="U757" s="69"/>
      <c r="V757" s="69"/>
      <c r="W757" s="69"/>
      <c r="X757" s="69"/>
      <c r="Y757" s="69" t="s">
        <v>4125</v>
      </c>
      <c r="Z757" s="43">
        <v>225000</v>
      </c>
      <c r="AA757" s="43" t="s">
        <v>52</v>
      </c>
      <c r="AB757" s="43" t="s">
        <v>53</v>
      </c>
      <c r="AC757" s="43">
        <v>2044</v>
      </c>
      <c r="AD757" s="141">
        <v>5</v>
      </c>
      <c r="AE757" s="142">
        <v>7</v>
      </c>
      <c r="AF757" s="142"/>
      <c r="AG757" s="69" t="str">
        <f t="shared" si="416"/>
        <v>5 years 219 days</v>
      </c>
      <c r="AH757" s="69">
        <v>5</v>
      </c>
      <c r="AI757" s="69">
        <v>219</v>
      </c>
      <c r="AJ757" s="69">
        <v>0</v>
      </c>
      <c r="AK757" s="69">
        <v>0</v>
      </c>
      <c r="AL757" s="60">
        <v>225000</v>
      </c>
      <c r="AM757" s="60">
        <f t="shared" si="417"/>
        <v>225000</v>
      </c>
      <c r="AN757" s="59">
        <v>225000</v>
      </c>
      <c r="AO757" s="148">
        <f t="shared" si="418"/>
        <v>-225000</v>
      </c>
      <c r="AP757" s="58">
        <v>0</v>
      </c>
      <c r="AQ757" s="143">
        <f t="shared" si="419"/>
        <v>0</v>
      </c>
    </row>
    <row r="758" spans="1:43" x14ac:dyDescent="0.35">
      <c r="A758" s="69" t="s">
        <v>43</v>
      </c>
      <c r="B758" s="15" t="s">
        <v>2388</v>
      </c>
      <c r="C758" s="15"/>
      <c r="D758" s="69"/>
      <c r="E758" s="76">
        <v>0</v>
      </c>
      <c r="F758" s="69" t="s">
        <v>1960</v>
      </c>
      <c r="G758" s="12" t="s">
        <v>1961</v>
      </c>
      <c r="H758" s="76">
        <v>9010000100</v>
      </c>
      <c r="I758" s="92" t="s">
        <v>47</v>
      </c>
      <c r="J758" s="92">
        <v>1202010202</v>
      </c>
      <c r="K758" s="15"/>
      <c r="L758" s="95" t="s">
        <v>2389</v>
      </c>
      <c r="M758" s="69" t="s">
        <v>2390</v>
      </c>
      <c r="N758" s="69"/>
      <c r="O758" s="94">
        <v>1</v>
      </c>
      <c r="P758" s="69" t="s">
        <v>50</v>
      </c>
      <c r="Q758" s="69" t="s">
        <v>51</v>
      </c>
      <c r="R758" s="69"/>
      <c r="S758" s="46">
        <v>44602</v>
      </c>
      <c r="T758" s="48">
        <v>44602</v>
      </c>
      <c r="U758" s="69"/>
      <c r="V758" s="69"/>
      <c r="W758" s="69"/>
      <c r="X758" s="69"/>
      <c r="Y758" s="69" t="s">
        <v>4131</v>
      </c>
      <c r="Z758" s="43">
        <v>44915</v>
      </c>
      <c r="AA758" s="43" t="s">
        <v>52</v>
      </c>
      <c r="AB758" s="43" t="s">
        <v>53</v>
      </c>
      <c r="AC758" s="43">
        <v>1825</v>
      </c>
      <c r="AD758" s="141">
        <v>5</v>
      </c>
      <c r="AE758" s="142">
        <v>0</v>
      </c>
      <c r="AF758" s="142"/>
      <c r="AG758" s="69" t="str">
        <f t="shared" si="416"/>
        <v>2 years 326 days</v>
      </c>
      <c r="AH758" s="69">
        <v>2</v>
      </c>
      <c r="AI758" s="69">
        <v>326</v>
      </c>
      <c r="AJ758" s="69">
        <v>0</v>
      </c>
      <c r="AK758" s="69">
        <v>0</v>
      </c>
      <c r="AL758" s="60">
        <v>44915</v>
      </c>
      <c r="AM758" s="60">
        <f t="shared" si="417"/>
        <v>44915</v>
      </c>
      <c r="AN758" s="59">
        <v>25374</v>
      </c>
      <c r="AO758" s="148">
        <f t="shared" si="418"/>
        <v>-25374</v>
      </c>
      <c r="AP758" s="58">
        <v>4454.4821917808222</v>
      </c>
      <c r="AQ758" s="143">
        <f t="shared" si="419"/>
        <v>-4454.4799999999996</v>
      </c>
    </row>
    <row r="759" spans="1:43" x14ac:dyDescent="0.35">
      <c r="A759" s="69" t="s">
        <v>43</v>
      </c>
      <c r="B759" s="15" t="s">
        <v>2391</v>
      </c>
      <c r="C759" s="15"/>
      <c r="D759" s="69"/>
      <c r="E759" s="76">
        <v>0</v>
      </c>
      <c r="F759" s="69" t="s">
        <v>1960</v>
      </c>
      <c r="G759" s="12" t="s">
        <v>1961</v>
      </c>
      <c r="H759" s="76">
        <v>9010000101</v>
      </c>
      <c r="I759" s="92" t="s">
        <v>47</v>
      </c>
      <c r="J759" s="92">
        <v>1202010202</v>
      </c>
      <c r="K759" s="15"/>
      <c r="L759" s="95" t="s">
        <v>2392</v>
      </c>
      <c r="M759" s="69" t="s">
        <v>2393</v>
      </c>
      <c r="N759" s="69"/>
      <c r="O759" s="94">
        <v>6</v>
      </c>
      <c r="P759" s="69" t="s">
        <v>50</v>
      </c>
      <c r="Q759" s="69" t="s">
        <v>51</v>
      </c>
      <c r="R759" s="69"/>
      <c r="S759" s="46">
        <v>42364</v>
      </c>
      <c r="T759" s="48">
        <v>43191</v>
      </c>
      <c r="U759" s="69"/>
      <c r="V759" s="69"/>
      <c r="W759" s="69"/>
      <c r="X759" s="69"/>
      <c r="Y759" s="69" t="s">
        <v>4125</v>
      </c>
      <c r="Z759" s="43">
        <v>1700</v>
      </c>
      <c r="AA759" s="43" t="s">
        <v>52</v>
      </c>
      <c r="AB759" s="43" t="s">
        <v>53</v>
      </c>
      <c r="AC759" s="43">
        <v>4599</v>
      </c>
      <c r="AD759" s="141">
        <v>12</v>
      </c>
      <c r="AE759" s="142">
        <v>7</v>
      </c>
      <c r="AF759" s="142"/>
      <c r="AG759" s="69" t="str">
        <f t="shared" si="416"/>
        <v>6 years 277 days</v>
      </c>
      <c r="AH759" s="69">
        <v>6</v>
      </c>
      <c r="AI759" s="69">
        <v>277</v>
      </c>
      <c r="AJ759" s="69">
        <v>0</v>
      </c>
      <c r="AK759" s="69">
        <v>0</v>
      </c>
      <c r="AL759" s="60">
        <v>1700</v>
      </c>
      <c r="AM759" s="60">
        <f t="shared" si="417"/>
        <v>1700</v>
      </c>
      <c r="AN759" s="59">
        <v>1700</v>
      </c>
      <c r="AO759" s="148">
        <f t="shared" si="418"/>
        <v>-1700</v>
      </c>
      <c r="AP759" s="58">
        <v>0</v>
      </c>
      <c r="AQ759" s="143">
        <f t="shared" si="419"/>
        <v>0</v>
      </c>
    </row>
    <row r="760" spans="1:43" x14ac:dyDescent="0.35">
      <c r="A760" s="69" t="s">
        <v>43</v>
      </c>
      <c r="B760" s="15" t="s">
        <v>2394</v>
      </c>
      <c r="C760" s="15"/>
      <c r="D760" s="69"/>
      <c r="E760" s="76">
        <v>0</v>
      </c>
      <c r="F760" s="69" t="s">
        <v>1960</v>
      </c>
      <c r="G760" s="12" t="s">
        <v>1961</v>
      </c>
      <c r="H760" s="76">
        <v>9010000101</v>
      </c>
      <c r="I760" s="92" t="s">
        <v>47</v>
      </c>
      <c r="J760" s="92">
        <v>1202010202</v>
      </c>
      <c r="K760" s="15"/>
      <c r="L760" s="95" t="s">
        <v>2395</v>
      </c>
      <c r="M760" s="69" t="s">
        <v>2396</v>
      </c>
      <c r="N760" s="69"/>
      <c r="O760" s="94">
        <v>339</v>
      </c>
      <c r="P760" s="69" t="s">
        <v>50</v>
      </c>
      <c r="Q760" s="69" t="s">
        <v>51</v>
      </c>
      <c r="R760" s="69"/>
      <c r="S760" s="46">
        <v>44636</v>
      </c>
      <c r="T760" s="48">
        <v>44636</v>
      </c>
      <c r="U760" s="69"/>
      <c r="V760" s="69"/>
      <c r="W760" s="69"/>
      <c r="X760" s="69"/>
      <c r="Y760" s="69" t="s">
        <v>4131</v>
      </c>
      <c r="Z760" s="43">
        <v>53780</v>
      </c>
      <c r="AA760" s="43" t="s">
        <v>52</v>
      </c>
      <c r="AB760" s="43" t="s">
        <v>53</v>
      </c>
      <c r="AC760" s="43">
        <v>3650</v>
      </c>
      <c r="AD760" s="141">
        <v>10</v>
      </c>
      <c r="AE760" s="142">
        <v>0</v>
      </c>
      <c r="AF760" s="142"/>
      <c r="AG760" s="69" t="str">
        <f t="shared" si="416"/>
        <v>2 years 292 days</v>
      </c>
      <c r="AH760" s="69">
        <v>2</v>
      </c>
      <c r="AI760" s="69">
        <v>292</v>
      </c>
      <c r="AJ760" s="69">
        <v>0</v>
      </c>
      <c r="AK760" s="69">
        <v>0</v>
      </c>
      <c r="AL760" s="60">
        <v>53780</v>
      </c>
      <c r="AM760" s="60">
        <f t="shared" si="417"/>
        <v>53780</v>
      </c>
      <c r="AN760" s="59">
        <v>15058</v>
      </c>
      <c r="AO760" s="148">
        <f t="shared" si="418"/>
        <v>-15058</v>
      </c>
      <c r="AP760" s="58">
        <v>2667.2986301369856</v>
      </c>
      <c r="AQ760" s="143">
        <f t="shared" si="419"/>
        <v>-2667.3</v>
      </c>
    </row>
    <row r="761" spans="1:43" x14ac:dyDescent="0.35">
      <c r="A761" s="69" t="s">
        <v>43</v>
      </c>
      <c r="B761" s="15" t="s">
        <v>2397</v>
      </c>
      <c r="C761" s="15"/>
      <c r="D761" s="69"/>
      <c r="E761" s="76">
        <v>0</v>
      </c>
      <c r="F761" s="69" t="s">
        <v>1960</v>
      </c>
      <c r="G761" s="12" t="s">
        <v>1961</v>
      </c>
      <c r="H761" s="76">
        <v>9010000102</v>
      </c>
      <c r="I761" s="92" t="s">
        <v>47</v>
      </c>
      <c r="J761" s="92">
        <v>1202010202</v>
      </c>
      <c r="K761" s="15"/>
      <c r="L761" s="95" t="s">
        <v>2398</v>
      </c>
      <c r="M761" s="69" t="s">
        <v>2393</v>
      </c>
      <c r="N761" s="69"/>
      <c r="O761" s="94">
        <v>10</v>
      </c>
      <c r="P761" s="69" t="s">
        <v>50</v>
      </c>
      <c r="Q761" s="69" t="s">
        <v>51</v>
      </c>
      <c r="R761" s="69"/>
      <c r="S761" s="46">
        <v>42364</v>
      </c>
      <c r="T761" s="48">
        <v>43191</v>
      </c>
      <c r="U761" s="69"/>
      <c r="V761" s="69"/>
      <c r="W761" s="69"/>
      <c r="X761" s="69"/>
      <c r="Y761" s="69" t="s">
        <v>4125</v>
      </c>
      <c r="Z761" s="43">
        <v>2800</v>
      </c>
      <c r="AA761" s="43" t="s">
        <v>52</v>
      </c>
      <c r="AB761" s="43" t="s">
        <v>53</v>
      </c>
      <c r="AC761" s="43">
        <v>4599</v>
      </c>
      <c r="AD761" s="141">
        <v>12</v>
      </c>
      <c r="AE761" s="142">
        <v>7</v>
      </c>
      <c r="AF761" s="142"/>
      <c r="AG761" s="69" t="str">
        <f t="shared" si="416"/>
        <v>6 years 277 days</v>
      </c>
      <c r="AH761" s="69">
        <v>6</v>
      </c>
      <c r="AI761" s="69">
        <v>277</v>
      </c>
      <c r="AJ761" s="69">
        <v>0</v>
      </c>
      <c r="AK761" s="69">
        <v>0</v>
      </c>
      <c r="AL761" s="60">
        <v>2800</v>
      </c>
      <c r="AM761" s="60">
        <f t="shared" si="417"/>
        <v>2800</v>
      </c>
      <c r="AN761" s="59">
        <v>2800</v>
      </c>
      <c r="AO761" s="148">
        <f t="shared" si="418"/>
        <v>-2800</v>
      </c>
      <c r="AP761" s="58">
        <v>0</v>
      </c>
      <c r="AQ761" s="143">
        <f t="shared" si="419"/>
        <v>0</v>
      </c>
    </row>
    <row r="762" spans="1:43" x14ac:dyDescent="0.35">
      <c r="A762" s="69" t="s">
        <v>43</v>
      </c>
      <c r="B762" s="15" t="s">
        <v>2399</v>
      </c>
      <c r="C762" s="15"/>
      <c r="D762" s="69"/>
      <c r="E762" s="76">
        <v>0</v>
      </c>
      <c r="F762" s="69" t="s">
        <v>1960</v>
      </c>
      <c r="G762" s="12" t="s">
        <v>1961</v>
      </c>
      <c r="H762" s="76">
        <v>9010000102</v>
      </c>
      <c r="I762" s="92" t="s">
        <v>47</v>
      </c>
      <c r="J762" s="92">
        <v>1202010202</v>
      </c>
      <c r="K762" s="15"/>
      <c r="L762" s="95" t="s">
        <v>2400</v>
      </c>
      <c r="M762" s="69" t="s">
        <v>2401</v>
      </c>
      <c r="N762" s="69"/>
      <c r="O762" s="94">
        <v>1</v>
      </c>
      <c r="P762" s="69" t="s">
        <v>50</v>
      </c>
      <c r="Q762" s="69" t="s">
        <v>51</v>
      </c>
      <c r="R762" s="69"/>
      <c r="S762" s="46">
        <v>44869</v>
      </c>
      <c r="T762" s="48">
        <v>44869</v>
      </c>
      <c r="U762" s="69"/>
      <c r="V762" s="69"/>
      <c r="W762" s="69"/>
      <c r="X762" s="69"/>
      <c r="Y762" s="69" t="s">
        <v>4131</v>
      </c>
      <c r="Z762" s="43">
        <v>11343</v>
      </c>
      <c r="AA762" s="43" t="s">
        <v>52</v>
      </c>
      <c r="AB762" s="43" t="s">
        <v>53</v>
      </c>
      <c r="AC762" s="43">
        <v>1825</v>
      </c>
      <c r="AD762" s="141">
        <v>5</v>
      </c>
      <c r="AE762" s="142">
        <v>0</v>
      </c>
      <c r="AF762" s="142"/>
      <c r="AG762" s="69" t="str">
        <f t="shared" si="416"/>
        <v>2 years 59 days</v>
      </c>
      <c r="AH762" s="69">
        <v>2</v>
      </c>
      <c r="AI762" s="69">
        <v>59</v>
      </c>
      <c r="AJ762" s="69">
        <v>0</v>
      </c>
      <c r="AK762" s="69">
        <v>0</v>
      </c>
      <c r="AL762" s="60">
        <v>11343</v>
      </c>
      <c r="AM762" s="60">
        <f t="shared" si="417"/>
        <v>11343</v>
      </c>
      <c r="AN762" s="59">
        <v>9037</v>
      </c>
      <c r="AO762" s="148">
        <f t="shared" si="418"/>
        <v>-9037</v>
      </c>
      <c r="AP762" s="58">
        <v>1125.0849315068499</v>
      </c>
      <c r="AQ762" s="143">
        <f t="shared" si="419"/>
        <v>-1125.08</v>
      </c>
    </row>
    <row r="763" spans="1:43" x14ac:dyDescent="0.35">
      <c r="A763" s="69" t="s">
        <v>43</v>
      </c>
      <c r="B763" s="15" t="s">
        <v>2402</v>
      </c>
      <c r="C763" s="15"/>
      <c r="D763" s="69"/>
      <c r="E763" s="76">
        <v>0</v>
      </c>
      <c r="F763" s="69" t="s">
        <v>1960</v>
      </c>
      <c r="G763" s="12" t="s">
        <v>1961</v>
      </c>
      <c r="H763" s="76">
        <v>9010000103</v>
      </c>
      <c r="I763" s="92" t="s">
        <v>47</v>
      </c>
      <c r="J763" s="92">
        <v>1202010202</v>
      </c>
      <c r="K763" s="15"/>
      <c r="L763" s="95" t="s">
        <v>2403</v>
      </c>
      <c r="M763" s="69" t="s">
        <v>2404</v>
      </c>
      <c r="N763" s="69"/>
      <c r="O763" s="94">
        <v>1</v>
      </c>
      <c r="P763" s="69" t="s">
        <v>50</v>
      </c>
      <c r="Q763" s="69" t="s">
        <v>51</v>
      </c>
      <c r="R763" s="69"/>
      <c r="S763" s="46">
        <v>42364</v>
      </c>
      <c r="T763" s="48">
        <v>43191</v>
      </c>
      <c r="U763" s="69"/>
      <c r="V763" s="69"/>
      <c r="W763" s="69"/>
      <c r="X763" s="69"/>
      <c r="Y763" s="69" t="s">
        <v>4125</v>
      </c>
      <c r="Z763" s="43">
        <v>430000</v>
      </c>
      <c r="AA763" s="43" t="s">
        <v>52</v>
      </c>
      <c r="AB763" s="43" t="s">
        <v>53</v>
      </c>
      <c r="AC763" s="43">
        <v>2774</v>
      </c>
      <c r="AD763" s="141">
        <v>7</v>
      </c>
      <c r="AE763" s="142">
        <v>7</v>
      </c>
      <c r="AF763" s="142"/>
      <c r="AG763" s="69" t="str">
        <f t="shared" si="416"/>
        <v>6 years 277 days</v>
      </c>
      <c r="AH763" s="69">
        <v>6</v>
      </c>
      <c r="AI763" s="69">
        <v>277</v>
      </c>
      <c r="AJ763" s="69">
        <v>0</v>
      </c>
      <c r="AK763" s="69">
        <v>0</v>
      </c>
      <c r="AL763" s="60">
        <v>430000</v>
      </c>
      <c r="AM763" s="60">
        <f t="shared" si="417"/>
        <v>430000</v>
      </c>
      <c r="AN763" s="59">
        <v>382412</v>
      </c>
      <c r="AO763" s="148">
        <f t="shared" si="418"/>
        <v>-382412</v>
      </c>
      <c r="AP763" s="58">
        <v>28056.637346791686</v>
      </c>
      <c r="AQ763" s="143">
        <f t="shared" si="419"/>
        <v>-28056.639999999999</v>
      </c>
    </row>
    <row r="764" spans="1:43" x14ac:dyDescent="0.35">
      <c r="A764" s="69" t="s">
        <v>43</v>
      </c>
      <c r="B764" s="15" t="s">
        <v>2405</v>
      </c>
      <c r="C764" s="15"/>
      <c r="D764" s="69"/>
      <c r="E764" s="76">
        <v>0</v>
      </c>
      <c r="F764" s="69" t="s">
        <v>1960</v>
      </c>
      <c r="G764" s="12" t="s">
        <v>1961</v>
      </c>
      <c r="H764" s="76">
        <v>9010000103</v>
      </c>
      <c r="I764" s="92" t="s">
        <v>47</v>
      </c>
      <c r="J764" s="92">
        <v>1202010202</v>
      </c>
      <c r="K764" s="15"/>
      <c r="L764" s="95" t="s">
        <v>2406</v>
      </c>
      <c r="M764" s="69" t="s">
        <v>2407</v>
      </c>
      <c r="N764" s="69"/>
      <c r="O764" s="94">
        <v>1</v>
      </c>
      <c r="P764" s="69" t="s">
        <v>50</v>
      </c>
      <c r="Q764" s="69" t="s">
        <v>51</v>
      </c>
      <c r="R764" s="69"/>
      <c r="S764" s="46">
        <v>44883</v>
      </c>
      <c r="T764" s="48">
        <v>44883</v>
      </c>
      <c r="U764" s="69"/>
      <c r="V764" s="69"/>
      <c r="W764" s="69"/>
      <c r="X764" s="69"/>
      <c r="Y764" s="69" t="s">
        <v>4131</v>
      </c>
      <c r="Z764" s="43">
        <v>6450</v>
      </c>
      <c r="AA764" s="43" t="s">
        <v>52</v>
      </c>
      <c r="AB764" s="43" t="s">
        <v>53</v>
      </c>
      <c r="AC764" s="43">
        <v>1825</v>
      </c>
      <c r="AD764" s="141">
        <v>5</v>
      </c>
      <c r="AE764" s="142">
        <v>0</v>
      </c>
      <c r="AF764" s="142"/>
      <c r="AG764" s="69" t="str">
        <f t="shared" si="416"/>
        <v>2 years 45 days</v>
      </c>
      <c r="AH764" s="69">
        <v>2</v>
      </c>
      <c r="AI764" s="69">
        <v>45</v>
      </c>
      <c r="AJ764" s="69">
        <v>0</v>
      </c>
      <c r="AK764" s="69">
        <v>0</v>
      </c>
      <c r="AL764" s="60">
        <v>6450</v>
      </c>
      <c r="AM764" s="60">
        <f t="shared" si="417"/>
        <v>6450</v>
      </c>
      <c r="AN764" s="59">
        <v>5079</v>
      </c>
      <c r="AO764" s="148">
        <f t="shared" si="418"/>
        <v>-5079</v>
      </c>
      <c r="AP764" s="58">
        <v>639.41095890410998</v>
      </c>
      <c r="AQ764" s="143">
        <f t="shared" si="419"/>
        <v>-639.41</v>
      </c>
    </row>
    <row r="765" spans="1:43" x14ac:dyDescent="0.35">
      <c r="A765" s="69" t="s">
        <v>43</v>
      </c>
      <c r="B765" s="15" t="s">
        <v>2408</v>
      </c>
      <c r="C765" s="15"/>
      <c r="D765" s="69"/>
      <c r="E765" s="76">
        <v>0</v>
      </c>
      <c r="F765" s="69" t="s">
        <v>1960</v>
      </c>
      <c r="G765" s="12" t="s">
        <v>1961</v>
      </c>
      <c r="H765" s="76">
        <v>9010000104</v>
      </c>
      <c r="I765" s="92" t="s">
        <v>47</v>
      </c>
      <c r="J765" s="92">
        <v>1202010202</v>
      </c>
      <c r="K765" s="15"/>
      <c r="L765" s="95" t="s">
        <v>2409</v>
      </c>
      <c r="M765" s="69" t="s">
        <v>49</v>
      </c>
      <c r="N765" s="69"/>
      <c r="O765" s="94">
        <v>1</v>
      </c>
      <c r="P765" s="69" t="s">
        <v>50</v>
      </c>
      <c r="Q765" s="69" t="s">
        <v>51</v>
      </c>
      <c r="R765" s="69"/>
      <c r="S765" s="46">
        <v>42094</v>
      </c>
      <c r="T765" s="48">
        <v>43191</v>
      </c>
      <c r="U765" s="69"/>
      <c r="V765" s="69"/>
      <c r="W765" s="69"/>
      <c r="X765" s="69"/>
      <c r="Y765" s="69" t="s">
        <v>4125</v>
      </c>
      <c r="Z765" s="43">
        <v>16500</v>
      </c>
      <c r="AA765" s="43" t="s">
        <v>52</v>
      </c>
      <c r="AB765" s="43" t="s">
        <v>53</v>
      </c>
      <c r="AC765" s="43">
        <v>2555</v>
      </c>
      <c r="AD765" s="141">
        <v>7</v>
      </c>
      <c r="AE765" s="142">
        <v>0</v>
      </c>
      <c r="AF765" s="142"/>
      <c r="AG765" s="69" t="str">
        <f t="shared" si="416"/>
        <v>6 years 277 days</v>
      </c>
      <c r="AH765" s="69">
        <v>6</v>
      </c>
      <c r="AI765" s="69">
        <v>277</v>
      </c>
      <c r="AJ765" s="69">
        <v>0</v>
      </c>
      <c r="AK765" s="69">
        <v>0</v>
      </c>
      <c r="AL765" s="60">
        <v>16500</v>
      </c>
      <c r="AM765" s="60">
        <f t="shared" si="417"/>
        <v>16500</v>
      </c>
      <c r="AN765" s="59">
        <v>16500</v>
      </c>
      <c r="AO765" s="148">
        <f t="shared" si="418"/>
        <v>-16500</v>
      </c>
      <c r="AP765" s="58">
        <v>0</v>
      </c>
      <c r="AQ765" s="143">
        <f t="shared" si="419"/>
        <v>0</v>
      </c>
    </row>
    <row r="766" spans="1:43" x14ac:dyDescent="0.35">
      <c r="A766" s="69" t="s">
        <v>43</v>
      </c>
      <c r="B766" s="15" t="s">
        <v>2410</v>
      </c>
      <c r="C766" s="15"/>
      <c r="D766" s="69"/>
      <c r="E766" s="76">
        <v>0</v>
      </c>
      <c r="F766" s="69" t="s">
        <v>1960</v>
      </c>
      <c r="G766" s="12" t="s">
        <v>1961</v>
      </c>
      <c r="H766" s="76">
        <v>9010000104</v>
      </c>
      <c r="I766" s="92" t="s">
        <v>47</v>
      </c>
      <c r="J766" s="92">
        <v>1202010202</v>
      </c>
      <c r="K766" s="15"/>
      <c r="L766" s="95" t="s">
        <v>2411</v>
      </c>
      <c r="M766" s="69" t="s">
        <v>49</v>
      </c>
      <c r="N766" s="69"/>
      <c r="O766" s="94">
        <v>1</v>
      </c>
      <c r="P766" s="69" t="s">
        <v>50</v>
      </c>
      <c r="Q766" s="69" t="s">
        <v>51</v>
      </c>
      <c r="R766" s="69"/>
      <c r="S766" s="46">
        <v>44883</v>
      </c>
      <c r="T766" s="48">
        <v>44883</v>
      </c>
      <c r="U766" s="69"/>
      <c r="V766" s="69"/>
      <c r="W766" s="69"/>
      <c r="X766" s="69"/>
      <c r="Y766" s="69" t="s">
        <v>4131</v>
      </c>
      <c r="Z766" s="43">
        <v>9000</v>
      </c>
      <c r="AA766" s="43" t="s">
        <v>52</v>
      </c>
      <c r="AB766" s="43" t="s">
        <v>53</v>
      </c>
      <c r="AC766" s="43">
        <v>1825</v>
      </c>
      <c r="AD766" s="141">
        <v>5</v>
      </c>
      <c r="AE766" s="142">
        <v>0</v>
      </c>
      <c r="AF766" s="142"/>
      <c r="AG766" s="69" t="str">
        <f t="shared" si="416"/>
        <v>2 years 45 days</v>
      </c>
      <c r="AH766" s="69">
        <v>2</v>
      </c>
      <c r="AI766" s="69">
        <v>45</v>
      </c>
      <c r="AJ766" s="69">
        <v>0</v>
      </c>
      <c r="AK766" s="69">
        <v>0</v>
      </c>
      <c r="AL766" s="60">
        <v>9000</v>
      </c>
      <c r="AM766" s="60">
        <f t="shared" si="417"/>
        <v>9000</v>
      </c>
      <c r="AN766" s="59">
        <v>9000</v>
      </c>
      <c r="AO766" s="148">
        <f t="shared" si="418"/>
        <v>-9000</v>
      </c>
      <c r="AP766" s="58">
        <v>0</v>
      </c>
      <c r="AQ766" s="143">
        <f t="shared" si="419"/>
        <v>0</v>
      </c>
    </row>
    <row r="767" spans="1:43" x14ac:dyDescent="0.35">
      <c r="A767" s="69" t="s">
        <v>43</v>
      </c>
      <c r="B767" s="15" t="s">
        <v>2412</v>
      </c>
      <c r="C767" s="15"/>
      <c r="D767" s="69"/>
      <c r="E767" s="76">
        <v>0</v>
      </c>
      <c r="F767" s="69" t="s">
        <v>1960</v>
      </c>
      <c r="G767" s="12" t="s">
        <v>1961</v>
      </c>
      <c r="H767" s="76">
        <v>9010000105</v>
      </c>
      <c r="I767" s="92" t="s">
        <v>261</v>
      </c>
      <c r="J767" s="92">
        <v>1202010217</v>
      </c>
      <c r="K767" s="15"/>
      <c r="L767" s="95" t="s">
        <v>2413</v>
      </c>
      <c r="M767" s="69" t="s">
        <v>49</v>
      </c>
      <c r="N767" s="69"/>
      <c r="O767" s="94">
        <v>1</v>
      </c>
      <c r="P767" s="69" t="s">
        <v>50</v>
      </c>
      <c r="Q767" s="69" t="s">
        <v>51</v>
      </c>
      <c r="R767" s="69"/>
      <c r="S767" s="46">
        <v>43303</v>
      </c>
      <c r="T767" s="48">
        <v>43303</v>
      </c>
      <c r="U767" s="69"/>
      <c r="V767" s="69"/>
      <c r="W767" s="69"/>
      <c r="X767" s="69"/>
      <c r="Y767" s="69" t="s">
        <v>4125</v>
      </c>
      <c r="Z767" s="43">
        <v>74000</v>
      </c>
      <c r="AA767" s="43" t="s">
        <v>52</v>
      </c>
      <c r="AB767" s="43" t="s">
        <v>53</v>
      </c>
      <c r="AC767" s="43">
        <v>3650</v>
      </c>
      <c r="AD767" s="141">
        <v>10</v>
      </c>
      <c r="AE767" s="142">
        <v>0</v>
      </c>
      <c r="AF767" s="142"/>
      <c r="AG767" s="69" t="str">
        <f t="shared" si="416"/>
        <v>6 years 165 days</v>
      </c>
      <c r="AH767" s="69">
        <v>6</v>
      </c>
      <c r="AI767" s="69">
        <v>165</v>
      </c>
      <c r="AJ767" s="69">
        <v>0</v>
      </c>
      <c r="AK767" s="69">
        <v>0</v>
      </c>
      <c r="AL767" s="60">
        <v>74000</v>
      </c>
      <c r="AM767" s="60">
        <f t="shared" si="417"/>
        <v>74000</v>
      </c>
      <c r="AN767" s="59">
        <v>47725</v>
      </c>
      <c r="AO767" s="148">
        <f t="shared" si="418"/>
        <v>-47725</v>
      </c>
      <c r="AP767" s="58">
        <v>3669.5205479451979</v>
      </c>
      <c r="AQ767" s="143">
        <f t="shared" si="419"/>
        <v>-3669.52</v>
      </c>
    </row>
    <row r="768" spans="1:43" x14ac:dyDescent="0.35">
      <c r="A768" s="69" t="s">
        <v>43</v>
      </c>
      <c r="B768" s="15" t="s">
        <v>2414</v>
      </c>
      <c r="C768" s="15"/>
      <c r="D768" s="69"/>
      <c r="E768" s="76">
        <v>0</v>
      </c>
      <c r="F768" s="69" t="s">
        <v>1960</v>
      </c>
      <c r="G768" s="12" t="s">
        <v>1961</v>
      </c>
      <c r="H768" s="76">
        <v>9010000105</v>
      </c>
      <c r="I768" s="92" t="s">
        <v>261</v>
      </c>
      <c r="J768" s="92">
        <v>1202010217</v>
      </c>
      <c r="K768" s="15"/>
      <c r="L768" s="95" t="s">
        <v>2415</v>
      </c>
      <c r="M768" s="69" t="s">
        <v>2416</v>
      </c>
      <c r="N768" s="69"/>
      <c r="O768" s="94">
        <v>1</v>
      </c>
      <c r="P768" s="69" t="s">
        <v>50</v>
      </c>
      <c r="Q768" s="69" t="s">
        <v>51</v>
      </c>
      <c r="R768" s="69"/>
      <c r="S768" s="46">
        <v>44883</v>
      </c>
      <c r="T768" s="48">
        <v>44883</v>
      </c>
      <c r="U768" s="69"/>
      <c r="V768" s="69"/>
      <c r="W768" s="69"/>
      <c r="X768" s="69"/>
      <c r="Y768" s="69" t="s">
        <v>4131</v>
      </c>
      <c r="Z768" s="43">
        <v>6500</v>
      </c>
      <c r="AA768" s="43" t="s">
        <v>52</v>
      </c>
      <c r="AB768" s="43" t="s">
        <v>53</v>
      </c>
      <c r="AC768" s="43">
        <v>1825</v>
      </c>
      <c r="AD768" s="141">
        <v>5</v>
      </c>
      <c r="AE768" s="142">
        <v>0</v>
      </c>
      <c r="AF768" s="142"/>
      <c r="AG768" s="69" t="str">
        <f t="shared" si="416"/>
        <v>2 years 45 days</v>
      </c>
      <c r="AH768" s="69">
        <v>2</v>
      </c>
      <c r="AI768" s="69">
        <v>45</v>
      </c>
      <c r="AJ768" s="69">
        <v>0</v>
      </c>
      <c r="AK768" s="69">
        <v>0</v>
      </c>
      <c r="AL768" s="60">
        <v>6500</v>
      </c>
      <c r="AM768" s="60">
        <f t="shared" si="417"/>
        <v>6500</v>
      </c>
      <c r="AN768" s="59">
        <v>6500</v>
      </c>
      <c r="AO768" s="148">
        <f t="shared" si="418"/>
        <v>-6500</v>
      </c>
      <c r="AP768" s="58">
        <v>0</v>
      </c>
      <c r="AQ768" s="143">
        <f t="shared" si="419"/>
        <v>0</v>
      </c>
    </row>
    <row r="769" spans="1:43" x14ac:dyDescent="0.35">
      <c r="A769" s="69" t="s">
        <v>43</v>
      </c>
      <c r="B769" s="15" t="s">
        <v>2417</v>
      </c>
      <c r="C769" s="15"/>
      <c r="D769" s="69"/>
      <c r="E769" s="76">
        <v>0</v>
      </c>
      <c r="F769" s="69" t="s">
        <v>1960</v>
      </c>
      <c r="G769" s="12" t="s">
        <v>1961</v>
      </c>
      <c r="H769" s="76">
        <v>9010000106</v>
      </c>
      <c r="I769" s="92" t="s">
        <v>47</v>
      </c>
      <c r="J769" s="92">
        <v>1202010202</v>
      </c>
      <c r="K769" s="15"/>
      <c r="L769" s="95" t="s">
        <v>2418</v>
      </c>
      <c r="M769" s="69" t="s">
        <v>49</v>
      </c>
      <c r="N769" s="69"/>
      <c r="O769" s="94">
        <v>16</v>
      </c>
      <c r="P769" s="69" t="s">
        <v>50</v>
      </c>
      <c r="Q769" s="69" t="s">
        <v>51</v>
      </c>
      <c r="R769" s="69"/>
      <c r="S769" s="46">
        <v>43303</v>
      </c>
      <c r="T769" s="48">
        <v>43303</v>
      </c>
      <c r="U769" s="69"/>
      <c r="V769" s="69"/>
      <c r="W769" s="69"/>
      <c r="X769" s="69"/>
      <c r="Y769" s="69" t="s">
        <v>4125</v>
      </c>
      <c r="Z769" s="43">
        <v>78000</v>
      </c>
      <c r="AA769" s="43" t="s">
        <v>52</v>
      </c>
      <c r="AB769" s="43" t="s">
        <v>53</v>
      </c>
      <c r="AC769" s="43">
        <v>3650</v>
      </c>
      <c r="AD769" s="141">
        <v>10</v>
      </c>
      <c r="AE769" s="142">
        <v>0</v>
      </c>
      <c r="AF769" s="142"/>
      <c r="AG769" s="69" t="str">
        <f t="shared" si="416"/>
        <v>6 years 165 days</v>
      </c>
      <c r="AH769" s="69">
        <v>6</v>
      </c>
      <c r="AI769" s="69">
        <v>165</v>
      </c>
      <c r="AJ769" s="69">
        <v>0</v>
      </c>
      <c r="AK769" s="69">
        <v>0</v>
      </c>
      <c r="AL769" s="60">
        <v>78000</v>
      </c>
      <c r="AM769" s="60">
        <f t="shared" si="417"/>
        <v>78000</v>
      </c>
      <c r="AN769" s="59">
        <v>50305</v>
      </c>
      <c r="AO769" s="148">
        <f t="shared" si="418"/>
        <v>-50305</v>
      </c>
      <c r="AP769" s="58">
        <v>3867.6027397260259</v>
      </c>
      <c r="AQ769" s="143">
        <f t="shared" si="419"/>
        <v>-3867.6</v>
      </c>
    </row>
    <row r="770" spans="1:43" x14ac:dyDescent="0.35">
      <c r="A770" s="69" t="s">
        <v>43</v>
      </c>
      <c r="B770" s="15" t="s">
        <v>2419</v>
      </c>
      <c r="C770" s="15"/>
      <c r="D770" s="69"/>
      <c r="E770" s="76">
        <v>0</v>
      </c>
      <c r="F770" s="69" t="s">
        <v>1960</v>
      </c>
      <c r="G770" s="12" t="s">
        <v>1961</v>
      </c>
      <c r="H770" s="76">
        <v>9010000106</v>
      </c>
      <c r="I770" s="92" t="s">
        <v>47</v>
      </c>
      <c r="J770" s="92">
        <v>1202010202</v>
      </c>
      <c r="K770" s="15"/>
      <c r="L770" s="95" t="s">
        <v>2420</v>
      </c>
      <c r="M770" s="69" t="s">
        <v>2421</v>
      </c>
      <c r="N770" s="69"/>
      <c r="O770" s="94">
        <v>1</v>
      </c>
      <c r="P770" s="69" t="s">
        <v>50</v>
      </c>
      <c r="Q770" s="69" t="s">
        <v>51</v>
      </c>
      <c r="R770" s="69"/>
      <c r="S770" s="46">
        <v>44883</v>
      </c>
      <c r="T770" s="48">
        <v>44883</v>
      </c>
      <c r="U770" s="69"/>
      <c r="V770" s="69"/>
      <c r="W770" s="69"/>
      <c r="X770" s="69"/>
      <c r="Y770" s="69" t="s">
        <v>4131</v>
      </c>
      <c r="Z770" s="43">
        <v>6000</v>
      </c>
      <c r="AA770" s="43" t="s">
        <v>52</v>
      </c>
      <c r="AB770" s="43" t="s">
        <v>53</v>
      </c>
      <c r="AC770" s="43">
        <v>1825</v>
      </c>
      <c r="AD770" s="141">
        <v>5</v>
      </c>
      <c r="AE770" s="142">
        <v>0</v>
      </c>
      <c r="AF770" s="142"/>
      <c r="AG770" s="69" t="str">
        <f t="shared" si="416"/>
        <v>2 years 45 days</v>
      </c>
      <c r="AH770" s="69">
        <v>2</v>
      </c>
      <c r="AI770" s="69">
        <v>45</v>
      </c>
      <c r="AJ770" s="69">
        <v>0</v>
      </c>
      <c r="AK770" s="69">
        <v>0</v>
      </c>
      <c r="AL770" s="60">
        <v>6000</v>
      </c>
      <c r="AM770" s="60">
        <f t="shared" si="417"/>
        <v>6000</v>
      </c>
      <c r="AN770" s="59">
        <v>6000</v>
      </c>
      <c r="AO770" s="148">
        <f t="shared" si="418"/>
        <v>-6000</v>
      </c>
      <c r="AP770" s="58">
        <v>0</v>
      </c>
      <c r="AQ770" s="143">
        <f t="shared" si="419"/>
        <v>0</v>
      </c>
    </row>
    <row r="771" spans="1:43" x14ac:dyDescent="0.35">
      <c r="A771" s="69" t="s">
        <v>43</v>
      </c>
      <c r="B771" s="15" t="s">
        <v>2422</v>
      </c>
      <c r="C771" s="15"/>
      <c r="D771" s="69"/>
      <c r="E771" s="76">
        <v>0</v>
      </c>
      <c r="F771" s="69" t="s">
        <v>1960</v>
      </c>
      <c r="G771" s="12" t="s">
        <v>1961</v>
      </c>
      <c r="H771" s="76">
        <v>9010000107</v>
      </c>
      <c r="I771" s="92" t="s">
        <v>47</v>
      </c>
      <c r="J771" s="92">
        <v>1202010202</v>
      </c>
      <c r="K771" s="15"/>
      <c r="L771" s="95" t="s">
        <v>2423</v>
      </c>
      <c r="M771" s="69" t="s">
        <v>49</v>
      </c>
      <c r="N771" s="69"/>
      <c r="O771" s="94">
        <v>4</v>
      </c>
      <c r="P771" s="69" t="s">
        <v>50</v>
      </c>
      <c r="Q771" s="69" t="s">
        <v>51</v>
      </c>
      <c r="R771" s="69"/>
      <c r="S771" s="46">
        <v>43303</v>
      </c>
      <c r="T771" s="48">
        <v>43303</v>
      </c>
      <c r="U771" s="69"/>
      <c r="V771" s="69"/>
      <c r="W771" s="69"/>
      <c r="X771" s="69"/>
      <c r="Y771" s="69" t="s">
        <v>4125</v>
      </c>
      <c r="Z771" s="43">
        <v>16800</v>
      </c>
      <c r="AA771" s="43" t="s">
        <v>52</v>
      </c>
      <c r="AB771" s="43" t="s">
        <v>53</v>
      </c>
      <c r="AC771" s="43">
        <v>3650</v>
      </c>
      <c r="AD771" s="141">
        <v>10</v>
      </c>
      <c r="AE771" s="142">
        <v>0</v>
      </c>
      <c r="AF771" s="142"/>
      <c r="AG771" s="69" t="str">
        <f t="shared" si="416"/>
        <v>6 years 165 days</v>
      </c>
      <c r="AH771" s="69">
        <v>6</v>
      </c>
      <c r="AI771" s="69">
        <v>165</v>
      </c>
      <c r="AJ771" s="69">
        <v>0</v>
      </c>
      <c r="AK771" s="69">
        <v>0</v>
      </c>
      <c r="AL771" s="60">
        <v>16800</v>
      </c>
      <c r="AM771" s="60">
        <f t="shared" si="417"/>
        <v>16800</v>
      </c>
      <c r="AN771" s="59">
        <v>10835</v>
      </c>
      <c r="AO771" s="148">
        <f t="shared" si="418"/>
        <v>-10835</v>
      </c>
      <c r="AP771" s="58">
        <v>832.94520547945285</v>
      </c>
      <c r="AQ771" s="143">
        <f t="shared" si="419"/>
        <v>-832.95</v>
      </c>
    </row>
    <row r="772" spans="1:43" x14ac:dyDescent="0.35">
      <c r="A772" s="69" t="s">
        <v>43</v>
      </c>
      <c r="B772" s="15" t="s">
        <v>2424</v>
      </c>
      <c r="C772" s="15"/>
      <c r="D772" s="69"/>
      <c r="E772" s="76">
        <v>0</v>
      </c>
      <c r="F772" s="69" t="s">
        <v>1960</v>
      </c>
      <c r="G772" s="12" t="s">
        <v>1961</v>
      </c>
      <c r="H772" s="76">
        <v>9010000108</v>
      </c>
      <c r="I772" s="92" t="s">
        <v>47</v>
      </c>
      <c r="J772" s="92">
        <v>1202010202</v>
      </c>
      <c r="K772" s="15"/>
      <c r="L772" s="95" t="s">
        <v>2425</v>
      </c>
      <c r="M772" s="69" t="s">
        <v>49</v>
      </c>
      <c r="N772" s="69"/>
      <c r="O772" s="94">
        <v>200</v>
      </c>
      <c r="P772" s="69" t="s">
        <v>50</v>
      </c>
      <c r="Q772" s="69" t="s">
        <v>51</v>
      </c>
      <c r="R772" s="69"/>
      <c r="S772" s="46">
        <v>43303</v>
      </c>
      <c r="T772" s="48">
        <v>43303</v>
      </c>
      <c r="U772" s="69"/>
      <c r="V772" s="69"/>
      <c r="W772" s="69"/>
      <c r="X772" s="69"/>
      <c r="Y772" s="69" t="s">
        <v>4125</v>
      </c>
      <c r="Z772" s="43">
        <v>41384</v>
      </c>
      <c r="AA772" s="43" t="s">
        <v>52</v>
      </c>
      <c r="AB772" s="43" t="s">
        <v>53</v>
      </c>
      <c r="AC772" s="43">
        <v>3650</v>
      </c>
      <c r="AD772" s="141">
        <v>10</v>
      </c>
      <c r="AE772" s="142">
        <v>0</v>
      </c>
      <c r="AF772" s="142"/>
      <c r="AG772" s="69" t="str">
        <f t="shared" si="416"/>
        <v>6 years 165 days</v>
      </c>
      <c r="AH772" s="69">
        <v>6</v>
      </c>
      <c r="AI772" s="69">
        <v>165</v>
      </c>
      <c r="AJ772" s="69">
        <v>0</v>
      </c>
      <c r="AK772" s="69">
        <v>0</v>
      </c>
      <c r="AL772" s="60">
        <v>41384</v>
      </c>
      <c r="AM772" s="60">
        <f t="shared" si="417"/>
        <v>41384</v>
      </c>
      <c r="AN772" s="59">
        <v>26690</v>
      </c>
      <c r="AO772" s="148">
        <f t="shared" si="418"/>
        <v>-26690</v>
      </c>
      <c r="AP772" s="58">
        <v>2052.0383561643794</v>
      </c>
      <c r="AQ772" s="143">
        <f t="shared" si="419"/>
        <v>-2052.04</v>
      </c>
    </row>
    <row r="773" spans="1:43" x14ac:dyDescent="0.35">
      <c r="A773" s="69" t="s">
        <v>43</v>
      </c>
      <c r="B773" s="15" t="s">
        <v>2426</v>
      </c>
      <c r="C773" s="15"/>
      <c r="D773" s="69"/>
      <c r="E773" s="76">
        <v>0</v>
      </c>
      <c r="F773" s="69" t="s">
        <v>1960</v>
      </c>
      <c r="G773" s="10" t="s">
        <v>1961</v>
      </c>
      <c r="H773" s="15">
        <v>9010000109</v>
      </c>
      <c r="I773" s="92" t="s">
        <v>47</v>
      </c>
      <c r="J773" s="92">
        <v>1202010202</v>
      </c>
      <c r="K773" s="14"/>
      <c r="L773" s="95" t="s">
        <v>2427</v>
      </c>
      <c r="M773" s="69" t="s">
        <v>2428</v>
      </c>
      <c r="N773" s="69"/>
      <c r="O773" s="94">
        <v>1</v>
      </c>
      <c r="P773" s="69" t="s">
        <v>50</v>
      </c>
      <c r="Q773" s="69" t="s">
        <v>51</v>
      </c>
      <c r="R773" s="69"/>
      <c r="S773" s="46">
        <v>44214</v>
      </c>
      <c r="T773" s="48">
        <v>44214</v>
      </c>
      <c r="U773" s="69"/>
      <c r="V773" s="69"/>
      <c r="W773" s="69"/>
      <c r="X773" s="69"/>
      <c r="Y773" s="69" t="s">
        <v>4128</v>
      </c>
      <c r="Z773" s="43">
        <v>159030</v>
      </c>
      <c r="AA773" s="43" t="s">
        <v>52</v>
      </c>
      <c r="AB773" s="43" t="s">
        <v>53</v>
      </c>
      <c r="AC773" s="43">
        <v>3650</v>
      </c>
      <c r="AD773" s="141">
        <v>10</v>
      </c>
      <c r="AE773" s="142">
        <v>0</v>
      </c>
      <c r="AF773" s="142"/>
      <c r="AG773" s="69" t="str">
        <f t="shared" si="416"/>
        <v>3 years 349 days</v>
      </c>
      <c r="AH773" s="69">
        <v>3</v>
      </c>
      <c r="AI773" s="69">
        <v>349</v>
      </c>
      <c r="AJ773" s="69">
        <v>0</v>
      </c>
      <c r="AK773" s="69">
        <v>0</v>
      </c>
      <c r="AL773" s="60">
        <v>159030</v>
      </c>
      <c r="AM773" s="60">
        <f t="shared" si="417"/>
        <v>159030</v>
      </c>
      <c r="AN773" s="59">
        <v>62915</v>
      </c>
      <c r="AO773" s="148">
        <f t="shared" si="418"/>
        <v>-62915</v>
      </c>
      <c r="AP773" s="58">
        <v>7886.0273972602736</v>
      </c>
      <c r="AQ773" s="143">
        <f t="shared" si="419"/>
        <v>-7886.03</v>
      </c>
    </row>
    <row r="774" spans="1:43" x14ac:dyDescent="0.35">
      <c r="A774" s="69" t="s">
        <v>43</v>
      </c>
      <c r="B774" s="15" t="s">
        <v>2429</v>
      </c>
      <c r="C774" s="15"/>
      <c r="D774" s="69"/>
      <c r="E774" s="76">
        <v>0</v>
      </c>
      <c r="F774" s="69" t="s">
        <v>1960</v>
      </c>
      <c r="G774" s="12" t="s">
        <v>1961</v>
      </c>
      <c r="H774" s="93">
        <v>9010000109</v>
      </c>
      <c r="I774" s="92" t="s">
        <v>47</v>
      </c>
      <c r="J774" s="92">
        <v>1202010202</v>
      </c>
      <c r="K774" s="19"/>
      <c r="L774" s="95" t="s">
        <v>2430</v>
      </c>
      <c r="M774" s="69" t="s">
        <v>2431</v>
      </c>
      <c r="N774" s="69"/>
      <c r="O774" s="94">
        <v>1</v>
      </c>
      <c r="P774" s="69" t="s">
        <v>50</v>
      </c>
      <c r="Q774" s="69" t="s">
        <v>51</v>
      </c>
      <c r="R774" s="69"/>
      <c r="S774" s="46">
        <v>44903</v>
      </c>
      <c r="T774" s="48">
        <v>44903</v>
      </c>
      <c r="U774" s="69"/>
      <c r="V774" s="69"/>
      <c r="W774" s="69"/>
      <c r="X774" s="69"/>
      <c r="Y774" s="69" t="s">
        <v>4131</v>
      </c>
      <c r="Z774" s="43">
        <v>24484</v>
      </c>
      <c r="AA774" s="43" t="s">
        <v>52</v>
      </c>
      <c r="AB774" s="43" t="s">
        <v>53</v>
      </c>
      <c r="AC774" s="43">
        <v>1825</v>
      </c>
      <c r="AD774" s="141">
        <v>5</v>
      </c>
      <c r="AE774" s="142">
        <v>0</v>
      </c>
      <c r="AF774" s="142"/>
      <c r="AG774" s="69" t="str">
        <f t="shared" si="416"/>
        <v>2 years 25 days</v>
      </c>
      <c r="AH774" s="69">
        <v>2</v>
      </c>
      <c r="AI774" s="69">
        <v>25</v>
      </c>
      <c r="AJ774" s="69">
        <v>0</v>
      </c>
      <c r="AK774" s="69">
        <v>0</v>
      </c>
      <c r="AL774" s="60">
        <v>24484</v>
      </c>
      <c r="AM774" s="60">
        <f t="shared" si="417"/>
        <v>24484</v>
      </c>
      <c r="AN774" s="59">
        <v>18903</v>
      </c>
      <c r="AO774" s="148">
        <f t="shared" si="418"/>
        <v>-18903</v>
      </c>
      <c r="AP774" s="58">
        <v>2428.2657534246573</v>
      </c>
      <c r="AQ774" s="143">
        <f t="shared" si="419"/>
        <v>-2428.27</v>
      </c>
    </row>
    <row r="775" spans="1:43" x14ac:dyDescent="0.35">
      <c r="A775" s="69" t="s">
        <v>43</v>
      </c>
      <c r="B775" s="15" t="s">
        <v>2432</v>
      </c>
      <c r="C775" s="15"/>
      <c r="D775" s="69"/>
      <c r="E775" s="76">
        <v>0</v>
      </c>
      <c r="F775" s="69" t="s">
        <v>1960</v>
      </c>
      <c r="G775" s="12" t="s">
        <v>1961</v>
      </c>
      <c r="H775" s="93">
        <v>9010000109</v>
      </c>
      <c r="I775" s="92" t="s">
        <v>47</v>
      </c>
      <c r="J775" s="92">
        <v>1202010202</v>
      </c>
      <c r="K775" s="19"/>
      <c r="L775" s="95" t="s">
        <v>2433</v>
      </c>
      <c r="M775" s="69" t="s">
        <v>2434</v>
      </c>
      <c r="N775" s="69"/>
      <c r="O775" s="94">
        <v>1</v>
      </c>
      <c r="P775" s="69" t="s">
        <v>50</v>
      </c>
      <c r="Q775" s="69" t="s">
        <v>51</v>
      </c>
      <c r="R775" s="69"/>
      <c r="S775" s="46">
        <v>44903</v>
      </c>
      <c r="T775" s="48">
        <v>44903</v>
      </c>
      <c r="U775" s="69"/>
      <c r="V775" s="69"/>
      <c r="W775" s="69"/>
      <c r="X775" s="69"/>
      <c r="Y775" s="69" t="s">
        <v>4131</v>
      </c>
      <c r="Z775" s="43">
        <v>20703</v>
      </c>
      <c r="AA775" s="43" t="s">
        <v>52</v>
      </c>
      <c r="AB775" s="43" t="s">
        <v>53</v>
      </c>
      <c r="AC775" s="43">
        <v>1825</v>
      </c>
      <c r="AD775" s="141">
        <v>5</v>
      </c>
      <c r="AE775" s="142">
        <v>0</v>
      </c>
      <c r="AF775" s="142"/>
      <c r="AG775" s="69" t="str">
        <f t="shared" si="416"/>
        <v>2 years 25 days</v>
      </c>
      <c r="AH775" s="69">
        <v>2</v>
      </c>
      <c r="AI775" s="69">
        <v>25</v>
      </c>
      <c r="AJ775" s="69">
        <v>0</v>
      </c>
      <c r="AK775" s="69">
        <v>0</v>
      </c>
      <c r="AL775" s="60">
        <v>20703</v>
      </c>
      <c r="AM775" s="60">
        <f t="shared" si="417"/>
        <v>20703</v>
      </c>
      <c r="AN775" s="59">
        <v>18570</v>
      </c>
      <c r="AO775" s="148">
        <f t="shared" si="418"/>
        <v>-18570</v>
      </c>
      <c r="AP775" s="58">
        <v>2053.5912328767117</v>
      </c>
      <c r="AQ775" s="143">
        <f t="shared" si="419"/>
        <v>-2053.59</v>
      </c>
    </row>
    <row r="776" spans="1:43" x14ac:dyDescent="0.35">
      <c r="A776" s="69" t="s">
        <v>43</v>
      </c>
      <c r="B776" s="15" t="s">
        <v>2435</v>
      </c>
      <c r="C776" s="15"/>
      <c r="D776" s="69"/>
      <c r="E776" s="76">
        <v>0</v>
      </c>
      <c r="F776" s="69" t="s">
        <v>1960</v>
      </c>
      <c r="G776" s="12" t="s">
        <v>1961</v>
      </c>
      <c r="H776" s="93">
        <v>9010000109</v>
      </c>
      <c r="I776" s="92" t="s">
        <v>47</v>
      </c>
      <c r="J776" s="92">
        <v>1202010202</v>
      </c>
      <c r="K776" s="19"/>
      <c r="L776" s="95" t="s">
        <v>2436</v>
      </c>
      <c r="M776" s="69" t="s">
        <v>2437</v>
      </c>
      <c r="N776" s="69"/>
      <c r="O776" s="94">
        <v>1</v>
      </c>
      <c r="P776" s="69" t="s">
        <v>50</v>
      </c>
      <c r="Q776" s="69" t="s">
        <v>51</v>
      </c>
      <c r="R776" s="69"/>
      <c r="S776" s="46">
        <v>44923</v>
      </c>
      <c r="T776" s="48">
        <v>44923</v>
      </c>
      <c r="U776" s="69"/>
      <c r="V776" s="69"/>
      <c r="W776" s="69"/>
      <c r="X776" s="69"/>
      <c r="Y776" s="69" t="s">
        <v>4131</v>
      </c>
      <c r="Z776" s="43">
        <v>48313</v>
      </c>
      <c r="AA776" s="43" t="s">
        <v>52</v>
      </c>
      <c r="AB776" s="43" t="s">
        <v>53</v>
      </c>
      <c r="AC776" s="43">
        <v>3650</v>
      </c>
      <c r="AD776" s="141">
        <v>10</v>
      </c>
      <c r="AE776" s="142">
        <v>0</v>
      </c>
      <c r="AF776" s="142"/>
      <c r="AG776" s="69" t="str">
        <f t="shared" si="416"/>
        <v>2 years 5 days</v>
      </c>
      <c r="AH776" s="69">
        <v>2</v>
      </c>
      <c r="AI776" s="69">
        <v>5</v>
      </c>
      <c r="AJ776" s="69">
        <v>0</v>
      </c>
      <c r="AK776" s="69">
        <v>0</v>
      </c>
      <c r="AL776" s="60">
        <v>48313</v>
      </c>
      <c r="AM776" s="60">
        <f t="shared" si="417"/>
        <v>48313</v>
      </c>
      <c r="AN776" s="59">
        <v>23773</v>
      </c>
      <c r="AO776" s="148">
        <f t="shared" si="418"/>
        <v>-23773</v>
      </c>
      <c r="AP776" s="58">
        <v>2395.438630136985</v>
      </c>
      <c r="AQ776" s="143">
        <f t="shared" si="419"/>
        <v>-2395.44</v>
      </c>
    </row>
    <row r="777" spans="1:43" x14ac:dyDescent="0.35">
      <c r="A777" s="69" t="s">
        <v>43</v>
      </c>
      <c r="B777" s="15" t="s">
        <v>2438</v>
      </c>
      <c r="C777" s="15"/>
      <c r="D777" s="69"/>
      <c r="E777" s="76">
        <v>0</v>
      </c>
      <c r="F777" s="69" t="s">
        <v>1960</v>
      </c>
      <c r="G777" s="10" t="s">
        <v>1961</v>
      </c>
      <c r="H777" s="76">
        <v>9010000109</v>
      </c>
      <c r="I777" s="92" t="s">
        <v>47</v>
      </c>
      <c r="J777" s="92">
        <v>1202010202</v>
      </c>
      <c r="K777" s="19"/>
      <c r="L777" s="95" t="s">
        <v>2439</v>
      </c>
      <c r="M777" s="69" t="s">
        <v>49</v>
      </c>
      <c r="N777" s="69"/>
      <c r="O777" s="94">
        <v>1</v>
      </c>
      <c r="P777" s="69" t="s">
        <v>50</v>
      </c>
      <c r="Q777" s="69" t="s">
        <v>51</v>
      </c>
      <c r="R777" s="69"/>
      <c r="S777" s="46">
        <v>44917</v>
      </c>
      <c r="T777" s="48">
        <v>43191</v>
      </c>
      <c r="U777" s="69"/>
      <c r="V777" s="69"/>
      <c r="W777" s="69"/>
      <c r="X777" s="69"/>
      <c r="Y777" s="69" t="s">
        <v>4125</v>
      </c>
      <c r="Z777" s="43">
        <v>170000</v>
      </c>
      <c r="AA777" s="43" t="s">
        <v>52</v>
      </c>
      <c r="AB777" s="43" t="s">
        <v>53</v>
      </c>
      <c r="AC777" s="43">
        <v>4307</v>
      </c>
      <c r="AD777" s="141">
        <v>11</v>
      </c>
      <c r="AE777" s="142">
        <v>10</v>
      </c>
      <c r="AF777" s="142"/>
      <c r="AG777" s="69" t="str">
        <f t="shared" si="416"/>
        <v>6 years 277 days</v>
      </c>
      <c r="AH777" s="69">
        <v>6</v>
      </c>
      <c r="AI777" s="69">
        <v>277</v>
      </c>
      <c r="AJ777" s="69">
        <v>0</v>
      </c>
      <c r="AK777" s="69">
        <v>0</v>
      </c>
      <c r="AL777" s="60">
        <v>170000</v>
      </c>
      <c r="AM777" s="60">
        <f t="shared" si="417"/>
        <v>170000</v>
      </c>
      <c r="AN777" s="59">
        <v>68521</v>
      </c>
      <c r="AO777" s="148">
        <f t="shared" si="418"/>
        <v>-68521</v>
      </c>
      <c r="AP777" s="58">
        <v>1.230554909852799E-2</v>
      </c>
      <c r="AQ777" s="143">
        <f t="shared" si="419"/>
        <v>-0.01</v>
      </c>
    </row>
    <row r="778" spans="1:43" x14ac:dyDescent="0.35">
      <c r="A778" s="69" t="s">
        <v>43</v>
      </c>
      <c r="B778" s="15" t="s">
        <v>2440</v>
      </c>
      <c r="C778" s="15"/>
      <c r="D778" s="69"/>
      <c r="E778" s="76">
        <v>0</v>
      </c>
      <c r="F778" s="69" t="s">
        <v>1960</v>
      </c>
      <c r="G778" s="10" t="s">
        <v>1961</v>
      </c>
      <c r="H778" s="15">
        <v>9010000110</v>
      </c>
      <c r="I778" s="92" t="s">
        <v>261</v>
      </c>
      <c r="J778" s="92">
        <v>1202010217</v>
      </c>
      <c r="K778" s="14"/>
      <c r="L778" s="95" t="s">
        <v>2441</v>
      </c>
      <c r="M778" s="69" t="s">
        <v>2442</v>
      </c>
      <c r="N778" s="69"/>
      <c r="O778" s="94">
        <v>14</v>
      </c>
      <c r="P778" s="69" t="s">
        <v>50</v>
      </c>
      <c r="Q778" s="69" t="s">
        <v>51</v>
      </c>
      <c r="R778" s="69"/>
      <c r="S778" s="46">
        <v>45231</v>
      </c>
      <c r="T778" s="48">
        <v>45231</v>
      </c>
      <c r="U778" s="69"/>
      <c r="V778" s="69"/>
      <c r="W778" s="69"/>
      <c r="X778" s="69"/>
      <c r="Y778" s="69" t="s">
        <v>4129</v>
      </c>
      <c r="Z778" s="43">
        <v>39368</v>
      </c>
      <c r="AA778" s="43" t="s">
        <v>52</v>
      </c>
      <c r="AB778" s="43" t="s">
        <v>53</v>
      </c>
      <c r="AC778" s="43">
        <v>3650</v>
      </c>
      <c r="AD778" s="141">
        <v>10</v>
      </c>
      <c r="AE778" s="142">
        <v>0</v>
      </c>
      <c r="AF778" s="142"/>
      <c r="AG778" s="69" t="str">
        <f t="shared" si="416"/>
        <v>1 years 62 days</v>
      </c>
      <c r="AH778" s="69">
        <v>1</v>
      </c>
      <c r="AI778" s="69">
        <v>62</v>
      </c>
      <c r="AJ778" s="69">
        <v>0</v>
      </c>
      <c r="AK778" s="69">
        <v>0</v>
      </c>
      <c r="AL778" s="60">
        <v>39368</v>
      </c>
      <c r="AM778" s="60">
        <f t="shared" si="417"/>
        <v>39368</v>
      </c>
      <c r="AN778" s="59">
        <v>4606</v>
      </c>
      <c r="AO778" s="148">
        <f t="shared" si="418"/>
        <v>-4606</v>
      </c>
      <c r="AP778" s="58">
        <v>1951.7380821917804</v>
      </c>
      <c r="AQ778" s="143">
        <f t="shared" si="419"/>
        <v>-1951.74</v>
      </c>
    </row>
    <row r="779" spans="1:43" x14ac:dyDescent="0.35">
      <c r="A779" s="69" t="s">
        <v>43</v>
      </c>
      <c r="B779" s="15" t="s">
        <v>2443</v>
      </c>
      <c r="C779" s="15"/>
      <c r="D779" s="69"/>
      <c r="E779" s="76">
        <v>0</v>
      </c>
      <c r="F779" s="69" t="s">
        <v>1960</v>
      </c>
      <c r="G779" s="10" t="s">
        <v>1961</v>
      </c>
      <c r="H779" s="15">
        <v>9010000110</v>
      </c>
      <c r="I779" s="92" t="s">
        <v>261</v>
      </c>
      <c r="J779" s="92">
        <v>1202010217</v>
      </c>
      <c r="K779" s="19"/>
      <c r="L779" s="95" t="s">
        <v>2444</v>
      </c>
      <c r="M779" s="69" t="s">
        <v>2445</v>
      </c>
      <c r="N779" s="69"/>
      <c r="O779" s="94">
        <v>1</v>
      </c>
      <c r="P779" s="69" t="s">
        <v>50</v>
      </c>
      <c r="Q779" s="69" t="s">
        <v>51</v>
      </c>
      <c r="R779" s="69"/>
      <c r="S779" s="46">
        <v>43279</v>
      </c>
      <c r="T779" s="48">
        <v>43279</v>
      </c>
      <c r="U779" s="69"/>
      <c r="V779" s="69"/>
      <c r="W779" s="69"/>
      <c r="X779" s="69"/>
      <c r="Y779" s="69" t="s">
        <v>4125</v>
      </c>
      <c r="Z779" s="43">
        <v>154780</v>
      </c>
      <c r="AA779" s="43" t="s">
        <v>52</v>
      </c>
      <c r="AB779" s="43" t="s">
        <v>53</v>
      </c>
      <c r="AC779" s="43">
        <v>3650</v>
      </c>
      <c r="AD779" s="141">
        <v>10</v>
      </c>
      <c r="AE779" s="142">
        <v>0</v>
      </c>
      <c r="AF779" s="142"/>
      <c r="AG779" s="69" t="str">
        <f t="shared" si="416"/>
        <v>6 years 189 days</v>
      </c>
      <c r="AH779" s="69">
        <v>6</v>
      </c>
      <c r="AI779" s="69">
        <v>189</v>
      </c>
      <c r="AJ779" s="69">
        <v>0</v>
      </c>
      <c r="AK779" s="69">
        <v>0</v>
      </c>
      <c r="AL779" s="60">
        <v>154780</v>
      </c>
      <c r="AM779" s="60">
        <f t="shared" si="417"/>
        <v>154780</v>
      </c>
      <c r="AN779" s="59">
        <v>100840</v>
      </c>
      <c r="AO779" s="148">
        <f t="shared" si="418"/>
        <v>-100840</v>
      </c>
      <c r="AP779" s="58">
        <v>7675.6219178082101</v>
      </c>
      <c r="AQ779" s="143">
        <f t="shared" si="419"/>
        <v>-7675.62</v>
      </c>
    </row>
    <row r="780" spans="1:43" x14ac:dyDescent="0.35">
      <c r="A780" s="69" t="s">
        <v>43</v>
      </c>
      <c r="B780" s="15" t="s">
        <v>2446</v>
      </c>
      <c r="C780" s="15"/>
      <c r="D780" s="69"/>
      <c r="E780" s="76">
        <v>0</v>
      </c>
      <c r="F780" s="69" t="s">
        <v>1960</v>
      </c>
      <c r="G780" s="10" t="s">
        <v>1961</v>
      </c>
      <c r="H780" s="15">
        <v>9010000111</v>
      </c>
      <c r="I780" s="92" t="s">
        <v>47</v>
      </c>
      <c r="J780" s="92">
        <v>1202010202</v>
      </c>
      <c r="K780" s="14"/>
      <c r="L780" s="95" t="s">
        <v>2447</v>
      </c>
      <c r="M780" s="69" t="s">
        <v>2448</v>
      </c>
      <c r="N780" s="69"/>
      <c r="O780" s="94">
        <v>2</v>
      </c>
      <c r="P780" s="69" t="s">
        <v>50</v>
      </c>
      <c r="Q780" s="69" t="s">
        <v>51</v>
      </c>
      <c r="R780" s="69"/>
      <c r="S780" s="46">
        <v>45231</v>
      </c>
      <c r="T780" s="48">
        <v>45231</v>
      </c>
      <c r="U780" s="69"/>
      <c r="V780" s="69"/>
      <c r="W780" s="69"/>
      <c r="X780" s="69"/>
      <c r="Y780" s="69" t="s">
        <v>4129</v>
      </c>
      <c r="Z780" s="43">
        <v>28000</v>
      </c>
      <c r="AA780" s="43" t="s">
        <v>52</v>
      </c>
      <c r="AB780" s="43" t="s">
        <v>53</v>
      </c>
      <c r="AC780" s="43">
        <v>3650</v>
      </c>
      <c r="AD780" s="141">
        <v>10</v>
      </c>
      <c r="AE780" s="142">
        <v>0</v>
      </c>
      <c r="AF780" s="142"/>
      <c r="AG780" s="69" t="str">
        <f t="shared" si="416"/>
        <v>1 years 62 days</v>
      </c>
      <c r="AH780" s="69">
        <v>1</v>
      </c>
      <c r="AI780" s="69">
        <v>62</v>
      </c>
      <c r="AJ780" s="69">
        <v>0</v>
      </c>
      <c r="AK780" s="69">
        <v>0</v>
      </c>
      <c r="AL780" s="60">
        <v>28000</v>
      </c>
      <c r="AM780" s="60">
        <f t="shared" si="417"/>
        <v>28000</v>
      </c>
      <c r="AN780" s="59">
        <v>3276</v>
      </c>
      <c r="AO780" s="148">
        <f t="shared" si="418"/>
        <v>-3276</v>
      </c>
      <c r="AP780" s="58">
        <v>1388.1095890410961</v>
      </c>
      <c r="AQ780" s="143">
        <f t="shared" si="419"/>
        <v>-1388.11</v>
      </c>
    </row>
    <row r="781" spans="1:43" x14ac:dyDescent="0.35">
      <c r="A781" s="69" t="s">
        <v>43</v>
      </c>
      <c r="B781" s="15" t="s">
        <v>2449</v>
      </c>
      <c r="C781" s="15"/>
      <c r="D781" s="69"/>
      <c r="E781" s="76">
        <v>0</v>
      </c>
      <c r="F781" s="69" t="s">
        <v>1960</v>
      </c>
      <c r="G781" s="10" t="s">
        <v>1961</v>
      </c>
      <c r="H781" s="15">
        <v>9010000112</v>
      </c>
      <c r="I781" s="92" t="s">
        <v>47</v>
      </c>
      <c r="J781" s="92">
        <v>1202010202</v>
      </c>
      <c r="K781" s="14"/>
      <c r="L781" s="95" t="s">
        <v>2450</v>
      </c>
      <c r="M781" s="69" t="s">
        <v>2451</v>
      </c>
      <c r="N781" s="69"/>
      <c r="O781" s="94">
        <v>1</v>
      </c>
      <c r="P781" s="69" t="s">
        <v>50</v>
      </c>
      <c r="Q781" s="69" t="s">
        <v>51</v>
      </c>
      <c r="R781" s="69"/>
      <c r="S781" s="46">
        <v>45423</v>
      </c>
      <c r="T781" s="48">
        <v>45423</v>
      </c>
      <c r="U781" s="69"/>
      <c r="V781" s="69"/>
      <c r="W781" s="69"/>
      <c r="X781" s="69"/>
      <c r="Y781" s="69" t="s">
        <v>4130</v>
      </c>
      <c r="Z781" s="43">
        <v>43393.5</v>
      </c>
      <c r="AA781" s="43" t="s">
        <v>52</v>
      </c>
      <c r="AB781" s="43" t="s">
        <v>53</v>
      </c>
      <c r="AC781" s="43">
        <v>3650</v>
      </c>
      <c r="AD781" s="141">
        <v>10</v>
      </c>
      <c r="AE781" s="142">
        <v>0</v>
      </c>
      <c r="AF781" s="142"/>
      <c r="AG781" s="69" t="str">
        <f t="shared" si="416"/>
        <v>0 years 235 days</v>
      </c>
      <c r="AH781" s="69">
        <v>0</v>
      </c>
      <c r="AI781" s="69">
        <v>235</v>
      </c>
      <c r="AJ781" s="69">
        <v>0</v>
      </c>
      <c r="AK781" s="69">
        <v>0</v>
      </c>
      <c r="AL781" s="60">
        <v>43393.5</v>
      </c>
      <c r="AM781" s="60">
        <f t="shared" si="417"/>
        <v>43393.5</v>
      </c>
      <c r="AN781" s="59">
        <v>2794</v>
      </c>
      <c r="AO781" s="148">
        <f t="shared" si="418"/>
        <v>-2794</v>
      </c>
      <c r="AP781" s="58">
        <v>2151.6701369863013</v>
      </c>
      <c r="AQ781" s="143">
        <f t="shared" si="419"/>
        <v>-2151.67</v>
      </c>
    </row>
    <row r="782" spans="1:43" x14ac:dyDescent="0.35">
      <c r="A782" s="69" t="s">
        <v>43</v>
      </c>
      <c r="B782" s="15" t="s">
        <v>2452</v>
      </c>
      <c r="C782" s="15"/>
      <c r="D782" s="69"/>
      <c r="E782" s="76">
        <v>0</v>
      </c>
      <c r="F782" s="69" t="s">
        <v>2453</v>
      </c>
      <c r="G782" s="137" t="s">
        <v>2454</v>
      </c>
      <c r="H782" s="76">
        <v>9011000001</v>
      </c>
      <c r="I782" s="92" t="s">
        <v>47</v>
      </c>
      <c r="J782" s="92">
        <v>1202010202</v>
      </c>
      <c r="K782" s="15"/>
      <c r="L782" s="95" t="s">
        <v>2455</v>
      </c>
      <c r="M782" s="69" t="s">
        <v>49</v>
      </c>
      <c r="N782" s="69"/>
      <c r="O782" s="94">
        <v>1</v>
      </c>
      <c r="P782" s="69" t="s">
        <v>50</v>
      </c>
      <c r="Q782" s="69" t="s">
        <v>51</v>
      </c>
      <c r="R782" s="69"/>
      <c r="S782" s="46">
        <v>41170</v>
      </c>
      <c r="T782" s="48">
        <v>43191</v>
      </c>
      <c r="U782" s="69"/>
      <c r="V782" s="69"/>
      <c r="W782" s="69"/>
      <c r="X782" s="69"/>
      <c r="Y782" s="69" t="s">
        <v>4125</v>
      </c>
      <c r="Z782" s="43">
        <v>5500</v>
      </c>
      <c r="AA782" s="43" t="s">
        <v>52</v>
      </c>
      <c r="AB782" s="43" t="s">
        <v>53</v>
      </c>
      <c r="AC782" s="43">
        <v>913</v>
      </c>
      <c r="AD782" s="141">
        <v>2</v>
      </c>
      <c r="AE782" s="142">
        <v>6</v>
      </c>
      <c r="AF782" s="142"/>
      <c r="AG782" s="69" t="str">
        <f t="shared" si="416"/>
        <v>2 years 183 days</v>
      </c>
      <c r="AH782" s="69">
        <v>2</v>
      </c>
      <c r="AI782" s="69">
        <v>183</v>
      </c>
      <c r="AJ782" s="69">
        <v>0</v>
      </c>
      <c r="AK782" s="69">
        <v>0</v>
      </c>
      <c r="AL782" s="60">
        <v>5500</v>
      </c>
      <c r="AM782" s="60">
        <f t="shared" si="417"/>
        <v>5500</v>
      </c>
      <c r="AN782" s="59">
        <v>5500</v>
      </c>
      <c r="AO782" s="148">
        <f t="shared" si="418"/>
        <v>-5500</v>
      </c>
      <c r="AP782" s="58">
        <v>0</v>
      </c>
      <c r="AQ782" s="143">
        <f t="shared" si="419"/>
        <v>0</v>
      </c>
    </row>
    <row r="783" spans="1:43" x14ac:dyDescent="0.35">
      <c r="A783" s="69" t="s">
        <v>43</v>
      </c>
      <c r="B783" s="15" t="s">
        <v>2456</v>
      </c>
      <c r="C783" s="15"/>
      <c r="D783" s="69"/>
      <c r="E783" s="76">
        <v>0</v>
      </c>
      <c r="F783" s="69" t="s">
        <v>2453</v>
      </c>
      <c r="G783" s="137" t="s">
        <v>2454</v>
      </c>
      <c r="H783" s="76">
        <v>9011000001</v>
      </c>
      <c r="I783" s="92" t="s">
        <v>47</v>
      </c>
      <c r="J783" s="92">
        <v>1202010202</v>
      </c>
      <c r="K783" s="15"/>
      <c r="L783" s="95" t="s">
        <v>2457</v>
      </c>
      <c r="M783" s="69" t="s">
        <v>49</v>
      </c>
      <c r="N783" s="69"/>
      <c r="O783" s="94">
        <v>1</v>
      </c>
      <c r="P783" s="69" t="s">
        <v>50</v>
      </c>
      <c r="Q783" s="69" t="s">
        <v>51</v>
      </c>
      <c r="R783" s="69"/>
      <c r="S783" s="46">
        <v>43386</v>
      </c>
      <c r="T783" s="48">
        <v>43386</v>
      </c>
      <c r="U783" s="69"/>
      <c r="V783" s="69"/>
      <c r="W783" s="69"/>
      <c r="X783" s="69"/>
      <c r="Y783" s="69" t="s">
        <v>4125</v>
      </c>
      <c r="Z783" s="43">
        <v>4200</v>
      </c>
      <c r="AA783" s="43" t="s">
        <v>52</v>
      </c>
      <c r="AB783" s="43" t="s">
        <v>53</v>
      </c>
      <c r="AC783" s="43">
        <v>1825</v>
      </c>
      <c r="AD783" s="141">
        <v>5</v>
      </c>
      <c r="AE783" s="142">
        <v>0</v>
      </c>
      <c r="AF783" s="142"/>
      <c r="AG783" s="69" t="str">
        <f t="shared" si="416"/>
        <v>5 years 0 days</v>
      </c>
      <c r="AH783" s="69">
        <v>5</v>
      </c>
      <c r="AI783" s="69">
        <v>0</v>
      </c>
      <c r="AJ783" s="69">
        <v>0</v>
      </c>
      <c r="AK783" s="69">
        <v>0</v>
      </c>
      <c r="AL783" s="60">
        <v>4200</v>
      </c>
      <c r="AM783" s="60">
        <f t="shared" si="417"/>
        <v>4200</v>
      </c>
      <c r="AN783" s="59">
        <v>4200</v>
      </c>
      <c r="AO783" s="148">
        <f t="shared" si="418"/>
        <v>-4200</v>
      </c>
      <c r="AP783" s="58">
        <v>0</v>
      </c>
      <c r="AQ783" s="143">
        <f t="shared" si="419"/>
        <v>0</v>
      </c>
    </row>
    <row r="784" spans="1:43" x14ac:dyDescent="0.35">
      <c r="A784" s="69" t="s">
        <v>43</v>
      </c>
      <c r="B784" s="15" t="s">
        <v>2458</v>
      </c>
      <c r="C784" s="15"/>
      <c r="D784" s="69"/>
      <c r="E784" s="76">
        <v>0</v>
      </c>
      <c r="F784" s="69" t="s">
        <v>2453</v>
      </c>
      <c r="G784" s="137" t="s">
        <v>2454</v>
      </c>
      <c r="H784" s="76">
        <v>9011000001</v>
      </c>
      <c r="I784" s="92" t="s">
        <v>47</v>
      </c>
      <c r="J784" s="92">
        <v>1202010202</v>
      </c>
      <c r="K784" s="15"/>
      <c r="L784" s="95" t="s">
        <v>2459</v>
      </c>
      <c r="M784" s="69" t="s">
        <v>2460</v>
      </c>
      <c r="N784" s="69"/>
      <c r="O784" s="94">
        <v>6</v>
      </c>
      <c r="P784" s="69" t="s">
        <v>50</v>
      </c>
      <c r="Q784" s="69" t="s">
        <v>51</v>
      </c>
      <c r="R784" s="69"/>
      <c r="S784" s="46">
        <v>43722</v>
      </c>
      <c r="T784" s="48">
        <v>43722</v>
      </c>
      <c r="U784" s="69"/>
      <c r="V784" s="69"/>
      <c r="W784" s="69"/>
      <c r="X784" s="69"/>
      <c r="Y784" s="69" t="s">
        <v>4126</v>
      </c>
      <c r="Z784" s="43">
        <v>39420</v>
      </c>
      <c r="AA784" s="43" t="s">
        <v>52</v>
      </c>
      <c r="AB784" s="43" t="s">
        <v>53</v>
      </c>
      <c r="AC784" s="43">
        <v>1825</v>
      </c>
      <c r="AD784" s="141">
        <v>5</v>
      </c>
      <c r="AE784" s="142">
        <v>0</v>
      </c>
      <c r="AF784" s="142"/>
      <c r="AG784" s="69" t="str">
        <f t="shared" si="416"/>
        <v>5 years 0 days</v>
      </c>
      <c r="AH784" s="69">
        <v>5</v>
      </c>
      <c r="AI784" s="69">
        <v>0</v>
      </c>
      <c r="AJ784" s="69">
        <v>0</v>
      </c>
      <c r="AK784" s="69">
        <v>0</v>
      </c>
      <c r="AL784" s="60">
        <v>39420</v>
      </c>
      <c r="AM784" s="60">
        <f t="shared" si="417"/>
        <v>39420</v>
      </c>
      <c r="AN784" s="59">
        <v>39420</v>
      </c>
      <c r="AO784" s="148">
        <f t="shared" si="418"/>
        <v>-39420</v>
      </c>
      <c r="AP784" s="58">
        <v>0</v>
      </c>
      <c r="AQ784" s="143">
        <f t="shared" si="419"/>
        <v>0</v>
      </c>
    </row>
    <row r="785" spans="1:43" x14ac:dyDescent="0.35">
      <c r="A785" s="69" t="s">
        <v>43</v>
      </c>
      <c r="B785" s="15" t="s">
        <v>2461</v>
      </c>
      <c r="C785" s="15"/>
      <c r="D785" s="69"/>
      <c r="E785" s="76">
        <v>0</v>
      </c>
      <c r="F785" s="69" t="s">
        <v>2453</v>
      </c>
      <c r="G785" s="137" t="s">
        <v>2454</v>
      </c>
      <c r="H785" s="76">
        <v>9011000001</v>
      </c>
      <c r="I785" s="92" t="s">
        <v>47</v>
      </c>
      <c r="J785" s="92">
        <v>1202010202</v>
      </c>
      <c r="K785" s="15"/>
      <c r="L785" s="95" t="s">
        <v>2462</v>
      </c>
      <c r="M785" s="69" t="s">
        <v>2463</v>
      </c>
      <c r="N785" s="69"/>
      <c r="O785" s="94">
        <v>1</v>
      </c>
      <c r="P785" s="69" t="s">
        <v>50</v>
      </c>
      <c r="Q785" s="69" t="s">
        <v>51</v>
      </c>
      <c r="R785" s="69"/>
      <c r="S785" s="46">
        <v>44226</v>
      </c>
      <c r="T785" s="48">
        <v>44226</v>
      </c>
      <c r="U785" s="69"/>
      <c r="V785" s="69"/>
      <c r="W785" s="69"/>
      <c r="X785" s="69"/>
      <c r="Y785" s="69" t="s">
        <v>4128</v>
      </c>
      <c r="Z785" s="43">
        <v>7070</v>
      </c>
      <c r="AA785" s="43" t="s">
        <v>52</v>
      </c>
      <c r="AB785" s="43" t="s">
        <v>53</v>
      </c>
      <c r="AC785" s="43">
        <v>1825</v>
      </c>
      <c r="AD785" s="141">
        <v>5</v>
      </c>
      <c r="AE785" s="142">
        <v>0</v>
      </c>
      <c r="AF785" s="142"/>
      <c r="AG785" s="69" t="str">
        <f t="shared" si="416"/>
        <v>3 years 337 days</v>
      </c>
      <c r="AH785" s="69">
        <v>3</v>
      </c>
      <c r="AI785" s="69">
        <v>337</v>
      </c>
      <c r="AJ785" s="69">
        <v>0</v>
      </c>
      <c r="AK785" s="69">
        <v>0</v>
      </c>
      <c r="AL785" s="60">
        <v>7070</v>
      </c>
      <c r="AM785" s="60">
        <f t="shared" si="417"/>
        <v>7070</v>
      </c>
      <c r="AN785" s="59">
        <v>5548</v>
      </c>
      <c r="AO785" s="148">
        <f t="shared" si="418"/>
        <v>-5548</v>
      </c>
      <c r="AP785" s="58">
        <v>700.71780821917855</v>
      </c>
      <c r="AQ785" s="143">
        <f t="shared" si="419"/>
        <v>-700.72</v>
      </c>
    </row>
    <row r="786" spans="1:43" x14ac:dyDescent="0.35">
      <c r="A786" s="69" t="s">
        <v>43</v>
      </c>
      <c r="B786" s="15" t="s">
        <v>2464</v>
      </c>
      <c r="C786" s="15"/>
      <c r="D786" s="69"/>
      <c r="E786" s="76">
        <v>0</v>
      </c>
      <c r="F786" s="69" t="s">
        <v>2453</v>
      </c>
      <c r="G786" s="137" t="s">
        <v>2454</v>
      </c>
      <c r="H786" s="76">
        <v>9011000001</v>
      </c>
      <c r="I786" s="92" t="s">
        <v>47</v>
      </c>
      <c r="J786" s="92">
        <v>1202010202</v>
      </c>
      <c r="K786" s="15"/>
      <c r="L786" s="95" t="s">
        <v>2465</v>
      </c>
      <c r="M786" s="69" t="s">
        <v>2466</v>
      </c>
      <c r="N786" s="69"/>
      <c r="O786" s="94">
        <v>1</v>
      </c>
      <c r="P786" s="69" t="s">
        <v>50</v>
      </c>
      <c r="Q786" s="69" t="s">
        <v>51</v>
      </c>
      <c r="R786" s="69"/>
      <c r="S786" s="46">
        <v>44555</v>
      </c>
      <c r="T786" s="48">
        <v>44555</v>
      </c>
      <c r="U786" s="69"/>
      <c r="V786" s="69"/>
      <c r="W786" s="69"/>
      <c r="X786" s="69"/>
      <c r="Y786" s="69" t="s">
        <v>4128</v>
      </c>
      <c r="Z786" s="43">
        <v>49080</v>
      </c>
      <c r="AA786" s="43" t="s">
        <v>52</v>
      </c>
      <c r="AB786" s="43" t="s">
        <v>53</v>
      </c>
      <c r="AC786" s="43">
        <v>1825</v>
      </c>
      <c r="AD786" s="141">
        <v>5</v>
      </c>
      <c r="AE786" s="142">
        <v>0</v>
      </c>
      <c r="AF786" s="142"/>
      <c r="AG786" s="69" t="str">
        <f t="shared" si="416"/>
        <v>3 years 8 days</v>
      </c>
      <c r="AH786" s="69">
        <v>3</v>
      </c>
      <c r="AI786" s="69">
        <v>8</v>
      </c>
      <c r="AJ786" s="69">
        <v>0</v>
      </c>
      <c r="AK786" s="69">
        <v>0</v>
      </c>
      <c r="AL786" s="60">
        <v>49080</v>
      </c>
      <c r="AM786" s="60">
        <f t="shared" si="417"/>
        <v>49080</v>
      </c>
      <c r="AN786" s="59">
        <v>29663</v>
      </c>
      <c r="AO786" s="148">
        <f t="shared" si="418"/>
        <v>-29663</v>
      </c>
      <c r="AP786" s="58">
        <v>4867.8054794520576</v>
      </c>
      <c r="AQ786" s="143">
        <f t="shared" si="419"/>
        <v>-4867.8100000000004</v>
      </c>
    </row>
    <row r="787" spans="1:43" x14ac:dyDescent="0.35">
      <c r="A787" s="69" t="s">
        <v>43</v>
      </c>
      <c r="B787" s="15" t="s">
        <v>2467</v>
      </c>
      <c r="C787" s="15"/>
      <c r="D787" s="69"/>
      <c r="E787" s="76">
        <v>0</v>
      </c>
      <c r="F787" s="69" t="s">
        <v>2453</v>
      </c>
      <c r="G787" s="137" t="s">
        <v>2454</v>
      </c>
      <c r="H787" s="76">
        <v>9011000001</v>
      </c>
      <c r="I787" s="92" t="s">
        <v>47</v>
      </c>
      <c r="J787" s="92">
        <v>1202010202</v>
      </c>
      <c r="K787" s="15"/>
      <c r="L787" s="95" t="s">
        <v>2468</v>
      </c>
      <c r="M787" s="69" t="s">
        <v>2469</v>
      </c>
      <c r="N787" s="69"/>
      <c r="O787" s="94">
        <v>1</v>
      </c>
      <c r="P787" s="69" t="s">
        <v>50</v>
      </c>
      <c r="Q787" s="69" t="s">
        <v>51</v>
      </c>
      <c r="R787" s="69"/>
      <c r="S787" s="46">
        <v>45016</v>
      </c>
      <c r="T787" s="48">
        <v>45016</v>
      </c>
      <c r="U787" s="69"/>
      <c r="V787" s="69"/>
      <c r="W787" s="69"/>
      <c r="X787" s="69"/>
      <c r="Y787" s="69" t="s">
        <v>4129</v>
      </c>
      <c r="Z787" s="43">
        <v>149760</v>
      </c>
      <c r="AA787" s="43" t="s">
        <v>52</v>
      </c>
      <c r="AB787" s="43" t="s">
        <v>53</v>
      </c>
      <c r="AC787" s="43">
        <v>1825</v>
      </c>
      <c r="AD787" s="141">
        <v>5</v>
      </c>
      <c r="AE787" s="142">
        <v>0</v>
      </c>
      <c r="AF787" s="142"/>
      <c r="AG787" s="69" t="str">
        <f t="shared" si="416"/>
        <v>1 years 277 days</v>
      </c>
      <c r="AH787" s="69">
        <v>1</v>
      </c>
      <c r="AI787" s="69">
        <v>277</v>
      </c>
      <c r="AJ787" s="69">
        <v>0</v>
      </c>
      <c r="AK787" s="69">
        <v>0</v>
      </c>
      <c r="AL787" s="60">
        <v>149760</v>
      </c>
      <c r="AM787" s="60">
        <f t="shared" si="417"/>
        <v>149760</v>
      </c>
      <c r="AN787" s="59">
        <v>52765</v>
      </c>
      <c r="AO787" s="148">
        <f t="shared" si="418"/>
        <v>-52765</v>
      </c>
      <c r="AP787" s="58">
        <v>14852.665753424662</v>
      </c>
      <c r="AQ787" s="143">
        <f t="shared" si="419"/>
        <v>-14852.67</v>
      </c>
    </row>
    <row r="788" spans="1:43" x14ac:dyDescent="0.35">
      <c r="A788" s="69" t="s">
        <v>43</v>
      </c>
      <c r="B788" s="15" t="s">
        <v>2470</v>
      </c>
      <c r="C788" s="15"/>
      <c r="D788" s="69"/>
      <c r="E788" s="76">
        <v>0</v>
      </c>
      <c r="F788" s="69" t="s">
        <v>2453</v>
      </c>
      <c r="G788" s="137" t="s">
        <v>2454</v>
      </c>
      <c r="H788" s="76">
        <v>9011000001</v>
      </c>
      <c r="I788" s="92" t="s">
        <v>47</v>
      </c>
      <c r="J788" s="92">
        <v>1202010202</v>
      </c>
      <c r="K788" s="15"/>
      <c r="L788" s="95" t="s">
        <v>2471</v>
      </c>
      <c r="M788" s="69" t="s">
        <v>2472</v>
      </c>
      <c r="N788" s="69"/>
      <c r="O788" s="94">
        <v>56</v>
      </c>
      <c r="P788" s="69" t="s">
        <v>50</v>
      </c>
      <c r="Q788" s="69" t="s">
        <v>51</v>
      </c>
      <c r="R788" s="69"/>
      <c r="S788" s="46">
        <v>45231</v>
      </c>
      <c r="T788" s="48">
        <v>45231</v>
      </c>
      <c r="U788" s="69"/>
      <c r="V788" s="69"/>
      <c r="W788" s="69"/>
      <c r="X788" s="69"/>
      <c r="Y788" s="69" t="s">
        <v>4129</v>
      </c>
      <c r="Z788" s="43">
        <v>210107.43</v>
      </c>
      <c r="AA788" s="43" t="s">
        <v>52</v>
      </c>
      <c r="AB788" s="43" t="s">
        <v>53</v>
      </c>
      <c r="AC788" s="43">
        <v>1825</v>
      </c>
      <c r="AD788" s="141">
        <v>5</v>
      </c>
      <c r="AE788" s="142">
        <v>0</v>
      </c>
      <c r="AF788" s="142"/>
      <c r="AG788" s="69" t="str">
        <f t="shared" si="416"/>
        <v>1 years 62 days</v>
      </c>
      <c r="AH788" s="69">
        <v>1</v>
      </c>
      <c r="AI788" s="69">
        <v>62</v>
      </c>
      <c r="AJ788" s="69">
        <v>0</v>
      </c>
      <c r="AK788" s="69">
        <v>0</v>
      </c>
      <c r="AL788" s="60">
        <v>210107.43</v>
      </c>
      <c r="AM788" s="60">
        <f t="shared" si="417"/>
        <v>210107.43</v>
      </c>
      <c r="AN788" s="59">
        <v>46579</v>
      </c>
      <c r="AO788" s="148">
        <f t="shared" si="418"/>
        <v>-46579</v>
      </c>
      <c r="AP788" s="58">
        <v>20838.039484931505</v>
      </c>
      <c r="AQ788" s="143">
        <f t="shared" si="419"/>
        <v>-20838.04</v>
      </c>
    </row>
    <row r="789" spans="1:43" x14ac:dyDescent="0.35">
      <c r="A789" s="69" t="s">
        <v>43</v>
      </c>
      <c r="B789" s="15" t="s">
        <v>2473</v>
      </c>
      <c r="C789" s="15"/>
      <c r="D789" s="69"/>
      <c r="E789" s="76">
        <v>0</v>
      </c>
      <c r="F789" s="69" t="s">
        <v>2453</v>
      </c>
      <c r="G789" s="137" t="s">
        <v>2454</v>
      </c>
      <c r="H789" s="76">
        <v>9011000001</v>
      </c>
      <c r="I789" s="92" t="s">
        <v>47</v>
      </c>
      <c r="J789" s="92">
        <v>1202010202</v>
      </c>
      <c r="K789" s="15"/>
      <c r="L789" s="95" t="s">
        <v>2474</v>
      </c>
      <c r="M789" s="69" t="s">
        <v>2475</v>
      </c>
      <c r="N789" s="69"/>
      <c r="O789" s="94">
        <v>12</v>
      </c>
      <c r="P789" s="69" t="s">
        <v>50</v>
      </c>
      <c r="Q789" s="69" t="s">
        <v>51</v>
      </c>
      <c r="R789" s="69"/>
      <c r="S789" s="46">
        <v>44893</v>
      </c>
      <c r="T789" s="48">
        <v>44893</v>
      </c>
      <c r="U789" s="69"/>
      <c r="V789" s="69"/>
      <c r="W789" s="69"/>
      <c r="X789" s="69"/>
      <c r="Y789" s="69" t="s">
        <v>4131</v>
      </c>
      <c r="Z789" s="43">
        <v>24700</v>
      </c>
      <c r="AA789" s="43" t="s">
        <v>52</v>
      </c>
      <c r="AB789" s="43" t="s">
        <v>53</v>
      </c>
      <c r="AC789" s="43">
        <v>1825</v>
      </c>
      <c r="AD789" s="141">
        <v>5</v>
      </c>
      <c r="AE789" s="142">
        <v>0</v>
      </c>
      <c r="AF789" s="142"/>
      <c r="AG789" s="69" t="str">
        <f t="shared" si="416"/>
        <v>2 years 35 days</v>
      </c>
      <c r="AH789" s="69">
        <v>2</v>
      </c>
      <c r="AI789" s="69">
        <v>35</v>
      </c>
      <c r="AJ789" s="69">
        <v>0</v>
      </c>
      <c r="AK789" s="69">
        <v>0</v>
      </c>
      <c r="AL789" s="60">
        <v>24700</v>
      </c>
      <c r="AM789" s="60">
        <f t="shared" si="417"/>
        <v>24700</v>
      </c>
      <c r="AN789" s="59">
        <v>24700</v>
      </c>
      <c r="AO789" s="148">
        <f t="shared" si="418"/>
        <v>-24700</v>
      </c>
      <c r="AP789" s="58">
        <v>0</v>
      </c>
      <c r="AQ789" s="143">
        <f t="shared" si="419"/>
        <v>0</v>
      </c>
    </row>
    <row r="790" spans="1:43" x14ac:dyDescent="0.35">
      <c r="A790" s="69" t="s">
        <v>43</v>
      </c>
      <c r="B790" s="15" t="s">
        <v>2476</v>
      </c>
      <c r="C790" s="15"/>
      <c r="D790" s="69"/>
      <c r="E790" s="76">
        <v>0</v>
      </c>
      <c r="F790" s="69" t="s">
        <v>2453</v>
      </c>
      <c r="G790" s="137" t="s">
        <v>2454</v>
      </c>
      <c r="H790" s="76">
        <v>9011000001</v>
      </c>
      <c r="I790" s="92" t="s">
        <v>47</v>
      </c>
      <c r="J790" s="92">
        <v>1202010202</v>
      </c>
      <c r="K790" s="15"/>
      <c r="L790" s="95" t="s">
        <v>2477</v>
      </c>
      <c r="M790" s="69" t="s">
        <v>49</v>
      </c>
      <c r="N790" s="69"/>
      <c r="O790" s="94">
        <v>1</v>
      </c>
      <c r="P790" s="69" t="s">
        <v>50</v>
      </c>
      <c r="Q790" s="69" t="s">
        <v>51</v>
      </c>
      <c r="R790" s="69"/>
      <c r="S790" s="46">
        <v>44893</v>
      </c>
      <c r="T790" s="48">
        <v>44893</v>
      </c>
      <c r="U790" s="69"/>
      <c r="V790" s="69"/>
      <c r="W790" s="69"/>
      <c r="X790" s="69"/>
      <c r="Y790" s="69" t="s">
        <v>4131</v>
      </c>
      <c r="Z790" s="43">
        <v>23288</v>
      </c>
      <c r="AA790" s="43" t="s">
        <v>52</v>
      </c>
      <c r="AB790" s="43" t="s">
        <v>53</v>
      </c>
      <c r="AC790" s="43">
        <v>1825</v>
      </c>
      <c r="AD790" s="141">
        <v>5</v>
      </c>
      <c r="AE790" s="142">
        <v>0</v>
      </c>
      <c r="AF790" s="142"/>
      <c r="AG790" s="69" t="str">
        <f t="shared" si="416"/>
        <v>2 years 35 days</v>
      </c>
      <c r="AH790" s="69">
        <v>2</v>
      </c>
      <c r="AI790" s="69">
        <v>35</v>
      </c>
      <c r="AJ790" s="69">
        <v>0</v>
      </c>
      <c r="AK790" s="69">
        <v>0</v>
      </c>
      <c r="AL790" s="60">
        <v>23288</v>
      </c>
      <c r="AM790" s="60">
        <f t="shared" si="417"/>
        <v>23288</v>
      </c>
      <c r="AN790" s="59">
        <v>23288</v>
      </c>
      <c r="AO790" s="148">
        <f t="shared" si="418"/>
        <v>-23288</v>
      </c>
      <c r="AP790" s="58">
        <v>0</v>
      </c>
      <c r="AQ790" s="143">
        <f t="shared" si="419"/>
        <v>0</v>
      </c>
    </row>
    <row r="791" spans="1:43" x14ac:dyDescent="0.35">
      <c r="A791" s="69" t="s">
        <v>43</v>
      </c>
      <c r="B791" s="15" t="s">
        <v>2478</v>
      </c>
      <c r="C791" s="15"/>
      <c r="D791" s="69"/>
      <c r="E791" s="76">
        <v>0</v>
      </c>
      <c r="F791" s="69" t="s">
        <v>2453</v>
      </c>
      <c r="G791" s="137" t="s">
        <v>2454</v>
      </c>
      <c r="H791" s="76">
        <v>9011000001</v>
      </c>
      <c r="I791" s="92" t="s">
        <v>47</v>
      </c>
      <c r="J791" s="92">
        <v>1202010202</v>
      </c>
      <c r="K791" s="15"/>
      <c r="L791" s="95" t="s">
        <v>2479</v>
      </c>
      <c r="M791" s="69" t="s">
        <v>49</v>
      </c>
      <c r="N791" s="69"/>
      <c r="O791" s="94">
        <v>12</v>
      </c>
      <c r="P791" s="69" t="s">
        <v>50</v>
      </c>
      <c r="Q791" s="69" t="s">
        <v>51</v>
      </c>
      <c r="R791" s="69"/>
      <c r="S791" s="46">
        <v>44893</v>
      </c>
      <c r="T791" s="48">
        <v>44893</v>
      </c>
      <c r="U791" s="69"/>
      <c r="V791" s="69"/>
      <c r="W791" s="69"/>
      <c r="X791" s="69"/>
      <c r="Y791" s="69" t="s">
        <v>4131</v>
      </c>
      <c r="Z791" s="43">
        <v>20000</v>
      </c>
      <c r="AA791" s="43" t="s">
        <v>52</v>
      </c>
      <c r="AB791" s="43" t="s">
        <v>53</v>
      </c>
      <c r="AC791" s="43">
        <v>1825</v>
      </c>
      <c r="AD791" s="141">
        <v>5</v>
      </c>
      <c r="AE791" s="142">
        <v>0</v>
      </c>
      <c r="AF791" s="142"/>
      <c r="AG791" s="69" t="str">
        <f t="shared" si="416"/>
        <v>2 years 35 days</v>
      </c>
      <c r="AH791" s="69">
        <v>2</v>
      </c>
      <c r="AI791" s="69">
        <v>35</v>
      </c>
      <c r="AJ791" s="69">
        <v>0</v>
      </c>
      <c r="AK791" s="69">
        <v>0</v>
      </c>
      <c r="AL791" s="60">
        <v>20000</v>
      </c>
      <c r="AM791" s="60">
        <f t="shared" si="417"/>
        <v>20000</v>
      </c>
      <c r="AN791" s="59">
        <v>20000</v>
      </c>
      <c r="AO791" s="148">
        <f t="shared" si="418"/>
        <v>-20000</v>
      </c>
      <c r="AP791" s="58">
        <v>0</v>
      </c>
      <c r="AQ791" s="143">
        <f t="shared" si="419"/>
        <v>0</v>
      </c>
    </row>
    <row r="792" spans="1:43" x14ac:dyDescent="0.35">
      <c r="A792" s="69" t="s">
        <v>43</v>
      </c>
      <c r="B792" s="15" t="s">
        <v>2480</v>
      </c>
      <c r="C792" s="15"/>
      <c r="D792" s="69"/>
      <c r="E792" s="76">
        <v>0</v>
      </c>
      <c r="F792" s="69" t="s">
        <v>2453</v>
      </c>
      <c r="G792" s="137" t="s">
        <v>2454</v>
      </c>
      <c r="H792" s="76">
        <v>9011000001</v>
      </c>
      <c r="I792" s="92" t="s">
        <v>47</v>
      </c>
      <c r="J792" s="92">
        <v>1202010202</v>
      </c>
      <c r="K792" s="15"/>
      <c r="L792" s="95" t="s">
        <v>2481</v>
      </c>
      <c r="M792" s="69" t="s">
        <v>49</v>
      </c>
      <c r="N792" s="69"/>
      <c r="O792" s="94">
        <v>1</v>
      </c>
      <c r="P792" s="69" t="s">
        <v>50</v>
      </c>
      <c r="Q792" s="69" t="s">
        <v>51</v>
      </c>
      <c r="R792" s="69"/>
      <c r="S792" s="46">
        <v>44893</v>
      </c>
      <c r="T792" s="48">
        <v>44893</v>
      </c>
      <c r="U792" s="69"/>
      <c r="V792" s="69"/>
      <c r="W792" s="69"/>
      <c r="X792" s="69"/>
      <c r="Y792" s="69" t="s">
        <v>4131</v>
      </c>
      <c r="Z792" s="43">
        <v>1900</v>
      </c>
      <c r="AA792" s="43" t="s">
        <v>52</v>
      </c>
      <c r="AB792" s="43" t="s">
        <v>53</v>
      </c>
      <c r="AC792" s="43">
        <v>1825</v>
      </c>
      <c r="AD792" s="141">
        <v>5</v>
      </c>
      <c r="AE792" s="142">
        <v>0</v>
      </c>
      <c r="AF792" s="142"/>
      <c r="AG792" s="69" t="str">
        <f t="shared" si="416"/>
        <v>2 years 35 days</v>
      </c>
      <c r="AH792" s="69">
        <v>2</v>
      </c>
      <c r="AI792" s="69">
        <v>35</v>
      </c>
      <c r="AJ792" s="69">
        <v>0</v>
      </c>
      <c r="AK792" s="69">
        <v>0</v>
      </c>
      <c r="AL792" s="60">
        <v>1900</v>
      </c>
      <c r="AM792" s="60">
        <f t="shared" si="417"/>
        <v>1900</v>
      </c>
      <c r="AN792" s="59">
        <v>1900</v>
      </c>
      <c r="AO792" s="148">
        <f t="shared" si="418"/>
        <v>-1900</v>
      </c>
      <c r="AP792" s="58">
        <v>0</v>
      </c>
      <c r="AQ792" s="143">
        <f t="shared" si="419"/>
        <v>0</v>
      </c>
    </row>
    <row r="793" spans="1:43" x14ac:dyDescent="0.35">
      <c r="A793" s="69" t="s">
        <v>43</v>
      </c>
      <c r="B793" s="15" t="s">
        <v>2482</v>
      </c>
      <c r="C793" s="15"/>
      <c r="D793" s="69"/>
      <c r="E793" s="76">
        <v>0</v>
      </c>
      <c r="F793" s="69" t="s">
        <v>2453</v>
      </c>
      <c r="G793" s="137" t="s">
        <v>2454</v>
      </c>
      <c r="H793" s="76">
        <v>9011000001</v>
      </c>
      <c r="I793" s="92" t="s">
        <v>47</v>
      </c>
      <c r="J793" s="92">
        <v>1202010202</v>
      </c>
      <c r="K793" s="15"/>
      <c r="L793" s="95" t="s">
        <v>2483</v>
      </c>
      <c r="M793" s="69" t="s">
        <v>49</v>
      </c>
      <c r="N793" s="69"/>
      <c r="O793" s="94">
        <v>1</v>
      </c>
      <c r="P793" s="69" t="s">
        <v>50</v>
      </c>
      <c r="Q793" s="69" t="s">
        <v>51</v>
      </c>
      <c r="R793" s="69"/>
      <c r="S793" s="46">
        <v>44893</v>
      </c>
      <c r="T793" s="48">
        <v>44893</v>
      </c>
      <c r="U793" s="69"/>
      <c r="V793" s="69"/>
      <c r="W793" s="69"/>
      <c r="X793" s="69"/>
      <c r="Y793" s="69" t="s">
        <v>4131</v>
      </c>
      <c r="Z793" s="43">
        <v>4600</v>
      </c>
      <c r="AA793" s="43" t="s">
        <v>52</v>
      </c>
      <c r="AB793" s="43" t="s">
        <v>53</v>
      </c>
      <c r="AC793" s="43">
        <v>1825</v>
      </c>
      <c r="AD793" s="141">
        <v>5</v>
      </c>
      <c r="AE793" s="142">
        <v>0</v>
      </c>
      <c r="AF793" s="142"/>
      <c r="AG793" s="69" t="str">
        <f t="shared" si="416"/>
        <v>2 years 35 days</v>
      </c>
      <c r="AH793" s="69">
        <v>2</v>
      </c>
      <c r="AI793" s="69">
        <v>35</v>
      </c>
      <c r="AJ793" s="69">
        <v>0</v>
      </c>
      <c r="AK793" s="69">
        <v>0</v>
      </c>
      <c r="AL793" s="60">
        <v>4600</v>
      </c>
      <c r="AM793" s="60">
        <f t="shared" si="417"/>
        <v>4600</v>
      </c>
      <c r="AN793" s="59">
        <v>4600</v>
      </c>
      <c r="AO793" s="148">
        <f t="shared" si="418"/>
        <v>-4600</v>
      </c>
      <c r="AP793" s="58">
        <v>0</v>
      </c>
      <c r="AQ793" s="143">
        <f t="shared" si="419"/>
        <v>0</v>
      </c>
    </row>
    <row r="794" spans="1:43" x14ac:dyDescent="0.35">
      <c r="A794" s="69" t="s">
        <v>43</v>
      </c>
      <c r="B794" s="15" t="s">
        <v>2484</v>
      </c>
      <c r="C794" s="15"/>
      <c r="D794" s="69"/>
      <c r="E794" s="76">
        <v>0</v>
      </c>
      <c r="F794" s="69" t="s">
        <v>2453</v>
      </c>
      <c r="G794" s="137" t="s">
        <v>2454</v>
      </c>
      <c r="H794" s="76">
        <v>9011000001</v>
      </c>
      <c r="I794" s="92" t="s">
        <v>47</v>
      </c>
      <c r="J794" s="92">
        <v>1202010202</v>
      </c>
      <c r="K794" s="15"/>
      <c r="L794" s="95" t="s">
        <v>2485</v>
      </c>
      <c r="M794" s="69" t="s">
        <v>49</v>
      </c>
      <c r="N794" s="69"/>
      <c r="O794" s="94">
        <v>2</v>
      </c>
      <c r="P794" s="69" t="s">
        <v>50</v>
      </c>
      <c r="Q794" s="69" t="s">
        <v>51</v>
      </c>
      <c r="R794" s="69"/>
      <c r="S794" s="46">
        <v>44893</v>
      </c>
      <c r="T794" s="48">
        <v>44893</v>
      </c>
      <c r="U794" s="69"/>
      <c r="V794" s="69"/>
      <c r="W794" s="69"/>
      <c r="X794" s="69"/>
      <c r="Y794" s="69" t="s">
        <v>4131</v>
      </c>
      <c r="Z794" s="43">
        <v>1449</v>
      </c>
      <c r="AA794" s="43" t="s">
        <v>52</v>
      </c>
      <c r="AB794" s="43" t="s">
        <v>53</v>
      </c>
      <c r="AC794" s="43">
        <v>1825</v>
      </c>
      <c r="AD794" s="141">
        <v>5</v>
      </c>
      <c r="AE794" s="142">
        <v>0</v>
      </c>
      <c r="AF794" s="142"/>
      <c r="AG794" s="69" t="str">
        <f t="shared" si="416"/>
        <v>2 years 35 days</v>
      </c>
      <c r="AH794" s="69">
        <v>2</v>
      </c>
      <c r="AI794" s="69">
        <v>35</v>
      </c>
      <c r="AJ794" s="69">
        <v>0</v>
      </c>
      <c r="AK794" s="69">
        <v>0</v>
      </c>
      <c r="AL794" s="60">
        <v>1449</v>
      </c>
      <c r="AM794" s="60">
        <f t="shared" si="417"/>
        <v>1449</v>
      </c>
      <c r="AN794" s="59">
        <v>1449</v>
      </c>
      <c r="AO794" s="148">
        <f t="shared" si="418"/>
        <v>-1449</v>
      </c>
      <c r="AP794" s="58">
        <v>0</v>
      </c>
      <c r="AQ794" s="143">
        <f t="shared" si="419"/>
        <v>0</v>
      </c>
    </row>
    <row r="795" spans="1:43" x14ac:dyDescent="0.35">
      <c r="A795" s="69" t="s">
        <v>43</v>
      </c>
      <c r="B795" s="15" t="s">
        <v>2486</v>
      </c>
      <c r="C795" s="15"/>
      <c r="D795" s="69"/>
      <c r="E795" s="76">
        <v>0</v>
      </c>
      <c r="F795" s="69" t="s">
        <v>2453</v>
      </c>
      <c r="G795" s="137" t="s">
        <v>2454</v>
      </c>
      <c r="H795" s="76">
        <v>9011000002</v>
      </c>
      <c r="I795" s="92" t="s">
        <v>47</v>
      </c>
      <c r="J795" s="92">
        <v>1202010202</v>
      </c>
      <c r="K795" s="15"/>
      <c r="L795" s="95" t="s">
        <v>2487</v>
      </c>
      <c r="M795" s="69" t="s">
        <v>49</v>
      </c>
      <c r="N795" s="69"/>
      <c r="O795" s="94">
        <v>1</v>
      </c>
      <c r="P795" s="69" t="s">
        <v>50</v>
      </c>
      <c r="Q795" s="69" t="s">
        <v>51</v>
      </c>
      <c r="R795" s="69"/>
      <c r="S795" s="46">
        <v>41170</v>
      </c>
      <c r="T795" s="48">
        <v>43191</v>
      </c>
      <c r="U795" s="69"/>
      <c r="V795" s="69"/>
      <c r="W795" s="69"/>
      <c r="X795" s="69"/>
      <c r="Y795" s="69" t="s">
        <v>4125</v>
      </c>
      <c r="Z795" s="43">
        <v>1200</v>
      </c>
      <c r="AA795" s="43" t="s">
        <v>52</v>
      </c>
      <c r="AB795" s="43" t="s">
        <v>53</v>
      </c>
      <c r="AC795" s="43">
        <v>913</v>
      </c>
      <c r="AD795" s="141">
        <v>2</v>
      </c>
      <c r="AE795" s="142">
        <v>6</v>
      </c>
      <c r="AF795" s="142"/>
      <c r="AG795" s="69" t="str">
        <f t="shared" si="416"/>
        <v>2 years 183 days</v>
      </c>
      <c r="AH795" s="69">
        <v>2</v>
      </c>
      <c r="AI795" s="69">
        <v>183</v>
      </c>
      <c r="AJ795" s="69">
        <v>0</v>
      </c>
      <c r="AK795" s="69">
        <v>0</v>
      </c>
      <c r="AL795" s="60">
        <v>1200</v>
      </c>
      <c r="AM795" s="60">
        <f t="shared" si="417"/>
        <v>1200</v>
      </c>
      <c r="AN795" s="59">
        <v>1200</v>
      </c>
      <c r="AO795" s="148">
        <f t="shared" si="418"/>
        <v>-1200</v>
      </c>
      <c r="AP795" s="58">
        <v>0</v>
      </c>
      <c r="AQ795" s="143">
        <f t="shared" si="419"/>
        <v>0</v>
      </c>
    </row>
    <row r="796" spans="1:43" x14ac:dyDescent="0.35">
      <c r="A796" s="69" t="s">
        <v>43</v>
      </c>
      <c r="B796" s="15" t="s">
        <v>2488</v>
      </c>
      <c r="C796" s="15"/>
      <c r="D796" s="69"/>
      <c r="E796" s="76">
        <v>0</v>
      </c>
      <c r="F796" s="69" t="s">
        <v>2453</v>
      </c>
      <c r="G796" s="137" t="s">
        <v>2454</v>
      </c>
      <c r="H796" s="76">
        <v>9011000002</v>
      </c>
      <c r="I796" s="92" t="s">
        <v>47</v>
      </c>
      <c r="J796" s="92">
        <v>1202010202</v>
      </c>
      <c r="K796" s="15"/>
      <c r="L796" s="95" t="s">
        <v>2489</v>
      </c>
      <c r="M796" s="69" t="s">
        <v>2490</v>
      </c>
      <c r="N796" s="69"/>
      <c r="O796" s="94">
        <v>1</v>
      </c>
      <c r="P796" s="69" t="s">
        <v>50</v>
      </c>
      <c r="Q796" s="69" t="s">
        <v>51</v>
      </c>
      <c r="R796" s="69"/>
      <c r="S796" s="46">
        <v>41905</v>
      </c>
      <c r="T796" s="48">
        <v>43191</v>
      </c>
      <c r="U796" s="69"/>
      <c r="V796" s="69"/>
      <c r="W796" s="69"/>
      <c r="X796" s="69"/>
      <c r="Y796" s="69" t="s">
        <v>4125</v>
      </c>
      <c r="Z796" s="43">
        <v>67500</v>
      </c>
      <c r="AA796" s="43" t="s">
        <v>52</v>
      </c>
      <c r="AB796" s="43" t="s">
        <v>53</v>
      </c>
      <c r="AC796" s="43">
        <v>1643</v>
      </c>
      <c r="AD796" s="141">
        <v>4</v>
      </c>
      <c r="AE796" s="142">
        <v>6</v>
      </c>
      <c r="AF796" s="142"/>
      <c r="AG796" s="69" t="str">
        <f t="shared" si="416"/>
        <v>4 years 183 days</v>
      </c>
      <c r="AH796" s="69">
        <v>4</v>
      </c>
      <c r="AI796" s="69">
        <v>183</v>
      </c>
      <c r="AJ796" s="69">
        <v>0</v>
      </c>
      <c r="AK796" s="69">
        <v>0</v>
      </c>
      <c r="AL796" s="60">
        <v>67500</v>
      </c>
      <c r="AM796" s="60">
        <f t="shared" si="417"/>
        <v>67500</v>
      </c>
      <c r="AN796" s="59">
        <v>67500</v>
      </c>
      <c r="AO796" s="148">
        <f t="shared" si="418"/>
        <v>-67500</v>
      </c>
      <c r="AP796" s="58">
        <v>0</v>
      </c>
      <c r="AQ796" s="143">
        <f t="shared" si="419"/>
        <v>0</v>
      </c>
    </row>
    <row r="797" spans="1:43" x14ac:dyDescent="0.35">
      <c r="A797" s="69" t="s">
        <v>43</v>
      </c>
      <c r="B797" s="15" t="s">
        <v>2491</v>
      </c>
      <c r="C797" s="15"/>
      <c r="D797" s="69"/>
      <c r="E797" s="76">
        <v>0</v>
      </c>
      <c r="F797" s="69" t="s">
        <v>2453</v>
      </c>
      <c r="G797" s="137" t="s">
        <v>2454</v>
      </c>
      <c r="H797" s="76">
        <v>9011000002</v>
      </c>
      <c r="I797" s="92" t="s">
        <v>47</v>
      </c>
      <c r="J797" s="92">
        <v>1202010202</v>
      </c>
      <c r="K797" s="15"/>
      <c r="L797" s="95" t="s">
        <v>2492</v>
      </c>
      <c r="M797" s="69" t="s">
        <v>2493</v>
      </c>
      <c r="N797" s="69"/>
      <c r="O797" s="94">
        <v>1</v>
      </c>
      <c r="P797" s="69" t="s">
        <v>50</v>
      </c>
      <c r="Q797" s="69" t="s">
        <v>51</v>
      </c>
      <c r="R797" s="69"/>
      <c r="S797" s="46">
        <v>43383</v>
      </c>
      <c r="T797" s="48">
        <v>43383</v>
      </c>
      <c r="U797" s="69"/>
      <c r="V797" s="69"/>
      <c r="W797" s="69"/>
      <c r="X797" s="69"/>
      <c r="Y797" s="69" t="s">
        <v>4125</v>
      </c>
      <c r="Z797" s="43">
        <v>51420</v>
      </c>
      <c r="AA797" s="43" t="s">
        <v>52</v>
      </c>
      <c r="AB797" s="43" t="s">
        <v>53</v>
      </c>
      <c r="AC797" s="43">
        <v>1825</v>
      </c>
      <c r="AD797" s="141">
        <v>5</v>
      </c>
      <c r="AE797" s="142">
        <v>0</v>
      </c>
      <c r="AF797" s="142"/>
      <c r="AG797" s="69" t="str">
        <f t="shared" si="416"/>
        <v>5 years 0 days</v>
      </c>
      <c r="AH797" s="69">
        <v>5</v>
      </c>
      <c r="AI797" s="69">
        <v>0</v>
      </c>
      <c r="AJ797" s="69">
        <v>0</v>
      </c>
      <c r="AK797" s="69">
        <v>0</v>
      </c>
      <c r="AL797" s="60">
        <v>51420</v>
      </c>
      <c r="AM797" s="60">
        <f t="shared" si="417"/>
        <v>51420</v>
      </c>
      <c r="AN797" s="59">
        <v>51420</v>
      </c>
      <c r="AO797" s="148">
        <f t="shared" si="418"/>
        <v>-51420</v>
      </c>
      <c r="AP797" s="58">
        <v>0</v>
      </c>
      <c r="AQ797" s="143">
        <f t="shared" si="419"/>
        <v>0</v>
      </c>
    </row>
    <row r="798" spans="1:43" x14ac:dyDescent="0.35">
      <c r="A798" s="69" t="s">
        <v>43</v>
      </c>
      <c r="B798" s="15" t="s">
        <v>2494</v>
      </c>
      <c r="C798" s="15"/>
      <c r="D798" s="69"/>
      <c r="E798" s="76">
        <v>0</v>
      </c>
      <c r="F798" s="69" t="s">
        <v>2453</v>
      </c>
      <c r="G798" s="137" t="s">
        <v>2454</v>
      </c>
      <c r="H798" s="76">
        <v>9011000002</v>
      </c>
      <c r="I798" s="92" t="s">
        <v>47</v>
      </c>
      <c r="J798" s="92">
        <v>1202010202</v>
      </c>
      <c r="K798" s="15"/>
      <c r="L798" s="95" t="s">
        <v>2495</v>
      </c>
      <c r="M798" s="69" t="s">
        <v>2496</v>
      </c>
      <c r="N798" s="69"/>
      <c r="O798" s="94">
        <v>3</v>
      </c>
      <c r="P798" s="69" t="s">
        <v>50</v>
      </c>
      <c r="Q798" s="69" t="s">
        <v>51</v>
      </c>
      <c r="R798" s="69"/>
      <c r="S798" s="46">
        <v>44046</v>
      </c>
      <c r="T798" s="48">
        <v>44046</v>
      </c>
      <c r="U798" s="69"/>
      <c r="V798" s="69"/>
      <c r="W798" s="69"/>
      <c r="X798" s="69"/>
      <c r="Y798" s="69" t="s">
        <v>4127</v>
      </c>
      <c r="Z798" s="43">
        <v>39150</v>
      </c>
      <c r="AA798" s="43" t="s">
        <v>52</v>
      </c>
      <c r="AB798" s="43" t="s">
        <v>53</v>
      </c>
      <c r="AC798" s="43">
        <v>1825</v>
      </c>
      <c r="AD798" s="141">
        <v>5</v>
      </c>
      <c r="AE798" s="142">
        <v>0</v>
      </c>
      <c r="AF798" s="142"/>
      <c r="AG798" s="69" t="str">
        <f t="shared" si="416"/>
        <v>4 years 152 days</v>
      </c>
      <c r="AH798" s="69">
        <v>4</v>
      </c>
      <c r="AI798" s="69">
        <v>152</v>
      </c>
      <c r="AJ798" s="69">
        <v>0</v>
      </c>
      <c r="AK798" s="69">
        <v>0</v>
      </c>
      <c r="AL798" s="60">
        <v>39150</v>
      </c>
      <c r="AM798" s="60">
        <f t="shared" si="417"/>
        <v>39150</v>
      </c>
      <c r="AN798" s="59">
        <v>34581</v>
      </c>
      <c r="AO798" s="148">
        <f t="shared" si="418"/>
        <v>-34581</v>
      </c>
      <c r="AP798" s="58">
        <v>3882.534246575342</v>
      </c>
      <c r="AQ798" s="143">
        <f t="shared" si="419"/>
        <v>-3882.53</v>
      </c>
    </row>
    <row r="799" spans="1:43" x14ac:dyDescent="0.35">
      <c r="A799" s="69" t="s">
        <v>43</v>
      </c>
      <c r="B799" s="15" t="s">
        <v>2497</v>
      </c>
      <c r="C799" s="15"/>
      <c r="D799" s="69"/>
      <c r="E799" s="76">
        <v>0</v>
      </c>
      <c r="F799" s="69" t="s">
        <v>2453</v>
      </c>
      <c r="G799" s="137" t="s">
        <v>2454</v>
      </c>
      <c r="H799" s="76">
        <v>9011000002</v>
      </c>
      <c r="I799" s="92" t="s">
        <v>47</v>
      </c>
      <c r="J799" s="92">
        <v>1202010202</v>
      </c>
      <c r="K799" s="15"/>
      <c r="L799" s="95" t="s">
        <v>2498</v>
      </c>
      <c r="M799" s="69" t="s">
        <v>2499</v>
      </c>
      <c r="N799" s="69"/>
      <c r="O799" s="94">
        <v>8</v>
      </c>
      <c r="P799" s="69" t="s">
        <v>50</v>
      </c>
      <c r="Q799" s="69" t="s">
        <v>51</v>
      </c>
      <c r="R799" s="69"/>
      <c r="S799" s="46">
        <v>44094</v>
      </c>
      <c r="T799" s="48">
        <v>44094</v>
      </c>
      <c r="U799" s="69"/>
      <c r="V799" s="69"/>
      <c r="W799" s="69"/>
      <c r="X799" s="69"/>
      <c r="Y799" s="69" t="s">
        <v>4127</v>
      </c>
      <c r="Z799" s="43">
        <v>20600</v>
      </c>
      <c r="AA799" s="43" t="s">
        <v>52</v>
      </c>
      <c r="AB799" s="43" t="s">
        <v>53</v>
      </c>
      <c r="AC799" s="43">
        <v>1825</v>
      </c>
      <c r="AD799" s="141">
        <v>5</v>
      </c>
      <c r="AE799" s="142">
        <v>0</v>
      </c>
      <c r="AF799" s="142"/>
      <c r="AG799" s="69" t="str">
        <f t="shared" si="416"/>
        <v>4 years 104 days</v>
      </c>
      <c r="AH799" s="69">
        <v>4</v>
      </c>
      <c r="AI799" s="69">
        <v>104</v>
      </c>
      <c r="AJ799" s="69">
        <v>0</v>
      </c>
      <c r="AK799" s="69">
        <v>0</v>
      </c>
      <c r="AL799" s="60">
        <v>20600</v>
      </c>
      <c r="AM799" s="60">
        <f t="shared" si="417"/>
        <v>20600</v>
      </c>
      <c r="AN799" s="59">
        <v>17654</v>
      </c>
      <c r="AO799" s="148">
        <f t="shared" si="418"/>
        <v>-17654</v>
      </c>
      <c r="AP799" s="58">
        <v>2042.9863013698632</v>
      </c>
      <c r="AQ799" s="143">
        <f t="shared" si="419"/>
        <v>-2042.99</v>
      </c>
    </row>
    <row r="800" spans="1:43" x14ac:dyDescent="0.35">
      <c r="A800" s="69" t="s">
        <v>43</v>
      </c>
      <c r="B800" s="15" t="s">
        <v>2500</v>
      </c>
      <c r="C800" s="15"/>
      <c r="D800" s="69"/>
      <c r="E800" s="76">
        <v>0</v>
      </c>
      <c r="F800" s="69" t="s">
        <v>2453</v>
      </c>
      <c r="G800" s="137" t="s">
        <v>2454</v>
      </c>
      <c r="H800" s="76">
        <v>9011000002</v>
      </c>
      <c r="I800" s="92" t="s">
        <v>47</v>
      </c>
      <c r="J800" s="92">
        <v>1202010202</v>
      </c>
      <c r="K800" s="15"/>
      <c r="L800" s="95" t="s">
        <v>2501</v>
      </c>
      <c r="M800" s="69" t="s">
        <v>2502</v>
      </c>
      <c r="N800" s="69"/>
      <c r="O800" s="94">
        <v>1</v>
      </c>
      <c r="P800" s="69" t="s">
        <v>50</v>
      </c>
      <c r="Q800" s="69" t="s">
        <v>51</v>
      </c>
      <c r="R800" s="69"/>
      <c r="S800" s="46">
        <v>44470</v>
      </c>
      <c r="T800" s="48">
        <v>44470</v>
      </c>
      <c r="U800" s="69"/>
      <c r="V800" s="69"/>
      <c r="W800" s="69"/>
      <c r="X800" s="69"/>
      <c r="Y800" s="69" t="s">
        <v>4128</v>
      </c>
      <c r="Z800" s="43">
        <v>34100</v>
      </c>
      <c r="AA800" s="43" t="s">
        <v>52</v>
      </c>
      <c r="AB800" s="43" t="s">
        <v>53</v>
      </c>
      <c r="AC800" s="43">
        <v>1825</v>
      </c>
      <c r="AD800" s="141">
        <v>5</v>
      </c>
      <c r="AE800" s="142">
        <v>0</v>
      </c>
      <c r="AF800" s="142"/>
      <c r="AG800" s="69" t="str">
        <f t="shared" si="416"/>
        <v>3 years 93 days</v>
      </c>
      <c r="AH800" s="69">
        <v>3</v>
      </c>
      <c r="AI800" s="69">
        <v>93</v>
      </c>
      <c r="AJ800" s="69">
        <v>0</v>
      </c>
      <c r="AK800" s="69">
        <v>0</v>
      </c>
      <c r="AL800" s="60">
        <v>34100</v>
      </c>
      <c r="AM800" s="60">
        <f t="shared" si="417"/>
        <v>34100</v>
      </c>
      <c r="AN800" s="59">
        <v>22198</v>
      </c>
      <c r="AO800" s="148">
        <f t="shared" si="418"/>
        <v>-22198</v>
      </c>
      <c r="AP800" s="58">
        <v>3381.6712328767098</v>
      </c>
      <c r="AQ800" s="143">
        <f t="shared" si="419"/>
        <v>-3381.67</v>
      </c>
    </row>
    <row r="801" spans="1:43" x14ac:dyDescent="0.35">
      <c r="A801" s="69" t="s">
        <v>43</v>
      </c>
      <c r="B801" s="15" t="s">
        <v>2503</v>
      </c>
      <c r="C801" s="15"/>
      <c r="D801" s="69"/>
      <c r="E801" s="76">
        <v>0</v>
      </c>
      <c r="F801" s="69" t="s">
        <v>2453</v>
      </c>
      <c r="G801" s="137" t="s">
        <v>2454</v>
      </c>
      <c r="H801" s="76">
        <v>9011000002</v>
      </c>
      <c r="I801" s="92" t="s">
        <v>47</v>
      </c>
      <c r="J801" s="92">
        <v>1202010202</v>
      </c>
      <c r="K801" s="15"/>
      <c r="L801" s="95" t="s">
        <v>2504</v>
      </c>
      <c r="M801" s="69" t="s">
        <v>2505</v>
      </c>
      <c r="N801" s="69"/>
      <c r="O801" s="94">
        <v>1</v>
      </c>
      <c r="P801" s="69" t="s">
        <v>50</v>
      </c>
      <c r="Q801" s="69" t="s">
        <v>51</v>
      </c>
      <c r="R801" s="69"/>
      <c r="S801" s="46">
        <v>44492</v>
      </c>
      <c r="T801" s="48">
        <v>44492</v>
      </c>
      <c r="U801" s="69"/>
      <c r="V801" s="69"/>
      <c r="W801" s="69"/>
      <c r="X801" s="69"/>
      <c r="Y801" s="69" t="s">
        <v>4128</v>
      </c>
      <c r="Z801" s="43">
        <v>37800</v>
      </c>
      <c r="AA801" s="43" t="s">
        <v>52</v>
      </c>
      <c r="AB801" s="43" t="s">
        <v>53</v>
      </c>
      <c r="AC801" s="43">
        <v>1825</v>
      </c>
      <c r="AD801" s="141">
        <v>5</v>
      </c>
      <c r="AE801" s="142">
        <v>0</v>
      </c>
      <c r="AF801" s="142"/>
      <c r="AG801" s="69" t="str">
        <f t="shared" si="416"/>
        <v>3 years 71 days</v>
      </c>
      <c r="AH801" s="69">
        <v>3</v>
      </c>
      <c r="AI801" s="69">
        <v>71</v>
      </c>
      <c r="AJ801" s="69">
        <v>0</v>
      </c>
      <c r="AK801" s="69">
        <v>0</v>
      </c>
      <c r="AL801" s="60">
        <v>37800</v>
      </c>
      <c r="AM801" s="60">
        <f t="shared" si="417"/>
        <v>37800</v>
      </c>
      <c r="AN801" s="59">
        <v>24151</v>
      </c>
      <c r="AO801" s="148">
        <f t="shared" si="418"/>
        <v>-24151</v>
      </c>
      <c r="AP801" s="58">
        <v>3748.5068493150684</v>
      </c>
      <c r="AQ801" s="143">
        <f t="shared" si="419"/>
        <v>-3748.51</v>
      </c>
    </row>
    <row r="802" spans="1:43" x14ac:dyDescent="0.35">
      <c r="A802" s="69" t="s">
        <v>43</v>
      </c>
      <c r="B802" s="15" t="s">
        <v>2506</v>
      </c>
      <c r="C802" s="15"/>
      <c r="D802" s="69"/>
      <c r="E802" s="76">
        <v>0</v>
      </c>
      <c r="F802" s="69" t="s">
        <v>2453</v>
      </c>
      <c r="G802" s="137" t="s">
        <v>2454</v>
      </c>
      <c r="H802" s="76">
        <v>9011000002</v>
      </c>
      <c r="I802" s="92" t="s">
        <v>47</v>
      </c>
      <c r="J802" s="92">
        <v>1202010202</v>
      </c>
      <c r="K802" s="15"/>
      <c r="L802" s="95" t="s">
        <v>2507</v>
      </c>
      <c r="M802" s="69" t="s">
        <v>2508</v>
      </c>
      <c r="N802" s="69"/>
      <c r="O802" s="94">
        <v>1</v>
      </c>
      <c r="P802" s="69" t="s">
        <v>50</v>
      </c>
      <c r="Q802" s="69" t="s">
        <v>51</v>
      </c>
      <c r="R802" s="69"/>
      <c r="S802" s="46">
        <v>44531</v>
      </c>
      <c r="T802" s="48">
        <v>44531</v>
      </c>
      <c r="U802" s="69"/>
      <c r="V802" s="69"/>
      <c r="W802" s="69"/>
      <c r="X802" s="69"/>
      <c r="Y802" s="69" t="s">
        <v>4128</v>
      </c>
      <c r="Z802" s="43">
        <v>14300</v>
      </c>
      <c r="AA802" s="43" t="s">
        <v>52</v>
      </c>
      <c r="AB802" s="43" t="s">
        <v>53</v>
      </c>
      <c r="AC802" s="43">
        <v>1825</v>
      </c>
      <c r="AD802" s="141">
        <v>5</v>
      </c>
      <c r="AE802" s="142">
        <v>0</v>
      </c>
      <c r="AF802" s="142"/>
      <c r="AG802" s="69" t="str">
        <f t="shared" si="416"/>
        <v>3 years 32 days</v>
      </c>
      <c r="AH802" s="69">
        <v>3</v>
      </c>
      <c r="AI802" s="69">
        <v>32</v>
      </c>
      <c r="AJ802" s="69">
        <v>0</v>
      </c>
      <c r="AK802" s="69">
        <v>0</v>
      </c>
      <c r="AL802" s="60">
        <v>14300</v>
      </c>
      <c r="AM802" s="60">
        <f t="shared" si="417"/>
        <v>14300</v>
      </c>
      <c r="AN802" s="59">
        <v>8831</v>
      </c>
      <c r="AO802" s="148">
        <f t="shared" si="418"/>
        <v>-8831</v>
      </c>
      <c r="AP802" s="58">
        <v>1417.9863013698632</v>
      </c>
      <c r="AQ802" s="143">
        <f t="shared" si="419"/>
        <v>-1417.99</v>
      </c>
    </row>
    <row r="803" spans="1:43" x14ac:dyDescent="0.35">
      <c r="A803" s="69" t="s">
        <v>43</v>
      </c>
      <c r="B803" s="15" t="s">
        <v>2509</v>
      </c>
      <c r="C803" s="15"/>
      <c r="D803" s="69"/>
      <c r="E803" s="76">
        <v>0</v>
      </c>
      <c r="F803" s="69" t="s">
        <v>2453</v>
      </c>
      <c r="G803" s="137" t="s">
        <v>2454</v>
      </c>
      <c r="H803" s="76">
        <v>9011000002</v>
      </c>
      <c r="I803" s="92" t="s">
        <v>47</v>
      </c>
      <c r="J803" s="92">
        <v>1202010202</v>
      </c>
      <c r="K803" s="15"/>
      <c r="L803" s="95" t="s">
        <v>2510</v>
      </c>
      <c r="M803" s="69" t="s">
        <v>2511</v>
      </c>
      <c r="N803" s="69"/>
      <c r="O803" s="94">
        <v>30</v>
      </c>
      <c r="P803" s="69" t="s">
        <v>50</v>
      </c>
      <c r="Q803" s="69" t="s">
        <v>51</v>
      </c>
      <c r="R803" s="69"/>
      <c r="S803" s="46">
        <v>44992</v>
      </c>
      <c r="T803" s="48">
        <v>44992</v>
      </c>
      <c r="U803" s="69"/>
      <c r="V803" s="69"/>
      <c r="W803" s="69"/>
      <c r="X803" s="69"/>
      <c r="Y803" s="69" t="s">
        <v>4129</v>
      </c>
      <c r="Z803" s="43">
        <v>183515</v>
      </c>
      <c r="AA803" s="43" t="s">
        <v>52</v>
      </c>
      <c r="AB803" s="43" t="s">
        <v>53</v>
      </c>
      <c r="AC803" s="43">
        <v>1825</v>
      </c>
      <c r="AD803" s="141">
        <v>5</v>
      </c>
      <c r="AE803" s="142">
        <v>0</v>
      </c>
      <c r="AF803" s="142"/>
      <c r="AG803" s="69" t="str">
        <f t="shared" si="416"/>
        <v>1 years 301 days</v>
      </c>
      <c r="AH803" s="69">
        <v>1</v>
      </c>
      <c r="AI803" s="69">
        <v>301</v>
      </c>
      <c r="AJ803" s="69">
        <v>0</v>
      </c>
      <c r="AK803" s="69">
        <v>0</v>
      </c>
      <c r="AL803" s="60">
        <v>183515</v>
      </c>
      <c r="AM803" s="60">
        <f t="shared" si="417"/>
        <v>183515</v>
      </c>
      <c r="AN803" s="59">
        <v>66970</v>
      </c>
      <c r="AO803" s="148">
        <f t="shared" si="418"/>
        <v>-66970</v>
      </c>
      <c r="AP803" s="58">
        <v>18201.071232876711</v>
      </c>
      <c r="AQ803" s="143">
        <f t="shared" si="419"/>
        <v>-18201.07</v>
      </c>
    </row>
    <row r="804" spans="1:43" x14ac:dyDescent="0.35">
      <c r="A804" s="69" t="s">
        <v>43</v>
      </c>
      <c r="B804" s="15" t="s">
        <v>2512</v>
      </c>
      <c r="C804" s="15"/>
      <c r="D804" s="69"/>
      <c r="E804" s="76">
        <v>0</v>
      </c>
      <c r="F804" s="69" t="s">
        <v>2453</v>
      </c>
      <c r="G804" s="137" t="s">
        <v>2454</v>
      </c>
      <c r="H804" s="76">
        <v>9011000002</v>
      </c>
      <c r="I804" s="92" t="s">
        <v>47</v>
      </c>
      <c r="J804" s="92">
        <v>1202010202</v>
      </c>
      <c r="K804" s="15"/>
      <c r="L804" s="95" t="s">
        <v>2513</v>
      </c>
      <c r="M804" s="69" t="s">
        <v>2514</v>
      </c>
      <c r="N804" s="69"/>
      <c r="O804" s="94">
        <v>1</v>
      </c>
      <c r="P804" s="69" t="s">
        <v>50</v>
      </c>
      <c r="Q804" s="69" t="s">
        <v>51</v>
      </c>
      <c r="R804" s="69"/>
      <c r="S804" s="46">
        <v>45016</v>
      </c>
      <c r="T804" s="48">
        <v>45016</v>
      </c>
      <c r="U804" s="69"/>
      <c r="V804" s="69"/>
      <c r="W804" s="69"/>
      <c r="X804" s="69"/>
      <c r="Y804" s="69" t="s">
        <v>4129</v>
      </c>
      <c r="Z804" s="43">
        <v>62360</v>
      </c>
      <c r="AA804" s="43" t="s">
        <v>52</v>
      </c>
      <c r="AB804" s="43" t="s">
        <v>53</v>
      </c>
      <c r="AC804" s="43">
        <v>1825</v>
      </c>
      <c r="AD804" s="141">
        <v>5</v>
      </c>
      <c r="AE804" s="142">
        <v>0</v>
      </c>
      <c r="AF804" s="142"/>
      <c r="AG804" s="69" t="str">
        <f t="shared" ref="AG804:AG867" si="420">_xlfn.CONCAT(AH804," years ",AI804," days")</f>
        <v>1 years 277 days</v>
      </c>
      <c r="AH804" s="69">
        <v>1</v>
      </c>
      <c r="AI804" s="69">
        <v>277</v>
      </c>
      <c r="AJ804" s="69">
        <v>0</v>
      </c>
      <c r="AK804" s="69">
        <v>0</v>
      </c>
      <c r="AL804" s="60">
        <v>62360</v>
      </c>
      <c r="AM804" s="60">
        <f t="shared" ref="AM804:AM867" si="421">ROUND(AL804,2)</f>
        <v>62360</v>
      </c>
      <c r="AN804" s="59">
        <v>21971</v>
      </c>
      <c r="AO804" s="148">
        <f t="shared" ref="AO804:AO867" si="422">ROUND(AN804,2)*-1</f>
        <v>-21971</v>
      </c>
      <c r="AP804" s="58">
        <v>6184.9671232876717</v>
      </c>
      <c r="AQ804" s="143">
        <f t="shared" ref="AQ804:AQ867" si="423">ROUND(AP804,2)*-1</f>
        <v>-6184.97</v>
      </c>
    </row>
    <row r="805" spans="1:43" x14ac:dyDescent="0.35">
      <c r="A805" s="69" t="s">
        <v>43</v>
      </c>
      <c r="B805" s="15" t="s">
        <v>2515</v>
      </c>
      <c r="C805" s="15"/>
      <c r="D805" s="69"/>
      <c r="E805" s="76">
        <v>0</v>
      </c>
      <c r="F805" s="69" t="s">
        <v>2453</v>
      </c>
      <c r="G805" s="137" t="s">
        <v>2454</v>
      </c>
      <c r="H805" s="76">
        <v>9011000002</v>
      </c>
      <c r="I805" s="92" t="s">
        <v>47</v>
      </c>
      <c r="J805" s="92">
        <v>1202010202</v>
      </c>
      <c r="K805" s="15"/>
      <c r="L805" s="95" t="s">
        <v>2516</v>
      </c>
      <c r="M805" s="69" t="s">
        <v>2517</v>
      </c>
      <c r="N805" s="69"/>
      <c r="O805" s="94">
        <v>1</v>
      </c>
      <c r="P805" s="69" t="s">
        <v>50</v>
      </c>
      <c r="Q805" s="69" t="s">
        <v>51</v>
      </c>
      <c r="R805" s="69"/>
      <c r="S805" s="46">
        <v>45170</v>
      </c>
      <c r="T805" s="48">
        <v>45170</v>
      </c>
      <c r="U805" s="69"/>
      <c r="V805" s="69"/>
      <c r="W805" s="69"/>
      <c r="X805" s="69"/>
      <c r="Y805" s="69" t="s">
        <v>4129</v>
      </c>
      <c r="Z805" s="43">
        <v>30150</v>
      </c>
      <c r="AA805" s="43" t="s">
        <v>52</v>
      </c>
      <c r="AB805" s="43" t="s">
        <v>53</v>
      </c>
      <c r="AC805" s="43">
        <v>1825</v>
      </c>
      <c r="AD805" s="141">
        <v>5</v>
      </c>
      <c r="AE805" s="142">
        <v>0</v>
      </c>
      <c r="AF805" s="142"/>
      <c r="AG805" s="69" t="str">
        <f t="shared" si="420"/>
        <v>1 years 123 days</v>
      </c>
      <c r="AH805" s="69">
        <v>1</v>
      </c>
      <c r="AI805" s="69">
        <v>123</v>
      </c>
      <c r="AJ805" s="69">
        <v>0</v>
      </c>
      <c r="AK805" s="69">
        <v>0</v>
      </c>
      <c r="AL805" s="60">
        <v>30150</v>
      </c>
      <c r="AM805" s="60">
        <f t="shared" si="421"/>
        <v>30150</v>
      </c>
      <c r="AN805" s="59">
        <v>8062</v>
      </c>
      <c r="AO805" s="148">
        <f t="shared" si="422"/>
        <v>-8062</v>
      </c>
      <c r="AP805" s="58">
        <v>2990.2465753424658</v>
      </c>
      <c r="AQ805" s="143">
        <f t="shared" si="423"/>
        <v>-2990.25</v>
      </c>
    </row>
    <row r="806" spans="1:43" x14ac:dyDescent="0.35">
      <c r="A806" s="69" t="s">
        <v>43</v>
      </c>
      <c r="B806" s="15" t="s">
        <v>2518</v>
      </c>
      <c r="C806" s="15"/>
      <c r="D806" s="69"/>
      <c r="E806" s="76">
        <v>0</v>
      </c>
      <c r="F806" s="69" t="s">
        <v>2453</v>
      </c>
      <c r="G806" s="137" t="s">
        <v>2454</v>
      </c>
      <c r="H806" s="76">
        <v>9011000002</v>
      </c>
      <c r="I806" s="92" t="s">
        <v>47</v>
      </c>
      <c r="J806" s="92">
        <v>1202010202</v>
      </c>
      <c r="K806" s="15"/>
      <c r="L806" s="95" t="s">
        <v>2519</v>
      </c>
      <c r="M806" s="69" t="s">
        <v>2520</v>
      </c>
      <c r="N806" s="69"/>
      <c r="O806" s="94">
        <v>1</v>
      </c>
      <c r="P806" s="69" t="s">
        <v>50</v>
      </c>
      <c r="Q806" s="69" t="s">
        <v>51</v>
      </c>
      <c r="R806" s="69"/>
      <c r="S806" s="46">
        <v>45170</v>
      </c>
      <c r="T806" s="48">
        <v>45170</v>
      </c>
      <c r="U806" s="69"/>
      <c r="V806" s="69"/>
      <c r="W806" s="69"/>
      <c r="X806" s="69"/>
      <c r="Y806" s="69" t="s">
        <v>4129</v>
      </c>
      <c r="Z806" s="43">
        <v>74250</v>
      </c>
      <c r="AA806" s="43" t="s">
        <v>52</v>
      </c>
      <c r="AB806" s="43" t="s">
        <v>53</v>
      </c>
      <c r="AC806" s="43">
        <v>1825</v>
      </c>
      <c r="AD806" s="141">
        <v>5</v>
      </c>
      <c r="AE806" s="142">
        <v>0</v>
      </c>
      <c r="AF806" s="142"/>
      <c r="AG806" s="69" t="str">
        <f t="shared" si="420"/>
        <v>1 years 123 days</v>
      </c>
      <c r="AH806" s="69">
        <v>1</v>
      </c>
      <c r="AI806" s="69">
        <v>123</v>
      </c>
      <c r="AJ806" s="69">
        <v>0</v>
      </c>
      <c r="AK806" s="69">
        <v>0</v>
      </c>
      <c r="AL806" s="60">
        <v>74250</v>
      </c>
      <c r="AM806" s="60">
        <f t="shared" si="421"/>
        <v>74250</v>
      </c>
      <c r="AN806" s="59">
        <v>19854</v>
      </c>
      <c r="AO806" s="148">
        <f t="shared" si="422"/>
        <v>-19854</v>
      </c>
      <c r="AP806" s="58">
        <v>7364.2191780821922</v>
      </c>
      <c r="AQ806" s="143">
        <f t="shared" si="423"/>
        <v>-7364.22</v>
      </c>
    </row>
    <row r="807" spans="1:43" x14ac:dyDescent="0.35">
      <c r="A807" s="69" t="s">
        <v>43</v>
      </c>
      <c r="B807" s="15" t="s">
        <v>2521</v>
      </c>
      <c r="C807" s="15"/>
      <c r="D807" s="69"/>
      <c r="E807" s="76">
        <v>0</v>
      </c>
      <c r="F807" s="69" t="s">
        <v>2453</v>
      </c>
      <c r="G807" s="137" t="s">
        <v>2454</v>
      </c>
      <c r="H807" s="76">
        <v>9011000002</v>
      </c>
      <c r="I807" s="92" t="s">
        <v>47</v>
      </c>
      <c r="J807" s="92">
        <v>1202010202</v>
      </c>
      <c r="K807" s="15"/>
      <c r="L807" s="95" t="s">
        <v>2522</v>
      </c>
      <c r="M807" s="69" t="s">
        <v>2523</v>
      </c>
      <c r="N807" s="69"/>
      <c r="O807" s="94">
        <v>1</v>
      </c>
      <c r="P807" s="69" t="s">
        <v>50</v>
      </c>
      <c r="Q807" s="69" t="s">
        <v>51</v>
      </c>
      <c r="R807" s="69"/>
      <c r="S807" s="46">
        <v>45176</v>
      </c>
      <c r="T807" s="48">
        <v>45176</v>
      </c>
      <c r="U807" s="69"/>
      <c r="V807" s="69"/>
      <c r="W807" s="69"/>
      <c r="X807" s="69"/>
      <c r="Y807" s="69" t="s">
        <v>4129</v>
      </c>
      <c r="Z807" s="43">
        <v>36810</v>
      </c>
      <c r="AA807" s="43" t="s">
        <v>52</v>
      </c>
      <c r="AB807" s="43" t="s">
        <v>53</v>
      </c>
      <c r="AC807" s="43">
        <v>1825</v>
      </c>
      <c r="AD807" s="141">
        <v>5</v>
      </c>
      <c r="AE807" s="142">
        <v>0</v>
      </c>
      <c r="AF807" s="142"/>
      <c r="AG807" s="69" t="str">
        <f t="shared" si="420"/>
        <v>1 years 117 days</v>
      </c>
      <c r="AH807" s="69">
        <v>1</v>
      </c>
      <c r="AI807" s="69">
        <v>117</v>
      </c>
      <c r="AJ807" s="69">
        <v>0</v>
      </c>
      <c r="AK807" s="69">
        <v>0</v>
      </c>
      <c r="AL807" s="60">
        <v>36810</v>
      </c>
      <c r="AM807" s="60">
        <f t="shared" si="421"/>
        <v>36810</v>
      </c>
      <c r="AN807" s="59">
        <v>9722</v>
      </c>
      <c r="AO807" s="148">
        <f t="shared" si="422"/>
        <v>-9722</v>
      </c>
      <c r="AP807" s="58">
        <v>3650.6191780821937</v>
      </c>
      <c r="AQ807" s="143">
        <f t="shared" si="423"/>
        <v>-3650.62</v>
      </c>
    </row>
    <row r="808" spans="1:43" x14ac:dyDescent="0.35">
      <c r="A808" s="69" t="s">
        <v>43</v>
      </c>
      <c r="B808" s="15" t="s">
        <v>2524</v>
      </c>
      <c r="C808" s="15"/>
      <c r="D808" s="69"/>
      <c r="E808" s="76">
        <v>0</v>
      </c>
      <c r="F808" s="69" t="s">
        <v>2453</v>
      </c>
      <c r="G808" s="137" t="s">
        <v>2454</v>
      </c>
      <c r="H808" s="76">
        <v>9011000002</v>
      </c>
      <c r="I808" s="92" t="s">
        <v>47</v>
      </c>
      <c r="J808" s="92">
        <v>1202010202</v>
      </c>
      <c r="K808" s="15"/>
      <c r="L808" s="95" t="s">
        <v>2525</v>
      </c>
      <c r="M808" s="69" t="s">
        <v>2526</v>
      </c>
      <c r="N808" s="69"/>
      <c r="O808" s="94">
        <v>1</v>
      </c>
      <c r="P808" s="69" t="s">
        <v>50</v>
      </c>
      <c r="Q808" s="69" t="s">
        <v>51</v>
      </c>
      <c r="R808" s="69"/>
      <c r="S808" s="46">
        <v>45185</v>
      </c>
      <c r="T808" s="48">
        <v>45185</v>
      </c>
      <c r="U808" s="69"/>
      <c r="V808" s="69"/>
      <c r="W808" s="69"/>
      <c r="X808" s="69"/>
      <c r="Y808" s="69" t="s">
        <v>4129</v>
      </c>
      <c r="Z808" s="43">
        <v>47520</v>
      </c>
      <c r="AA808" s="43" t="s">
        <v>52</v>
      </c>
      <c r="AB808" s="43" t="s">
        <v>53</v>
      </c>
      <c r="AC808" s="43">
        <v>1825</v>
      </c>
      <c r="AD808" s="141">
        <v>5</v>
      </c>
      <c r="AE808" s="142">
        <v>0</v>
      </c>
      <c r="AF808" s="142"/>
      <c r="AG808" s="69" t="str">
        <f t="shared" si="420"/>
        <v>1 years 108 days</v>
      </c>
      <c r="AH808" s="69">
        <v>1</v>
      </c>
      <c r="AI808" s="69">
        <v>108</v>
      </c>
      <c r="AJ808" s="69">
        <v>0</v>
      </c>
      <c r="AK808" s="69">
        <v>0</v>
      </c>
      <c r="AL808" s="60">
        <v>47520</v>
      </c>
      <c r="AM808" s="60">
        <f t="shared" si="421"/>
        <v>47520</v>
      </c>
      <c r="AN808" s="59">
        <v>12316</v>
      </c>
      <c r="AO808" s="148">
        <f t="shared" si="422"/>
        <v>-12316</v>
      </c>
      <c r="AP808" s="58">
        <v>4713.0849315068481</v>
      </c>
      <c r="AQ808" s="143">
        <f t="shared" si="423"/>
        <v>-4713.08</v>
      </c>
    </row>
    <row r="809" spans="1:43" x14ac:dyDescent="0.35">
      <c r="A809" s="69" t="s">
        <v>43</v>
      </c>
      <c r="B809" s="15" t="s">
        <v>2527</v>
      </c>
      <c r="C809" s="15"/>
      <c r="D809" s="69"/>
      <c r="E809" s="76">
        <v>0</v>
      </c>
      <c r="F809" s="69" t="s">
        <v>2453</v>
      </c>
      <c r="G809" s="137" t="s">
        <v>2454</v>
      </c>
      <c r="H809" s="76">
        <v>9011000002</v>
      </c>
      <c r="I809" s="92" t="s">
        <v>47</v>
      </c>
      <c r="J809" s="92">
        <v>1202010202</v>
      </c>
      <c r="K809" s="15"/>
      <c r="L809" s="95" t="s">
        <v>2528</v>
      </c>
      <c r="M809" s="69" t="s">
        <v>2529</v>
      </c>
      <c r="N809" s="69"/>
      <c r="O809" s="94">
        <v>1</v>
      </c>
      <c r="P809" s="69" t="s">
        <v>50</v>
      </c>
      <c r="Q809" s="69" t="s">
        <v>51</v>
      </c>
      <c r="R809" s="69"/>
      <c r="S809" s="46">
        <v>45231</v>
      </c>
      <c r="T809" s="48">
        <v>45231</v>
      </c>
      <c r="U809" s="69"/>
      <c r="V809" s="69"/>
      <c r="W809" s="69"/>
      <c r="X809" s="69"/>
      <c r="Y809" s="69" t="s">
        <v>4129</v>
      </c>
      <c r="Z809" s="43">
        <v>76404</v>
      </c>
      <c r="AA809" s="43" t="s">
        <v>52</v>
      </c>
      <c r="AB809" s="43" t="s">
        <v>53</v>
      </c>
      <c r="AC809" s="43">
        <v>1825</v>
      </c>
      <c r="AD809" s="141">
        <v>5</v>
      </c>
      <c r="AE809" s="142">
        <v>0</v>
      </c>
      <c r="AF809" s="142"/>
      <c r="AG809" s="69" t="str">
        <f t="shared" si="420"/>
        <v>1 years 62 days</v>
      </c>
      <c r="AH809" s="69">
        <v>1</v>
      </c>
      <c r="AI809" s="69">
        <v>62</v>
      </c>
      <c r="AJ809" s="69">
        <v>0</v>
      </c>
      <c r="AK809" s="69">
        <v>0</v>
      </c>
      <c r="AL809" s="60">
        <v>76404</v>
      </c>
      <c r="AM809" s="60">
        <f t="shared" si="421"/>
        <v>76404</v>
      </c>
      <c r="AN809" s="59">
        <v>17876</v>
      </c>
      <c r="AO809" s="148">
        <f t="shared" si="422"/>
        <v>-17876</v>
      </c>
      <c r="AP809" s="58">
        <v>7578.0449315068508</v>
      </c>
      <c r="AQ809" s="143">
        <f t="shared" si="423"/>
        <v>-7578.04</v>
      </c>
    </row>
    <row r="810" spans="1:43" x14ac:dyDescent="0.35">
      <c r="A810" s="69" t="s">
        <v>43</v>
      </c>
      <c r="B810" s="15" t="s">
        <v>2530</v>
      </c>
      <c r="C810" s="15"/>
      <c r="D810" s="69"/>
      <c r="E810" s="76">
        <v>0</v>
      </c>
      <c r="F810" s="69" t="s">
        <v>2453</v>
      </c>
      <c r="G810" s="137" t="s">
        <v>2454</v>
      </c>
      <c r="H810" s="76">
        <v>9011000002</v>
      </c>
      <c r="I810" s="92" t="s">
        <v>47</v>
      </c>
      <c r="J810" s="92">
        <v>1202010202</v>
      </c>
      <c r="K810" s="15"/>
      <c r="L810" s="95" t="s">
        <v>2531</v>
      </c>
      <c r="M810" s="69" t="s">
        <v>2532</v>
      </c>
      <c r="N810" s="69"/>
      <c r="O810" s="94">
        <v>1</v>
      </c>
      <c r="P810" s="69" t="s">
        <v>50</v>
      </c>
      <c r="Q810" s="69" t="s">
        <v>51</v>
      </c>
      <c r="R810" s="69"/>
      <c r="S810" s="46">
        <v>45303</v>
      </c>
      <c r="T810" s="48">
        <v>45303</v>
      </c>
      <c r="U810" s="69"/>
      <c r="V810" s="69"/>
      <c r="W810" s="69"/>
      <c r="X810" s="69"/>
      <c r="Y810" s="69" t="s">
        <v>4130</v>
      </c>
      <c r="Z810" s="43">
        <v>54357</v>
      </c>
      <c r="AA810" s="43" t="s">
        <v>52</v>
      </c>
      <c r="AB810" s="43" t="s">
        <v>53</v>
      </c>
      <c r="AC810" s="43">
        <v>1825</v>
      </c>
      <c r="AD810" s="141">
        <v>5</v>
      </c>
      <c r="AE810" s="142">
        <v>0</v>
      </c>
      <c r="AF810" s="142"/>
      <c r="AG810" s="69" t="str">
        <f t="shared" si="420"/>
        <v>0 years 355 days</v>
      </c>
      <c r="AH810" s="69">
        <v>0</v>
      </c>
      <c r="AI810" s="69">
        <v>355</v>
      </c>
      <c r="AJ810" s="69">
        <v>0</v>
      </c>
      <c r="AK810" s="69">
        <v>0</v>
      </c>
      <c r="AL810" s="60">
        <v>54357</v>
      </c>
      <c r="AM810" s="60">
        <f t="shared" si="421"/>
        <v>54357</v>
      </c>
      <c r="AN810" s="59">
        <v>10574</v>
      </c>
      <c r="AO810" s="148">
        <f t="shared" si="422"/>
        <v>-10574</v>
      </c>
      <c r="AP810" s="58">
        <v>5390.5764383561636</v>
      </c>
      <c r="AQ810" s="143">
        <f t="shared" si="423"/>
        <v>-5390.58</v>
      </c>
    </row>
    <row r="811" spans="1:43" x14ac:dyDescent="0.35">
      <c r="A811" s="69" t="s">
        <v>43</v>
      </c>
      <c r="B811" s="15" t="s">
        <v>2533</v>
      </c>
      <c r="C811" s="15"/>
      <c r="D811" s="69"/>
      <c r="E811" s="76">
        <v>0</v>
      </c>
      <c r="F811" s="69" t="s">
        <v>2453</v>
      </c>
      <c r="G811" s="137" t="s">
        <v>2454</v>
      </c>
      <c r="H811" s="76">
        <v>9011000002</v>
      </c>
      <c r="I811" s="92" t="s">
        <v>47</v>
      </c>
      <c r="J811" s="92">
        <v>1202010202</v>
      </c>
      <c r="K811" s="15"/>
      <c r="L811" s="95" t="s">
        <v>2534</v>
      </c>
      <c r="M811" s="69" t="s">
        <v>2535</v>
      </c>
      <c r="N811" s="69"/>
      <c r="O811" s="94">
        <v>1</v>
      </c>
      <c r="P811" s="69" t="s">
        <v>50</v>
      </c>
      <c r="Q811" s="69" t="s">
        <v>51</v>
      </c>
      <c r="R811" s="69"/>
      <c r="S811" s="46">
        <v>45382</v>
      </c>
      <c r="T811" s="48">
        <v>45382</v>
      </c>
      <c r="U811" s="69"/>
      <c r="V811" s="69"/>
      <c r="W811" s="69"/>
      <c r="X811" s="69"/>
      <c r="Y811" s="69" t="s">
        <v>4130</v>
      </c>
      <c r="Z811" s="43">
        <v>395360</v>
      </c>
      <c r="AA811" s="43" t="s">
        <v>52</v>
      </c>
      <c r="AB811" s="43" t="s">
        <v>53</v>
      </c>
      <c r="AC811" s="43">
        <v>1825</v>
      </c>
      <c r="AD811" s="141">
        <v>5</v>
      </c>
      <c r="AE811" s="142">
        <v>0</v>
      </c>
      <c r="AF811" s="142"/>
      <c r="AG811" s="69" t="str">
        <f t="shared" si="420"/>
        <v>0 years 276 days</v>
      </c>
      <c r="AH811" s="69">
        <v>0</v>
      </c>
      <c r="AI811" s="69">
        <v>276</v>
      </c>
      <c r="AJ811" s="69">
        <v>0</v>
      </c>
      <c r="AK811" s="69">
        <v>0</v>
      </c>
      <c r="AL811" s="60">
        <v>395360</v>
      </c>
      <c r="AM811" s="60">
        <f t="shared" si="421"/>
        <v>395360</v>
      </c>
      <c r="AN811" s="59">
        <v>60008</v>
      </c>
      <c r="AO811" s="148">
        <f t="shared" si="422"/>
        <v>-60008</v>
      </c>
      <c r="AP811" s="58">
        <v>39211.112328767136</v>
      </c>
      <c r="AQ811" s="143">
        <f t="shared" si="423"/>
        <v>-39211.11</v>
      </c>
    </row>
    <row r="812" spans="1:43" x14ac:dyDescent="0.35">
      <c r="A812" s="69" t="s">
        <v>43</v>
      </c>
      <c r="B812" s="15" t="s">
        <v>2536</v>
      </c>
      <c r="C812" s="15"/>
      <c r="D812" s="69"/>
      <c r="E812" s="76">
        <v>0</v>
      </c>
      <c r="F812" s="69" t="s">
        <v>2453</v>
      </c>
      <c r="G812" s="137" t="s">
        <v>2454</v>
      </c>
      <c r="H812" s="76">
        <v>9011000002</v>
      </c>
      <c r="I812" s="92" t="s">
        <v>47</v>
      </c>
      <c r="J812" s="92">
        <v>1202010202</v>
      </c>
      <c r="K812" s="15"/>
      <c r="L812" s="95" t="s">
        <v>2537</v>
      </c>
      <c r="M812" s="69" t="s">
        <v>2538</v>
      </c>
      <c r="N812" s="69"/>
      <c r="O812" s="94">
        <v>1</v>
      </c>
      <c r="P812" s="69" t="s">
        <v>50</v>
      </c>
      <c r="Q812" s="69" t="s">
        <v>51</v>
      </c>
      <c r="R812" s="69"/>
      <c r="S812" s="46">
        <v>45382</v>
      </c>
      <c r="T812" s="48">
        <v>45382</v>
      </c>
      <c r="U812" s="69"/>
      <c r="V812" s="69"/>
      <c r="W812" s="69"/>
      <c r="X812" s="69"/>
      <c r="Y812" s="69" t="s">
        <v>4130</v>
      </c>
      <c r="Z812" s="43">
        <v>405774.96</v>
      </c>
      <c r="AA812" s="43" t="s">
        <v>52</v>
      </c>
      <c r="AB812" s="43" t="s">
        <v>53</v>
      </c>
      <c r="AC812" s="43">
        <v>1825</v>
      </c>
      <c r="AD812" s="141">
        <v>5</v>
      </c>
      <c r="AE812" s="142">
        <v>0</v>
      </c>
      <c r="AF812" s="142"/>
      <c r="AG812" s="69" t="str">
        <f t="shared" si="420"/>
        <v>0 years 276 days</v>
      </c>
      <c r="AH812" s="69">
        <v>0</v>
      </c>
      <c r="AI812" s="69">
        <v>276</v>
      </c>
      <c r="AJ812" s="69">
        <v>0</v>
      </c>
      <c r="AK812" s="69">
        <v>0</v>
      </c>
      <c r="AL812" s="60">
        <v>405774.96</v>
      </c>
      <c r="AM812" s="60">
        <f t="shared" si="421"/>
        <v>405774.96</v>
      </c>
      <c r="AN812" s="59">
        <v>61589</v>
      </c>
      <c r="AO812" s="148">
        <f t="shared" si="422"/>
        <v>-61589</v>
      </c>
      <c r="AP812" s="58">
        <v>40243.839276712344</v>
      </c>
      <c r="AQ812" s="143">
        <f t="shared" si="423"/>
        <v>-40243.839999999997</v>
      </c>
    </row>
    <row r="813" spans="1:43" x14ac:dyDescent="0.35">
      <c r="A813" s="69" t="s">
        <v>43</v>
      </c>
      <c r="B813" s="15" t="s">
        <v>2539</v>
      </c>
      <c r="C813" s="15"/>
      <c r="D813" s="69"/>
      <c r="E813" s="76">
        <v>0</v>
      </c>
      <c r="F813" s="69" t="s">
        <v>2453</v>
      </c>
      <c r="G813" s="137" t="s">
        <v>2454</v>
      </c>
      <c r="H813" s="76">
        <v>9011000002</v>
      </c>
      <c r="I813" s="92" t="s">
        <v>47</v>
      </c>
      <c r="J813" s="92">
        <v>1202010202</v>
      </c>
      <c r="K813" s="15"/>
      <c r="L813" s="95" t="s">
        <v>2540</v>
      </c>
      <c r="M813" s="69" t="s">
        <v>49</v>
      </c>
      <c r="N813" s="69"/>
      <c r="O813" s="94">
        <v>10</v>
      </c>
      <c r="P813" s="69" t="s">
        <v>50</v>
      </c>
      <c r="Q813" s="69" t="s">
        <v>51</v>
      </c>
      <c r="R813" s="69"/>
      <c r="S813" s="46">
        <v>44874</v>
      </c>
      <c r="T813" s="48">
        <v>44874</v>
      </c>
      <c r="U813" s="69"/>
      <c r="V813" s="69"/>
      <c r="W813" s="69"/>
      <c r="X813" s="69"/>
      <c r="Y813" s="69" t="s">
        <v>4131</v>
      </c>
      <c r="Z813" s="43">
        <v>27000</v>
      </c>
      <c r="AA813" s="43" t="s">
        <v>52</v>
      </c>
      <c r="AB813" s="43" t="s">
        <v>53</v>
      </c>
      <c r="AC813" s="43">
        <v>1825</v>
      </c>
      <c r="AD813" s="141">
        <v>5</v>
      </c>
      <c r="AE813" s="142">
        <v>0</v>
      </c>
      <c r="AF813" s="142"/>
      <c r="AG813" s="69" t="str">
        <f t="shared" si="420"/>
        <v>2 years 54 days</v>
      </c>
      <c r="AH813" s="69">
        <v>2</v>
      </c>
      <c r="AI813" s="69">
        <v>54</v>
      </c>
      <c r="AJ813" s="69">
        <v>0</v>
      </c>
      <c r="AK813" s="69">
        <v>0</v>
      </c>
      <c r="AL813" s="60">
        <v>27000</v>
      </c>
      <c r="AM813" s="60">
        <f t="shared" si="421"/>
        <v>27000</v>
      </c>
      <c r="AN813" s="59">
        <v>27000</v>
      </c>
      <c r="AO813" s="148">
        <f t="shared" si="422"/>
        <v>-27000</v>
      </c>
      <c r="AP813" s="58">
        <v>0</v>
      </c>
      <c r="AQ813" s="143">
        <f t="shared" si="423"/>
        <v>0</v>
      </c>
    </row>
    <row r="814" spans="1:43" x14ac:dyDescent="0.35">
      <c r="A814" s="69" t="s">
        <v>43</v>
      </c>
      <c r="B814" s="15" t="s">
        <v>2541</v>
      </c>
      <c r="C814" s="15"/>
      <c r="D814" s="69"/>
      <c r="E814" s="76">
        <v>0</v>
      </c>
      <c r="F814" s="69" t="s">
        <v>2453</v>
      </c>
      <c r="G814" s="137" t="s">
        <v>2454</v>
      </c>
      <c r="H814" s="76">
        <v>9011000002</v>
      </c>
      <c r="I814" s="92" t="s">
        <v>47</v>
      </c>
      <c r="J814" s="92">
        <v>1202010202</v>
      </c>
      <c r="K814" s="15"/>
      <c r="L814" s="95" t="s">
        <v>2542</v>
      </c>
      <c r="M814" s="69" t="s">
        <v>49</v>
      </c>
      <c r="N814" s="69"/>
      <c r="O814" s="94">
        <v>1</v>
      </c>
      <c r="P814" s="69" t="s">
        <v>50</v>
      </c>
      <c r="Q814" s="69" t="s">
        <v>51</v>
      </c>
      <c r="R814" s="69"/>
      <c r="S814" s="46">
        <v>44874</v>
      </c>
      <c r="T814" s="48">
        <v>44874</v>
      </c>
      <c r="U814" s="69"/>
      <c r="V814" s="69"/>
      <c r="W814" s="69"/>
      <c r="X814" s="69"/>
      <c r="Y814" s="69" t="s">
        <v>4131</v>
      </c>
      <c r="Z814" s="43">
        <v>16000</v>
      </c>
      <c r="AA814" s="43" t="s">
        <v>52</v>
      </c>
      <c r="AB814" s="43" t="s">
        <v>53</v>
      </c>
      <c r="AC814" s="43">
        <v>1825</v>
      </c>
      <c r="AD814" s="141">
        <v>5</v>
      </c>
      <c r="AE814" s="142">
        <v>0</v>
      </c>
      <c r="AF814" s="142"/>
      <c r="AG814" s="69" t="str">
        <f t="shared" si="420"/>
        <v>2 years 54 days</v>
      </c>
      <c r="AH814" s="69">
        <v>2</v>
      </c>
      <c r="AI814" s="69">
        <v>54</v>
      </c>
      <c r="AJ814" s="69">
        <v>0</v>
      </c>
      <c r="AK814" s="69">
        <v>0</v>
      </c>
      <c r="AL814" s="60">
        <v>16000</v>
      </c>
      <c r="AM814" s="60">
        <f t="shared" si="421"/>
        <v>16000</v>
      </c>
      <c r="AN814" s="59">
        <v>16000</v>
      </c>
      <c r="AO814" s="148">
        <f t="shared" si="422"/>
        <v>-16000</v>
      </c>
      <c r="AP814" s="58">
        <v>0</v>
      </c>
      <c r="AQ814" s="143">
        <f t="shared" si="423"/>
        <v>0</v>
      </c>
    </row>
    <row r="815" spans="1:43" x14ac:dyDescent="0.35">
      <c r="A815" s="69" t="s">
        <v>43</v>
      </c>
      <c r="B815" s="15" t="s">
        <v>2543</v>
      </c>
      <c r="C815" s="15"/>
      <c r="D815" s="69"/>
      <c r="E815" s="76">
        <v>0</v>
      </c>
      <c r="F815" s="69" t="s">
        <v>2453</v>
      </c>
      <c r="G815" s="137" t="s">
        <v>2454</v>
      </c>
      <c r="H815" s="76">
        <v>9011000002</v>
      </c>
      <c r="I815" s="92" t="s">
        <v>47</v>
      </c>
      <c r="J815" s="92">
        <v>1202010202</v>
      </c>
      <c r="K815" s="15"/>
      <c r="L815" s="95" t="s">
        <v>2544</v>
      </c>
      <c r="M815" s="69" t="s">
        <v>2545</v>
      </c>
      <c r="N815" s="69"/>
      <c r="O815" s="94">
        <v>1</v>
      </c>
      <c r="P815" s="69" t="s">
        <v>50</v>
      </c>
      <c r="Q815" s="69" t="s">
        <v>51</v>
      </c>
      <c r="R815" s="69"/>
      <c r="S815" s="46">
        <v>44869</v>
      </c>
      <c r="T815" s="48">
        <v>44869</v>
      </c>
      <c r="U815" s="69"/>
      <c r="V815" s="69"/>
      <c r="W815" s="69"/>
      <c r="X815" s="69"/>
      <c r="Y815" s="69" t="s">
        <v>4131</v>
      </c>
      <c r="Z815" s="43">
        <v>13000</v>
      </c>
      <c r="AA815" s="43" t="s">
        <v>52</v>
      </c>
      <c r="AB815" s="43" t="s">
        <v>53</v>
      </c>
      <c r="AC815" s="43">
        <v>1825</v>
      </c>
      <c r="AD815" s="141">
        <v>5</v>
      </c>
      <c r="AE815" s="142">
        <v>0</v>
      </c>
      <c r="AF815" s="142"/>
      <c r="AG815" s="69" t="str">
        <f t="shared" si="420"/>
        <v>2 years 59 days</v>
      </c>
      <c r="AH815" s="69">
        <v>2</v>
      </c>
      <c r="AI815" s="69">
        <v>59</v>
      </c>
      <c r="AJ815" s="69">
        <v>0</v>
      </c>
      <c r="AK815" s="69">
        <v>0</v>
      </c>
      <c r="AL815" s="60">
        <v>13000</v>
      </c>
      <c r="AM815" s="60">
        <f t="shared" si="421"/>
        <v>13000</v>
      </c>
      <c r="AN815" s="59">
        <v>12786</v>
      </c>
      <c r="AO815" s="148">
        <f t="shared" si="422"/>
        <v>-12786</v>
      </c>
      <c r="AP815" s="58">
        <v>214</v>
      </c>
      <c r="AQ815" s="143">
        <f t="shared" si="423"/>
        <v>-214</v>
      </c>
    </row>
    <row r="816" spans="1:43" x14ac:dyDescent="0.35">
      <c r="A816" s="69" t="s">
        <v>43</v>
      </c>
      <c r="B816" s="15" t="s">
        <v>2546</v>
      </c>
      <c r="C816" s="15"/>
      <c r="D816" s="69"/>
      <c r="E816" s="76">
        <v>0</v>
      </c>
      <c r="F816" s="69" t="s">
        <v>2453</v>
      </c>
      <c r="G816" s="137" t="s">
        <v>2454</v>
      </c>
      <c r="H816" s="76">
        <v>9011000002</v>
      </c>
      <c r="I816" s="92" t="s">
        <v>47</v>
      </c>
      <c r="J816" s="92">
        <v>1202010202</v>
      </c>
      <c r="K816" s="15"/>
      <c r="L816" s="95" t="s">
        <v>2547</v>
      </c>
      <c r="M816" s="69" t="s">
        <v>2548</v>
      </c>
      <c r="N816" s="69"/>
      <c r="O816" s="94">
        <v>1</v>
      </c>
      <c r="P816" s="69" t="s">
        <v>50</v>
      </c>
      <c r="Q816" s="69" t="s">
        <v>51</v>
      </c>
      <c r="R816" s="69"/>
      <c r="S816" s="46">
        <v>44869</v>
      </c>
      <c r="T816" s="48">
        <v>44869</v>
      </c>
      <c r="U816" s="69"/>
      <c r="V816" s="69"/>
      <c r="W816" s="69"/>
      <c r="X816" s="69"/>
      <c r="Y816" s="69" t="s">
        <v>4131</v>
      </c>
      <c r="Z816" s="43">
        <v>11500</v>
      </c>
      <c r="AA816" s="43" t="s">
        <v>52</v>
      </c>
      <c r="AB816" s="43" t="s">
        <v>53</v>
      </c>
      <c r="AC816" s="43">
        <v>1825</v>
      </c>
      <c r="AD816" s="141">
        <v>5</v>
      </c>
      <c r="AE816" s="142">
        <v>0</v>
      </c>
      <c r="AF816" s="142"/>
      <c r="AG816" s="69" t="str">
        <f t="shared" si="420"/>
        <v>2 years 59 days</v>
      </c>
      <c r="AH816" s="69">
        <v>2</v>
      </c>
      <c r="AI816" s="69">
        <v>59</v>
      </c>
      <c r="AJ816" s="69">
        <v>0</v>
      </c>
      <c r="AK816" s="69">
        <v>0</v>
      </c>
      <c r="AL816" s="60">
        <v>11500</v>
      </c>
      <c r="AM816" s="60">
        <f t="shared" si="421"/>
        <v>11500</v>
      </c>
      <c r="AN816" s="59">
        <v>7360</v>
      </c>
      <c r="AO816" s="148">
        <f t="shared" si="422"/>
        <v>-7360</v>
      </c>
      <c r="AP816" s="58">
        <v>1140.5479452054788</v>
      </c>
      <c r="AQ816" s="143">
        <f t="shared" si="423"/>
        <v>-1140.55</v>
      </c>
    </row>
    <row r="817" spans="1:43" x14ac:dyDescent="0.35">
      <c r="A817" s="69" t="s">
        <v>43</v>
      </c>
      <c r="B817" s="15" t="s">
        <v>2549</v>
      </c>
      <c r="C817" s="15"/>
      <c r="D817" s="69"/>
      <c r="E817" s="76">
        <v>0</v>
      </c>
      <c r="F817" s="69" t="s">
        <v>2453</v>
      </c>
      <c r="G817" s="12" t="s">
        <v>2454</v>
      </c>
      <c r="H817" s="76">
        <v>9011000002</v>
      </c>
      <c r="I817" s="92" t="s">
        <v>47</v>
      </c>
      <c r="J817" s="92">
        <v>1202010202</v>
      </c>
      <c r="K817" s="15"/>
      <c r="L817" s="95" t="s">
        <v>2550</v>
      </c>
      <c r="M817" s="69" t="s">
        <v>2551</v>
      </c>
      <c r="N817" s="69"/>
      <c r="O817" s="94">
        <v>2</v>
      </c>
      <c r="P817" s="69" t="s">
        <v>50</v>
      </c>
      <c r="Q817" s="69" t="s">
        <v>51</v>
      </c>
      <c r="R817" s="69"/>
      <c r="S817" s="46">
        <v>44869</v>
      </c>
      <c r="T817" s="48">
        <v>44869</v>
      </c>
      <c r="U817" s="69"/>
      <c r="V817" s="69"/>
      <c r="W817" s="69"/>
      <c r="X817" s="69"/>
      <c r="Y817" s="69" t="s">
        <v>4131</v>
      </c>
      <c r="Z817" s="43">
        <v>9000</v>
      </c>
      <c r="AA817" s="43" t="s">
        <v>52</v>
      </c>
      <c r="AB817" s="43" t="s">
        <v>53</v>
      </c>
      <c r="AC817" s="43">
        <v>1825</v>
      </c>
      <c r="AD817" s="141">
        <v>5</v>
      </c>
      <c r="AE817" s="142">
        <v>0</v>
      </c>
      <c r="AF817" s="142"/>
      <c r="AG817" s="69" t="str">
        <f t="shared" si="420"/>
        <v>2 years 59 days</v>
      </c>
      <c r="AH817" s="69">
        <v>2</v>
      </c>
      <c r="AI817" s="69">
        <v>59</v>
      </c>
      <c r="AJ817" s="69">
        <v>0</v>
      </c>
      <c r="AK817" s="69">
        <v>0</v>
      </c>
      <c r="AL817" s="60">
        <v>9000</v>
      </c>
      <c r="AM817" s="60">
        <f t="shared" si="421"/>
        <v>9000</v>
      </c>
      <c r="AN817" s="59">
        <v>7614</v>
      </c>
      <c r="AO817" s="148">
        <f t="shared" si="422"/>
        <v>-7614</v>
      </c>
      <c r="AP817" s="58">
        <v>892.84931506849352</v>
      </c>
      <c r="AQ817" s="143">
        <f t="shared" si="423"/>
        <v>-892.85</v>
      </c>
    </row>
    <row r="818" spans="1:43" x14ac:dyDescent="0.35">
      <c r="A818" s="69" t="s">
        <v>43</v>
      </c>
      <c r="B818" s="15" t="s">
        <v>2552</v>
      </c>
      <c r="C818" s="15"/>
      <c r="D818" s="69"/>
      <c r="E818" s="76">
        <v>0</v>
      </c>
      <c r="F818" s="69" t="s">
        <v>2453</v>
      </c>
      <c r="G818" s="137" t="s">
        <v>2454</v>
      </c>
      <c r="H818" s="76">
        <v>9011000002</v>
      </c>
      <c r="I818" s="92" t="s">
        <v>47</v>
      </c>
      <c r="J818" s="92">
        <v>1202010202</v>
      </c>
      <c r="K818" s="15"/>
      <c r="L818" s="95" t="s">
        <v>2553</v>
      </c>
      <c r="M818" s="69" t="s">
        <v>2554</v>
      </c>
      <c r="N818" s="69"/>
      <c r="O818" s="94">
        <v>4</v>
      </c>
      <c r="P818" s="69" t="s">
        <v>50</v>
      </c>
      <c r="Q818" s="69" t="s">
        <v>51</v>
      </c>
      <c r="R818" s="69"/>
      <c r="S818" s="46">
        <v>44869</v>
      </c>
      <c r="T818" s="48">
        <v>44869</v>
      </c>
      <c r="U818" s="69"/>
      <c r="V818" s="69"/>
      <c r="W818" s="69"/>
      <c r="X818" s="69"/>
      <c r="Y818" s="69" t="s">
        <v>4131</v>
      </c>
      <c r="Z818" s="43">
        <v>8000</v>
      </c>
      <c r="AA818" s="43" t="s">
        <v>52</v>
      </c>
      <c r="AB818" s="43" t="s">
        <v>53</v>
      </c>
      <c r="AC818" s="43">
        <v>1825</v>
      </c>
      <c r="AD818" s="141">
        <v>5</v>
      </c>
      <c r="AE818" s="142">
        <v>0</v>
      </c>
      <c r="AF818" s="142"/>
      <c r="AG818" s="69" t="str">
        <f t="shared" si="420"/>
        <v>2 years 59 days</v>
      </c>
      <c r="AH818" s="69">
        <v>2</v>
      </c>
      <c r="AI818" s="69">
        <v>59</v>
      </c>
      <c r="AJ818" s="69">
        <v>0</v>
      </c>
      <c r="AK818" s="69">
        <v>0</v>
      </c>
      <c r="AL818" s="60">
        <v>8000</v>
      </c>
      <c r="AM818" s="60">
        <f t="shared" si="421"/>
        <v>8000</v>
      </c>
      <c r="AN818" s="59">
        <v>6759</v>
      </c>
      <c r="AO818" s="148">
        <f t="shared" si="422"/>
        <v>-6759</v>
      </c>
      <c r="AP818" s="58">
        <v>793.87671232876619</v>
      </c>
      <c r="AQ818" s="143">
        <f t="shared" si="423"/>
        <v>-793.88</v>
      </c>
    </row>
    <row r="819" spans="1:43" x14ac:dyDescent="0.35">
      <c r="A819" s="69" t="s">
        <v>43</v>
      </c>
      <c r="B819" s="15" t="s">
        <v>2555</v>
      </c>
      <c r="C819" s="15"/>
      <c r="D819" s="69"/>
      <c r="E819" s="76">
        <v>0</v>
      </c>
      <c r="F819" s="69" t="s">
        <v>2453</v>
      </c>
      <c r="G819" s="137" t="s">
        <v>2454</v>
      </c>
      <c r="H819" s="76">
        <v>9011000002</v>
      </c>
      <c r="I819" s="92" t="s">
        <v>47</v>
      </c>
      <c r="J819" s="92">
        <v>1202010202</v>
      </c>
      <c r="K819" s="15"/>
      <c r="L819" s="95" t="s">
        <v>2556</v>
      </c>
      <c r="M819" s="69" t="s">
        <v>49</v>
      </c>
      <c r="N819" s="69"/>
      <c r="O819" s="94">
        <v>1</v>
      </c>
      <c r="P819" s="69" t="s">
        <v>50</v>
      </c>
      <c r="Q819" s="69" t="s">
        <v>51</v>
      </c>
      <c r="R819" s="69"/>
      <c r="S819" s="46">
        <v>44893</v>
      </c>
      <c r="T819" s="48">
        <v>44893</v>
      </c>
      <c r="U819" s="69"/>
      <c r="V819" s="69"/>
      <c r="W819" s="69"/>
      <c r="X819" s="69"/>
      <c r="Y819" s="69" t="s">
        <v>4131</v>
      </c>
      <c r="Z819" s="43">
        <v>12500</v>
      </c>
      <c r="AA819" s="43" t="s">
        <v>52</v>
      </c>
      <c r="AB819" s="43" t="s">
        <v>53</v>
      </c>
      <c r="AC819" s="43">
        <v>1825</v>
      </c>
      <c r="AD819" s="141">
        <v>5</v>
      </c>
      <c r="AE819" s="142">
        <v>0</v>
      </c>
      <c r="AF819" s="142"/>
      <c r="AG819" s="69" t="str">
        <f t="shared" si="420"/>
        <v>2 years 35 days</v>
      </c>
      <c r="AH819" s="69">
        <v>2</v>
      </c>
      <c r="AI819" s="69">
        <v>35</v>
      </c>
      <c r="AJ819" s="69">
        <v>0</v>
      </c>
      <c r="AK819" s="69">
        <v>0</v>
      </c>
      <c r="AL819" s="60">
        <v>12500</v>
      </c>
      <c r="AM819" s="60">
        <f t="shared" si="421"/>
        <v>12500</v>
      </c>
      <c r="AN819" s="59">
        <v>12500</v>
      </c>
      <c r="AO819" s="148">
        <f t="shared" si="422"/>
        <v>-12500</v>
      </c>
      <c r="AP819" s="58">
        <v>0</v>
      </c>
      <c r="AQ819" s="143">
        <f t="shared" si="423"/>
        <v>0</v>
      </c>
    </row>
    <row r="820" spans="1:43" x14ac:dyDescent="0.35">
      <c r="A820" s="69" t="s">
        <v>43</v>
      </c>
      <c r="B820" s="15" t="s">
        <v>2557</v>
      </c>
      <c r="C820" s="15"/>
      <c r="D820" s="69"/>
      <c r="E820" s="76">
        <v>0</v>
      </c>
      <c r="F820" s="69" t="s">
        <v>2453</v>
      </c>
      <c r="G820" s="137" t="s">
        <v>2454</v>
      </c>
      <c r="H820" s="76">
        <v>9011000002</v>
      </c>
      <c r="I820" s="92" t="s">
        <v>47</v>
      </c>
      <c r="J820" s="92">
        <v>1202010202</v>
      </c>
      <c r="K820" s="15"/>
      <c r="L820" s="95" t="s">
        <v>2558</v>
      </c>
      <c r="M820" s="69" t="s">
        <v>49</v>
      </c>
      <c r="N820" s="69"/>
      <c r="O820" s="94">
        <v>1</v>
      </c>
      <c r="P820" s="69" t="s">
        <v>50</v>
      </c>
      <c r="Q820" s="69" t="s">
        <v>51</v>
      </c>
      <c r="R820" s="69"/>
      <c r="S820" s="46">
        <v>44869</v>
      </c>
      <c r="T820" s="48">
        <v>44869</v>
      </c>
      <c r="U820" s="69"/>
      <c r="V820" s="69"/>
      <c r="W820" s="69"/>
      <c r="X820" s="69"/>
      <c r="Y820" s="69" t="s">
        <v>4131</v>
      </c>
      <c r="Z820" s="43">
        <v>3400</v>
      </c>
      <c r="AA820" s="43" t="s">
        <v>52</v>
      </c>
      <c r="AB820" s="43" t="s">
        <v>53</v>
      </c>
      <c r="AC820" s="43">
        <v>1825</v>
      </c>
      <c r="AD820" s="141">
        <v>5</v>
      </c>
      <c r="AE820" s="142">
        <v>0</v>
      </c>
      <c r="AF820" s="142"/>
      <c r="AG820" s="69" t="str">
        <f t="shared" si="420"/>
        <v>2 years 59 days</v>
      </c>
      <c r="AH820" s="69">
        <v>2</v>
      </c>
      <c r="AI820" s="69">
        <v>59</v>
      </c>
      <c r="AJ820" s="69">
        <v>0</v>
      </c>
      <c r="AK820" s="69">
        <v>0</v>
      </c>
      <c r="AL820" s="60">
        <v>3400</v>
      </c>
      <c r="AM820" s="60">
        <f t="shared" si="421"/>
        <v>3400</v>
      </c>
      <c r="AN820" s="59">
        <v>3400</v>
      </c>
      <c r="AO820" s="148">
        <f t="shared" si="422"/>
        <v>-3400</v>
      </c>
      <c r="AP820" s="58">
        <v>0</v>
      </c>
      <c r="AQ820" s="143">
        <f t="shared" si="423"/>
        <v>0</v>
      </c>
    </row>
    <row r="821" spans="1:43" x14ac:dyDescent="0.35">
      <c r="A821" s="69" t="s">
        <v>43</v>
      </c>
      <c r="B821" s="15" t="s">
        <v>2559</v>
      </c>
      <c r="C821" s="15"/>
      <c r="D821" s="69"/>
      <c r="E821" s="76">
        <v>0</v>
      </c>
      <c r="F821" s="69" t="s">
        <v>2453</v>
      </c>
      <c r="G821" s="137" t="s">
        <v>2454</v>
      </c>
      <c r="H821" s="76">
        <v>9011000002</v>
      </c>
      <c r="I821" s="92" t="s">
        <v>47</v>
      </c>
      <c r="J821" s="92">
        <v>1202010202</v>
      </c>
      <c r="K821" s="15"/>
      <c r="L821" s="95" t="s">
        <v>2560</v>
      </c>
      <c r="M821" s="69" t="s">
        <v>49</v>
      </c>
      <c r="N821" s="69"/>
      <c r="O821" s="94">
        <v>1</v>
      </c>
      <c r="P821" s="69" t="s">
        <v>50</v>
      </c>
      <c r="Q821" s="69" t="s">
        <v>51</v>
      </c>
      <c r="R821" s="69"/>
      <c r="S821" s="46">
        <v>44869</v>
      </c>
      <c r="T821" s="48">
        <v>44869</v>
      </c>
      <c r="U821" s="69"/>
      <c r="V821" s="69"/>
      <c r="W821" s="69"/>
      <c r="X821" s="69"/>
      <c r="Y821" s="69" t="s">
        <v>4131</v>
      </c>
      <c r="Z821" s="43">
        <v>850</v>
      </c>
      <c r="AA821" s="43" t="s">
        <v>52</v>
      </c>
      <c r="AB821" s="43" t="s">
        <v>53</v>
      </c>
      <c r="AC821" s="43">
        <v>1825</v>
      </c>
      <c r="AD821" s="141">
        <v>5</v>
      </c>
      <c r="AE821" s="142">
        <v>0</v>
      </c>
      <c r="AF821" s="142"/>
      <c r="AG821" s="69" t="str">
        <f t="shared" si="420"/>
        <v>2 years 59 days</v>
      </c>
      <c r="AH821" s="69">
        <v>2</v>
      </c>
      <c r="AI821" s="69">
        <v>59</v>
      </c>
      <c r="AJ821" s="69">
        <v>0</v>
      </c>
      <c r="AK821" s="69">
        <v>0</v>
      </c>
      <c r="AL821" s="60">
        <v>850</v>
      </c>
      <c r="AM821" s="60">
        <f t="shared" si="421"/>
        <v>850</v>
      </c>
      <c r="AN821" s="59">
        <v>850</v>
      </c>
      <c r="AO821" s="148">
        <f t="shared" si="422"/>
        <v>-850</v>
      </c>
      <c r="AP821" s="58">
        <v>0</v>
      </c>
      <c r="AQ821" s="143">
        <f t="shared" si="423"/>
        <v>0</v>
      </c>
    </row>
    <row r="822" spans="1:43" x14ac:dyDescent="0.35">
      <c r="A822" s="69" t="s">
        <v>43</v>
      </c>
      <c r="B822" s="146" t="s">
        <v>2561</v>
      </c>
      <c r="C822" s="15"/>
      <c r="D822" s="69"/>
      <c r="E822" s="76">
        <v>0</v>
      </c>
      <c r="F822" s="69" t="s">
        <v>2453</v>
      </c>
      <c r="G822" s="137" t="s">
        <v>2454</v>
      </c>
      <c r="H822" s="76">
        <v>9011000002</v>
      </c>
      <c r="I822" s="92" t="s">
        <v>47</v>
      </c>
      <c r="J822" s="92">
        <v>1202010202</v>
      </c>
      <c r="K822" s="15"/>
      <c r="L822" s="95" t="s">
        <v>2562</v>
      </c>
      <c r="M822" s="69" t="s">
        <v>49</v>
      </c>
      <c r="N822" s="69"/>
      <c r="O822" s="94">
        <v>1</v>
      </c>
      <c r="P822" s="69" t="s">
        <v>50</v>
      </c>
      <c r="Q822" s="69" t="s">
        <v>51</v>
      </c>
      <c r="R822" s="69"/>
      <c r="S822" s="46">
        <v>40499</v>
      </c>
      <c r="T822" s="48">
        <v>44869</v>
      </c>
      <c r="U822" s="69"/>
      <c r="V822" s="69"/>
      <c r="W822" s="69"/>
      <c r="X822" s="69"/>
      <c r="Y822" s="69" t="s">
        <v>4131</v>
      </c>
      <c r="Z822" s="43">
        <v>600</v>
      </c>
      <c r="AA822" s="43" t="s">
        <v>52</v>
      </c>
      <c r="AB822" s="43" t="s">
        <v>53</v>
      </c>
      <c r="AC822" s="43">
        <v>1825</v>
      </c>
      <c r="AD822" s="141">
        <v>5</v>
      </c>
      <c r="AE822" s="142">
        <v>0</v>
      </c>
      <c r="AF822" s="142"/>
      <c r="AG822" s="69" t="str">
        <f t="shared" si="420"/>
        <v>2 years 59 days</v>
      </c>
      <c r="AH822" s="69">
        <v>2</v>
      </c>
      <c r="AI822" s="69">
        <v>59</v>
      </c>
      <c r="AJ822" s="69">
        <v>0</v>
      </c>
      <c r="AK822" s="69">
        <v>0</v>
      </c>
      <c r="AL822" s="60">
        <v>600</v>
      </c>
      <c r="AM822" s="60">
        <f t="shared" si="421"/>
        <v>600</v>
      </c>
      <c r="AN822" s="59">
        <v>600</v>
      </c>
      <c r="AO822" s="148">
        <f t="shared" si="422"/>
        <v>-600</v>
      </c>
      <c r="AP822" s="58">
        <v>0</v>
      </c>
      <c r="AQ822" s="143">
        <f t="shared" si="423"/>
        <v>0</v>
      </c>
    </row>
    <row r="823" spans="1:43" x14ac:dyDescent="0.35">
      <c r="A823" s="69" t="s">
        <v>43</v>
      </c>
      <c r="B823" s="15" t="s">
        <v>2563</v>
      </c>
      <c r="C823" s="15"/>
      <c r="D823" s="69"/>
      <c r="E823" s="76">
        <v>0</v>
      </c>
      <c r="F823" s="69" t="s">
        <v>2453</v>
      </c>
      <c r="G823" s="137" t="s">
        <v>2454</v>
      </c>
      <c r="H823" s="76">
        <v>9011000002</v>
      </c>
      <c r="I823" s="92" t="s">
        <v>47</v>
      </c>
      <c r="J823" s="92">
        <v>1202010202</v>
      </c>
      <c r="K823" s="15"/>
      <c r="L823" s="95" t="s">
        <v>2564</v>
      </c>
      <c r="M823" s="69" t="s">
        <v>49</v>
      </c>
      <c r="N823" s="69"/>
      <c r="O823" s="94">
        <v>1</v>
      </c>
      <c r="P823" s="69" t="s">
        <v>50</v>
      </c>
      <c r="Q823" s="69" t="s">
        <v>51</v>
      </c>
      <c r="R823" s="69"/>
      <c r="S823" s="46">
        <v>44869</v>
      </c>
      <c r="T823" s="48">
        <v>44869</v>
      </c>
      <c r="U823" s="69"/>
      <c r="V823" s="69"/>
      <c r="W823" s="69"/>
      <c r="X823" s="69"/>
      <c r="Y823" s="69" t="s">
        <v>4131</v>
      </c>
      <c r="Z823" s="43">
        <v>2600</v>
      </c>
      <c r="AA823" s="43" t="s">
        <v>52</v>
      </c>
      <c r="AB823" s="43" t="s">
        <v>53</v>
      </c>
      <c r="AC823" s="43">
        <v>1825</v>
      </c>
      <c r="AD823" s="141">
        <v>5</v>
      </c>
      <c r="AE823" s="142">
        <v>0</v>
      </c>
      <c r="AF823" s="142"/>
      <c r="AG823" s="69" t="str">
        <f t="shared" si="420"/>
        <v>2 years 59 days</v>
      </c>
      <c r="AH823" s="69">
        <v>2</v>
      </c>
      <c r="AI823" s="69">
        <v>59</v>
      </c>
      <c r="AJ823" s="69">
        <v>0</v>
      </c>
      <c r="AK823" s="69">
        <v>0</v>
      </c>
      <c r="AL823" s="60">
        <v>2600</v>
      </c>
      <c r="AM823" s="60">
        <f t="shared" si="421"/>
        <v>2600</v>
      </c>
      <c r="AN823" s="59">
        <v>2600</v>
      </c>
      <c r="AO823" s="148">
        <f t="shared" si="422"/>
        <v>-2600</v>
      </c>
      <c r="AP823" s="58">
        <v>0</v>
      </c>
      <c r="AQ823" s="143">
        <f t="shared" si="423"/>
        <v>0</v>
      </c>
    </row>
    <row r="824" spans="1:43" x14ac:dyDescent="0.35">
      <c r="A824" s="69" t="s">
        <v>43</v>
      </c>
      <c r="B824" s="15" t="s">
        <v>2565</v>
      </c>
      <c r="C824" s="15"/>
      <c r="D824" s="69"/>
      <c r="E824" s="76">
        <v>0</v>
      </c>
      <c r="F824" s="69" t="s">
        <v>2453</v>
      </c>
      <c r="G824" s="137" t="s">
        <v>2454</v>
      </c>
      <c r="H824" s="76">
        <v>9011000002</v>
      </c>
      <c r="I824" s="92" t="s">
        <v>47</v>
      </c>
      <c r="J824" s="92">
        <v>1202010202</v>
      </c>
      <c r="K824" s="15"/>
      <c r="L824" s="95" t="s">
        <v>2566</v>
      </c>
      <c r="M824" s="69" t="s">
        <v>2567</v>
      </c>
      <c r="N824" s="69"/>
      <c r="O824" s="94">
        <v>1</v>
      </c>
      <c r="P824" s="69" t="s">
        <v>50</v>
      </c>
      <c r="Q824" s="69" t="s">
        <v>51</v>
      </c>
      <c r="R824" s="69"/>
      <c r="S824" s="46">
        <v>44869</v>
      </c>
      <c r="T824" s="48">
        <v>44869</v>
      </c>
      <c r="U824" s="69"/>
      <c r="V824" s="69"/>
      <c r="W824" s="69"/>
      <c r="X824" s="69"/>
      <c r="Y824" s="69" t="s">
        <v>4131</v>
      </c>
      <c r="Z824" s="43">
        <v>5000</v>
      </c>
      <c r="AA824" s="43" t="s">
        <v>52</v>
      </c>
      <c r="AB824" s="43" t="s">
        <v>53</v>
      </c>
      <c r="AC824" s="43">
        <v>1825</v>
      </c>
      <c r="AD824" s="141">
        <v>5</v>
      </c>
      <c r="AE824" s="142">
        <v>0</v>
      </c>
      <c r="AF824" s="142"/>
      <c r="AG824" s="69" t="str">
        <f t="shared" si="420"/>
        <v>2 years 59 days</v>
      </c>
      <c r="AH824" s="69">
        <v>2</v>
      </c>
      <c r="AI824" s="69">
        <v>59</v>
      </c>
      <c r="AJ824" s="69">
        <v>0</v>
      </c>
      <c r="AK824" s="69">
        <v>0</v>
      </c>
      <c r="AL824" s="60">
        <v>5000</v>
      </c>
      <c r="AM824" s="60">
        <f t="shared" si="421"/>
        <v>5000</v>
      </c>
      <c r="AN824" s="59">
        <v>5000</v>
      </c>
      <c r="AO824" s="148">
        <f t="shared" si="422"/>
        <v>-5000</v>
      </c>
      <c r="AP824" s="58">
        <v>0</v>
      </c>
      <c r="AQ824" s="143">
        <f t="shared" si="423"/>
        <v>0</v>
      </c>
    </row>
    <row r="825" spans="1:43" x14ac:dyDescent="0.35">
      <c r="A825" s="69" t="s">
        <v>43</v>
      </c>
      <c r="B825" s="15" t="s">
        <v>2568</v>
      </c>
      <c r="C825" s="15"/>
      <c r="D825" s="69"/>
      <c r="E825" s="76">
        <v>0</v>
      </c>
      <c r="F825" s="69" t="s">
        <v>2453</v>
      </c>
      <c r="G825" s="137" t="s">
        <v>2454</v>
      </c>
      <c r="H825" s="76">
        <v>9011000002</v>
      </c>
      <c r="I825" s="92" t="s">
        <v>47</v>
      </c>
      <c r="J825" s="92">
        <v>1202010202</v>
      </c>
      <c r="K825" s="15"/>
      <c r="L825" s="95" t="s">
        <v>2569</v>
      </c>
      <c r="M825" s="69" t="s">
        <v>49</v>
      </c>
      <c r="N825" s="69"/>
      <c r="O825" s="94">
        <v>1</v>
      </c>
      <c r="P825" s="69" t="s">
        <v>50</v>
      </c>
      <c r="Q825" s="69" t="s">
        <v>51</v>
      </c>
      <c r="R825" s="69"/>
      <c r="S825" s="46">
        <v>44893</v>
      </c>
      <c r="T825" s="48">
        <v>44893</v>
      </c>
      <c r="U825" s="69"/>
      <c r="V825" s="69"/>
      <c r="W825" s="69"/>
      <c r="X825" s="69"/>
      <c r="Y825" s="69" t="s">
        <v>4131</v>
      </c>
      <c r="Z825" s="43">
        <v>1800</v>
      </c>
      <c r="AA825" s="43" t="s">
        <v>52</v>
      </c>
      <c r="AB825" s="43" t="s">
        <v>53</v>
      </c>
      <c r="AC825" s="43">
        <v>1825</v>
      </c>
      <c r="AD825" s="141">
        <v>5</v>
      </c>
      <c r="AE825" s="142">
        <v>0</v>
      </c>
      <c r="AF825" s="142"/>
      <c r="AG825" s="69" t="str">
        <f t="shared" si="420"/>
        <v>2 years 35 days</v>
      </c>
      <c r="AH825" s="69">
        <v>2</v>
      </c>
      <c r="AI825" s="69">
        <v>35</v>
      </c>
      <c r="AJ825" s="69">
        <v>0</v>
      </c>
      <c r="AK825" s="69">
        <v>0</v>
      </c>
      <c r="AL825" s="60">
        <v>1800</v>
      </c>
      <c r="AM825" s="60">
        <f t="shared" si="421"/>
        <v>1800</v>
      </c>
      <c r="AN825" s="59">
        <v>1800</v>
      </c>
      <c r="AO825" s="148">
        <f t="shared" si="422"/>
        <v>-1800</v>
      </c>
      <c r="AP825" s="58">
        <v>0</v>
      </c>
      <c r="AQ825" s="143">
        <f t="shared" si="423"/>
        <v>0</v>
      </c>
    </row>
    <row r="826" spans="1:43" x14ac:dyDescent="0.35">
      <c r="A826" s="69" t="s">
        <v>43</v>
      </c>
      <c r="B826" s="146" t="s">
        <v>2570</v>
      </c>
      <c r="C826" s="15"/>
      <c r="D826" s="69"/>
      <c r="E826" s="76">
        <v>0</v>
      </c>
      <c r="F826" s="69" t="s">
        <v>2453</v>
      </c>
      <c r="G826" s="137" t="s">
        <v>2454</v>
      </c>
      <c r="H826" s="76">
        <v>9011000002</v>
      </c>
      <c r="I826" s="92" t="s">
        <v>47</v>
      </c>
      <c r="J826" s="92">
        <v>1202010202</v>
      </c>
      <c r="K826" s="15"/>
      <c r="L826" s="95" t="s">
        <v>2571</v>
      </c>
      <c r="M826" s="69" t="s">
        <v>49</v>
      </c>
      <c r="N826" s="69"/>
      <c r="O826" s="94">
        <v>1</v>
      </c>
      <c r="P826" s="69" t="s">
        <v>50</v>
      </c>
      <c r="Q826" s="69" t="s">
        <v>51</v>
      </c>
      <c r="R826" s="69"/>
      <c r="S826" s="46">
        <v>40396</v>
      </c>
      <c r="T826" s="48">
        <v>44893</v>
      </c>
      <c r="U826" s="69"/>
      <c r="V826" s="69"/>
      <c r="W826" s="69"/>
      <c r="X826" s="69"/>
      <c r="Y826" s="69" t="s">
        <v>4131</v>
      </c>
      <c r="Z826" s="43">
        <v>1200</v>
      </c>
      <c r="AA826" s="43" t="s">
        <v>52</v>
      </c>
      <c r="AB826" s="43" t="s">
        <v>53</v>
      </c>
      <c r="AC826" s="43">
        <v>1825</v>
      </c>
      <c r="AD826" s="141">
        <v>5</v>
      </c>
      <c r="AE826" s="142">
        <v>0</v>
      </c>
      <c r="AF826" s="142"/>
      <c r="AG826" s="69" t="str">
        <f t="shared" si="420"/>
        <v>2 years 35 days</v>
      </c>
      <c r="AH826" s="69">
        <v>2</v>
      </c>
      <c r="AI826" s="69">
        <v>35</v>
      </c>
      <c r="AJ826" s="69">
        <v>0</v>
      </c>
      <c r="AK826" s="69">
        <v>0</v>
      </c>
      <c r="AL826" s="60">
        <v>1200</v>
      </c>
      <c r="AM826" s="60">
        <f t="shared" si="421"/>
        <v>1200</v>
      </c>
      <c r="AN826" s="59">
        <v>1200</v>
      </c>
      <c r="AO826" s="148">
        <f t="shared" si="422"/>
        <v>-1200</v>
      </c>
      <c r="AP826" s="58">
        <v>0</v>
      </c>
      <c r="AQ826" s="143">
        <f t="shared" si="423"/>
        <v>0</v>
      </c>
    </row>
    <row r="827" spans="1:43" x14ac:dyDescent="0.35">
      <c r="A827" s="69" t="s">
        <v>43</v>
      </c>
      <c r="B827" s="15" t="s">
        <v>2572</v>
      </c>
      <c r="C827" s="15"/>
      <c r="D827" s="69"/>
      <c r="E827" s="76">
        <v>0</v>
      </c>
      <c r="F827" s="69" t="s">
        <v>2453</v>
      </c>
      <c r="G827" s="137" t="s">
        <v>2454</v>
      </c>
      <c r="H827" s="76">
        <v>9011000002</v>
      </c>
      <c r="I827" s="92" t="s">
        <v>47</v>
      </c>
      <c r="J827" s="92">
        <v>1202010202</v>
      </c>
      <c r="K827" s="15"/>
      <c r="L827" s="95" t="s">
        <v>2573</v>
      </c>
      <c r="M827" s="69" t="s">
        <v>49</v>
      </c>
      <c r="N827" s="69"/>
      <c r="O827" s="94">
        <v>1</v>
      </c>
      <c r="P827" s="69" t="s">
        <v>50</v>
      </c>
      <c r="Q827" s="69" t="s">
        <v>51</v>
      </c>
      <c r="R827" s="69"/>
      <c r="S827" s="46">
        <v>44893</v>
      </c>
      <c r="T827" s="48">
        <v>44893</v>
      </c>
      <c r="U827" s="69"/>
      <c r="V827" s="69"/>
      <c r="W827" s="69"/>
      <c r="X827" s="69"/>
      <c r="Y827" s="69" t="s">
        <v>4131</v>
      </c>
      <c r="Z827" s="43">
        <v>27000</v>
      </c>
      <c r="AA827" s="43" t="s">
        <v>52</v>
      </c>
      <c r="AB827" s="43" t="s">
        <v>53</v>
      </c>
      <c r="AC827" s="43">
        <v>1825</v>
      </c>
      <c r="AD827" s="141">
        <v>5</v>
      </c>
      <c r="AE827" s="142">
        <v>0</v>
      </c>
      <c r="AF827" s="142"/>
      <c r="AG827" s="69" t="str">
        <f t="shared" si="420"/>
        <v>2 years 35 days</v>
      </c>
      <c r="AH827" s="69">
        <v>2</v>
      </c>
      <c r="AI827" s="69">
        <v>35</v>
      </c>
      <c r="AJ827" s="69">
        <v>0</v>
      </c>
      <c r="AK827" s="69">
        <v>0</v>
      </c>
      <c r="AL827" s="60">
        <v>27000</v>
      </c>
      <c r="AM827" s="60">
        <f t="shared" si="421"/>
        <v>27000</v>
      </c>
      <c r="AN827" s="59">
        <v>27000</v>
      </c>
      <c r="AO827" s="148">
        <f t="shared" si="422"/>
        <v>-27000</v>
      </c>
      <c r="AP827" s="58">
        <v>0</v>
      </c>
      <c r="AQ827" s="143">
        <f t="shared" si="423"/>
        <v>0</v>
      </c>
    </row>
    <row r="828" spans="1:43" x14ac:dyDescent="0.35">
      <c r="A828" s="69" t="s">
        <v>43</v>
      </c>
      <c r="B828" s="15" t="s">
        <v>2574</v>
      </c>
      <c r="C828" s="15"/>
      <c r="D828" s="69"/>
      <c r="E828" s="76">
        <v>0</v>
      </c>
      <c r="F828" s="69" t="s">
        <v>2453</v>
      </c>
      <c r="G828" s="137" t="s">
        <v>2454</v>
      </c>
      <c r="H828" s="76">
        <v>9011000002</v>
      </c>
      <c r="I828" s="92" t="s">
        <v>47</v>
      </c>
      <c r="J828" s="92">
        <v>1202010202</v>
      </c>
      <c r="K828" s="15"/>
      <c r="L828" s="95" t="s">
        <v>2575</v>
      </c>
      <c r="M828" s="69" t="s">
        <v>49</v>
      </c>
      <c r="N828" s="69"/>
      <c r="O828" s="94">
        <v>1</v>
      </c>
      <c r="P828" s="69" t="s">
        <v>50</v>
      </c>
      <c r="Q828" s="69" t="s">
        <v>51</v>
      </c>
      <c r="R828" s="69"/>
      <c r="S828" s="46">
        <v>44893</v>
      </c>
      <c r="T828" s="48">
        <v>44893</v>
      </c>
      <c r="U828" s="69"/>
      <c r="V828" s="69"/>
      <c r="W828" s="69"/>
      <c r="X828" s="69"/>
      <c r="Y828" s="69" t="s">
        <v>4131</v>
      </c>
      <c r="Z828" s="43">
        <v>8250</v>
      </c>
      <c r="AA828" s="43" t="s">
        <v>52</v>
      </c>
      <c r="AB828" s="43" t="s">
        <v>53</v>
      </c>
      <c r="AC828" s="43">
        <v>1825</v>
      </c>
      <c r="AD828" s="141">
        <v>5</v>
      </c>
      <c r="AE828" s="142">
        <v>0</v>
      </c>
      <c r="AF828" s="142"/>
      <c r="AG828" s="69" t="str">
        <f t="shared" si="420"/>
        <v>2 years 35 days</v>
      </c>
      <c r="AH828" s="69">
        <v>2</v>
      </c>
      <c r="AI828" s="69">
        <v>35</v>
      </c>
      <c r="AJ828" s="69">
        <v>0</v>
      </c>
      <c r="AK828" s="69">
        <v>0</v>
      </c>
      <c r="AL828" s="60">
        <v>8250</v>
      </c>
      <c r="AM828" s="60">
        <f t="shared" si="421"/>
        <v>8250</v>
      </c>
      <c r="AN828" s="59">
        <v>8250</v>
      </c>
      <c r="AO828" s="148">
        <f t="shared" si="422"/>
        <v>-8250</v>
      </c>
      <c r="AP828" s="58">
        <v>0</v>
      </c>
      <c r="AQ828" s="143">
        <f t="shared" si="423"/>
        <v>0</v>
      </c>
    </row>
    <row r="829" spans="1:43" x14ac:dyDescent="0.35">
      <c r="A829" s="69" t="s">
        <v>43</v>
      </c>
      <c r="B829" s="15" t="s">
        <v>2576</v>
      </c>
      <c r="C829" s="15"/>
      <c r="D829" s="69"/>
      <c r="E829" s="76">
        <v>0</v>
      </c>
      <c r="F829" s="69" t="s">
        <v>2453</v>
      </c>
      <c r="G829" s="137" t="s">
        <v>2454</v>
      </c>
      <c r="H829" s="76">
        <v>9011000002</v>
      </c>
      <c r="I829" s="92" t="s">
        <v>47</v>
      </c>
      <c r="J829" s="92">
        <v>1202010202</v>
      </c>
      <c r="K829" s="15"/>
      <c r="L829" s="95" t="s">
        <v>2577</v>
      </c>
      <c r="M829" s="69" t="s">
        <v>49</v>
      </c>
      <c r="N829" s="69"/>
      <c r="O829" s="94">
        <v>1</v>
      </c>
      <c r="P829" s="69" t="s">
        <v>50</v>
      </c>
      <c r="Q829" s="69" t="s">
        <v>51</v>
      </c>
      <c r="R829" s="69"/>
      <c r="S829" s="46">
        <v>44893</v>
      </c>
      <c r="T829" s="48">
        <v>44893</v>
      </c>
      <c r="U829" s="69"/>
      <c r="V829" s="69"/>
      <c r="W829" s="69"/>
      <c r="X829" s="69"/>
      <c r="Y829" s="69" t="s">
        <v>4131</v>
      </c>
      <c r="Z829" s="43">
        <v>3600</v>
      </c>
      <c r="AA829" s="43" t="s">
        <v>52</v>
      </c>
      <c r="AB829" s="43" t="s">
        <v>53</v>
      </c>
      <c r="AC829" s="43">
        <v>1825</v>
      </c>
      <c r="AD829" s="141">
        <v>5</v>
      </c>
      <c r="AE829" s="142">
        <v>0</v>
      </c>
      <c r="AF829" s="142"/>
      <c r="AG829" s="69" t="str">
        <f t="shared" si="420"/>
        <v>2 years 35 days</v>
      </c>
      <c r="AH829" s="69">
        <v>2</v>
      </c>
      <c r="AI829" s="69">
        <v>35</v>
      </c>
      <c r="AJ829" s="69">
        <v>0</v>
      </c>
      <c r="AK829" s="69">
        <v>0</v>
      </c>
      <c r="AL829" s="60">
        <v>3600</v>
      </c>
      <c r="AM829" s="60">
        <f t="shared" si="421"/>
        <v>3600</v>
      </c>
      <c r="AN829" s="59">
        <v>3600</v>
      </c>
      <c r="AO829" s="148">
        <f t="shared" si="422"/>
        <v>-3600</v>
      </c>
      <c r="AP829" s="58">
        <v>0</v>
      </c>
      <c r="AQ829" s="143">
        <f t="shared" si="423"/>
        <v>0</v>
      </c>
    </row>
    <row r="830" spans="1:43" x14ac:dyDescent="0.35">
      <c r="A830" s="69" t="s">
        <v>43</v>
      </c>
      <c r="B830" s="15" t="s">
        <v>2578</v>
      </c>
      <c r="C830" s="15"/>
      <c r="D830" s="69"/>
      <c r="E830" s="76">
        <v>0</v>
      </c>
      <c r="F830" s="69" t="s">
        <v>2453</v>
      </c>
      <c r="G830" s="137" t="s">
        <v>2454</v>
      </c>
      <c r="H830" s="76">
        <v>9011000002</v>
      </c>
      <c r="I830" s="92" t="s">
        <v>47</v>
      </c>
      <c r="J830" s="92">
        <v>1202010202</v>
      </c>
      <c r="K830" s="15"/>
      <c r="L830" s="95" t="s">
        <v>2579</v>
      </c>
      <c r="M830" s="69" t="s">
        <v>49</v>
      </c>
      <c r="N830" s="69"/>
      <c r="O830" s="94">
        <v>1</v>
      </c>
      <c r="P830" s="69" t="s">
        <v>50</v>
      </c>
      <c r="Q830" s="69" t="s">
        <v>51</v>
      </c>
      <c r="R830" s="69"/>
      <c r="S830" s="46">
        <v>44893</v>
      </c>
      <c r="T830" s="48">
        <v>44893</v>
      </c>
      <c r="U830" s="69"/>
      <c r="V830" s="69"/>
      <c r="W830" s="69"/>
      <c r="X830" s="69"/>
      <c r="Y830" s="69" t="s">
        <v>4131</v>
      </c>
      <c r="Z830" s="43">
        <v>4200</v>
      </c>
      <c r="AA830" s="43" t="s">
        <v>52</v>
      </c>
      <c r="AB830" s="43" t="s">
        <v>53</v>
      </c>
      <c r="AC830" s="43">
        <v>1825</v>
      </c>
      <c r="AD830" s="141">
        <v>5</v>
      </c>
      <c r="AE830" s="142">
        <v>0</v>
      </c>
      <c r="AF830" s="142"/>
      <c r="AG830" s="69" t="str">
        <f t="shared" si="420"/>
        <v>2 years 35 days</v>
      </c>
      <c r="AH830" s="69">
        <v>2</v>
      </c>
      <c r="AI830" s="69">
        <v>35</v>
      </c>
      <c r="AJ830" s="69">
        <v>0</v>
      </c>
      <c r="AK830" s="69">
        <v>0</v>
      </c>
      <c r="AL830" s="60">
        <v>4200</v>
      </c>
      <c r="AM830" s="60">
        <f t="shared" si="421"/>
        <v>4200</v>
      </c>
      <c r="AN830" s="59">
        <v>4200</v>
      </c>
      <c r="AO830" s="148">
        <f t="shared" si="422"/>
        <v>-4200</v>
      </c>
      <c r="AP830" s="58">
        <v>0</v>
      </c>
      <c r="AQ830" s="143">
        <f t="shared" si="423"/>
        <v>0</v>
      </c>
    </row>
    <row r="831" spans="1:43" x14ac:dyDescent="0.35">
      <c r="A831" s="69" t="s">
        <v>43</v>
      </c>
      <c r="B831" s="15" t="s">
        <v>2580</v>
      </c>
      <c r="C831" s="15"/>
      <c r="D831" s="69"/>
      <c r="E831" s="76">
        <v>0</v>
      </c>
      <c r="F831" s="69" t="s">
        <v>2453</v>
      </c>
      <c r="G831" s="137" t="s">
        <v>2454</v>
      </c>
      <c r="H831" s="76">
        <v>9011000002</v>
      </c>
      <c r="I831" s="92" t="s">
        <v>47</v>
      </c>
      <c r="J831" s="92">
        <v>1202010202</v>
      </c>
      <c r="K831" s="15"/>
      <c r="L831" s="95" t="s">
        <v>2581</v>
      </c>
      <c r="M831" s="69" t="s">
        <v>2582</v>
      </c>
      <c r="N831" s="69"/>
      <c r="O831" s="94">
        <v>1</v>
      </c>
      <c r="P831" s="69" t="s">
        <v>50</v>
      </c>
      <c r="Q831" s="69" t="s">
        <v>51</v>
      </c>
      <c r="R831" s="69"/>
      <c r="S831" s="46">
        <v>44893</v>
      </c>
      <c r="T831" s="48">
        <v>44893</v>
      </c>
      <c r="U831" s="69"/>
      <c r="V831" s="69"/>
      <c r="W831" s="69"/>
      <c r="X831" s="69"/>
      <c r="Y831" s="69" t="s">
        <v>4131</v>
      </c>
      <c r="Z831" s="43">
        <v>13500</v>
      </c>
      <c r="AA831" s="43" t="s">
        <v>52</v>
      </c>
      <c r="AB831" s="43" t="s">
        <v>53</v>
      </c>
      <c r="AC831" s="43">
        <v>1825</v>
      </c>
      <c r="AD831" s="141">
        <v>5</v>
      </c>
      <c r="AE831" s="142">
        <v>0</v>
      </c>
      <c r="AF831" s="142"/>
      <c r="AG831" s="69" t="str">
        <f t="shared" si="420"/>
        <v>2 years 35 days</v>
      </c>
      <c r="AH831" s="69">
        <v>2</v>
      </c>
      <c r="AI831" s="69">
        <v>35</v>
      </c>
      <c r="AJ831" s="69">
        <v>0</v>
      </c>
      <c r="AK831" s="69">
        <v>0</v>
      </c>
      <c r="AL831" s="60">
        <v>13500</v>
      </c>
      <c r="AM831" s="60">
        <f t="shared" si="421"/>
        <v>13500</v>
      </c>
      <c r="AN831" s="59">
        <v>13500</v>
      </c>
      <c r="AO831" s="148">
        <f t="shared" si="422"/>
        <v>-13500</v>
      </c>
      <c r="AP831" s="58">
        <v>0</v>
      </c>
      <c r="AQ831" s="143">
        <f t="shared" si="423"/>
        <v>0</v>
      </c>
    </row>
    <row r="832" spans="1:43" x14ac:dyDescent="0.35">
      <c r="A832" s="69" t="s">
        <v>43</v>
      </c>
      <c r="B832" s="15" t="s">
        <v>2583</v>
      </c>
      <c r="C832" s="15"/>
      <c r="D832" s="69"/>
      <c r="E832" s="76">
        <v>0</v>
      </c>
      <c r="F832" s="69" t="s">
        <v>2453</v>
      </c>
      <c r="G832" s="137" t="s">
        <v>2454</v>
      </c>
      <c r="H832" s="76">
        <v>9011000003</v>
      </c>
      <c r="I832" s="92" t="s">
        <v>47</v>
      </c>
      <c r="J832" s="92">
        <v>1202010202</v>
      </c>
      <c r="K832" s="15"/>
      <c r="L832" s="95" t="s">
        <v>2584</v>
      </c>
      <c r="M832" s="69" t="s">
        <v>2585</v>
      </c>
      <c r="N832" s="69"/>
      <c r="O832" s="94">
        <v>1</v>
      </c>
      <c r="P832" s="69" t="s">
        <v>50</v>
      </c>
      <c r="Q832" s="69" t="s">
        <v>51</v>
      </c>
      <c r="R832" s="69"/>
      <c r="S832" s="46">
        <v>45382</v>
      </c>
      <c r="T832" s="48">
        <v>45382</v>
      </c>
      <c r="U832" s="69"/>
      <c r="V832" s="69"/>
      <c r="W832" s="69"/>
      <c r="X832" s="69"/>
      <c r="Y832" s="69" t="s">
        <v>4130</v>
      </c>
      <c r="Z832" s="43">
        <v>96390</v>
      </c>
      <c r="AA832" s="43" t="s">
        <v>52</v>
      </c>
      <c r="AB832" s="43" t="s">
        <v>53</v>
      </c>
      <c r="AC832" s="43">
        <v>1825</v>
      </c>
      <c r="AD832" s="141">
        <v>5</v>
      </c>
      <c r="AE832" s="142">
        <v>0</v>
      </c>
      <c r="AF832" s="142"/>
      <c r="AG832" s="69" t="str">
        <f t="shared" si="420"/>
        <v>0 years 276 days</v>
      </c>
      <c r="AH832" s="69">
        <v>0</v>
      </c>
      <c r="AI832" s="69">
        <v>276</v>
      </c>
      <c r="AJ832" s="69">
        <v>0</v>
      </c>
      <c r="AK832" s="69">
        <v>0</v>
      </c>
      <c r="AL832" s="60">
        <v>96390</v>
      </c>
      <c r="AM832" s="60">
        <f t="shared" si="421"/>
        <v>96390</v>
      </c>
      <c r="AN832" s="59">
        <v>14630</v>
      </c>
      <c r="AO832" s="148">
        <f t="shared" si="422"/>
        <v>-14630</v>
      </c>
      <c r="AP832" s="58">
        <v>9559.9287671232851</v>
      </c>
      <c r="AQ832" s="143">
        <f t="shared" si="423"/>
        <v>-9559.93</v>
      </c>
    </row>
    <row r="833" spans="1:43" x14ac:dyDescent="0.35">
      <c r="A833" s="69" t="s">
        <v>43</v>
      </c>
      <c r="B833" s="15" t="s">
        <v>2586</v>
      </c>
      <c r="C833" s="15"/>
      <c r="D833" s="69"/>
      <c r="E833" s="76">
        <v>0</v>
      </c>
      <c r="F833" s="69" t="s">
        <v>2453</v>
      </c>
      <c r="G833" s="137" t="s">
        <v>2454</v>
      </c>
      <c r="H833" s="76">
        <v>9011000003</v>
      </c>
      <c r="I833" s="92" t="s">
        <v>47</v>
      </c>
      <c r="J833" s="92">
        <v>1202010202</v>
      </c>
      <c r="K833" s="15"/>
      <c r="L833" s="95" t="s">
        <v>2587</v>
      </c>
      <c r="M833" s="69" t="s">
        <v>2588</v>
      </c>
      <c r="N833" s="69"/>
      <c r="O833" s="94">
        <v>1</v>
      </c>
      <c r="P833" s="69" t="s">
        <v>50</v>
      </c>
      <c r="Q833" s="69" t="s">
        <v>51</v>
      </c>
      <c r="R833" s="69"/>
      <c r="S833" s="46">
        <v>45498</v>
      </c>
      <c r="T833" s="48">
        <v>45498</v>
      </c>
      <c r="U833" s="69"/>
      <c r="V833" s="69"/>
      <c r="W833" s="69"/>
      <c r="X833" s="69"/>
      <c r="Y833" s="69" t="s">
        <v>4130</v>
      </c>
      <c r="Z833" s="43">
        <v>196650</v>
      </c>
      <c r="AA833" s="43" t="s">
        <v>52</v>
      </c>
      <c r="AB833" s="43" t="s">
        <v>53</v>
      </c>
      <c r="AC833" s="43">
        <v>1825</v>
      </c>
      <c r="AD833" s="141">
        <v>5</v>
      </c>
      <c r="AE833" s="142">
        <v>0</v>
      </c>
      <c r="AF833" s="142"/>
      <c r="AG833" s="69" t="str">
        <f t="shared" si="420"/>
        <v>0 years 160 days</v>
      </c>
      <c r="AH833" s="69">
        <v>0</v>
      </c>
      <c r="AI833" s="69">
        <v>160</v>
      </c>
      <c r="AJ833" s="69">
        <v>0</v>
      </c>
      <c r="AK833" s="69">
        <v>0</v>
      </c>
      <c r="AL833" s="60">
        <v>196650</v>
      </c>
      <c r="AM833" s="60">
        <f t="shared" si="421"/>
        <v>196650</v>
      </c>
      <c r="AN833" s="59">
        <v>17241</v>
      </c>
      <c r="AO833" s="148">
        <f t="shared" si="422"/>
        <v>-17241</v>
      </c>
      <c r="AP833" s="58">
        <v>19502.917808219179</v>
      </c>
      <c r="AQ833" s="143">
        <f t="shared" si="423"/>
        <v>-19502.919999999998</v>
      </c>
    </row>
    <row r="834" spans="1:43" x14ac:dyDescent="0.35">
      <c r="A834" s="69" t="s">
        <v>43</v>
      </c>
      <c r="B834" s="15" t="s">
        <v>2589</v>
      </c>
      <c r="C834" s="15"/>
      <c r="D834" s="69"/>
      <c r="E834" s="76">
        <v>0</v>
      </c>
      <c r="F834" s="69" t="s">
        <v>2453</v>
      </c>
      <c r="G834" s="137" t="s">
        <v>2454</v>
      </c>
      <c r="H834" s="76">
        <v>9011000004</v>
      </c>
      <c r="I834" s="92" t="s">
        <v>47</v>
      </c>
      <c r="J834" s="92">
        <v>1202010202</v>
      </c>
      <c r="K834" s="15"/>
      <c r="L834" s="95" t="s">
        <v>2590</v>
      </c>
      <c r="M834" s="69" t="s">
        <v>2591</v>
      </c>
      <c r="N834" s="69"/>
      <c r="O834" s="94">
        <v>1</v>
      </c>
      <c r="P834" s="69" t="s">
        <v>50</v>
      </c>
      <c r="Q834" s="69" t="s">
        <v>51</v>
      </c>
      <c r="R834" s="69"/>
      <c r="S834" s="46">
        <v>42061</v>
      </c>
      <c r="T834" s="48">
        <v>43191</v>
      </c>
      <c r="U834" s="69"/>
      <c r="V834" s="69"/>
      <c r="W834" s="69"/>
      <c r="X834" s="69"/>
      <c r="Y834" s="69" t="s">
        <v>4125</v>
      </c>
      <c r="Z834" s="43">
        <v>33000</v>
      </c>
      <c r="AA834" s="43" t="s">
        <v>52</v>
      </c>
      <c r="AB834" s="43" t="s">
        <v>53</v>
      </c>
      <c r="AC834" s="43">
        <v>1789</v>
      </c>
      <c r="AD834" s="141">
        <v>4</v>
      </c>
      <c r="AE834" s="142">
        <v>11</v>
      </c>
      <c r="AF834" s="142"/>
      <c r="AG834" s="69" t="str">
        <f t="shared" si="420"/>
        <v>4 years 329 days</v>
      </c>
      <c r="AH834" s="69">
        <v>4</v>
      </c>
      <c r="AI834" s="69">
        <v>329</v>
      </c>
      <c r="AJ834" s="69">
        <v>0</v>
      </c>
      <c r="AK834" s="69">
        <v>0</v>
      </c>
      <c r="AL834" s="60">
        <v>33000</v>
      </c>
      <c r="AM834" s="60">
        <f t="shared" si="421"/>
        <v>33000</v>
      </c>
      <c r="AN834" s="59">
        <v>33000</v>
      </c>
      <c r="AO834" s="148">
        <f t="shared" si="422"/>
        <v>-33000</v>
      </c>
      <c r="AP834" s="58">
        <v>0</v>
      </c>
      <c r="AQ834" s="143">
        <f t="shared" si="423"/>
        <v>0</v>
      </c>
    </row>
    <row r="835" spans="1:43" x14ac:dyDescent="0.35">
      <c r="A835" s="69" t="s">
        <v>43</v>
      </c>
      <c r="B835" s="15" t="s">
        <v>2592</v>
      </c>
      <c r="C835" s="15"/>
      <c r="D835" s="69"/>
      <c r="E835" s="76">
        <v>0</v>
      </c>
      <c r="F835" s="69" t="s">
        <v>2453</v>
      </c>
      <c r="G835" s="137" t="s">
        <v>2454</v>
      </c>
      <c r="H835" s="76">
        <v>9011000004</v>
      </c>
      <c r="I835" s="92" t="s">
        <v>47</v>
      </c>
      <c r="J835" s="92">
        <v>1202010202</v>
      </c>
      <c r="K835" s="15"/>
      <c r="L835" s="95" t="s">
        <v>2593</v>
      </c>
      <c r="M835" s="69" t="s">
        <v>2594</v>
      </c>
      <c r="N835" s="69"/>
      <c r="O835" s="94">
        <v>2</v>
      </c>
      <c r="P835" s="69" t="s">
        <v>50</v>
      </c>
      <c r="Q835" s="69" t="s">
        <v>51</v>
      </c>
      <c r="R835" s="69"/>
      <c r="S835" s="46">
        <v>45454</v>
      </c>
      <c r="T835" s="48">
        <v>45454</v>
      </c>
      <c r="U835" s="69"/>
      <c r="V835" s="69"/>
      <c r="W835" s="69"/>
      <c r="X835" s="69"/>
      <c r="Y835" s="69" t="s">
        <v>4130</v>
      </c>
      <c r="Z835" s="43">
        <v>12510</v>
      </c>
      <c r="AA835" s="43" t="s">
        <v>52</v>
      </c>
      <c r="AB835" s="43" t="s">
        <v>53</v>
      </c>
      <c r="AC835" s="43">
        <v>1825</v>
      </c>
      <c r="AD835" s="141">
        <v>5</v>
      </c>
      <c r="AE835" s="142">
        <v>0</v>
      </c>
      <c r="AF835" s="142"/>
      <c r="AG835" s="69" t="str">
        <f t="shared" si="420"/>
        <v>0 years 204 days</v>
      </c>
      <c r="AH835" s="69">
        <v>0</v>
      </c>
      <c r="AI835" s="69">
        <v>204</v>
      </c>
      <c r="AJ835" s="69">
        <v>0</v>
      </c>
      <c r="AK835" s="69">
        <v>0</v>
      </c>
      <c r="AL835" s="60">
        <v>12510</v>
      </c>
      <c r="AM835" s="60">
        <f t="shared" si="421"/>
        <v>12510</v>
      </c>
      <c r="AN835" s="59">
        <v>1398</v>
      </c>
      <c r="AO835" s="148">
        <f t="shared" si="422"/>
        <v>-1398</v>
      </c>
      <c r="AP835" s="58">
        <v>1241.0958904109589</v>
      </c>
      <c r="AQ835" s="143">
        <f t="shared" si="423"/>
        <v>-1241.0999999999999</v>
      </c>
    </row>
    <row r="836" spans="1:43" x14ac:dyDescent="0.35">
      <c r="A836" s="69" t="s">
        <v>43</v>
      </c>
      <c r="B836" s="15" t="s">
        <v>2595</v>
      </c>
      <c r="C836" s="15"/>
      <c r="D836" s="69"/>
      <c r="E836" s="76">
        <v>0</v>
      </c>
      <c r="F836" s="69" t="s">
        <v>2453</v>
      </c>
      <c r="G836" s="137" t="s">
        <v>2454</v>
      </c>
      <c r="H836" s="76">
        <v>9011000005</v>
      </c>
      <c r="I836" s="92" t="s">
        <v>47</v>
      </c>
      <c r="J836" s="92">
        <v>1202010202</v>
      </c>
      <c r="K836" s="15"/>
      <c r="L836" s="95" t="s">
        <v>2596</v>
      </c>
      <c r="M836" s="69" t="s">
        <v>2597</v>
      </c>
      <c r="N836" s="69"/>
      <c r="O836" s="94">
        <v>1</v>
      </c>
      <c r="P836" s="69" t="s">
        <v>50</v>
      </c>
      <c r="Q836" s="69" t="s">
        <v>51</v>
      </c>
      <c r="R836" s="69"/>
      <c r="S836" s="46">
        <v>42167</v>
      </c>
      <c r="T836" s="48">
        <v>43191</v>
      </c>
      <c r="U836" s="69"/>
      <c r="V836" s="69"/>
      <c r="W836" s="69"/>
      <c r="X836" s="69"/>
      <c r="Y836" s="69" t="s">
        <v>4125</v>
      </c>
      <c r="Z836" s="43">
        <v>52500</v>
      </c>
      <c r="AA836" s="43" t="s">
        <v>52</v>
      </c>
      <c r="AB836" s="43" t="s">
        <v>53</v>
      </c>
      <c r="AC836" s="43">
        <v>1898</v>
      </c>
      <c r="AD836" s="141">
        <v>5</v>
      </c>
      <c r="AE836" s="142">
        <v>2</v>
      </c>
      <c r="AF836" s="142"/>
      <c r="AG836" s="69" t="str">
        <f t="shared" si="420"/>
        <v>5 years 73 days</v>
      </c>
      <c r="AH836" s="69">
        <v>5</v>
      </c>
      <c r="AI836" s="69">
        <v>73</v>
      </c>
      <c r="AJ836" s="69">
        <v>0</v>
      </c>
      <c r="AK836" s="69">
        <v>0</v>
      </c>
      <c r="AL836" s="60">
        <v>52500</v>
      </c>
      <c r="AM836" s="60">
        <f t="shared" si="421"/>
        <v>52500</v>
      </c>
      <c r="AN836" s="59">
        <v>52500</v>
      </c>
      <c r="AO836" s="148">
        <f t="shared" si="422"/>
        <v>-52500</v>
      </c>
      <c r="AP836" s="58">
        <v>0</v>
      </c>
      <c r="AQ836" s="143">
        <f t="shared" si="423"/>
        <v>0</v>
      </c>
    </row>
    <row r="837" spans="1:43" x14ac:dyDescent="0.35">
      <c r="A837" s="69" t="s">
        <v>43</v>
      </c>
      <c r="B837" s="15" t="s">
        <v>2598</v>
      </c>
      <c r="C837" s="15"/>
      <c r="D837" s="69"/>
      <c r="E837" s="76">
        <v>0</v>
      </c>
      <c r="F837" s="69" t="s">
        <v>2453</v>
      </c>
      <c r="G837" s="137" t="s">
        <v>2454</v>
      </c>
      <c r="H837" s="76">
        <v>9011000005</v>
      </c>
      <c r="I837" s="92" t="s">
        <v>47</v>
      </c>
      <c r="J837" s="92">
        <v>1202010202</v>
      </c>
      <c r="K837" s="15"/>
      <c r="L837" s="95" t="s">
        <v>2599</v>
      </c>
      <c r="M837" s="69" t="s">
        <v>49</v>
      </c>
      <c r="N837" s="69"/>
      <c r="O837" s="94">
        <v>1</v>
      </c>
      <c r="P837" s="69" t="s">
        <v>50</v>
      </c>
      <c r="Q837" s="69" t="s">
        <v>51</v>
      </c>
      <c r="R837" s="69"/>
      <c r="S837" s="46">
        <v>42752</v>
      </c>
      <c r="T837" s="48">
        <v>43191</v>
      </c>
      <c r="U837" s="69"/>
      <c r="V837" s="69"/>
      <c r="W837" s="69"/>
      <c r="X837" s="69"/>
      <c r="Y837" s="69" t="s">
        <v>4125</v>
      </c>
      <c r="Z837" s="43">
        <v>87500</v>
      </c>
      <c r="AA837" s="43" t="s">
        <v>52</v>
      </c>
      <c r="AB837" s="43" t="s">
        <v>53</v>
      </c>
      <c r="AC837" s="43">
        <v>2482</v>
      </c>
      <c r="AD837" s="141">
        <v>6</v>
      </c>
      <c r="AE837" s="142">
        <v>10</v>
      </c>
      <c r="AF837" s="142"/>
      <c r="AG837" s="69" t="str">
        <f t="shared" si="420"/>
        <v>6 years 277 days</v>
      </c>
      <c r="AH837" s="69">
        <v>6</v>
      </c>
      <c r="AI837" s="69">
        <v>277</v>
      </c>
      <c r="AJ837" s="69">
        <v>0</v>
      </c>
      <c r="AK837" s="69">
        <v>0</v>
      </c>
      <c r="AL837" s="60">
        <v>87500</v>
      </c>
      <c r="AM837" s="60">
        <f t="shared" si="421"/>
        <v>87500</v>
      </c>
      <c r="AN837" s="59">
        <v>86971</v>
      </c>
      <c r="AO837" s="148">
        <f t="shared" si="422"/>
        <v>-86971</v>
      </c>
      <c r="AP837" s="58">
        <v>529</v>
      </c>
      <c r="AQ837" s="143">
        <f t="shared" si="423"/>
        <v>-529</v>
      </c>
    </row>
    <row r="838" spans="1:43" x14ac:dyDescent="0.35">
      <c r="A838" s="69" t="s">
        <v>43</v>
      </c>
      <c r="B838" s="15" t="s">
        <v>2600</v>
      </c>
      <c r="C838" s="15"/>
      <c r="D838" s="69"/>
      <c r="E838" s="76">
        <v>0</v>
      </c>
      <c r="F838" s="69" t="s">
        <v>2453</v>
      </c>
      <c r="G838" s="137" t="s">
        <v>2454</v>
      </c>
      <c r="H838" s="76">
        <v>9011000005</v>
      </c>
      <c r="I838" s="92" t="s">
        <v>47</v>
      </c>
      <c r="J838" s="92">
        <v>1202010202</v>
      </c>
      <c r="K838" s="15"/>
      <c r="L838" s="95" t="s">
        <v>2601</v>
      </c>
      <c r="M838" s="69" t="s">
        <v>2602</v>
      </c>
      <c r="N838" s="69"/>
      <c r="O838" s="94">
        <v>1</v>
      </c>
      <c r="P838" s="69" t="s">
        <v>50</v>
      </c>
      <c r="Q838" s="69" t="s">
        <v>51</v>
      </c>
      <c r="R838" s="69"/>
      <c r="S838" s="46">
        <v>44933</v>
      </c>
      <c r="T838" s="48">
        <v>44933</v>
      </c>
      <c r="U838" s="69"/>
      <c r="V838" s="69"/>
      <c r="W838" s="69"/>
      <c r="X838" s="69"/>
      <c r="Y838" s="69" t="s">
        <v>4129</v>
      </c>
      <c r="Z838" s="43">
        <v>50670</v>
      </c>
      <c r="AA838" s="43" t="s">
        <v>52</v>
      </c>
      <c r="AB838" s="43" t="s">
        <v>53</v>
      </c>
      <c r="AC838" s="43">
        <v>1825</v>
      </c>
      <c r="AD838" s="141">
        <v>5</v>
      </c>
      <c r="AE838" s="142">
        <v>0</v>
      </c>
      <c r="AF838" s="142"/>
      <c r="AG838" s="69" t="str">
        <f t="shared" si="420"/>
        <v>1 years 360 days</v>
      </c>
      <c r="AH838" s="69">
        <v>1</v>
      </c>
      <c r="AI838" s="69">
        <v>360</v>
      </c>
      <c r="AJ838" s="69">
        <v>0</v>
      </c>
      <c r="AK838" s="69">
        <v>0</v>
      </c>
      <c r="AL838" s="60">
        <v>50670</v>
      </c>
      <c r="AM838" s="60">
        <f t="shared" si="421"/>
        <v>50670</v>
      </c>
      <c r="AN838" s="59">
        <v>20129</v>
      </c>
      <c r="AO838" s="148">
        <f t="shared" si="422"/>
        <v>-20129</v>
      </c>
      <c r="AP838" s="58">
        <v>5025.5315068493146</v>
      </c>
      <c r="AQ838" s="143">
        <f t="shared" si="423"/>
        <v>-5025.53</v>
      </c>
    </row>
    <row r="839" spans="1:43" x14ac:dyDescent="0.35">
      <c r="A839" s="69" t="s">
        <v>43</v>
      </c>
      <c r="B839" s="15" t="s">
        <v>2603</v>
      </c>
      <c r="C839" s="15"/>
      <c r="D839" s="69"/>
      <c r="E839" s="76">
        <v>0</v>
      </c>
      <c r="F839" s="69" t="s">
        <v>2453</v>
      </c>
      <c r="G839" s="137" t="s">
        <v>2454</v>
      </c>
      <c r="H839" s="76">
        <v>9011000005</v>
      </c>
      <c r="I839" s="92" t="s">
        <v>47</v>
      </c>
      <c r="J839" s="92">
        <v>1202010202</v>
      </c>
      <c r="K839" s="15"/>
      <c r="L839" s="95" t="s">
        <v>2604</v>
      </c>
      <c r="M839" s="69" t="s">
        <v>2605</v>
      </c>
      <c r="N839" s="69"/>
      <c r="O839" s="94">
        <v>12</v>
      </c>
      <c r="P839" s="69" t="s">
        <v>50</v>
      </c>
      <c r="Q839" s="69" t="s">
        <v>51</v>
      </c>
      <c r="R839" s="69"/>
      <c r="S839" s="46">
        <v>45170</v>
      </c>
      <c r="T839" s="48">
        <v>45170</v>
      </c>
      <c r="U839" s="69"/>
      <c r="V839" s="69"/>
      <c r="W839" s="69"/>
      <c r="X839" s="69"/>
      <c r="Y839" s="69" t="s">
        <v>4129</v>
      </c>
      <c r="Z839" s="43">
        <v>78700.800000000003</v>
      </c>
      <c r="AA839" s="43" t="s">
        <v>52</v>
      </c>
      <c r="AB839" s="43" t="s">
        <v>53</v>
      </c>
      <c r="AC839" s="43">
        <v>1825</v>
      </c>
      <c r="AD839" s="141">
        <v>5</v>
      </c>
      <c r="AE839" s="142">
        <v>0</v>
      </c>
      <c r="AF839" s="142"/>
      <c r="AG839" s="69" t="str">
        <f t="shared" si="420"/>
        <v>1 years 123 days</v>
      </c>
      <c r="AH839" s="69">
        <v>1</v>
      </c>
      <c r="AI839" s="69">
        <v>123</v>
      </c>
      <c r="AJ839" s="69">
        <v>0</v>
      </c>
      <c r="AK839" s="69">
        <v>0</v>
      </c>
      <c r="AL839" s="60">
        <v>78700.800000000003</v>
      </c>
      <c r="AM839" s="60">
        <f t="shared" si="421"/>
        <v>78700.800000000003</v>
      </c>
      <c r="AN839" s="59">
        <v>21044</v>
      </c>
      <c r="AO839" s="148">
        <f t="shared" si="422"/>
        <v>-21044</v>
      </c>
      <c r="AP839" s="58">
        <v>7805.7727123287659</v>
      </c>
      <c r="AQ839" s="143">
        <f t="shared" si="423"/>
        <v>-7805.77</v>
      </c>
    </row>
    <row r="840" spans="1:43" x14ac:dyDescent="0.35">
      <c r="A840" s="69" t="s">
        <v>43</v>
      </c>
      <c r="B840" s="15" t="s">
        <v>2606</v>
      </c>
      <c r="C840" s="15"/>
      <c r="D840" s="69"/>
      <c r="E840" s="76">
        <v>0</v>
      </c>
      <c r="F840" s="69" t="s">
        <v>2453</v>
      </c>
      <c r="G840" s="137" t="s">
        <v>2454</v>
      </c>
      <c r="H840" s="76">
        <v>9011000005</v>
      </c>
      <c r="I840" s="92" t="s">
        <v>47</v>
      </c>
      <c r="J840" s="92">
        <v>1202010202</v>
      </c>
      <c r="K840" s="15"/>
      <c r="L840" s="95" t="s">
        <v>2607</v>
      </c>
      <c r="M840" s="69" t="s">
        <v>2608</v>
      </c>
      <c r="N840" s="69"/>
      <c r="O840" s="94">
        <v>8</v>
      </c>
      <c r="P840" s="69" t="s">
        <v>50</v>
      </c>
      <c r="Q840" s="69" t="s">
        <v>51</v>
      </c>
      <c r="R840" s="69"/>
      <c r="S840" s="46">
        <v>45185</v>
      </c>
      <c r="T840" s="48">
        <v>45185</v>
      </c>
      <c r="U840" s="69"/>
      <c r="V840" s="69"/>
      <c r="W840" s="69"/>
      <c r="X840" s="69"/>
      <c r="Y840" s="69" t="s">
        <v>4129</v>
      </c>
      <c r="Z840" s="43">
        <v>52967.199999999997</v>
      </c>
      <c r="AA840" s="43" t="s">
        <v>52</v>
      </c>
      <c r="AB840" s="43" t="s">
        <v>53</v>
      </c>
      <c r="AC840" s="43">
        <v>1825</v>
      </c>
      <c r="AD840" s="141">
        <v>5</v>
      </c>
      <c r="AE840" s="142">
        <v>0</v>
      </c>
      <c r="AF840" s="142"/>
      <c r="AG840" s="69" t="str">
        <f t="shared" si="420"/>
        <v>1 years 108 days</v>
      </c>
      <c r="AH840" s="69">
        <v>1</v>
      </c>
      <c r="AI840" s="69">
        <v>108</v>
      </c>
      <c r="AJ840" s="69">
        <v>0</v>
      </c>
      <c r="AK840" s="69">
        <v>0</v>
      </c>
      <c r="AL840" s="60">
        <v>52967.199999999997</v>
      </c>
      <c r="AM840" s="60">
        <f t="shared" si="421"/>
        <v>52967.199999999997</v>
      </c>
      <c r="AN840" s="59">
        <v>13728</v>
      </c>
      <c r="AO840" s="148">
        <f t="shared" si="422"/>
        <v>-13728</v>
      </c>
      <c r="AP840" s="58">
        <v>5253.1226301369861</v>
      </c>
      <c r="AQ840" s="143">
        <f t="shared" si="423"/>
        <v>-5253.12</v>
      </c>
    </row>
    <row r="841" spans="1:43" x14ac:dyDescent="0.35">
      <c r="A841" s="69" t="s">
        <v>43</v>
      </c>
      <c r="B841" s="15" t="s">
        <v>2609</v>
      </c>
      <c r="C841" s="15"/>
      <c r="D841" s="69"/>
      <c r="E841" s="76">
        <v>0</v>
      </c>
      <c r="F841" s="69" t="s">
        <v>2453</v>
      </c>
      <c r="G841" s="137" t="s">
        <v>2454</v>
      </c>
      <c r="H841" s="76">
        <v>9011000005</v>
      </c>
      <c r="I841" s="92" t="s">
        <v>47</v>
      </c>
      <c r="J841" s="92">
        <v>1202010202</v>
      </c>
      <c r="K841" s="15"/>
      <c r="L841" s="95" t="s">
        <v>2610</v>
      </c>
      <c r="M841" s="69" t="s">
        <v>2611</v>
      </c>
      <c r="N841" s="69"/>
      <c r="O841" s="94">
        <v>2156</v>
      </c>
      <c r="P841" s="69" t="s">
        <v>50</v>
      </c>
      <c r="Q841" s="69" t="s">
        <v>51</v>
      </c>
      <c r="R841" s="69"/>
      <c r="S841" s="46">
        <v>44883</v>
      </c>
      <c r="T841" s="48">
        <v>44883</v>
      </c>
      <c r="U841" s="69"/>
      <c r="V841" s="69"/>
      <c r="W841" s="69"/>
      <c r="X841" s="69"/>
      <c r="Y841" s="69" t="s">
        <v>4131</v>
      </c>
      <c r="Z841" s="43">
        <v>303455</v>
      </c>
      <c r="AA841" s="43" t="s">
        <v>52</v>
      </c>
      <c r="AB841" s="43" t="s">
        <v>53</v>
      </c>
      <c r="AC841" s="43">
        <v>1825</v>
      </c>
      <c r="AD841" s="141">
        <v>5</v>
      </c>
      <c r="AE841" s="142">
        <v>0</v>
      </c>
      <c r="AF841" s="142"/>
      <c r="AG841" s="69" t="str">
        <f t="shared" si="420"/>
        <v>2 years 45 days</v>
      </c>
      <c r="AH841" s="69">
        <v>2</v>
      </c>
      <c r="AI841" s="69">
        <v>45</v>
      </c>
      <c r="AJ841" s="69">
        <v>0</v>
      </c>
      <c r="AK841" s="69">
        <v>0</v>
      </c>
      <c r="AL841" s="60">
        <v>303455</v>
      </c>
      <c r="AM841" s="60">
        <f t="shared" si="421"/>
        <v>303455</v>
      </c>
      <c r="AN841" s="59">
        <v>167358</v>
      </c>
      <c r="AO841" s="148">
        <f t="shared" si="422"/>
        <v>-167358</v>
      </c>
      <c r="AP841" s="58">
        <v>30095.595890410972</v>
      </c>
      <c r="AQ841" s="143">
        <f t="shared" si="423"/>
        <v>-30095.599999999999</v>
      </c>
    </row>
    <row r="842" spans="1:43" x14ac:dyDescent="0.35">
      <c r="A842" s="69" t="s">
        <v>43</v>
      </c>
      <c r="B842" s="15" t="s">
        <v>2612</v>
      </c>
      <c r="C842" s="15"/>
      <c r="D842" s="69"/>
      <c r="E842" s="76">
        <v>0</v>
      </c>
      <c r="F842" s="69" t="s">
        <v>2453</v>
      </c>
      <c r="G842" s="137" t="s">
        <v>2454</v>
      </c>
      <c r="H842" s="76">
        <v>9011000006</v>
      </c>
      <c r="I842" s="92" t="s">
        <v>47</v>
      </c>
      <c r="J842" s="92">
        <v>1202010202</v>
      </c>
      <c r="K842" s="15"/>
      <c r="L842" s="95" t="s">
        <v>2613</v>
      </c>
      <c r="M842" s="69" t="s">
        <v>2614</v>
      </c>
      <c r="N842" s="69"/>
      <c r="O842" s="94">
        <v>3</v>
      </c>
      <c r="P842" s="69" t="s">
        <v>50</v>
      </c>
      <c r="Q842" s="69" t="s">
        <v>51</v>
      </c>
      <c r="R842" s="69"/>
      <c r="S842" s="46">
        <v>45231</v>
      </c>
      <c r="T842" s="48">
        <v>45231</v>
      </c>
      <c r="U842" s="69"/>
      <c r="V842" s="69"/>
      <c r="W842" s="69"/>
      <c r="X842" s="69"/>
      <c r="Y842" s="69" t="s">
        <v>4129</v>
      </c>
      <c r="Z842" s="43">
        <v>27165.599999999999</v>
      </c>
      <c r="AA842" s="43" t="s">
        <v>52</v>
      </c>
      <c r="AB842" s="43" t="s">
        <v>53</v>
      </c>
      <c r="AC842" s="43">
        <v>1825</v>
      </c>
      <c r="AD842" s="141">
        <v>5</v>
      </c>
      <c r="AE842" s="142">
        <v>0</v>
      </c>
      <c r="AF842" s="142"/>
      <c r="AG842" s="69" t="str">
        <f t="shared" si="420"/>
        <v>1 years 62 days</v>
      </c>
      <c r="AH842" s="69">
        <v>1</v>
      </c>
      <c r="AI842" s="69">
        <v>62</v>
      </c>
      <c r="AJ842" s="69">
        <v>0</v>
      </c>
      <c r="AK842" s="69">
        <v>0</v>
      </c>
      <c r="AL842" s="60">
        <v>27165.599999999999</v>
      </c>
      <c r="AM842" s="60">
        <f t="shared" si="421"/>
        <v>27165.599999999999</v>
      </c>
      <c r="AN842" s="59">
        <v>6356</v>
      </c>
      <c r="AO842" s="148">
        <f t="shared" si="422"/>
        <v>-6356</v>
      </c>
      <c r="AP842" s="58">
        <v>2694.2382465753435</v>
      </c>
      <c r="AQ842" s="143">
        <f t="shared" si="423"/>
        <v>-2694.24</v>
      </c>
    </row>
    <row r="843" spans="1:43" x14ac:dyDescent="0.35">
      <c r="A843" s="69" t="s">
        <v>43</v>
      </c>
      <c r="B843" s="15" t="s">
        <v>2615</v>
      </c>
      <c r="C843" s="15"/>
      <c r="D843" s="69"/>
      <c r="E843" s="76">
        <v>0</v>
      </c>
      <c r="F843" s="69" t="s">
        <v>2453</v>
      </c>
      <c r="G843" s="137" t="s">
        <v>2454</v>
      </c>
      <c r="H843" s="76">
        <v>9011000007</v>
      </c>
      <c r="I843" s="92" t="s">
        <v>261</v>
      </c>
      <c r="J843" s="92">
        <v>1202010217</v>
      </c>
      <c r="K843" s="15"/>
      <c r="L843" s="95" t="s">
        <v>2616</v>
      </c>
      <c r="M843" s="69" t="s">
        <v>49</v>
      </c>
      <c r="N843" s="69"/>
      <c r="O843" s="94">
        <v>1</v>
      </c>
      <c r="P843" s="69" t="s">
        <v>50</v>
      </c>
      <c r="Q843" s="69" t="s">
        <v>51</v>
      </c>
      <c r="R843" s="69"/>
      <c r="S843" s="46">
        <v>41897</v>
      </c>
      <c r="T843" s="48">
        <v>43191</v>
      </c>
      <c r="U843" s="69"/>
      <c r="V843" s="69"/>
      <c r="W843" s="69"/>
      <c r="X843" s="69"/>
      <c r="Y843" s="69" t="s">
        <v>4125</v>
      </c>
      <c r="Z843" s="43">
        <v>17000</v>
      </c>
      <c r="AA843" s="43" t="s">
        <v>52</v>
      </c>
      <c r="AB843" s="43" t="s">
        <v>53</v>
      </c>
      <c r="AC843" s="43">
        <v>1570</v>
      </c>
      <c r="AD843" s="141">
        <v>4</v>
      </c>
      <c r="AE843" s="142">
        <v>4</v>
      </c>
      <c r="AF843" s="142"/>
      <c r="AG843" s="69" t="str">
        <f t="shared" si="420"/>
        <v>4 years 110 days</v>
      </c>
      <c r="AH843" s="69">
        <v>4</v>
      </c>
      <c r="AI843" s="69">
        <v>110</v>
      </c>
      <c r="AJ843" s="69">
        <v>0</v>
      </c>
      <c r="AK843" s="69">
        <v>0</v>
      </c>
      <c r="AL843" s="60">
        <v>17000</v>
      </c>
      <c r="AM843" s="60">
        <f t="shared" si="421"/>
        <v>17000</v>
      </c>
      <c r="AN843" s="59">
        <v>17000</v>
      </c>
      <c r="AO843" s="148">
        <f t="shared" si="422"/>
        <v>-17000</v>
      </c>
      <c r="AP843" s="58">
        <v>0</v>
      </c>
      <c r="AQ843" s="143">
        <f t="shared" si="423"/>
        <v>0</v>
      </c>
    </row>
    <row r="844" spans="1:43" x14ac:dyDescent="0.35">
      <c r="A844" s="69" t="s">
        <v>43</v>
      </c>
      <c r="B844" s="15" t="s">
        <v>2617</v>
      </c>
      <c r="C844" s="15"/>
      <c r="D844" s="69"/>
      <c r="E844" s="76">
        <v>0</v>
      </c>
      <c r="F844" s="69" t="s">
        <v>2453</v>
      </c>
      <c r="G844" s="137" t="s">
        <v>2454</v>
      </c>
      <c r="H844" s="15">
        <v>9011000007</v>
      </c>
      <c r="I844" s="92" t="s">
        <v>261</v>
      </c>
      <c r="J844" s="92">
        <v>1202010217</v>
      </c>
      <c r="K844" s="14"/>
      <c r="L844" s="95" t="s">
        <v>2618</v>
      </c>
      <c r="M844" s="69" t="s">
        <v>2619</v>
      </c>
      <c r="N844" s="69"/>
      <c r="O844" s="94">
        <v>30</v>
      </c>
      <c r="P844" s="69" t="s">
        <v>50</v>
      </c>
      <c r="Q844" s="69" t="s">
        <v>51</v>
      </c>
      <c r="R844" s="69"/>
      <c r="S844" s="46">
        <v>43791</v>
      </c>
      <c r="T844" s="48">
        <v>43791</v>
      </c>
      <c r="U844" s="69"/>
      <c r="V844" s="69"/>
      <c r="W844" s="69"/>
      <c r="X844" s="69"/>
      <c r="Y844" s="69" t="s">
        <v>4126</v>
      </c>
      <c r="Z844" s="43">
        <v>120000</v>
      </c>
      <c r="AA844" s="43" t="s">
        <v>52</v>
      </c>
      <c r="AB844" s="43" t="s">
        <v>53</v>
      </c>
      <c r="AC844" s="43">
        <v>3650</v>
      </c>
      <c r="AD844" s="141">
        <v>10</v>
      </c>
      <c r="AE844" s="142">
        <v>0</v>
      </c>
      <c r="AF844" s="142"/>
      <c r="AG844" s="69" t="str">
        <f t="shared" si="420"/>
        <v>5 years 42 days</v>
      </c>
      <c r="AH844" s="69">
        <v>5</v>
      </c>
      <c r="AI844" s="69">
        <v>42</v>
      </c>
      <c r="AJ844" s="69">
        <v>0</v>
      </c>
      <c r="AK844" s="69">
        <v>0</v>
      </c>
      <c r="AL844" s="60">
        <v>120000</v>
      </c>
      <c r="AM844" s="60">
        <f t="shared" si="421"/>
        <v>120000</v>
      </c>
      <c r="AN844" s="59">
        <v>61381</v>
      </c>
      <c r="AO844" s="148">
        <f t="shared" si="422"/>
        <v>-61381</v>
      </c>
      <c r="AP844" s="58">
        <v>5950.5068493150757</v>
      </c>
      <c r="AQ844" s="143">
        <f t="shared" si="423"/>
        <v>-5950.51</v>
      </c>
    </row>
    <row r="845" spans="1:43" x14ac:dyDescent="0.35">
      <c r="A845" s="69" t="s">
        <v>43</v>
      </c>
      <c r="B845" s="15" t="s">
        <v>2620</v>
      </c>
      <c r="C845" s="15"/>
      <c r="D845" s="69"/>
      <c r="E845" s="76">
        <v>0</v>
      </c>
      <c r="F845" s="69" t="s">
        <v>2453</v>
      </c>
      <c r="G845" s="137" t="s">
        <v>2454</v>
      </c>
      <c r="H845" s="15">
        <v>9011000007</v>
      </c>
      <c r="I845" s="92" t="s">
        <v>261</v>
      </c>
      <c r="J845" s="92">
        <v>1202010217</v>
      </c>
      <c r="K845" s="14"/>
      <c r="L845" s="95" t="s">
        <v>2621</v>
      </c>
      <c r="M845" s="69" t="s">
        <v>2622</v>
      </c>
      <c r="N845" s="69"/>
      <c r="O845" s="94">
        <v>40</v>
      </c>
      <c r="P845" s="69" t="s">
        <v>50</v>
      </c>
      <c r="Q845" s="69" t="s">
        <v>51</v>
      </c>
      <c r="R845" s="69"/>
      <c r="S845" s="46">
        <v>43791</v>
      </c>
      <c r="T845" s="48">
        <v>43791</v>
      </c>
      <c r="U845" s="69"/>
      <c r="V845" s="69"/>
      <c r="W845" s="69"/>
      <c r="X845" s="69"/>
      <c r="Y845" s="69" t="s">
        <v>4126</v>
      </c>
      <c r="Z845" s="43">
        <v>356000</v>
      </c>
      <c r="AA845" s="43" t="s">
        <v>52</v>
      </c>
      <c r="AB845" s="43" t="s">
        <v>53</v>
      </c>
      <c r="AC845" s="43">
        <v>3650</v>
      </c>
      <c r="AD845" s="141">
        <v>10</v>
      </c>
      <c r="AE845" s="142">
        <v>0</v>
      </c>
      <c r="AF845" s="142"/>
      <c r="AG845" s="69" t="str">
        <f t="shared" si="420"/>
        <v>5 years 42 days</v>
      </c>
      <c r="AH845" s="69">
        <v>5</v>
      </c>
      <c r="AI845" s="69">
        <v>42</v>
      </c>
      <c r="AJ845" s="69">
        <v>0</v>
      </c>
      <c r="AK845" s="69">
        <v>0</v>
      </c>
      <c r="AL845" s="60">
        <v>356000</v>
      </c>
      <c r="AM845" s="60">
        <f t="shared" si="421"/>
        <v>356000</v>
      </c>
      <c r="AN845" s="59">
        <v>182096</v>
      </c>
      <c r="AO845" s="148">
        <f t="shared" si="422"/>
        <v>-182096</v>
      </c>
      <c r="AP845" s="58">
        <v>17654.136986301368</v>
      </c>
      <c r="AQ845" s="143">
        <f t="shared" si="423"/>
        <v>-17654.14</v>
      </c>
    </row>
    <row r="846" spans="1:43" x14ac:dyDescent="0.35">
      <c r="A846" s="69" t="s">
        <v>43</v>
      </c>
      <c r="B846" s="15" t="s">
        <v>2623</v>
      </c>
      <c r="C846" s="15"/>
      <c r="D846" s="69"/>
      <c r="E846" s="76">
        <v>0</v>
      </c>
      <c r="F846" s="69" t="s">
        <v>2453</v>
      </c>
      <c r="G846" s="137" t="s">
        <v>2454</v>
      </c>
      <c r="H846" s="15">
        <v>9011000007</v>
      </c>
      <c r="I846" s="92" t="s">
        <v>261</v>
      </c>
      <c r="J846" s="92">
        <v>1202010217</v>
      </c>
      <c r="K846" s="14"/>
      <c r="L846" s="95" t="s">
        <v>2624</v>
      </c>
      <c r="M846" s="69" t="s">
        <v>2625</v>
      </c>
      <c r="N846" s="69"/>
      <c r="O846" s="94">
        <v>1</v>
      </c>
      <c r="P846" s="69" t="s">
        <v>50</v>
      </c>
      <c r="Q846" s="69" t="s">
        <v>51</v>
      </c>
      <c r="R846" s="69"/>
      <c r="S846" s="46">
        <v>44204</v>
      </c>
      <c r="T846" s="48">
        <v>44204</v>
      </c>
      <c r="U846" s="69"/>
      <c r="V846" s="69"/>
      <c r="W846" s="69"/>
      <c r="X846" s="69"/>
      <c r="Y846" s="69" t="s">
        <v>4128</v>
      </c>
      <c r="Z846" s="43">
        <v>52950</v>
      </c>
      <c r="AA846" s="43" t="s">
        <v>52</v>
      </c>
      <c r="AB846" s="43" t="s">
        <v>53</v>
      </c>
      <c r="AC846" s="43">
        <v>3650</v>
      </c>
      <c r="AD846" s="141">
        <v>10</v>
      </c>
      <c r="AE846" s="142">
        <v>0</v>
      </c>
      <c r="AF846" s="142"/>
      <c r="AG846" s="69" t="str">
        <f t="shared" si="420"/>
        <v>3 years 359 days</v>
      </c>
      <c r="AH846" s="69">
        <v>3</v>
      </c>
      <c r="AI846" s="69">
        <v>359</v>
      </c>
      <c r="AJ846" s="69">
        <v>0</v>
      </c>
      <c r="AK846" s="69">
        <v>0</v>
      </c>
      <c r="AL846" s="60">
        <v>52950</v>
      </c>
      <c r="AM846" s="60">
        <f t="shared" si="421"/>
        <v>52950</v>
      </c>
      <c r="AN846" s="59">
        <v>21093</v>
      </c>
      <c r="AO846" s="148">
        <f t="shared" si="422"/>
        <v>-21093</v>
      </c>
      <c r="AP846" s="58">
        <v>2625.6986301369834</v>
      </c>
      <c r="AQ846" s="143">
        <f t="shared" si="423"/>
        <v>-2625.7</v>
      </c>
    </row>
    <row r="847" spans="1:43" x14ac:dyDescent="0.35">
      <c r="A847" s="69" t="s">
        <v>43</v>
      </c>
      <c r="B847" s="15" t="s">
        <v>2626</v>
      </c>
      <c r="C847" s="15"/>
      <c r="D847" s="69"/>
      <c r="E847" s="76">
        <v>0</v>
      </c>
      <c r="F847" s="69" t="s">
        <v>2453</v>
      </c>
      <c r="G847" s="137" t="s">
        <v>2454</v>
      </c>
      <c r="H847" s="15">
        <v>9011000007</v>
      </c>
      <c r="I847" s="92" t="s">
        <v>261</v>
      </c>
      <c r="J847" s="92">
        <v>1202010217</v>
      </c>
      <c r="K847" s="14"/>
      <c r="L847" s="95" t="s">
        <v>2627</v>
      </c>
      <c r="M847" s="69" t="s">
        <v>2628</v>
      </c>
      <c r="N847" s="69"/>
      <c r="O847" s="94">
        <v>11</v>
      </c>
      <c r="P847" s="69" t="s">
        <v>50</v>
      </c>
      <c r="Q847" s="69" t="s">
        <v>51</v>
      </c>
      <c r="R847" s="69"/>
      <c r="S847" s="46">
        <v>44426</v>
      </c>
      <c r="T847" s="48">
        <v>44426</v>
      </c>
      <c r="U847" s="69"/>
      <c r="V847" s="69"/>
      <c r="W847" s="69"/>
      <c r="X847" s="69"/>
      <c r="Y847" s="69" t="s">
        <v>4128</v>
      </c>
      <c r="Z847" s="43">
        <v>18120</v>
      </c>
      <c r="AA847" s="43" t="s">
        <v>52</v>
      </c>
      <c r="AB847" s="43" t="s">
        <v>53</v>
      </c>
      <c r="AC847" s="43">
        <v>3650</v>
      </c>
      <c r="AD847" s="141">
        <v>10</v>
      </c>
      <c r="AE847" s="142">
        <v>0</v>
      </c>
      <c r="AF847" s="142"/>
      <c r="AG847" s="69" t="str">
        <f t="shared" si="420"/>
        <v>3 years 137 days</v>
      </c>
      <c r="AH847" s="69">
        <v>3</v>
      </c>
      <c r="AI847" s="69">
        <v>137</v>
      </c>
      <c r="AJ847" s="69">
        <v>0</v>
      </c>
      <c r="AK847" s="69">
        <v>0</v>
      </c>
      <c r="AL847" s="60">
        <v>18120</v>
      </c>
      <c r="AM847" s="60">
        <f t="shared" si="421"/>
        <v>18120</v>
      </c>
      <c r="AN847" s="59">
        <v>6116</v>
      </c>
      <c r="AO847" s="148">
        <f t="shared" si="422"/>
        <v>-6116</v>
      </c>
      <c r="AP847" s="58">
        <v>898.67397260273901</v>
      </c>
      <c r="AQ847" s="143">
        <f t="shared" si="423"/>
        <v>-898.67</v>
      </c>
    </row>
    <row r="848" spans="1:43" x14ac:dyDescent="0.35">
      <c r="A848" s="69" t="s">
        <v>43</v>
      </c>
      <c r="B848" s="15" t="s">
        <v>2629</v>
      </c>
      <c r="C848" s="15"/>
      <c r="D848" s="69"/>
      <c r="E848" s="76">
        <v>0</v>
      </c>
      <c r="F848" s="69" t="s">
        <v>2453</v>
      </c>
      <c r="G848" s="137" t="s">
        <v>2454</v>
      </c>
      <c r="H848" s="15">
        <v>9011000007</v>
      </c>
      <c r="I848" s="92" t="s">
        <v>261</v>
      </c>
      <c r="J848" s="92">
        <v>1202010217</v>
      </c>
      <c r="K848" s="14"/>
      <c r="L848" s="95" t="s">
        <v>2630</v>
      </c>
      <c r="M848" s="69" t="s">
        <v>2631</v>
      </c>
      <c r="N848" s="69"/>
      <c r="O848" s="94">
        <v>1</v>
      </c>
      <c r="P848" s="69" t="s">
        <v>50</v>
      </c>
      <c r="Q848" s="69" t="s">
        <v>51</v>
      </c>
      <c r="R848" s="69"/>
      <c r="S848" s="46">
        <v>44459</v>
      </c>
      <c r="T848" s="48">
        <v>44459</v>
      </c>
      <c r="U848" s="69"/>
      <c r="V848" s="69"/>
      <c r="W848" s="69"/>
      <c r="X848" s="69"/>
      <c r="Y848" s="69" t="s">
        <v>4128</v>
      </c>
      <c r="Z848" s="43">
        <v>19350</v>
      </c>
      <c r="AA848" s="43" t="s">
        <v>52</v>
      </c>
      <c r="AB848" s="43" t="s">
        <v>53</v>
      </c>
      <c r="AC848" s="43">
        <v>3650</v>
      </c>
      <c r="AD848" s="141">
        <v>10</v>
      </c>
      <c r="AE848" s="142">
        <v>0</v>
      </c>
      <c r="AF848" s="142"/>
      <c r="AG848" s="69" t="str">
        <f t="shared" si="420"/>
        <v>3 years 104 days</v>
      </c>
      <c r="AH848" s="69">
        <v>3</v>
      </c>
      <c r="AI848" s="69">
        <v>104</v>
      </c>
      <c r="AJ848" s="69">
        <v>0</v>
      </c>
      <c r="AK848" s="69">
        <v>0</v>
      </c>
      <c r="AL848" s="60">
        <v>19350</v>
      </c>
      <c r="AM848" s="60">
        <f t="shared" si="421"/>
        <v>19350</v>
      </c>
      <c r="AN848" s="59">
        <v>6356</v>
      </c>
      <c r="AO848" s="148">
        <f t="shared" si="422"/>
        <v>-6356</v>
      </c>
      <c r="AP848" s="58">
        <v>959.89041095890389</v>
      </c>
      <c r="AQ848" s="143">
        <f t="shared" si="423"/>
        <v>-959.89</v>
      </c>
    </row>
    <row r="849" spans="1:43" x14ac:dyDescent="0.35">
      <c r="A849" s="69" t="s">
        <v>43</v>
      </c>
      <c r="B849" s="15" t="s">
        <v>2632</v>
      </c>
      <c r="C849" s="15"/>
      <c r="D849" s="69"/>
      <c r="E849" s="76">
        <v>0</v>
      </c>
      <c r="F849" s="69" t="s">
        <v>2453</v>
      </c>
      <c r="G849" s="137" t="s">
        <v>2454</v>
      </c>
      <c r="H849" s="76">
        <v>9011000007</v>
      </c>
      <c r="I849" s="92" t="s">
        <v>261</v>
      </c>
      <c r="J849" s="92">
        <v>1202010217</v>
      </c>
      <c r="K849" s="15"/>
      <c r="L849" s="95" t="s">
        <v>2633</v>
      </c>
      <c r="M849" s="69" t="s">
        <v>2634</v>
      </c>
      <c r="N849" s="69"/>
      <c r="O849" s="94">
        <v>15</v>
      </c>
      <c r="P849" s="69" t="s">
        <v>50</v>
      </c>
      <c r="Q849" s="69" t="s">
        <v>51</v>
      </c>
      <c r="R849" s="69"/>
      <c r="S849" s="46">
        <v>44621</v>
      </c>
      <c r="T849" s="48">
        <v>44621</v>
      </c>
      <c r="U849" s="69"/>
      <c r="V849" s="69"/>
      <c r="W849" s="69"/>
      <c r="X849" s="69"/>
      <c r="Y849" s="69" t="s">
        <v>4131</v>
      </c>
      <c r="Z849" s="43">
        <v>39900</v>
      </c>
      <c r="AA849" s="43" t="s">
        <v>52</v>
      </c>
      <c r="AB849" s="43" t="s">
        <v>53</v>
      </c>
      <c r="AC849" s="43">
        <v>1825</v>
      </c>
      <c r="AD849" s="141">
        <v>5</v>
      </c>
      <c r="AE849" s="142">
        <v>0</v>
      </c>
      <c r="AF849" s="142"/>
      <c r="AG849" s="69" t="str">
        <f t="shared" si="420"/>
        <v>2 years 307 days</v>
      </c>
      <c r="AH849" s="69">
        <v>2</v>
      </c>
      <c r="AI849" s="69">
        <v>307</v>
      </c>
      <c r="AJ849" s="69">
        <v>0</v>
      </c>
      <c r="AK849" s="69">
        <v>0</v>
      </c>
      <c r="AL849" s="60">
        <v>39900</v>
      </c>
      <c r="AM849" s="60">
        <f t="shared" si="421"/>
        <v>39900</v>
      </c>
      <c r="AN849" s="59">
        <v>22333</v>
      </c>
      <c r="AO849" s="148">
        <f t="shared" si="422"/>
        <v>-22333</v>
      </c>
      <c r="AP849" s="58">
        <v>3957.2739726027394</v>
      </c>
      <c r="AQ849" s="143">
        <f t="shared" si="423"/>
        <v>-3957.27</v>
      </c>
    </row>
    <row r="850" spans="1:43" x14ac:dyDescent="0.35">
      <c r="A850" s="69" t="s">
        <v>43</v>
      </c>
      <c r="B850" s="15" t="s">
        <v>2635</v>
      </c>
      <c r="C850" s="15"/>
      <c r="D850" s="69"/>
      <c r="E850" s="76">
        <v>0</v>
      </c>
      <c r="F850" s="69" t="s">
        <v>2453</v>
      </c>
      <c r="G850" s="137" t="s">
        <v>2454</v>
      </c>
      <c r="H850" s="15">
        <v>9011000007</v>
      </c>
      <c r="I850" s="92" t="s">
        <v>261</v>
      </c>
      <c r="J850" s="92">
        <v>1202010217</v>
      </c>
      <c r="K850" s="14"/>
      <c r="L850" s="95" t="s">
        <v>2636</v>
      </c>
      <c r="M850" s="69" t="s">
        <v>2637</v>
      </c>
      <c r="N850" s="69"/>
      <c r="O850" s="94">
        <v>3</v>
      </c>
      <c r="P850" s="69" t="s">
        <v>50</v>
      </c>
      <c r="Q850" s="69" t="s">
        <v>51</v>
      </c>
      <c r="R850" s="69"/>
      <c r="S850" s="46">
        <v>44621</v>
      </c>
      <c r="T850" s="48">
        <v>44621</v>
      </c>
      <c r="U850" s="69"/>
      <c r="V850" s="69"/>
      <c r="W850" s="69"/>
      <c r="X850" s="69"/>
      <c r="Y850" s="69" t="s">
        <v>4131</v>
      </c>
      <c r="Z850" s="43">
        <v>5700</v>
      </c>
      <c r="AA850" s="43" t="s">
        <v>52</v>
      </c>
      <c r="AB850" s="43" t="s">
        <v>53</v>
      </c>
      <c r="AC850" s="43">
        <v>3650</v>
      </c>
      <c r="AD850" s="141">
        <v>10</v>
      </c>
      <c r="AE850" s="142">
        <v>0</v>
      </c>
      <c r="AF850" s="142"/>
      <c r="AG850" s="69" t="str">
        <f t="shared" si="420"/>
        <v>2 years 307 days</v>
      </c>
      <c r="AH850" s="69">
        <v>2</v>
      </c>
      <c r="AI850" s="69">
        <v>307</v>
      </c>
      <c r="AJ850" s="69">
        <v>0</v>
      </c>
      <c r="AK850" s="69">
        <v>0</v>
      </c>
      <c r="AL850" s="60">
        <v>5700</v>
      </c>
      <c r="AM850" s="60">
        <f t="shared" si="421"/>
        <v>5700</v>
      </c>
      <c r="AN850" s="59">
        <v>1619</v>
      </c>
      <c r="AO850" s="148">
        <f t="shared" si="422"/>
        <v>-1619</v>
      </c>
      <c r="AP850" s="58">
        <v>283.08219178082186</v>
      </c>
      <c r="AQ850" s="143">
        <f t="shared" si="423"/>
        <v>-283.08</v>
      </c>
    </row>
    <row r="851" spans="1:43" x14ac:dyDescent="0.35">
      <c r="A851" s="69" t="s">
        <v>43</v>
      </c>
      <c r="B851" s="15" t="s">
        <v>2638</v>
      </c>
      <c r="C851" s="15"/>
      <c r="D851" s="69"/>
      <c r="E851" s="76">
        <v>0</v>
      </c>
      <c r="F851" s="69" t="s">
        <v>2453</v>
      </c>
      <c r="G851" s="137" t="s">
        <v>2454</v>
      </c>
      <c r="H851" s="15">
        <v>9011000007</v>
      </c>
      <c r="I851" s="92" t="s">
        <v>261</v>
      </c>
      <c r="J851" s="92">
        <v>1202010217</v>
      </c>
      <c r="K851" s="14"/>
      <c r="L851" s="95" t="s">
        <v>2639</v>
      </c>
      <c r="M851" s="69" t="s">
        <v>2640</v>
      </c>
      <c r="N851" s="69"/>
      <c r="O851" s="94">
        <v>20</v>
      </c>
      <c r="P851" s="69" t="s">
        <v>50</v>
      </c>
      <c r="Q851" s="69" t="s">
        <v>51</v>
      </c>
      <c r="R851" s="69"/>
      <c r="S851" s="46">
        <v>44621</v>
      </c>
      <c r="T851" s="48">
        <v>44621</v>
      </c>
      <c r="U851" s="69"/>
      <c r="V851" s="69"/>
      <c r="W851" s="69"/>
      <c r="X851" s="69"/>
      <c r="Y851" s="69" t="s">
        <v>4131</v>
      </c>
      <c r="Z851" s="43">
        <v>157400</v>
      </c>
      <c r="AA851" s="43" t="s">
        <v>52</v>
      </c>
      <c r="AB851" s="43" t="s">
        <v>53</v>
      </c>
      <c r="AC851" s="43">
        <v>3650</v>
      </c>
      <c r="AD851" s="141">
        <v>10</v>
      </c>
      <c r="AE851" s="142">
        <v>0</v>
      </c>
      <c r="AF851" s="142"/>
      <c r="AG851" s="69" t="str">
        <f t="shared" si="420"/>
        <v>2 years 307 days</v>
      </c>
      <c r="AH851" s="69">
        <v>2</v>
      </c>
      <c r="AI851" s="69">
        <v>307</v>
      </c>
      <c r="AJ851" s="69">
        <v>0</v>
      </c>
      <c r="AK851" s="69">
        <v>0</v>
      </c>
      <c r="AL851" s="60">
        <v>157400</v>
      </c>
      <c r="AM851" s="60">
        <f t="shared" si="421"/>
        <v>157400</v>
      </c>
      <c r="AN851" s="59">
        <v>44719</v>
      </c>
      <c r="AO851" s="148">
        <f t="shared" si="422"/>
        <v>-44719</v>
      </c>
      <c r="AP851" s="58">
        <v>7805.1643835616414</v>
      </c>
      <c r="AQ851" s="143">
        <f t="shared" si="423"/>
        <v>-7805.16</v>
      </c>
    </row>
    <row r="852" spans="1:43" x14ac:dyDescent="0.35">
      <c r="A852" s="69" t="s">
        <v>43</v>
      </c>
      <c r="B852" s="15" t="s">
        <v>2641</v>
      </c>
      <c r="C852" s="15"/>
      <c r="D852" s="69"/>
      <c r="E852" s="76">
        <v>0</v>
      </c>
      <c r="F852" s="69" t="s">
        <v>2453</v>
      </c>
      <c r="G852" s="137" t="s">
        <v>2454</v>
      </c>
      <c r="H852" s="15">
        <v>9011000007</v>
      </c>
      <c r="I852" s="92" t="s">
        <v>261</v>
      </c>
      <c r="J852" s="92">
        <v>1202010217</v>
      </c>
      <c r="K852" s="14"/>
      <c r="L852" s="95" t="s">
        <v>2642</v>
      </c>
      <c r="M852" s="69" t="s">
        <v>2643</v>
      </c>
      <c r="N852" s="69"/>
      <c r="O852" s="94">
        <v>5</v>
      </c>
      <c r="P852" s="69" t="s">
        <v>50</v>
      </c>
      <c r="Q852" s="69" t="s">
        <v>51</v>
      </c>
      <c r="R852" s="69"/>
      <c r="S852" s="46">
        <v>44682</v>
      </c>
      <c r="T852" s="48">
        <v>44682</v>
      </c>
      <c r="U852" s="69"/>
      <c r="V852" s="69"/>
      <c r="W852" s="69"/>
      <c r="X852" s="69"/>
      <c r="Y852" s="69" t="s">
        <v>4131</v>
      </c>
      <c r="Z852" s="43">
        <v>9650</v>
      </c>
      <c r="AA852" s="43" t="s">
        <v>52</v>
      </c>
      <c r="AB852" s="43" t="s">
        <v>53</v>
      </c>
      <c r="AC852" s="43">
        <v>3650</v>
      </c>
      <c r="AD852" s="141">
        <v>10</v>
      </c>
      <c r="AE852" s="142">
        <v>0</v>
      </c>
      <c r="AF852" s="142"/>
      <c r="AG852" s="69" t="str">
        <f t="shared" si="420"/>
        <v>2 years 246 days</v>
      </c>
      <c r="AH852" s="69">
        <v>2</v>
      </c>
      <c r="AI852" s="69">
        <v>246</v>
      </c>
      <c r="AJ852" s="69">
        <v>0</v>
      </c>
      <c r="AK852" s="69">
        <v>0</v>
      </c>
      <c r="AL852" s="60">
        <v>9650</v>
      </c>
      <c r="AM852" s="60">
        <f t="shared" si="421"/>
        <v>9650</v>
      </c>
      <c r="AN852" s="59">
        <v>2580</v>
      </c>
      <c r="AO852" s="148">
        <f t="shared" si="422"/>
        <v>-2580</v>
      </c>
      <c r="AP852" s="58">
        <v>478.91780821917791</v>
      </c>
      <c r="AQ852" s="143">
        <f t="shared" si="423"/>
        <v>-478.92</v>
      </c>
    </row>
    <row r="853" spans="1:43" x14ac:dyDescent="0.35">
      <c r="A853" s="69" t="s">
        <v>43</v>
      </c>
      <c r="B853" s="15" t="s">
        <v>2644</v>
      </c>
      <c r="C853" s="15"/>
      <c r="D853" s="69"/>
      <c r="E853" s="76">
        <v>0</v>
      </c>
      <c r="F853" s="69" t="s">
        <v>2453</v>
      </c>
      <c r="G853" s="137" t="s">
        <v>2454</v>
      </c>
      <c r="H853" s="15">
        <v>9011000007</v>
      </c>
      <c r="I853" s="92" t="s">
        <v>261</v>
      </c>
      <c r="J853" s="92">
        <v>1202010217</v>
      </c>
      <c r="K853" s="14"/>
      <c r="L853" s="95" t="s">
        <v>2645</v>
      </c>
      <c r="M853" s="69" t="s">
        <v>2646</v>
      </c>
      <c r="N853" s="69"/>
      <c r="O853" s="94">
        <v>27</v>
      </c>
      <c r="P853" s="69" t="s">
        <v>50</v>
      </c>
      <c r="Q853" s="69" t="s">
        <v>51</v>
      </c>
      <c r="R853" s="69"/>
      <c r="S853" s="46">
        <v>44896</v>
      </c>
      <c r="T853" s="48">
        <v>44896</v>
      </c>
      <c r="U853" s="69"/>
      <c r="V853" s="69"/>
      <c r="W853" s="69"/>
      <c r="X853" s="69"/>
      <c r="Y853" s="69" t="s">
        <v>4131</v>
      </c>
      <c r="Z853" s="43">
        <v>40490</v>
      </c>
      <c r="AA853" s="43" t="s">
        <v>52</v>
      </c>
      <c r="AB853" s="43" t="s">
        <v>53</v>
      </c>
      <c r="AC853" s="43">
        <v>3650</v>
      </c>
      <c r="AD853" s="141">
        <v>10</v>
      </c>
      <c r="AE853" s="142">
        <v>0</v>
      </c>
      <c r="AF853" s="142"/>
      <c r="AG853" s="69" t="str">
        <f t="shared" si="420"/>
        <v>2 years 32 days</v>
      </c>
      <c r="AH853" s="69">
        <v>2</v>
      </c>
      <c r="AI853" s="69">
        <v>32</v>
      </c>
      <c r="AJ853" s="69">
        <v>0</v>
      </c>
      <c r="AK853" s="69">
        <v>0</v>
      </c>
      <c r="AL853" s="60">
        <v>40490</v>
      </c>
      <c r="AM853" s="60">
        <f t="shared" si="421"/>
        <v>40490</v>
      </c>
      <c r="AN853" s="59">
        <v>8453</v>
      </c>
      <c r="AO853" s="148">
        <f t="shared" si="422"/>
        <v>-8453</v>
      </c>
      <c r="AP853" s="58">
        <v>2007.8410958904115</v>
      </c>
      <c r="AQ853" s="143">
        <f t="shared" si="423"/>
        <v>-2007.84</v>
      </c>
    </row>
    <row r="854" spans="1:43" x14ac:dyDescent="0.35">
      <c r="A854" s="69" t="s">
        <v>43</v>
      </c>
      <c r="B854" s="15" t="s">
        <v>2647</v>
      </c>
      <c r="C854" s="15"/>
      <c r="D854" s="69"/>
      <c r="E854" s="76">
        <v>0</v>
      </c>
      <c r="F854" s="69" t="s">
        <v>2453</v>
      </c>
      <c r="G854" s="137" t="s">
        <v>2454</v>
      </c>
      <c r="H854" s="15">
        <v>9011000007</v>
      </c>
      <c r="I854" s="92" t="s">
        <v>261</v>
      </c>
      <c r="J854" s="92">
        <v>1202010217</v>
      </c>
      <c r="K854" s="14"/>
      <c r="L854" s="95" t="s">
        <v>2648</v>
      </c>
      <c r="M854" s="69" t="s">
        <v>2649</v>
      </c>
      <c r="N854" s="69"/>
      <c r="O854" s="94">
        <v>2</v>
      </c>
      <c r="P854" s="69" t="s">
        <v>50</v>
      </c>
      <c r="Q854" s="69" t="s">
        <v>51</v>
      </c>
      <c r="R854" s="69"/>
      <c r="S854" s="46">
        <v>44896</v>
      </c>
      <c r="T854" s="48">
        <v>44896</v>
      </c>
      <c r="U854" s="69"/>
      <c r="V854" s="69"/>
      <c r="W854" s="69"/>
      <c r="X854" s="69"/>
      <c r="Y854" s="69" t="s">
        <v>4131</v>
      </c>
      <c r="Z854" s="43">
        <v>21195</v>
      </c>
      <c r="AA854" s="43" t="s">
        <v>52</v>
      </c>
      <c r="AB854" s="43" t="s">
        <v>53</v>
      </c>
      <c r="AC854" s="43">
        <v>3650</v>
      </c>
      <c r="AD854" s="141">
        <v>10</v>
      </c>
      <c r="AE854" s="142">
        <v>0</v>
      </c>
      <c r="AF854" s="142"/>
      <c r="AG854" s="69" t="str">
        <f t="shared" si="420"/>
        <v>2 years 32 days</v>
      </c>
      <c r="AH854" s="69">
        <v>2</v>
      </c>
      <c r="AI854" s="69">
        <v>32</v>
      </c>
      <c r="AJ854" s="69">
        <v>0</v>
      </c>
      <c r="AK854" s="69">
        <v>0</v>
      </c>
      <c r="AL854" s="60">
        <v>21195</v>
      </c>
      <c r="AM854" s="60">
        <f t="shared" si="421"/>
        <v>21195</v>
      </c>
      <c r="AN854" s="59">
        <v>4425</v>
      </c>
      <c r="AO854" s="148">
        <f t="shared" si="422"/>
        <v>-4425</v>
      </c>
      <c r="AP854" s="58">
        <v>1050.8589041095893</v>
      </c>
      <c r="AQ854" s="143">
        <f t="shared" si="423"/>
        <v>-1050.8599999999999</v>
      </c>
    </row>
    <row r="855" spans="1:43" x14ac:dyDescent="0.35">
      <c r="A855" s="69" t="s">
        <v>43</v>
      </c>
      <c r="B855" s="15" t="s">
        <v>2650</v>
      </c>
      <c r="C855" s="15"/>
      <c r="D855" s="69"/>
      <c r="E855" s="76">
        <v>0</v>
      </c>
      <c r="F855" s="69" t="s">
        <v>2453</v>
      </c>
      <c r="G855" s="137" t="s">
        <v>2454</v>
      </c>
      <c r="H855" s="15">
        <v>9011000007</v>
      </c>
      <c r="I855" s="92" t="s">
        <v>261</v>
      </c>
      <c r="J855" s="92">
        <v>1202010217</v>
      </c>
      <c r="K855" s="14"/>
      <c r="L855" s="95" t="s">
        <v>2651</v>
      </c>
      <c r="M855" s="69" t="s">
        <v>2652</v>
      </c>
      <c r="N855" s="69"/>
      <c r="O855" s="94">
        <v>1</v>
      </c>
      <c r="P855" s="69" t="s">
        <v>50</v>
      </c>
      <c r="Q855" s="69" t="s">
        <v>51</v>
      </c>
      <c r="R855" s="69"/>
      <c r="S855" s="46">
        <v>44986</v>
      </c>
      <c r="T855" s="48">
        <v>44986</v>
      </c>
      <c r="U855" s="69"/>
      <c r="V855" s="69"/>
      <c r="W855" s="69"/>
      <c r="X855" s="69"/>
      <c r="Y855" s="69" t="s">
        <v>4129</v>
      </c>
      <c r="Z855" s="43">
        <v>64070</v>
      </c>
      <c r="AA855" s="43" t="s">
        <v>52</v>
      </c>
      <c r="AB855" s="43" t="s">
        <v>53</v>
      </c>
      <c r="AC855" s="43">
        <v>3650</v>
      </c>
      <c r="AD855" s="141">
        <v>10</v>
      </c>
      <c r="AE855" s="142">
        <v>0</v>
      </c>
      <c r="AF855" s="142"/>
      <c r="AG855" s="69" t="str">
        <f t="shared" si="420"/>
        <v>1 years 307 days</v>
      </c>
      <c r="AH855" s="69">
        <v>1</v>
      </c>
      <c r="AI855" s="69">
        <v>307</v>
      </c>
      <c r="AJ855" s="69">
        <v>0</v>
      </c>
      <c r="AK855" s="69">
        <v>0</v>
      </c>
      <c r="AL855" s="60">
        <v>64070</v>
      </c>
      <c r="AM855" s="60">
        <f t="shared" si="421"/>
        <v>64070</v>
      </c>
      <c r="AN855" s="59">
        <v>11796</v>
      </c>
      <c r="AO855" s="148">
        <f t="shared" si="422"/>
        <v>-11796</v>
      </c>
      <c r="AP855" s="58">
        <v>3177.0712328767131</v>
      </c>
      <c r="AQ855" s="143">
        <f t="shared" si="423"/>
        <v>-3177.07</v>
      </c>
    </row>
    <row r="856" spans="1:43" x14ac:dyDescent="0.35">
      <c r="A856" s="69" t="s">
        <v>43</v>
      </c>
      <c r="B856" s="15" t="s">
        <v>2653</v>
      </c>
      <c r="C856" s="15"/>
      <c r="D856" s="69"/>
      <c r="E856" s="76">
        <v>0</v>
      </c>
      <c r="F856" s="69" t="s">
        <v>2453</v>
      </c>
      <c r="G856" s="137" t="s">
        <v>2454</v>
      </c>
      <c r="H856" s="76">
        <v>9011000007</v>
      </c>
      <c r="I856" s="92" t="s">
        <v>261</v>
      </c>
      <c r="J856" s="92">
        <v>1202010217</v>
      </c>
      <c r="K856" s="15"/>
      <c r="L856" s="95" t="s">
        <v>2654</v>
      </c>
      <c r="M856" s="69" t="s">
        <v>2655</v>
      </c>
      <c r="N856" s="69"/>
      <c r="O856" s="94">
        <v>30</v>
      </c>
      <c r="P856" s="69" t="s">
        <v>50</v>
      </c>
      <c r="Q856" s="69" t="s">
        <v>51</v>
      </c>
      <c r="R856" s="69"/>
      <c r="S856" s="46">
        <v>44986</v>
      </c>
      <c r="T856" s="48">
        <v>44986</v>
      </c>
      <c r="U856" s="69"/>
      <c r="V856" s="69"/>
      <c r="W856" s="69"/>
      <c r="X856" s="69"/>
      <c r="Y856" s="69" t="s">
        <v>4129</v>
      </c>
      <c r="Z856" s="43">
        <v>87915</v>
      </c>
      <c r="AA856" s="43" t="s">
        <v>52</v>
      </c>
      <c r="AB856" s="43" t="s">
        <v>53</v>
      </c>
      <c r="AC856" s="43">
        <v>1825</v>
      </c>
      <c r="AD856" s="141">
        <v>5</v>
      </c>
      <c r="AE856" s="142">
        <v>0</v>
      </c>
      <c r="AF856" s="142"/>
      <c r="AG856" s="69" t="str">
        <f t="shared" si="420"/>
        <v>1 years 307 days</v>
      </c>
      <c r="AH856" s="69">
        <v>1</v>
      </c>
      <c r="AI856" s="69">
        <v>307</v>
      </c>
      <c r="AJ856" s="69">
        <v>0</v>
      </c>
      <c r="AK856" s="69">
        <v>0</v>
      </c>
      <c r="AL856" s="60">
        <v>87915</v>
      </c>
      <c r="AM856" s="60">
        <f t="shared" si="421"/>
        <v>87915</v>
      </c>
      <c r="AN856" s="59">
        <v>32372</v>
      </c>
      <c r="AO856" s="148">
        <f t="shared" si="422"/>
        <v>-32372</v>
      </c>
      <c r="AP856" s="58">
        <v>8719.230136986298</v>
      </c>
      <c r="AQ856" s="143">
        <f t="shared" si="423"/>
        <v>-8719.23</v>
      </c>
    </row>
    <row r="857" spans="1:43" x14ac:dyDescent="0.35">
      <c r="A857" s="69" t="s">
        <v>43</v>
      </c>
      <c r="B857" s="15" t="s">
        <v>2656</v>
      </c>
      <c r="C857" s="15"/>
      <c r="D857" s="69"/>
      <c r="E857" s="76">
        <v>0</v>
      </c>
      <c r="F857" s="69" t="s">
        <v>2453</v>
      </c>
      <c r="G857" s="137" t="s">
        <v>2454</v>
      </c>
      <c r="H857" s="76">
        <v>9011000007</v>
      </c>
      <c r="I857" s="92" t="s">
        <v>261</v>
      </c>
      <c r="J857" s="92">
        <v>1202010217</v>
      </c>
      <c r="K857" s="15"/>
      <c r="L857" s="95" t="s">
        <v>2657</v>
      </c>
      <c r="M857" s="69" t="s">
        <v>2658</v>
      </c>
      <c r="N857" s="69"/>
      <c r="O857" s="94">
        <v>1</v>
      </c>
      <c r="P857" s="69" t="s">
        <v>50</v>
      </c>
      <c r="Q857" s="69" t="s">
        <v>51</v>
      </c>
      <c r="R857" s="69"/>
      <c r="S857" s="46">
        <v>45016</v>
      </c>
      <c r="T857" s="48">
        <v>45016</v>
      </c>
      <c r="U857" s="69"/>
      <c r="V857" s="69"/>
      <c r="W857" s="69"/>
      <c r="X857" s="69"/>
      <c r="Y857" s="69" t="s">
        <v>4129</v>
      </c>
      <c r="Z857" s="43">
        <v>24480</v>
      </c>
      <c r="AA857" s="43" t="s">
        <v>52</v>
      </c>
      <c r="AB857" s="43" t="s">
        <v>53</v>
      </c>
      <c r="AC857" s="43">
        <v>1825</v>
      </c>
      <c r="AD857" s="141">
        <v>5</v>
      </c>
      <c r="AE857" s="142">
        <v>0</v>
      </c>
      <c r="AF857" s="142"/>
      <c r="AG857" s="69" t="str">
        <f t="shared" si="420"/>
        <v>1 years 277 days</v>
      </c>
      <c r="AH857" s="69">
        <v>1</v>
      </c>
      <c r="AI857" s="69">
        <v>277</v>
      </c>
      <c r="AJ857" s="69">
        <v>0</v>
      </c>
      <c r="AK857" s="69">
        <v>0</v>
      </c>
      <c r="AL857" s="60">
        <v>24480</v>
      </c>
      <c r="AM857" s="60">
        <f t="shared" si="421"/>
        <v>24480</v>
      </c>
      <c r="AN857" s="59">
        <v>8625</v>
      </c>
      <c r="AO857" s="148">
        <f t="shared" si="422"/>
        <v>-8625</v>
      </c>
      <c r="AP857" s="58">
        <v>2427.8876712328765</v>
      </c>
      <c r="AQ857" s="143">
        <f t="shared" si="423"/>
        <v>-2427.89</v>
      </c>
    </row>
    <row r="858" spans="1:43" x14ac:dyDescent="0.35">
      <c r="A858" s="69" t="s">
        <v>43</v>
      </c>
      <c r="B858" s="15" t="s">
        <v>2659</v>
      </c>
      <c r="C858" s="15"/>
      <c r="D858" s="69"/>
      <c r="E858" s="76">
        <v>0</v>
      </c>
      <c r="F858" s="69" t="s">
        <v>2453</v>
      </c>
      <c r="G858" s="137" t="s">
        <v>2454</v>
      </c>
      <c r="H858" s="15">
        <v>9011000007</v>
      </c>
      <c r="I858" s="92" t="s">
        <v>261</v>
      </c>
      <c r="J858" s="92">
        <v>1202010217</v>
      </c>
      <c r="K858" s="14" t="s">
        <v>2454</v>
      </c>
      <c r="L858" s="95" t="s">
        <v>2660</v>
      </c>
      <c r="M858" s="69" t="s">
        <v>2661</v>
      </c>
      <c r="N858" s="69"/>
      <c r="O858" s="94">
        <v>15</v>
      </c>
      <c r="P858" s="69" t="s">
        <v>50</v>
      </c>
      <c r="Q858" s="69" t="s">
        <v>51</v>
      </c>
      <c r="R858" s="69"/>
      <c r="S858" s="46">
        <v>45139</v>
      </c>
      <c r="T858" s="48">
        <v>45139</v>
      </c>
      <c r="U858" s="69"/>
      <c r="V858" s="69"/>
      <c r="W858" s="69"/>
      <c r="X858" s="69"/>
      <c r="Y858" s="69" t="s">
        <v>4129</v>
      </c>
      <c r="Z858" s="43">
        <v>62382.5</v>
      </c>
      <c r="AA858" s="43" t="s">
        <v>52</v>
      </c>
      <c r="AB858" s="43" t="s">
        <v>53</v>
      </c>
      <c r="AC858" s="43">
        <v>3650</v>
      </c>
      <c r="AD858" s="141">
        <v>10</v>
      </c>
      <c r="AE858" s="142">
        <v>0</v>
      </c>
      <c r="AF858" s="142"/>
      <c r="AG858" s="69" t="str">
        <f t="shared" si="420"/>
        <v>1 years 154 days</v>
      </c>
      <c r="AH858" s="69">
        <v>1</v>
      </c>
      <c r="AI858" s="69">
        <v>154</v>
      </c>
      <c r="AJ858" s="69">
        <v>0</v>
      </c>
      <c r="AK858" s="69">
        <v>0</v>
      </c>
      <c r="AL858" s="60">
        <v>62382.5</v>
      </c>
      <c r="AM858" s="60">
        <f t="shared" si="421"/>
        <v>62382.5</v>
      </c>
      <c r="AN858" s="59">
        <v>8870</v>
      </c>
      <c r="AO858" s="148">
        <f t="shared" si="422"/>
        <v>-8870</v>
      </c>
      <c r="AP858" s="58">
        <v>3093.767123287671</v>
      </c>
      <c r="AQ858" s="143">
        <f t="shared" si="423"/>
        <v>-3093.77</v>
      </c>
    </row>
    <row r="859" spans="1:43" x14ac:dyDescent="0.35">
      <c r="A859" s="69" t="s">
        <v>43</v>
      </c>
      <c r="B859" s="15" t="s">
        <v>2662</v>
      </c>
      <c r="C859" s="15"/>
      <c r="D859" s="69"/>
      <c r="E859" s="76">
        <v>0</v>
      </c>
      <c r="F859" s="69" t="s">
        <v>2453</v>
      </c>
      <c r="G859" s="137" t="s">
        <v>2454</v>
      </c>
      <c r="H859" s="15">
        <v>9011000007</v>
      </c>
      <c r="I859" s="92" t="s">
        <v>261</v>
      </c>
      <c r="J859" s="92">
        <v>1202010217</v>
      </c>
      <c r="K859" s="14"/>
      <c r="L859" s="95" t="s">
        <v>2663</v>
      </c>
      <c r="M859" s="69" t="s">
        <v>2664</v>
      </c>
      <c r="N859" s="69"/>
      <c r="O859" s="94">
        <v>2</v>
      </c>
      <c r="P859" s="69" t="s">
        <v>50</v>
      </c>
      <c r="Q859" s="69" t="s">
        <v>51</v>
      </c>
      <c r="R859" s="69"/>
      <c r="S859" s="46">
        <v>45199</v>
      </c>
      <c r="T859" s="48">
        <v>45199</v>
      </c>
      <c r="U859" s="69"/>
      <c r="V859" s="69"/>
      <c r="W859" s="69"/>
      <c r="X859" s="69"/>
      <c r="Y859" s="69" t="s">
        <v>4129</v>
      </c>
      <c r="Z859" s="43">
        <v>51800</v>
      </c>
      <c r="AA859" s="43" t="s">
        <v>52</v>
      </c>
      <c r="AB859" s="43" t="s">
        <v>53</v>
      </c>
      <c r="AC859" s="43">
        <v>3650</v>
      </c>
      <c r="AD859" s="141">
        <v>10</v>
      </c>
      <c r="AE859" s="142">
        <v>0</v>
      </c>
      <c r="AF859" s="142"/>
      <c r="AG859" s="69" t="str">
        <f t="shared" si="420"/>
        <v>1 years 94 days</v>
      </c>
      <c r="AH859" s="69">
        <v>1</v>
      </c>
      <c r="AI859" s="69">
        <v>94</v>
      </c>
      <c r="AJ859" s="69">
        <v>0</v>
      </c>
      <c r="AK859" s="69">
        <v>0</v>
      </c>
      <c r="AL859" s="60">
        <v>51800</v>
      </c>
      <c r="AM859" s="60">
        <f t="shared" si="421"/>
        <v>51800</v>
      </c>
      <c r="AN859" s="59">
        <v>6514</v>
      </c>
      <c r="AO859" s="148">
        <f t="shared" si="422"/>
        <v>-6514</v>
      </c>
      <c r="AP859" s="58">
        <v>2568.7397260273974</v>
      </c>
      <c r="AQ859" s="143">
        <f t="shared" si="423"/>
        <v>-2568.7399999999998</v>
      </c>
    </row>
    <row r="860" spans="1:43" x14ac:dyDescent="0.35">
      <c r="A860" s="69" t="s">
        <v>43</v>
      </c>
      <c r="B860" s="15" t="s">
        <v>2665</v>
      </c>
      <c r="C860" s="15"/>
      <c r="D860" s="69"/>
      <c r="E860" s="76">
        <v>0</v>
      </c>
      <c r="F860" s="69" t="s">
        <v>2453</v>
      </c>
      <c r="G860" s="137" t="s">
        <v>2454</v>
      </c>
      <c r="H860" s="15">
        <v>9011000007</v>
      </c>
      <c r="I860" s="92" t="s">
        <v>261</v>
      </c>
      <c r="J860" s="92">
        <v>1202010217</v>
      </c>
      <c r="K860" s="14"/>
      <c r="L860" s="95" t="s">
        <v>2666</v>
      </c>
      <c r="M860" s="69" t="s">
        <v>2667</v>
      </c>
      <c r="N860" s="69"/>
      <c r="O860" s="94">
        <v>1</v>
      </c>
      <c r="P860" s="69" t="s">
        <v>50</v>
      </c>
      <c r="Q860" s="69" t="s">
        <v>51</v>
      </c>
      <c r="R860" s="69"/>
      <c r="S860" s="46">
        <v>45199</v>
      </c>
      <c r="T860" s="48">
        <v>45199</v>
      </c>
      <c r="U860" s="69"/>
      <c r="V860" s="69"/>
      <c r="W860" s="69"/>
      <c r="X860" s="69"/>
      <c r="Y860" s="69" t="s">
        <v>4129</v>
      </c>
      <c r="Z860" s="43">
        <v>16660</v>
      </c>
      <c r="AA860" s="43" t="s">
        <v>52</v>
      </c>
      <c r="AB860" s="43" t="s">
        <v>53</v>
      </c>
      <c r="AC860" s="43">
        <v>3650</v>
      </c>
      <c r="AD860" s="141">
        <v>10</v>
      </c>
      <c r="AE860" s="142">
        <v>0</v>
      </c>
      <c r="AF860" s="142"/>
      <c r="AG860" s="69" t="str">
        <f t="shared" si="420"/>
        <v>1 years 94 days</v>
      </c>
      <c r="AH860" s="69">
        <v>1</v>
      </c>
      <c r="AI860" s="69">
        <v>94</v>
      </c>
      <c r="AJ860" s="69">
        <v>0</v>
      </c>
      <c r="AK860" s="69">
        <v>0</v>
      </c>
      <c r="AL860" s="60">
        <v>16660</v>
      </c>
      <c r="AM860" s="60">
        <f t="shared" si="421"/>
        <v>16660</v>
      </c>
      <c r="AN860" s="59">
        <v>2095</v>
      </c>
      <c r="AO860" s="148">
        <f t="shared" si="422"/>
        <v>-2095</v>
      </c>
      <c r="AP860" s="58">
        <v>826.20547945205453</v>
      </c>
      <c r="AQ860" s="143">
        <f t="shared" si="423"/>
        <v>-826.21</v>
      </c>
    </row>
    <row r="861" spans="1:43" x14ac:dyDescent="0.35">
      <c r="A861" s="69" t="s">
        <v>43</v>
      </c>
      <c r="B861" s="15" t="s">
        <v>2668</v>
      </c>
      <c r="C861" s="15"/>
      <c r="D861" s="69"/>
      <c r="E861" s="76">
        <v>0</v>
      </c>
      <c r="F861" s="69" t="s">
        <v>2453</v>
      </c>
      <c r="G861" s="137" t="s">
        <v>2454</v>
      </c>
      <c r="H861" s="116">
        <v>9011000007</v>
      </c>
      <c r="I861" s="92" t="s">
        <v>261</v>
      </c>
      <c r="J861" s="92">
        <v>1202010217</v>
      </c>
      <c r="K861" s="14"/>
      <c r="L861" s="95" t="s">
        <v>2669</v>
      </c>
      <c r="M861" s="69" t="s">
        <v>2670</v>
      </c>
      <c r="N861" s="69"/>
      <c r="O861" s="94">
        <v>1</v>
      </c>
      <c r="P861" s="69" t="s">
        <v>50</v>
      </c>
      <c r="Q861" s="69" t="s">
        <v>51</v>
      </c>
      <c r="R861" s="69"/>
      <c r="S861" s="46">
        <v>45199</v>
      </c>
      <c r="T861" s="48">
        <v>45199</v>
      </c>
      <c r="U861" s="69"/>
      <c r="V861" s="69"/>
      <c r="W861" s="69"/>
      <c r="X861" s="69"/>
      <c r="Y861" s="69" t="s">
        <v>4129</v>
      </c>
      <c r="Z861" s="43">
        <v>16145</v>
      </c>
      <c r="AA861" s="43" t="s">
        <v>52</v>
      </c>
      <c r="AB861" s="43" t="s">
        <v>53</v>
      </c>
      <c r="AC861" s="43">
        <v>3650</v>
      </c>
      <c r="AD861" s="141">
        <v>10</v>
      </c>
      <c r="AE861" s="142">
        <v>0</v>
      </c>
      <c r="AF861" s="142"/>
      <c r="AG861" s="69" t="str">
        <f t="shared" si="420"/>
        <v>1 years 94 days</v>
      </c>
      <c r="AH861" s="69">
        <v>1</v>
      </c>
      <c r="AI861" s="69">
        <v>94</v>
      </c>
      <c r="AJ861" s="69">
        <v>0</v>
      </c>
      <c r="AK861" s="69">
        <v>0</v>
      </c>
      <c r="AL861" s="60">
        <v>16145</v>
      </c>
      <c r="AM861" s="60">
        <f t="shared" si="421"/>
        <v>16145</v>
      </c>
      <c r="AN861" s="59">
        <v>2030</v>
      </c>
      <c r="AO861" s="148">
        <f t="shared" si="422"/>
        <v>-2030</v>
      </c>
      <c r="AP861" s="58">
        <v>800.90410958904113</v>
      </c>
      <c r="AQ861" s="143">
        <f t="shared" si="423"/>
        <v>-800.9</v>
      </c>
    </row>
    <row r="862" spans="1:43" x14ac:dyDescent="0.35">
      <c r="A862" s="69" t="s">
        <v>43</v>
      </c>
      <c r="B862" s="15" t="s">
        <v>2671</v>
      </c>
      <c r="C862" s="15"/>
      <c r="D862" s="69"/>
      <c r="E862" s="76">
        <v>0</v>
      </c>
      <c r="F862" s="69" t="s">
        <v>2453</v>
      </c>
      <c r="G862" s="137" t="s">
        <v>2454</v>
      </c>
      <c r="H862" s="116">
        <v>9011000007</v>
      </c>
      <c r="I862" s="92" t="s">
        <v>261</v>
      </c>
      <c r="J862" s="92">
        <v>1202010217</v>
      </c>
      <c r="K862" s="14"/>
      <c r="L862" s="95" t="s">
        <v>2672</v>
      </c>
      <c r="M862" s="69" t="s">
        <v>2673</v>
      </c>
      <c r="N862" s="69"/>
      <c r="O862" s="94">
        <v>1</v>
      </c>
      <c r="P862" s="69" t="s">
        <v>50</v>
      </c>
      <c r="Q862" s="69" t="s">
        <v>51</v>
      </c>
      <c r="R862" s="69"/>
      <c r="S862" s="46">
        <v>45199</v>
      </c>
      <c r="T862" s="48">
        <v>45199</v>
      </c>
      <c r="U862" s="69"/>
      <c r="V862" s="69"/>
      <c r="W862" s="69"/>
      <c r="X862" s="69"/>
      <c r="Y862" s="69" t="s">
        <v>4129</v>
      </c>
      <c r="Z862" s="43">
        <v>12030</v>
      </c>
      <c r="AA862" s="43" t="s">
        <v>52</v>
      </c>
      <c r="AB862" s="43" t="s">
        <v>53</v>
      </c>
      <c r="AC862" s="43">
        <v>3650</v>
      </c>
      <c r="AD862" s="141">
        <v>10</v>
      </c>
      <c r="AE862" s="142">
        <v>0</v>
      </c>
      <c r="AF862" s="142"/>
      <c r="AG862" s="69" t="str">
        <f t="shared" si="420"/>
        <v>1 years 94 days</v>
      </c>
      <c r="AH862" s="69">
        <v>1</v>
      </c>
      <c r="AI862" s="69">
        <v>94</v>
      </c>
      <c r="AJ862" s="69">
        <v>0</v>
      </c>
      <c r="AK862" s="69">
        <v>0</v>
      </c>
      <c r="AL862" s="60">
        <v>12030</v>
      </c>
      <c r="AM862" s="60">
        <f t="shared" si="421"/>
        <v>12030</v>
      </c>
      <c r="AN862" s="59">
        <v>1513</v>
      </c>
      <c r="AO862" s="148">
        <f t="shared" si="422"/>
        <v>-1513</v>
      </c>
      <c r="AP862" s="58">
        <v>596.3698630136987</v>
      </c>
      <c r="AQ862" s="143">
        <f t="shared" si="423"/>
        <v>-596.37</v>
      </c>
    </row>
    <row r="863" spans="1:43" x14ac:dyDescent="0.35">
      <c r="A863" s="69" t="s">
        <v>43</v>
      </c>
      <c r="B863" s="15" t="s">
        <v>2674</v>
      </c>
      <c r="C863" s="15"/>
      <c r="D863" s="69"/>
      <c r="E863" s="76">
        <v>0</v>
      </c>
      <c r="F863" s="69" t="s">
        <v>2453</v>
      </c>
      <c r="G863" s="137" t="s">
        <v>2454</v>
      </c>
      <c r="H863" s="15">
        <v>9011000007</v>
      </c>
      <c r="I863" s="92" t="s">
        <v>261</v>
      </c>
      <c r="J863" s="92">
        <v>1202010217</v>
      </c>
      <c r="K863" s="14"/>
      <c r="L863" s="95" t="s">
        <v>2675</v>
      </c>
      <c r="M863" s="69" t="s">
        <v>2676</v>
      </c>
      <c r="N863" s="69"/>
      <c r="O863" s="94">
        <v>10</v>
      </c>
      <c r="P863" s="69" t="s">
        <v>50</v>
      </c>
      <c r="Q863" s="69" t="s">
        <v>51</v>
      </c>
      <c r="R863" s="69"/>
      <c r="S863" s="46">
        <v>45199</v>
      </c>
      <c r="T863" s="48">
        <v>45199</v>
      </c>
      <c r="U863" s="69"/>
      <c r="V863" s="69"/>
      <c r="W863" s="69"/>
      <c r="X863" s="69"/>
      <c r="Y863" s="69" t="s">
        <v>4129</v>
      </c>
      <c r="Z863" s="43">
        <v>52100</v>
      </c>
      <c r="AA863" s="43" t="s">
        <v>52</v>
      </c>
      <c r="AB863" s="43" t="s">
        <v>53</v>
      </c>
      <c r="AC863" s="43">
        <v>3650</v>
      </c>
      <c r="AD863" s="141">
        <v>10</v>
      </c>
      <c r="AE863" s="142">
        <v>0</v>
      </c>
      <c r="AF863" s="142"/>
      <c r="AG863" s="69" t="str">
        <f t="shared" si="420"/>
        <v>1 years 94 days</v>
      </c>
      <c r="AH863" s="69">
        <v>1</v>
      </c>
      <c r="AI863" s="69">
        <v>94</v>
      </c>
      <c r="AJ863" s="69">
        <v>0</v>
      </c>
      <c r="AK863" s="69">
        <v>0</v>
      </c>
      <c r="AL863" s="60">
        <v>52100</v>
      </c>
      <c r="AM863" s="60">
        <f t="shared" si="421"/>
        <v>52100</v>
      </c>
      <c r="AN863" s="59">
        <v>6552</v>
      </c>
      <c r="AO863" s="148">
        <f t="shared" si="422"/>
        <v>-6552</v>
      </c>
      <c r="AP863" s="58">
        <v>2583.3424657534233</v>
      </c>
      <c r="AQ863" s="143">
        <f t="shared" si="423"/>
        <v>-2583.34</v>
      </c>
    </row>
    <row r="864" spans="1:43" x14ac:dyDescent="0.35">
      <c r="A864" s="69" t="s">
        <v>43</v>
      </c>
      <c r="B864" s="15" t="s">
        <v>2677</v>
      </c>
      <c r="C864" s="15"/>
      <c r="D864" s="69"/>
      <c r="E864" s="76">
        <v>0</v>
      </c>
      <c r="F864" s="69" t="s">
        <v>2453</v>
      </c>
      <c r="G864" s="137" t="s">
        <v>2454</v>
      </c>
      <c r="H864" s="15">
        <v>9011000007</v>
      </c>
      <c r="I864" s="92" t="s">
        <v>261</v>
      </c>
      <c r="J864" s="92">
        <v>1202010217</v>
      </c>
      <c r="K864" s="14"/>
      <c r="L864" s="95" t="s">
        <v>2678</v>
      </c>
      <c r="M864" s="69" t="s">
        <v>2679</v>
      </c>
      <c r="N864" s="69"/>
      <c r="O864" s="94">
        <v>1</v>
      </c>
      <c r="P864" s="69" t="s">
        <v>50</v>
      </c>
      <c r="Q864" s="69" t="s">
        <v>51</v>
      </c>
      <c r="R864" s="69"/>
      <c r="S864" s="46">
        <v>45270</v>
      </c>
      <c r="T864" s="48">
        <v>45270</v>
      </c>
      <c r="U864" s="69"/>
      <c r="V864" s="69"/>
      <c r="W864" s="69"/>
      <c r="X864" s="69"/>
      <c r="Y864" s="69" t="s">
        <v>4129</v>
      </c>
      <c r="Z864" s="43">
        <v>32975</v>
      </c>
      <c r="AA864" s="43" t="s">
        <v>52</v>
      </c>
      <c r="AB864" s="43" t="s">
        <v>53</v>
      </c>
      <c r="AC864" s="43">
        <v>3650</v>
      </c>
      <c r="AD864" s="141">
        <v>10</v>
      </c>
      <c r="AE864" s="142">
        <v>0</v>
      </c>
      <c r="AF864" s="142"/>
      <c r="AG864" s="69" t="str">
        <f t="shared" si="420"/>
        <v>1 years 23 days</v>
      </c>
      <c r="AH864" s="69">
        <v>1</v>
      </c>
      <c r="AI864" s="69">
        <v>23</v>
      </c>
      <c r="AJ864" s="69">
        <v>0</v>
      </c>
      <c r="AK864" s="69">
        <v>0</v>
      </c>
      <c r="AL864" s="60">
        <v>32975</v>
      </c>
      <c r="AM864" s="60">
        <f t="shared" si="421"/>
        <v>32975</v>
      </c>
      <c r="AN864" s="59">
        <v>3505</v>
      </c>
      <c r="AO864" s="148">
        <f t="shared" si="422"/>
        <v>-3505</v>
      </c>
      <c r="AP864" s="58">
        <v>1635.4863013698632</v>
      </c>
      <c r="AQ864" s="143">
        <f t="shared" si="423"/>
        <v>-1635.49</v>
      </c>
    </row>
    <row r="865" spans="1:43" x14ac:dyDescent="0.35">
      <c r="A865" s="69" t="s">
        <v>43</v>
      </c>
      <c r="B865" s="15" t="s">
        <v>2680</v>
      </c>
      <c r="C865" s="15"/>
      <c r="D865" s="69"/>
      <c r="E865" s="76">
        <v>0</v>
      </c>
      <c r="F865" s="69" t="s">
        <v>2453</v>
      </c>
      <c r="G865" s="137" t="s">
        <v>2454</v>
      </c>
      <c r="H865" s="15">
        <v>9011000007</v>
      </c>
      <c r="I865" s="92" t="s">
        <v>261</v>
      </c>
      <c r="J865" s="92">
        <v>1202010217</v>
      </c>
      <c r="K865" s="14"/>
      <c r="L865" s="95" t="s">
        <v>2681</v>
      </c>
      <c r="M865" s="69" t="s">
        <v>2682</v>
      </c>
      <c r="N865" s="69"/>
      <c r="O865" s="94">
        <v>2</v>
      </c>
      <c r="P865" s="69" t="s">
        <v>50</v>
      </c>
      <c r="Q865" s="69" t="s">
        <v>51</v>
      </c>
      <c r="R865" s="69"/>
      <c r="S865" s="46">
        <v>45361</v>
      </c>
      <c r="T865" s="48">
        <v>45361</v>
      </c>
      <c r="U865" s="69"/>
      <c r="V865" s="69"/>
      <c r="W865" s="69"/>
      <c r="X865" s="69"/>
      <c r="Y865" s="69" t="s">
        <v>4130</v>
      </c>
      <c r="Z865" s="43">
        <v>50300</v>
      </c>
      <c r="AA865" s="43" t="s">
        <v>52</v>
      </c>
      <c r="AB865" s="43" t="s">
        <v>53</v>
      </c>
      <c r="AC865" s="43">
        <v>3650</v>
      </c>
      <c r="AD865" s="141">
        <v>10</v>
      </c>
      <c r="AE865" s="142">
        <v>0</v>
      </c>
      <c r="AF865" s="142"/>
      <c r="AG865" s="69" t="str">
        <f t="shared" si="420"/>
        <v>0 years 297 days</v>
      </c>
      <c r="AH865" s="69">
        <v>0</v>
      </c>
      <c r="AI865" s="69">
        <v>297</v>
      </c>
      <c r="AJ865" s="69">
        <v>0</v>
      </c>
      <c r="AK865" s="69">
        <v>0</v>
      </c>
      <c r="AL865" s="60">
        <v>50300</v>
      </c>
      <c r="AM865" s="60">
        <f t="shared" si="421"/>
        <v>50300</v>
      </c>
      <c r="AN865" s="59">
        <v>4093</v>
      </c>
      <c r="AO865" s="148">
        <f t="shared" si="422"/>
        <v>-4093</v>
      </c>
      <c r="AP865" s="58">
        <v>2494.232876712329</v>
      </c>
      <c r="AQ865" s="143">
        <f t="shared" si="423"/>
        <v>-2494.23</v>
      </c>
    </row>
    <row r="866" spans="1:43" x14ac:dyDescent="0.35">
      <c r="A866" s="69" t="s">
        <v>43</v>
      </c>
      <c r="B866" s="15" t="s">
        <v>2683</v>
      </c>
      <c r="C866" s="15"/>
      <c r="D866" s="69"/>
      <c r="E866" s="76">
        <v>0</v>
      </c>
      <c r="F866" s="69" t="s">
        <v>2453</v>
      </c>
      <c r="G866" s="137" t="s">
        <v>2454</v>
      </c>
      <c r="H866" s="15">
        <v>9011000007</v>
      </c>
      <c r="I866" s="92" t="s">
        <v>261</v>
      </c>
      <c r="J866" s="92">
        <v>1202010217</v>
      </c>
      <c r="K866" s="14"/>
      <c r="L866" s="95" t="s">
        <v>2684</v>
      </c>
      <c r="M866" s="69" t="s">
        <v>2685</v>
      </c>
      <c r="N866" s="69"/>
      <c r="O866" s="94">
        <v>3</v>
      </c>
      <c r="P866" s="69" t="s">
        <v>50</v>
      </c>
      <c r="Q866" s="69" t="s">
        <v>51</v>
      </c>
      <c r="R866" s="69"/>
      <c r="S866" s="46">
        <v>45483</v>
      </c>
      <c r="T866" s="48">
        <v>45483</v>
      </c>
      <c r="U866" s="69"/>
      <c r="V866" s="69"/>
      <c r="W866" s="69"/>
      <c r="X866" s="69"/>
      <c r="Y866" s="69" t="s">
        <v>4130</v>
      </c>
      <c r="Z866" s="43">
        <v>76535</v>
      </c>
      <c r="AA866" s="43" t="s">
        <v>52</v>
      </c>
      <c r="AB866" s="43" t="s">
        <v>53</v>
      </c>
      <c r="AC866" s="43">
        <v>3650</v>
      </c>
      <c r="AD866" s="141">
        <v>10</v>
      </c>
      <c r="AE866" s="142">
        <v>0</v>
      </c>
      <c r="AF866" s="142"/>
      <c r="AG866" s="69" t="str">
        <f t="shared" si="420"/>
        <v>0 years 175 days</v>
      </c>
      <c r="AH866" s="69">
        <v>0</v>
      </c>
      <c r="AI866" s="69">
        <v>175</v>
      </c>
      <c r="AJ866" s="69">
        <v>0</v>
      </c>
      <c r="AK866" s="69">
        <v>0</v>
      </c>
      <c r="AL866" s="60">
        <v>76535</v>
      </c>
      <c r="AM866" s="60">
        <f t="shared" si="421"/>
        <v>76535</v>
      </c>
      <c r="AN866" s="59">
        <v>3669</v>
      </c>
      <c r="AO866" s="148">
        <f t="shared" si="422"/>
        <v>-3669</v>
      </c>
      <c r="AP866" s="58">
        <v>3795.7835616438351</v>
      </c>
      <c r="AQ866" s="143">
        <f t="shared" si="423"/>
        <v>-3795.78</v>
      </c>
    </row>
    <row r="867" spans="1:43" x14ac:dyDescent="0.35">
      <c r="A867" s="69" t="s">
        <v>43</v>
      </c>
      <c r="B867" s="15" t="s">
        <v>2686</v>
      </c>
      <c r="C867" s="15"/>
      <c r="D867" s="69"/>
      <c r="E867" s="76">
        <v>0</v>
      </c>
      <c r="F867" s="69" t="s">
        <v>2453</v>
      </c>
      <c r="G867" s="137" t="s">
        <v>2454</v>
      </c>
      <c r="H867" s="76">
        <v>9011000008</v>
      </c>
      <c r="I867" s="92" t="s">
        <v>47</v>
      </c>
      <c r="J867" s="92">
        <v>1202010202</v>
      </c>
      <c r="K867" s="15"/>
      <c r="L867" s="95" t="s">
        <v>2687</v>
      </c>
      <c r="M867" s="69" t="s">
        <v>2688</v>
      </c>
      <c r="N867" s="69"/>
      <c r="O867" s="94">
        <v>1</v>
      </c>
      <c r="P867" s="69" t="s">
        <v>50</v>
      </c>
      <c r="Q867" s="69" t="s">
        <v>51</v>
      </c>
      <c r="R867" s="69"/>
      <c r="S867" s="46">
        <v>44874</v>
      </c>
      <c r="T867" s="48">
        <v>44874</v>
      </c>
      <c r="U867" s="69"/>
      <c r="V867" s="69"/>
      <c r="W867" s="69"/>
      <c r="X867" s="69"/>
      <c r="Y867" s="69" t="s">
        <v>4131</v>
      </c>
      <c r="Z867" s="43">
        <v>34380</v>
      </c>
      <c r="AA867" s="43" t="s">
        <v>52</v>
      </c>
      <c r="AB867" s="43" t="s">
        <v>53</v>
      </c>
      <c r="AC867" s="43">
        <v>1825</v>
      </c>
      <c r="AD867" s="141">
        <v>5</v>
      </c>
      <c r="AE867" s="142">
        <v>0</v>
      </c>
      <c r="AF867" s="142"/>
      <c r="AG867" s="69" t="str">
        <f t="shared" si="420"/>
        <v>2 years 54 days</v>
      </c>
      <c r="AH867" s="69">
        <v>2</v>
      </c>
      <c r="AI867" s="69">
        <v>54</v>
      </c>
      <c r="AJ867" s="69">
        <v>0</v>
      </c>
      <c r="AK867" s="69">
        <v>0</v>
      </c>
      <c r="AL867" s="60">
        <v>34380</v>
      </c>
      <c r="AM867" s="60">
        <f t="shared" si="421"/>
        <v>34380</v>
      </c>
      <c r="AN867" s="59">
        <v>20722</v>
      </c>
      <c r="AO867" s="148">
        <f t="shared" si="422"/>
        <v>-20722</v>
      </c>
      <c r="AP867" s="58">
        <v>3409.9342465753398</v>
      </c>
      <c r="AQ867" s="143">
        <f t="shared" si="423"/>
        <v>-3409.93</v>
      </c>
    </row>
    <row r="868" spans="1:43" x14ac:dyDescent="0.35">
      <c r="A868" s="69" t="s">
        <v>43</v>
      </c>
      <c r="B868" s="15" t="s">
        <v>2689</v>
      </c>
      <c r="C868" s="15"/>
      <c r="D868" s="69"/>
      <c r="E868" s="76">
        <v>0</v>
      </c>
      <c r="F868" s="69" t="s">
        <v>2453</v>
      </c>
      <c r="G868" s="137" t="s">
        <v>2454</v>
      </c>
      <c r="H868" s="76">
        <v>9011000009</v>
      </c>
      <c r="I868" s="92" t="s">
        <v>47</v>
      </c>
      <c r="J868" s="92">
        <v>1202010202</v>
      </c>
      <c r="K868" s="15"/>
      <c r="L868" s="95" t="s">
        <v>2690</v>
      </c>
      <c r="M868" s="69" t="s">
        <v>2691</v>
      </c>
      <c r="N868" s="69"/>
      <c r="O868" s="94">
        <v>1</v>
      </c>
      <c r="P868" s="69" t="s">
        <v>50</v>
      </c>
      <c r="Q868" s="69" t="s">
        <v>51</v>
      </c>
      <c r="R868" s="69"/>
      <c r="S868" s="46">
        <v>43700</v>
      </c>
      <c r="T868" s="48">
        <v>43700</v>
      </c>
      <c r="U868" s="69"/>
      <c r="V868" s="69"/>
      <c r="W868" s="69"/>
      <c r="X868" s="69"/>
      <c r="Y868" s="69" t="s">
        <v>4126</v>
      </c>
      <c r="Z868" s="43">
        <v>10800</v>
      </c>
      <c r="AA868" s="43" t="s">
        <v>52</v>
      </c>
      <c r="AB868" s="43" t="s">
        <v>53</v>
      </c>
      <c r="AC868" s="43">
        <v>1825</v>
      </c>
      <c r="AD868" s="141">
        <v>5</v>
      </c>
      <c r="AE868" s="142">
        <v>0</v>
      </c>
      <c r="AF868" s="142"/>
      <c r="AG868" s="69" t="str">
        <f t="shared" ref="AG868:AG931" si="424">_xlfn.CONCAT(AH868," years ",AI868," days")</f>
        <v>5 years 0 days</v>
      </c>
      <c r="AH868" s="69">
        <v>5</v>
      </c>
      <c r="AI868" s="69">
        <v>0</v>
      </c>
      <c r="AJ868" s="69">
        <v>0</v>
      </c>
      <c r="AK868" s="69">
        <v>0</v>
      </c>
      <c r="AL868" s="60">
        <v>10800</v>
      </c>
      <c r="AM868" s="60">
        <f t="shared" ref="AM868:AM931" si="425">ROUND(AL868,2)</f>
        <v>10800</v>
      </c>
      <c r="AN868" s="59">
        <v>10800</v>
      </c>
      <c r="AO868" s="148">
        <f t="shared" ref="AO868:AO931" si="426">ROUND(AN868,2)*-1</f>
        <v>-10800</v>
      </c>
      <c r="AP868" s="58">
        <v>0</v>
      </c>
      <c r="AQ868" s="143">
        <f t="shared" ref="AQ868:AQ931" si="427">ROUND(AP868,2)*-1</f>
        <v>0</v>
      </c>
    </row>
    <row r="869" spans="1:43" x14ac:dyDescent="0.35">
      <c r="A869" s="69" t="s">
        <v>43</v>
      </c>
      <c r="B869" s="15" t="s">
        <v>2692</v>
      </c>
      <c r="C869" s="15"/>
      <c r="D869" s="69"/>
      <c r="E869" s="76">
        <v>0</v>
      </c>
      <c r="F869" s="69" t="s">
        <v>2453</v>
      </c>
      <c r="G869" s="137" t="s">
        <v>2454</v>
      </c>
      <c r="H869" s="76">
        <v>9011000009</v>
      </c>
      <c r="I869" s="92" t="s">
        <v>47</v>
      </c>
      <c r="J869" s="92">
        <v>1202010202</v>
      </c>
      <c r="K869" s="15"/>
      <c r="L869" s="95" t="s">
        <v>2693</v>
      </c>
      <c r="M869" s="69" t="s">
        <v>2694</v>
      </c>
      <c r="N869" s="69"/>
      <c r="O869" s="94">
        <v>1</v>
      </c>
      <c r="P869" s="69" t="s">
        <v>50</v>
      </c>
      <c r="Q869" s="69" t="s">
        <v>51</v>
      </c>
      <c r="R869" s="69"/>
      <c r="S869" s="46">
        <v>44865</v>
      </c>
      <c r="T869" s="48">
        <v>44865</v>
      </c>
      <c r="U869" s="69"/>
      <c r="V869" s="69"/>
      <c r="W869" s="69"/>
      <c r="X869" s="69"/>
      <c r="Y869" s="69" t="s">
        <v>4131</v>
      </c>
      <c r="Z869" s="43">
        <v>28350</v>
      </c>
      <c r="AA869" s="43" t="s">
        <v>52</v>
      </c>
      <c r="AB869" s="43" t="s">
        <v>53</v>
      </c>
      <c r="AC869" s="43">
        <v>1825</v>
      </c>
      <c r="AD869" s="141">
        <v>5</v>
      </c>
      <c r="AE869" s="142">
        <v>0</v>
      </c>
      <c r="AF869" s="142"/>
      <c r="AG869" s="69" t="str">
        <f t="shared" si="424"/>
        <v>2 years 63 days</v>
      </c>
      <c r="AH869" s="69">
        <v>2</v>
      </c>
      <c r="AI869" s="69">
        <v>63</v>
      </c>
      <c r="AJ869" s="69">
        <v>0</v>
      </c>
      <c r="AK869" s="69">
        <v>0</v>
      </c>
      <c r="AL869" s="60">
        <v>28350</v>
      </c>
      <c r="AM869" s="60">
        <f t="shared" si="425"/>
        <v>28350</v>
      </c>
      <c r="AN869" s="59">
        <v>16070</v>
      </c>
      <c r="AO869" s="148">
        <f t="shared" si="426"/>
        <v>-16070</v>
      </c>
      <c r="AP869" s="58">
        <v>2811.8767123287653</v>
      </c>
      <c r="AQ869" s="143">
        <f t="shared" si="427"/>
        <v>-2811.88</v>
      </c>
    </row>
    <row r="870" spans="1:43" x14ac:dyDescent="0.35">
      <c r="A870" s="69" t="s">
        <v>43</v>
      </c>
      <c r="B870" s="15" t="s">
        <v>2695</v>
      </c>
      <c r="C870" s="15"/>
      <c r="D870" s="69"/>
      <c r="E870" s="76">
        <v>0</v>
      </c>
      <c r="F870" s="69" t="s">
        <v>2453</v>
      </c>
      <c r="G870" s="12" t="s">
        <v>2454</v>
      </c>
      <c r="H870" s="76">
        <v>9011000010</v>
      </c>
      <c r="I870" s="92" t="s">
        <v>47</v>
      </c>
      <c r="J870" s="92">
        <v>1202010202</v>
      </c>
      <c r="K870" s="15"/>
      <c r="L870" s="95" t="s">
        <v>2696</v>
      </c>
      <c r="M870" s="69" t="s">
        <v>49</v>
      </c>
      <c r="N870" s="69"/>
      <c r="O870" s="94">
        <v>1</v>
      </c>
      <c r="P870" s="69" t="s">
        <v>50</v>
      </c>
      <c r="Q870" s="69" t="s">
        <v>51</v>
      </c>
      <c r="R870" s="69"/>
      <c r="S870" s="46">
        <v>41167</v>
      </c>
      <c r="T870" s="48">
        <v>43191</v>
      </c>
      <c r="U870" s="69"/>
      <c r="V870" s="69"/>
      <c r="W870" s="69"/>
      <c r="X870" s="69"/>
      <c r="Y870" s="69" t="s">
        <v>4125</v>
      </c>
      <c r="Z870" s="43">
        <v>700</v>
      </c>
      <c r="AA870" s="43" t="s">
        <v>52</v>
      </c>
      <c r="AB870" s="43" t="s">
        <v>53</v>
      </c>
      <c r="AC870" s="43">
        <v>913</v>
      </c>
      <c r="AD870" s="141">
        <v>2</v>
      </c>
      <c r="AE870" s="142">
        <v>6</v>
      </c>
      <c r="AF870" s="142"/>
      <c r="AG870" s="69" t="str">
        <f t="shared" si="424"/>
        <v>2 years 183 days</v>
      </c>
      <c r="AH870" s="69">
        <v>2</v>
      </c>
      <c r="AI870" s="69">
        <v>183</v>
      </c>
      <c r="AJ870" s="69">
        <v>0</v>
      </c>
      <c r="AK870" s="69">
        <v>0</v>
      </c>
      <c r="AL870" s="60">
        <v>700</v>
      </c>
      <c r="AM870" s="60">
        <f t="shared" si="425"/>
        <v>700</v>
      </c>
      <c r="AN870" s="59">
        <v>700</v>
      </c>
      <c r="AO870" s="148">
        <f t="shared" si="426"/>
        <v>-700</v>
      </c>
      <c r="AP870" s="58">
        <v>0</v>
      </c>
      <c r="AQ870" s="143">
        <f t="shared" si="427"/>
        <v>0</v>
      </c>
    </row>
    <row r="871" spans="1:43" x14ac:dyDescent="0.35">
      <c r="A871" s="69" t="s">
        <v>43</v>
      </c>
      <c r="B871" s="15" t="s">
        <v>2697</v>
      </c>
      <c r="C871" s="15"/>
      <c r="D871" s="69"/>
      <c r="E871" s="76">
        <v>0</v>
      </c>
      <c r="F871" s="69" t="s">
        <v>2453</v>
      </c>
      <c r="G871" s="12" t="s">
        <v>2454</v>
      </c>
      <c r="H871" s="76">
        <v>9011000010</v>
      </c>
      <c r="I871" s="92" t="s">
        <v>47</v>
      </c>
      <c r="J871" s="92">
        <v>1202010202</v>
      </c>
      <c r="K871" s="15"/>
      <c r="L871" s="95" t="s">
        <v>2698</v>
      </c>
      <c r="M871" s="69" t="s">
        <v>49</v>
      </c>
      <c r="N871" s="69"/>
      <c r="O871" s="94">
        <v>1</v>
      </c>
      <c r="P871" s="69" t="s">
        <v>50</v>
      </c>
      <c r="Q871" s="69" t="s">
        <v>51</v>
      </c>
      <c r="R871" s="69"/>
      <c r="S871" s="46">
        <v>41167</v>
      </c>
      <c r="T871" s="48">
        <v>43191</v>
      </c>
      <c r="U871" s="69"/>
      <c r="V871" s="69"/>
      <c r="W871" s="69"/>
      <c r="X871" s="69"/>
      <c r="Y871" s="69" t="s">
        <v>4125</v>
      </c>
      <c r="Z871" s="43">
        <v>800</v>
      </c>
      <c r="AA871" s="43" t="s">
        <v>52</v>
      </c>
      <c r="AB871" s="43" t="s">
        <v>53</v>
      </c>
      <c r="AC871" s="43">
        <v>913</v>
      </c>
      <c r="AD871" s="141">
        <v>2</v>
      </c>
      <c r="AE871" s="142">
        <v>6</v>
      </c>
      <c r="AF871" s="142"/>
      <c r="AG871" s="69" t="str">
        <f t="shared" si="424"/>
        <v>2 years 183 days</v>
      </c>
      <c r="AH871" s="69">
        <v>2</v>
      </c>
      <c r="AI871" s="69">
        <v>183</v>
      </c>
      <c r="AJ871" s="69">
        <v>0</v>
      </c>
      <c r="AK871" s="69">
        <v>0</v>
      </c>
      <c r="AL871" s="60">
        <v>800</v>
      </c>
      <c r="AM871" s="60">
        <f t="shared" si="425"/>
        <v>800</v>
      </c>
      <c r="AN871" s="59">
        <v>800</v>
      </c>
      <c r="AO871" s="148">
        <f t="shared" si="426"/>
        <v>-800</v>
      </c>
      <c r="AP871" s="58">
        <v>0</v>
      </c>
      <c r="AQ871" s="143">
        <f t="shared" si="427"/>
        <v>0</v>
      </c>
    </row>
    <row r="872" spans="1:43" x14ac:dyDescent="0.35">
      <c r="A872" s="69" t="s">
        <v>43</v>
      </c>
      <c r="B872" s="15" t="s">
        <v>2699</v>
      </c>
      <c r="C872" s="15"/>
      <c r="D872" s="69"/>
      <c r="E872" s="76">
        <v>0</v>
      </c>
      <c r="F872" s="69" t="s">
        <v>2453</v>
      </c>
      <c r="G872" s="12" t="s">
        <v>2454</v>
      </c>
      <c r="H872" s="76">
        <v>9011000010</v>
      </c>
      <c r="I872" s="92" t="s">
        <v>47</v>
      </c>
      <c r="J872" s="92">
        <v>1202010202</v>
      </c>
      <c r="K872" s="15"/>
      <c r="L872" s="95" t="s">
        <v>2700</v>
      </c>
      <c r="M872" s="69" t="s">
        <v>49</v>
      </c>
      <c r="N872" s="69"/>
      <c r="O872" s="94">
        <v>1</v>
      </c>
      <c r="P872" s="69" t="s">
        <v>50</v>
      </c>
      <c r="Q872" s="69" t="s">
        <v>51</v>
      </c>
      <c r="R872" s="69"/>
      <c r="S872" s="46">
        <v>41353</v>
      </c>
      <c r="T872" s="48">
        <v>43191</v>
      </c>
      <c r="U872" s="69"/>
      <c r="V872" s="69"/>
      <c r="W872" s="69"/>
      <c r="X872" s="69"/>
      <c r="Y872" s="69" t="s">
        <v>4125</v>
      </c>
      <c r="Z872" s="43">
        <v>28000</v>
      </c>
      <c r="AA872" s="43" t="s">
        <v>52</v>
      </c>
      <c r="AB872" s="43" t="s">
        <v>53</v>
      </c>
      <c r="AC872" s="43">
        <v>1095</v>
      </c>
      <c r="AD872" s="141">
        <v>3</v>
      </c>
      <c r="AE872" s="142">
        <v>0</v>
      </c>
      <c r="AF872" s="142"/>
      <c r="AG872" s="69" t="str">
        <f t="shared" si="424"/>
        <v>3 years 0 days</v>
      </c>
      <c r="AH872" s="69">
        <v>3</v>
      </c>
      <c r="AI872" s="69">
        <v>0</v>
      </c>
      <c r="AJ872" s="69">
        <v>0</v>
      </c>
      <c r="AK872" s="69">
        <v>0</v>
      </c>
      <c r="AL872" s="60">
        <v>28000</v>
      </c>
      <c r="AM872" s="60">
        <f t="shared" si="425"/>
        <v>28000</v>
      </c>
      <c r="AN872" s="59">
        <v>28000</v>
      </c>
      <c r="AO872" s="148">
        <f t="shared" si="426"/>
        <v>-28000</v>
      </c>
      <c r="AP872" s="58">
        <v>0</v>
      </c>
      <c r="AQ872" s="143">
        <f t="shared" si="427"/>
        <v>0</v>
      </c>
    </row>
    <row r="873" spans="1:43" x14ac:dyDescent="0.35">
      <c r="A873" s="69" t="s">
        <v>43</v>
      </c>
      <c r="B873" s="15" t="s">
        <v>2701</v>
      </c>
      <c r="C873" s="15"/>
      <c r="D873" s="69"/>
      <c r="E873" s="76">
        <v>0</v>
      </c>
      <c r="F873" s="69" t="s">
        <v>2453</v>
      </c>
      <c r="G873" s="12" t="s">
        <v>2454</v>
      </c>
      <c r="H873" s="76">
        <v>9011000010</v>
      </c>
      <c r="I873" s="92" t="s">
        <v>47</v>
      </c>
      <c r="J873" s="92">
        <v>1202010202</v>
      </c>
      <c r="K873" s="15"/>
      <c r="L873" s="95" t="s">
        <v>2702</v>
      </c>
      <c r="M873" s="69" t="s">
        <v>2703</v>
      </c>
      <c r="N873" s="69"/>
      <c r="O873" s="94">
        <v>1</v>
      </c>
      <c r="P873" s="69" t="s">
        <v>50</v>
      </c>
      <c r="Q873" s="69" t="s">
        <v>51</v>
      </c>
      <c r="R873" s="69"/>
      <c r="S873" s="46">
        <v>44531</v>
      </c>
      <c r="T873" s="48">
        <v>44531</v>
      </c>
      <c r="U873" s="69"/>
      <c r="V873" s="69"/>
      <c r="W873" s="69"/>
      <c r="X873" s="69"/>
      <c r="Y873" s="69" t="s">
        <v>4128</v>
      </c>
      <c r="Z873" s="43">
        <v>7870</v>
      </c>
      <c r="AA873" s="43" t="s">
        <v>52</v>
      </c>
      <c r="AB873" s="43" t="s">
        <v>53</v>
      </c>
      <c r="AC873" s="43">
        <v>1825</v>
      </c>
      <c r="AD873" s="141">
        <v>5</v>
      </c>
      <c r="AE873" s="142">
        <v>0</v>
      </c>
      <c r="AF873" s="142"/>
      <c r="AG873" s="69" t="str">
        <f t="shared" si="424"/>
        <v>3 years 32 days</v>
      </c>
      <c r="AH873" s="69">
        <v>3</v>
      </c>
      <c r="AI873" s="69">
        <v>32</v>
      </c>
      <c r="AJ873" s="69">
        <v>0</v>
      </c>
      <c r="AK873" s="69">
        <v>0</v>
      </c>
      <c r="AL873" s="60">
        <v>7870</v>
      </c>
      <c r="AM873" s="60">
        <f t="shared" si="425"/>
        <v>7870</v>
      </c>
      <c r="AN873" s="59">
        <v>4860</v>
      </c>
      <c r="AO873" s="148">
        <f t="shared" si="426"/>
        <v>-4860</v>
      </c>
      <c r="AP873" s="58">
        <v>780.5260273972608</v>
      </c>
      <c r="AQ873" s="143">
        <f t="shared" si="427"/>
        <v>-780.53</v>
      </c>
    </row>
    <row r="874" spans="1:43" x14ac:dyDescent="0.35">
      <c r="A874" s="69" t="s">
        <v>43</v>
      </c>
      <c r="B874" s="15" t="s">
        <v>2704</v>
      </c>
      <c r="C874" s="15"/>
      <c r="D874" s="69"/>
      <c r="E874" s="76">
        <v>0</v>
      </c>
      <c r="F874" s="69" t="s">
        <v>2453</v>
      </c>
      <c r="G874" s="12" t="s">
        <v>2454</v>
      </c>
      <c r="H874" s="76">
        <v>9011000010</v>
      </c>
      <c r="I874" s="92" t="s">
        <v>47</v>
      </c>
      <c r="J874" s="92">
        <v>1202010202</v>
      </c>
      <c r="K874" s="15"/>
      <c r="L874" s="95" t="s">
        <v>2705</v>
      </c>
      <c r="M874" s="69" t="s">
        <v>2706</v>
      </c>
      <c r="N874" s="69"/>
      <c r="O874" s="94">
        <v>1</v>
      </c>
      <c r="P874" s="69" t="s">
        <v>50</v>
      </c>
      <c r="Q874" s="69" t="s">
        <v>51</v>
      </c>
      <c r="R874" s="69"/>
      <c r="S874" s="46">
        <v>44701</v>
      </c>
      <c r="T874" s="48">
        <v>44701</v>
      </c>
      <c r="U874" s="69"/>
      <c r="V874" s="69"/>
      <c r="W874" s="69"/>
      <c r="X874" s="69"/>
      <c r="Y874" s="69" t="s">
        <v>4131</v>
      </c>
      <c r="Z874" s="43">
        <v>8000</v>
      </c>
      <c r="AA874" s="43" t="s">
        <v>52</v>
      </c>
      <c r="AB874" s="43" t="s">
        <v>53</v>
      </c>
      <c r="AC874" s="43">
        <v>1825</v>
      </c>
      <c r="AD874" s="141">
        <v>5</v>
      </c>
      <c r="AE874" s="142">
        <v>0</v>
      </c>
      <c r="AF874" s="142"/>
      <c r="AG874" s="69" t="str">
        <f t="shared" si="424"/>
        <v>2 years 227 days</v>
      </c>
      <c r="AH874" s="69">
        <v>2</v>
      </c>
      <c r="AI874" s="69">
        <v>227</v>
      </c>
      <c r="AJ874" s="69">
        <v>0</v>
      </c>
      <c r="AK874" s="69">
        <v>0</v>
      </c>
      <c r="AL874" s="60">
        <v>8000</v>
      </c>
      <c r="AM874" s="60">
        <f t="shared" si="425"/>
        <v>8000</v>
      </c>
      <c r="AN874" s="59">
        <v>4195</v>
      </c>
      <c r="AO874" s="148">
        <f t="shared" si="426"/>
        <v>-4195</v>
      </c>
      <c r="AP874" s="58">
        <v>793.49315068493161</v>
      </c>
      <c r="AQ874" s="143">
        <f t="shared" si="427"/>
        <v>-793.49</v>
      </c>
    </row>
    <row r="875" spans="1:43" x14ac:dyDescent="0.35">
      <c r="A875" s="69" t="s">
        <v>43</v>
      </c>
      <c r="B875" s="15" t="s">
        <v>2707</v>
      </c>
      <c r="C875" s="15"/>
      <c r="D875" s="69"/>
      <c r="E875" s="76">
        <v>0</v>
      </c>
      <c r="F875" s="69" t="s">
        <v>2453</v>
      </c>
      <c r="G875" s="12" t="s">
        <v>2454</v>
      </c>
      <c r="H875" s="76">
        <v>9011000010</v>
      </c>
      <c r="I875" s="92" t="s">
        <v>47</v>
      </c>
      <c r="J875" s="92">
        <v>1202010202</v>
      </c>
      <c r="K875" s="15"/>
      <c r="L875" s="95" t="s">
        <v>2708</v>
      </c>
      <c r="M875" s="69" t="s">
        <v>2709</v>
      </c>
      <c r="N875" s="69"/>
      <c r="O875" s="94">
        <v>1</v>
      </c>
      <c r="P875" s="69" t="s">
        <v>50</v>
      </c>
      <c r="Q875" s="69" t="s">
        <v>51</v>
      </c>
      <c r="R875" s="69"/>
      <c r="S875" s="46">
        <v>45361</v>
      </c>
      <c r="T875" s="48">
        <v>45361</v>
      </c>
      <c r="U875" s="69"/>
      <c r="V875" s="69"/>
      <c r="W875" s="69"/>
      <c r="X875" s="69"/>
      <c r="Y875" s="69" t="s">
        <v>4130</v>
      </c>
      <c r="Z875" s="43">
        <v>34650</v>
      </c>
      <c r="AA875" s="43" t="s">
        <v>52</v>
      </c>
      <c r="AB875" s="43" t="s">
        <v>53</v>
      </c>
      <c r="AC875" s="43">
        <v>1825</v>
      </c>
      <c r="AD875" s="141">
        <v>5</v>
      </c>
      <c r="AE875" s="142">
        <v>0</v>
      </c>
      <c r="AF875" s="142"/>
      <c r="AG875" s="69" t="str">
        <f t="shared" si="424"/>
        <v>0 years 297 days</v>
      </c>
      <c r="AH875" s="69">
        <v>0</v>
      </c>
      <c r="AI875" s="69">
        <v>297</v>
      </c>
      <c r="AJ875" s="69">
        <v>0</v>
      </c>
      <c r="AK875" s="69">
        <v>0</v>
      </c>
      <c r="AL875" s="60">
        <v>34650</v>
      </c>
      <c r="AM875" s="60">
        <f t="shared" si="425"/>
        <v>34650</v>
      </c>
      <c r="AN875" s="59">
        <v>5639</v>
      </c>
      <c r="AO875" s="148">
        <f t="shared" si="426"/>
        <v>-5639</v>
      </c>
      <c r="AP875" s="58">
        <v>3436.4520547945212</v>
      </c>
      <c r="AQ875" s="143">
        <f t="shared" si="427"/>
        <v>-3436.45</v>
      </c>
    </row>
    <row r="876" spans="1:43" x14ac:dyDescent="0.35">
      <c r="A876" s="69" t="s">
        <v>43</v>
      </c>
      <c r="B876" s="15" t="s">
        <v>2710</v>
      </c>
      <c r="C876" s="15"/>
      <c r="D876" s="69"/>
      <c r="E876" s="76">
        <v>0</v>
      </c>
      <c r="F876" s="69" t="s">
        <v>2453</v>
      </c>
      <c r="G876" s="12" t="s">
        <v>2454</v>
      </c>
      <c r="H876" s="76">
        <v>9011000010</v>
      </c>
      <c r="I876" s="92" t="s">
        <v>47</v>
      </c>
      <c r="J876" s="92">
        <v>1202010202</v>
      </c>
      <c r="K876" s="15"/>
      <c r="L876" s="95" t="s">
        <v>2711</v>
      </c>
      <c r="M876" s="69" t="s">
        <v>49</v>
      </c>
      <c r="N876" s="69"/>
      <c r="O876" s="94">
        <v>1711</v>
      </c>
      <c r="P876" s="69" t="s">
        <v>50</v>
      </c>
      <c r="Q876" s="69" t="s">
        <v>51</v>
      </c>
      <c r="R876" s="69"/>
      <c r="S876" s="46">
        <v>45431</v>
      </c>
      <c r="T876" s="48">
        <v>45431</v>
      </c>
      <c r="U876" s="69"/>
      <c r="V876" s="69"/>
      <c r="W876" s="69"/>
      <c r="X876" s="69"/>
      <c r="Y876" s="69" t="s">
        <v>4130</v>
      </c>
      <c r="Z876" s="43">
        <v>90748</v>
      </c>
      <c r="AA876" s="43" t="s">
        <v>52</v>
      </c>
      <c r="AB876" s="43" t="s">
        <v>53</v>
      </c>
      <c r="AC876" s="43">
        <v>1825</v>
      </c>
      <c r="AD876" s="141">
        <v>5</v>
      </c>
      <c r="AE876" s="142">
        <v>0</v>
      </c>
      <c r="AF876" s="142"/>
      <c r="AG876" s="69" t="str">
        <f t="shared" si="424"/>
        <v>0 years 227 days</v>
      </c>
      <c r="AH876" s="69">
        <v>0</v>
      </c>
      <c r="AI876" s="69">
        <v>227</v>
      </c>
      <c r="AJ876" s="69">
        <v>0</v>
      </c>
      <c r="AK876" s="69">
        <v>0</v>
      </c>
      <c r="AL876" s="60">
        <v>90748</v>
      </c>
      <c r="AM876" s="60">
        <f t="shared" si="425"/>
        <v>90748</v>
      </c>
      <c r="AN876" s="59">
        <v>11288</v>
      </c>
      <c r="AO876" s="148">
        <f t="shared" si="426"/>
        <v>-11288</v>
      </c>
      <c r="AP876" s="58">
        <v>8999.772054794521</v>
      </c>
      <c r="AQ876" s="143">
        <f t="shared" si="427"/>
        <v>-8999.77</v>
      </c>
    </row>
    <row r="877" spans="1:43" x14ac:dyDescent="0.35">
      <c r="A877" s="69" t="s">
        <v>43</v>
      </c>
      <c r="B877" s="15" t="s">
        <v>2712</v>
      </c>
      <c r="C877" s="15"/>
      <c r="D877" s="69"/>
      <c r="E877" s="76">
        <v>0</v>
      </c>
      <c r="F877" s="69" t="s">
        <v>2453</v>
      </c>
      <c r="G877" s="12" t="s">
        <v>2454</v>
      </c>
      <c r="H877" s="76">
        <v>9011000011</v>
      </c>
      <c r="I877" s="92" t="s">
        <v>47</v>
      </c>
      <c r="J877" s="92">
        <v>1202010202</v>
      </c>
      <c r="K877" s="15"/>
      <c r="L877" s="95" t="s">
        <v>2713</v>
      </c>
      <c r="M877" s="69" t="s">
        <v>49</v>
      </c>
      <c r="N877" s="69"/>
      <c r="O877" s="94">
        <v>1</v>
      </c>
      <c r="P877" s="69" t="s">
        <v>50</v>
      </c>
      <c r="Q877" s="69" t="s">
        <v>51</v>
      </c>
      <c r="R877" s="69"/>
      <c r="S877" s="46">
        <v>41473</v>
      </c>
      <c r="T877" s="48">
        <v>43191</v>
      </c>
      <c r="U877" s="69"/>
      <c r="V877" s="69"/>
      <c r="W877" s="69"/>
      <c r="X877" s="69"/>
      <c r="Y877" s="69" t="s">
        <v>4125</v>
      </c>
      <c r="Z877" s="43">
        <v>62500</v>
      </c>
      <c r="AA877" s="43" t="s">
        <v>52</v>
      </c>
      <c r="AB877" s="43" t="s">
        <v>53</v>
      </c>
      <c r="AC877" s="43">
        <v>1205</v>
      </c>
      <c r="AD877" s="141">
        <v>3</v>
      </c>
      <c r="AE877" s="142">
        <v>4</v>
      </c>
      <c r="AF877" s="142"/>
      <c r="AG877" s="69" t="str">
        <f t="shared" si="424"/>
        <v>3 years 110 days</v>
      </c>
      <c r="AH877" s="69">
        <v>3</v>
      </c>
      <c r="AI877" s="69">
        <v>110</v>
      </c>
      <c r="AJ877" s="69">
        <v>0</v>
      </c>
      <c r="AK877" s="69">
        <v>0</v>
      </c>
      <c r="AL877" s="60">
        <v>62500</v>
      </c>
      <c r="AM877" s="60">
        <f t="shared" si="425"/>
        <v>62500</v>
      </c>
      <c r="AN877" s="59">
        <v>62500</v>
      </c>
      <c r="AO877" s="148">
        <f t="shared" si="426"/>
        <v>-62500</v>
      </c>
      <c r="AP877" s="58">
        <v>0</v>
      </c>
      <c r="AQ877" s="143">
        <f t="shared" si="427"/>
        <v>0</v>
      </c>
    </row>
    <row r="878" spans="1:43" x14ac:dyDescent="0.35">
      <c r="A878" s="69" t="s">
        <v>43</v>
      </c>
      <c r="B878" s="15" t="s">
        <v>2714</v>
      </c>
      <c r="C878" s="15"/>
      <c r="D878" s="69"/>
      <c r="E878" s="76">
        <v>0</v>
      </c>
      <c r="F878" s="69" t="s">
        <v>2453</v>
      </c>
      <c r="G878" s="12" t="s">
        <v>2454</v>
      </c>
      <c r="H878" s="76">
        <v>9011000012</v>
      </c>
      <c r="I878" s="92" t="s">
        <v>47</v>
      </c>
      <c r="J878" s="92">
        <v>1202010202</v>
      </c>
      <c r="K878" s="15"/>
      <c r="L878" s="95" t="s">
        <v>2715</v>
      </c>
      <c r="M878" s="69" t="s">
        <v>2716</v>
      </c>
      <c r="N878" s="69"/>
      <c r="O878" s="94">
        <v>13</v>
      </c>
      <c r="P878" s="69" t="s">
        <v>50</v>
      </c>
      <c r="Q878" s="69" t="s">
        <v>51</v>
      </c>
      <c r="R878" s="69"/>
      <c r="S878" s="46">
        <v>44986</v>
      </c>
      <c r="T878" s="48">
        <v>44986</v>
      </c>
      <c r="U878" s="69"/>
      <c r="V878" s="69"/>
      <c r="W878" s="69"/>
      <c r="X878" s="69"/>
      <c r="Y878" s="69" t="s">
        <v>4129</v>
      </c>
      <c r="Z878" s="43">
        <v>169491</v>
      </c>
      <c r="AA878" s="43" t="s">
        <v>52</v>
      </c>
      <c r="AB878" s="43" t="s">
        <v>53</v>
      </c>
      <c r="AC878" s="43">
        <v>1825</v>
      </c>
      <c r="AD878" s="141">
        <v>5</v>
      </c>
      <c r="AE878" s="142">
        <v>0</v>
      </c>
      <c r="AF878" s="142"/>
      <c r="AG878" s="69" t="str">
        <f t="shared" si="424"/>
        <v>1 years 307 days</v>
      </c>
      <c r="AH878" s="69">
        <v>1</v>
      </c>
      <c r="AI878" s="69">
        <v>307</v>
      </c>
      <c r="AJ878" s="69">
        <v>0</v>
      </c>
      <c r="AK878" s="69">
        <v>0</v>
      </c>
      <c r="AL878" s="60">
        <v>169491</v>
      </c>
      <c r="AM878" s="60">
        <f t="shared" si="425"/>
        <v>169491</v>
      </c>
      <c r="AN878" s="59">
        <v>62410</v>
      </c>
      <c r="AO878" s="148">
        <f t="shared" si="426"/>
        <v>-62410</v>
      </c>
      <c r="AP878" s="58">
        <v>16809.62904109589</v>
      </c>
      <c r="AQ878" s="143">
        <f t="shared" si="427"/>
        <v>-16809.63</v>
      </c>
    </row>
    <row r="879" spans="1:43" x14ac:dyDescent="0.35">
      <c r="A879" s="69" t="s">
        <v>43</v>
      </c>
      <c r="B879" s="15" t="s">
        <v>2717</v>
      </c>
      <c r="C879" s="15"/>
      <c r="D879" s="69"/>
      <c r="E879" s="76">
        <v>0</v>
      </c>
      <c r="F879" s="69" t="s">
        <v>2453</v>
      </c>
      <c r="G879" s="12" t="s">
        <v>2454</v>
      </c>
      <c r="H879" s="76">
        <v>9011000012</v>
      </c>
      <c r="I879" s="92" t="s">
        <v>47</v>
      </c>
      <c r="J879" s="92">
        <v>1202010202</v>
      </c>
      <c r="K879" s="15"/>
      <c r="L879" s="95" t="s">
        <v>2718</v>
      </c>
      <c r="M879" s="69" t="s">
        <v>2719</v>
      </c>
      <c r="N879" s="69"/>
      <c r="O879" s="94">
        <v>1</v>
      </c>
      <c r="P879" s="69" t="s">
        <v>50</v>
      </c>
      <c r="Q879" s="69" t="s">
        <v>51</v>
      </c>
      <c r="R879" s="69"/>
      <c r="S879" s="46">
        <v>45016</v>
      </c>
      <c r="T879" s="48">
        <v>45016</v>
      </c>
      <c r="U879" s="69"/>
      <c r="V879" s="69"/>
      <c r="W879" s="69"/>
      <c r="X879" s="69"/>
      <c r="Y879" s="69" t="s">
        <v>4129</v>
      </c>
      <c r="Z879" s="43">
        <v>67895</v>
      </c>
      <c r="AA879" s="43" t="s">
        <v>52</v>
      </c>
      <c r="AB879" s="43" t="s">
        <v>53</v>
      </c>
      <c r="AC879" s="43">
        <v>1825</v>
      </c>
      <c r="AD879" s="141">
        <v>5</v>
      </c>
      <c r="AE879" s="142">
        <v>0</v>
      </c>
      <c r="AF879" s="142"/>
      <c r="AG879" s="69" t="str">
        <f t="shared" si="424"/>
        <v>1 years 277 days</v>
      </c>
      <c r="AH879" s="69">
        <v>1</v>
      </c>
      <c r="AI879" s="69">
        <v>277</v>
      </c>
      <c r="AJ879" s="69">
        <v>0</v>
      </c>
      <c r="AK879" s="69">
        <v>0</v>
      </c>
      <c r="AL879" s="60">
        <v>67895</v>
      </c>
      <c r="AM879" s="60">
        <f t="shared" si="425"/>
        <v>67895</v>
      </c>
      <c r="AN879" s="59">
        <v>23921</v>
      </c>
      <c r="AO879" s="148">
        <f t="shared" si="426"/>
        <v>-23921</v>
      </c>
      <c r="AP879" s="58">
        <v>6734.0575342465745</v>
      </c>
      <c r="AQ879" s="143">
        <f t="shared" si="427"/>
        <v>-6734.06</v>
      </c>
    </row>
    <row r="880" spans="1:43" x14ac:dyDescent="0.35">
      <c r="A880" s="69" t="s">
        <v>43</v>
      </c>
      <c r="B880" s="15" t="s">
        <v>2720</v>
      </c>
      <c r="C880" s="15"/>
      <c r="D880" s="69"/>
      <c r="E880" s="76">
        <v>0</v>
      </c>
      <c r="F880" s="69" t="s">
        <v>2453</v>
      </c>
      <c r="G880" s="12" t="s">
        <v>2454</v>
      </c>
      <c r="H880" s="76">
        <v>9011000013</v>
      </c>
      <c r="I880" s="92" t="s">
        <v>47</v>
      </c>
      <c r="J880" s="92">
        <v>1202010202</v>
      </c>
      <c r="K880" s="15"/>
      <c r="L880" s="95" t="s">
        <v>2721</v>
      </c>
      <c r="M880" s="69" t="s">
        <v>2722</v>
      </c>
      <c r="N880" s="69"/>
      <c r="O880" s="94">
        <v>1</v>
      </c>
      <c r="P880" s="69" t="s">
        <v>50</v>
      </c>
      <c r="Q880" s="69" t="s">
        <v>51</v>
      </c>
      <c r="R880" s="69"/>
      <c r="S880" s="46">
        <v>45170</v>
      </c>
      <c r="T880" s="48">
        <v>45170</v>
      </c>
      <c r="U880" s="69"/>
      <c r="V880" s="69"/>
      <c r="W880" s="69"/>
      <c r="X880" s="69"/>
      <c r="Y880" s="69" t="s">
        <v>4129</v>
      </c>
      <c r="Z880" s="43">
        <v>80932</v>
      </c>
      <c r="AA880" s="43" t="s">
        <v>52</v>
      </c>
      <c r="AB880" s="43" t="s">
        <v>53</v>
      </c>
      <c r="AC880" s="43">
        <v>1825</v>
      </c>
      <c r="AD880" s="141">
        <v>5</v>
      </c>
      <c r="AE880" s="142">
        <v>0</v>
      </c>
      <c r="AF880" s="142"/>
      <c r="AG880" s="69" t="str">
        <f t="shared" si="424"/>
        <v>1 years 123 days</v>
      </c>
      <c r="AH880" s="69">
        <v>1</v>
      </c>
      <c r="AI880" s="69">
        <v>123</v>
      </c>
      <c r="AJ880" s="69">
        <v>0</v>
      </c>
      <c r="AK880" s="69">
        <v>0</v>
      </c>
      <c r="AL880" s="60">
        <v>80932</v>
      </c>
      <c r="AM880" s="60">
        <f t="shared" si="425"/>
        <v>80932</v>
      </c>
      <c r="AN880" s="59">
        <v>21641</v>
      </c>
      <c r="AO880" s="148">
        <f t="shared" si="426"/>
        <v>-21641</v>
      </c>
      <c r="AP880" s="58">
        <v>8026.6756164383551</v>
      </c>
      <c r="AQ880" s="143">
        <f t="shared" si="427"/>
        <v>-8026.68</v>
      </c>
    </row>
    <row r="881" spans="1:43" x14ac:dyDescent="0.35">
      <c r="A881" s="69" t="s">
        <v>43</v>
      </c>
      <c r="B881" s="15" t="s">
        <v>2723</v>
      </c>
      <c r="C881" s="15"/>
      <c r="D881" s="69"/>
      <c r="E881" s="76">
        <v>0</v>
      </c>
      <c r="F881" s="69" t="s">
        <v>2453</v>
      </c>
      <c r="G881" s="12" t="s">
        <v>2454</v>
      </c>
      <c r="H881" s="76">
        <v>9011000013</v>
      </c>
      <c r="I881" s="92" t="s">
        <v>47</v>
      </c>
      <c r="J881" s="92">
        <v>1202010202</v>
      </c>
      <c r="K881" s="15"/>
      <c r="L881" s="95" t="s">
        <v>2724</v>
      </c>
      <c r="M881" s="69" t="s">
        <v>2725</v>
      </c>
      <c r="N881" s="69"/>
      <c r="O881" s="94">
        <v>1</v>
      </c>
      <c r="P881" s="69" t="s">
        <v>50</v>
      </c>
      <c r="Q881" s="69" t="s">
        <v>51</v>
      </c>
      <c r="R881" s="69"/>
      <c r="S881" s="46">
        <v>45170</v>
      </c>
      <c r="T881" s="48">
        <v>45170</v>
      </c>
      <c r="U881" s="69"/>
      <c r="V881" s="69"/>
      <c r="W881" s="69"/>
      <c r="X881" s="69"/>
      <c r="Y881" s="69" t="s">
        <v>4129</v>
      </c>
      <c r="Z881" s="43">
        <v>76546</v>
      </c>
      <c r="AA881" s="43" t="s">
        <v>52</v>
      </c>
      <c r="AB881" s="43" t="s">
        <v>53</v>
      </c>
      <c r="AC881" s="43">
        <v>1825</v>
      </c>
      <c r="AD881" s="141">
        <v>5</v>
      </c>
      <c r="AE881" s="142">
        <v>0</v>
      </c>
      <c r="AF881" s="142"/>
      <c r="AG881" s="69" t="str">
        <f t="shared" si="424"/>
        <v>1 years 123 days</v>
      </c>
      <c r="AH881" s="69">
        <v>1</v>
      </c>
      <c r="AI881" s="69">
        <v>123</v>
      </c>
      <c r="AJ881" s="69">
        <v>0</v>
      </c>
      <c r="AK881" s="69">
        <v>0</v>
      </c>
      <c r="AL881" s="60">
        <v>76546</v>
      </c>
      <c r="AM881" s="60">
        <f t="shared" si="425"/>
        <v>76546</v>
      </c>
      <c r="AN881" s="59">
        <v>20468</v>
      </c>
      <c r="AO881" s="148">
        <f t="shared" si="426"/>
        <v>-20468</v>
      </c>
      <c r="AP881" s="58">
        <v>7591.8761643835605</v>
      </c>
      <c r="AQ881" s="143">
        <f t="shared" si="427"/>
        <v>-7591.88</v>
      </c>
    </row>
    <row r="882" spans="1:43" x14ac:dyDescent="0.35">
      <c r="A882" s="69" t="s">
        <v>43</v>
      </c>
      <c r="B882" s="15" t="s">
        <v>2726</v>
      </c>
      <c r="C882" s="15"/>
      <c r="D882" s="69"/>
      <c r="E882" s="76">
        <v>0</v>
      </c>
      <c r="F882" s="69" t="s">
        <v>2453</v>
      </c>
      <c r="G882" s="12" t="s">
        <v>2454</v>
      </c>
      <c r="H882" s="76">
        <v>9011000013</v>
      </c>
      <c r="I882" s="92" t="s">
        <v>47</v>
      </c>
      <c r="J882" s="92">
        <v>1202010202</v>
      </c>
      <c r="K882" s="15"/>
      <c r="L882" s="95" t="s">
        <v>2727</v>
      </c>
      <c r="M882" s="69" t="s">
        <v>2709</v>
      </c>
      <c r="N882" s="69"/>
      <c r="O882" s="94">
        <v>1</v>
      </c>
      <c r="P882" s="69" t="s">
        <v>50</v>
      </c>
      <c r="Q882" s="69" t="s">
        <v>51</v>
      </c>
      <c r="R882" s="69"/>
      <c r="S882" s="46">
        <v>45382</v>
      </c>
      <c r="T882" s="48">
        <v>45382</v>
      </c>
      <c r="U882" s="69"/>
      <c r="V882" s="69"/>
      <c r="W882" s="69"/>
      <c r="X882" s="69"/>
      <c r="Y882" s="69" t="s">
        <v>4130</v>
      </c>
      <c r="Z882" s="43">
        <v>57915</v>
      </c>
      <c r="AA882" s="43" t="s">
        <v>52</v>
      </c>
      <c r="AB882" s="43" t="s">
        <v>53</v>
      </c>
      <c r="AC882" s="43">
        <v>1825</v>
      </c>
      <c r="AD882" s="141">
        <v>5</v>
      </c>
      <c r="AE882" s="142">
        <v>0</v>
      </c>
      <c r="AF882" s="142"/>
      <c r="AG882" s="69" t="str">
        <f t="shared" si="424"/>
        <v>0 years 276 days</v>
      </c>
      <c r="AH882" s="69">
        <v>0</v>
      </c>
      <c r="AI882" s="69">
        <v>276</v>
      </c>
      <c r="AJ882" s="69">
        <v>0</v>
      </c>
      <c r="AK882" s="69">
        <v>0</v>
      </c>
      <c r="AL882" s="60">
        <v>57915</v>
      </c>
      <c r="AM882" s="60">
        <f t="shared" si="425"/>
        <v>57915</v>
      </c>
      <c r="AN882" s="59">
        <v>8790</v>
      </c>
      <c r="AO882" s="148">
        <f t="shared" si="426"/>
        <v>-8790</v>
      </c>
      <c r="AP882" s="58">
        <v>5744.2849315068488</v>
      </c>
      <c r="AQ882" s="143">
        <f t="shared" si="427"/>
        <v>-5744.28</v>
      </c>
    </row>
    <row r="883" spans="1:43" x14ac:dyDescent="0.35">
      <c r="A883" s="69" t="s">
        <v>43</v>
      </c>
      <c r="B883" s="15" t="s">
        <v>2728</v>
      </c>
      <c r="C883" s="15"/>
      <c r="D883" s="69"/>
      <c r="E883" s="76">
        <v>0</v>
      </c>
      <c r="F883" s="69" t="s">
        <v>2453</v>
      </c>
      <c r="G883" s="12" t="s">
        <v>2454</v>
      </c>
      <c r="H883" s="76">
        <v>9011000014</v>
      </c>
      <c r="I883" s="92" t="s">
        <v>47</v>
      </c>
      <c r="J883" s="92">
        <v>1202010202</v>
      </c>
      <c r="K883" s="15"/>
      <c r="L883" s="95" t="s">
        <v>2729</v>
      </c>
      <c r="M883" s="69" t="s">
        <v>2730</v>
      </c>
      <c r="N883" s="69"/>
      <c r="O883" s="94">
        <v>313</v>
      </c>
      <c r="P883" s="69" t="s">
        <v>50</v>
      </c>
      <c r="Q883" s="69" t="s">
        <v>51</v>
      </c>
      <c r="R883" s="69"/>
      <c r="S883" s="46">
        <v>45498</v>
      </c>
      <c r="T883" s="48">
        <v>45498</v>
      </c>
      <c r="U883" s="69"/>
      <c r="V883" s="69"/>
      <c r="W883" s="69"/>
      <c r="X883" s="69"/>
      <c r="Y883" s="69" t="s">
        <v>4130</v>
      </c>
      <c r="Z883" s="43">
        <v>10800.8</v>
      </c>
      <c r="AA883" s="43" t="s">
        <v>52</v>
      </c>
      <c r="AB883" s="43" t="s">
        <v>53</v>
      </c>
      <c r="AC883" s="43">
        <v>1825</v>
      </c>
      <c r="AD883" s="141">
        <v>5</v>
      </c>
      <c r="AE883" s="142">
        <v>0</v>
      </c>
      <c r="AF883" s="142"/>
      <c r="AG883" s="69" t="str">
        <f t="shared" si="424"/>
        <v>0 years 160 days</v>
      </c>
      <c r="AH883" s="69">
        <v>0</v>
      </c>
      <c r="AI883" s="69">
        <v>160</v>
      </c>
      <c r="AJ883" s="69">
        <v>0</v>
      </c>
      <c r="AK883" s="69">
        <v>0</v>
      </c>
      <c r="AL883" s="60">
        <v>10800.8</v>
      </c>
      <c r="AM883" s="60">
        <f t="shared" si="425"/>
        <v>10800.8</v>
      </c>
      <c r="AN883" s="59">
        <v>947</v>
      </c>
      <c r="AO883" s="148">
        <f t="shared" si="426"/>
        <v>-947</v>
      </c>
      <c r="AP883" s="58">
        <v>1071.1220821917809</v>
      </c>
      <c r="AQ883" s="143">
        <f t="shared" si="427"/>
        <v>-1071.1199999999999</v>
      </c>
    </row>
    <row r="884" spans="1:43" x14ac:dyDescent="0.35">
      <c r="A884" s="69" t="s">
        <v>43</v>
      </c>
      <c r="B884" s="15" t="s">
        <v>2731</v>
      </c>
      <c r="C884" s="15"/>
      <c r="D884" s="69"/>
      <c r="E884" s="76">
        <v>0</v>
      </c>
      <c r="F884" s="69" t="s">
        <v>2453</v>
      </c>
      <c r="G884" s="14" t="s">
        <v>2454</v>
      </c>
      <c r="H884" s="15">
        <v>9011000015</v>
      </c>
      <c r="I884" s="92" t="s">
        <v>47</v>
      </c>
      <c r="J884" s="92">
        <v>1202010202</v>
      </c>
      <c r="K884" s="14" t="s">
        <v>2454</v>
      </c>
      <c r="L884" s="95" t="s">
        <v>2732</v>
      </c>
      <c r="M884" s="69" t="s">
        <v>2733</v>
      </c>
      <c r="N884" s="69"/>
      <c r="O884" s="94">
        <v>1</v>
      </c>
      <c r="P884" s="69" t="s">
        <v>50</v>
      </c>
      <c r="Q884" s="69" t="s">
        <v>51</v>
      </c>
      <c r="R884" s="69"/>
      <c r="S884" s="46">
        <v>45005</v>
      </c>
      <c r="T884" s="48">
        <v>45005</v>
      </c>
      <c r="U884" s="69"/>
      <c r="V884" s="69"/>
      <c r="W884" s="69"/>
      <c r="X884" s="69"/>
      <c r="Y884" s="69" t="s">
        <v>4129</v>
      </c>
      <c r="Z884" s="43">
        <v>75500</v>
      </c>
      <c r="AA884" s="43" t="s">
        <v>52</v>
      </c>
      <c r="AB884" s="43" t="s">
        <v>53</v>
      </c>
      <c r="AC884" s="43">
        <v>3650</v>
      </c>
      <c r="AD884" s="141">
        <v>10</v>
      </c>
      <c r="AE884" s="142">
        <v>0</v>
      </c>
      <c r="AF884" s="142"/>
      <c r="AG884" s="69" t="str">
        <f t="shared" si="424"/>
        <v>1 years 288 days</v>
      </c>
      <c r="AH884" s="69">
        <v>1</v>
      </c>
      <c r="AI884" s="69">
        <v>288</v>
      </c>
      <c r="AJ884" s="69">
        <v>0</v>
      </c>
      <c r="AK884" s="69">
        <v>0</v>
      </c>
      <c r="AL884" s="60">
        <v>75500</v>
      </c>
      <c r="AM884" s="60">
        <f t="shared" si="425"/>
        <v>75500</v>
      </c>
      <c r="AN884" s="59">
        <v>13507</v>
      </c>
      <c r="AO884" s="148">
        <f t="shared" si="426"/>
        <v>-13507</v>
      </c>
      <c r="AP884" s="58">
        <v>3744.232876712329</v>
      </c>
      <c r="AQ884" s="143">
        <f t="shared" si="427"/>
        <v>-3744.23</v>
      </c>
    </row>
    <row r="885" spans="1:43" x14ac:dyDescent="0.35">
      <c r="A885" s="69" t="s">
        <v>43</v>
      </c>
      <c r="B885" s="15" t="s">
        <v>2734</v>
      </c>
      <c r="C885" s="15"/>
      <c r="D885" s="69"/>
      <c r="E885" s="76">
        <v>0</v>
      </c>
      <c r="F885" s="69" t="s">
        <v>2453</v>
      </c>
      <c r="G885" s="12" t="s">
        <v>2454</v>
      </c>
      <c r="H885" s="15">
        <v>9011000015</v>
      </c>
      <c r="I885" s="92" t="s">
        <v>47</v>
      </c>
      <c r="J885" s="92">
        <v>1202010202</v>
      </c>
      <c r="K885" s="14"/>
      <c r="L885" s="95" t="s">
        <v>2735</v>
      </c>
      <c r="M885" s="69" t="s">
        <v>2736</v>
      </c>
      <c r="N885" s="69"/>
      <c r="O885" s="94">
        <v>1</v>
      </c>
      <c r="P885" s="69" t="s">
        <v>50</v>
      </c>
      <c r="Q885" s="69" t="s">
        <v>51</v>
      </c>
      <c r="R885" s="69"/>
      <c r="S885" s="46">
        <v>44986</v>
      </c>
      <c r="T885" s="48">
        <v>44986</v>
      </c>
      <c r="U885" s="69"/>
      <c r="V885" s="69"/>
      <c r="W885" s="69"/>
      <c r="X885" s="69"/>
      <c r="Y885" s="69" t="s">
        <v>4129</v>
      </c>
      <c r="Z885" s="43">
        <v>583700.6</v>
      </c>
      <c r="AA885" s="43" t="s">
        <v>52</v>
      </c>
      <c r="AB885" s="43" t="s">
        <v>53</v>
      </c>
      <c r="AC885" s="43">
        <v>3650</v>
      </c>
      <c r="AD885" s="141">
        <v>10</v>
      </c>
      <c r="AE885" s="142">
        <v>0</v>
      </c>
      <c r="AF885" s="142"/>
      <c r="AG885" s="69" t="str">
        <f t="shared" si="424"/>
        <v>1 years 307 days</v>
      </c>
      <c r="AH885" s="69">
        <v>1</v>
      </c>
      <c r="AI885" s="69">
        <v>307</v>
      </c>
      <c r="AJ885" s="69">
        <v>0</v>
      </c>
      <c r="AK885" s="69">
        <v>0</v>
      </c>
      <c r="AL885" s="60">
        <v>583700.6</v>
      </c>
      <c r="AM885" s="60">
        <f t="shared" si="425"/>
        <v>583700.6</v>
      </c>
      <c r="AN885" s="59">
        <v>107465</v>
      </c>
      <c r="AO885" s="148">
        <f t="shared" si="426"/>
        <v>-107465</v>
      </c>
      <c r="AP885" s="58">
        <v>28945.034027397254</v>
      </c>
      <c r="AQ885" s="143">
        <f t="shared" si="427"/>
        <v>-28945.03</v>
      </c>
    </row>
    <row r="886" spans="1:43" x14ac:dyDescent="0.35">
      <c r="A886" s="69" t="s">
        <v>43</v>
      </c>
      <c r="B886" s="15" t="s">
        <v>2737</v>
      </c>
      <c r="C886" s="15"/>
      <c r="D886" s="69"/>
      <c r="E886" s="76">
        <v>0</v>
      </c>
      <c r="F886" s="69" t="s">
        <v>2453</v>
      </c>
      <c r="G886" s="10" t="s">
        <v>2454</v>
      </c>
      <c r="H886" s="15">
        <v>9011000015</v>
      </c>
      <c r="I886" s="92" t="s">
        <v>47</v>
      </c>
      <c r="J886" s="92">
        <v>1202010202</v>
      </c>
      <c r="K886" s="14"/>
      <c r="L886" s="95" t="s">
        <v>2738</v>
      </c>
      <c r="M886" s="69" t="s">
        <v>2739</v>
      </c>
      <c r="N886" s="69"/>
      <c r="O886" s="94">
        <v>1</v>
      </c>
      <c r="P886" s="69" t="s">
        <v>50</v>
      </c>
      <c r="Q886" s="69" t="s">
        <v>51</v>
      </c>
      <c r="R886" s="69"/>
      <c r="S886" s="46">
        <v>45127</v>
      </c>
      <c r="T886" s="48">
        <v>45127</v>
      </c>
      <c r="U886" s="69"/>
      <c r="V886" s="69"/>
      <c r="W886" s="69"/>
      <c r="X886" s="69"/>
      <c r="Y886" s="69" t="s">
        <v>4129</v>
      </c>
      <c r="Z886" s="43">
        <v>76025</v>
      </c>
      <c r="AA886" s="43" t="s">
        <v>52</v>
      </c>
      <c r="AB886" s="43" t="s">
        <v>53</v>
      </c>
      <c r="AC886" s="43">
        <v>3650</v>
      </c>
      <c r="AD886" s="141">
        <v>10</v>
      </c>
      <c r="AE886" s="142">
        <v>0</v>
      </c>
      <c r="AF886" s="142"/>
      <c r="AG886" s="69" t="str">
        <f t="shared" si="424"/>
        <v>1 years 166 days</v>
      </c>
      <c r="AH886" s="69">
        <v>1</v>
      </c>
      <c r="AI886" s="69">
        <v>166</v>
      </c>
      <c r="AJ886" s="69">
        <v>0</v>
      </c>
      <c r="AK886" s="69">
        <v>0</v>
      </c>
      <c r="AL886" s="60">
        <v>76025</v>
      </c>
      <c r="AM886" s="60">
        <f t="shared" si="425"/>
        <v>76025</v>
      </c>
      <c r="AN886" s="59">
        <v>11060</v>
      </c>
      <c r="AO886" s="148">
        <f t="shared" si="426"/>
        <v>-11060</v>
      </c>
      <c r="AP886" s="58">
        <v>3770.0821917808225</v>
      </c>
      <c r="AQ886" s="143">
        <f t="shared" si="427"/>
        <v>-3770.08</v>
      </c>
    </row>
    <row r="887" spans="1:43" x14ac:dyDescent="0.35">
      <c r="A887" s="69" t="s">
        <v>43</v>
      </c>
      <c r="B887" s="15" t="s">
        <v>2740</v>
      </c>
      <c r="C887" s="15"/>
      <c r="D887" s="69"/>
      <c r="E887" s="76">
        <v>0</v>
      </c>
      <c r="F887" s="69" t="s">
        <v>2453</v>
      </c>
      <c r="G887" s="12" t="s">
        <v>2454</v>
      </c>
      <c r="H887" s="15">
        <v>9011000016</v>
      </c>
      <c r="I887" s="92" t="s">
        <v>47</v>
      </c>
      <c r="J887" s="92">
        <v>1202010202</v>
      </c>
      <c r="K887" s="14"/>
      <c r="L887" s="95" t="s">
        <v>2741</v>
      </c>
      <c r="M887" s="69" t="s">
        <v>2742</v>
      </c>
      <c r="N887" s="69"/>
      <c r="O887" s="94">
        <v>1</v>
      </c>
      <c r="P887" s="69" t="s">
        <v>50</v>
      </c>
      <c r="Q887" s="69" t="s">
        <v>51</v>
      </c>
      <c r="R887" s="69"/>
      <c r="S887" s="46">
        <v>44986</v>
      </c>
      <c r="T887" s="48">
        <v>44986</v>
      </c>
      <c r="U887" s="69"/>
      <c r="V887" s="69"/>
      <c r="W887" s="69"/>
      <c r="X887" s="69"/>
      <c r="Y887" s="69" t="s">
        <v>4129</v>
      </c>
      <c r="Z887" s="43">
        <v>47500</v>
      </c>
      <c r="AA887" s="43" t="s">
        <v>52</v>
      </c>
      <c r="AB887" s="43" t="s">
        <v>53</v>
      </c>
      <c r="AC887" s="43">
        <v>3650</v>
      </c>
      <c r="AD887" s="141">
        <v>10</v>
      </c>
      <c r="AE887" s="142">
        <v>0</v>
      </c>
      <c r="AF887" s="142"/>
      <c r="AG887" s="69" t="str">
        <f t="shared" si="424"/>
        <v>1 years 307 days</v>
      </c>
      <c r="AH887" s="69">
        <v>1</v>
      </c>
      <c r="AI887" s="69">
        <v>307</v>
      </c>
      <c r="AJ887" s="69">
        <v>0</v>
      </c>
      <c r="AK887" s="69">
        <v>0</v>
      </c>
      <c r="AL887" s="60">
        <v>47500</v>
      </c>
      <c r="AM887" s="60">
        <f t="shared" si="425"/>
        <v>47500</v>
      </c>
      <c r="AN887" s="59">
        <v>8745</v>
      </c>
      <c r="AO887" s="148">
        <f t="shared" si="426"/>
        <v>-8745</v>
      </c>
      <c r="AP887" s="58">
        <v>2355.6849315068503</v>
      </c>
      <c r="AQ887" s="143">
        <f t="shared" si="427"/>
        <v>-2355.6799999999998</v>
      </c>
    </row>
    <row r="888" spans="1:43" x14ac:dyDescent="0.35">
      <c r="A888" s="69" t="s">
        <v>43</v>
      </c>
      <c r="B888" s="15" t="s">
        <v>2743</v>
      </c>
      <c r="C888" s="15"/>
      <c r="D888" s="69"/>
      <c r="E888" s="76">
        <v>0</v>
      </c>
      <c r="F888" s="69" t="s">
        <v>2453</v>
      </c>
      <c r="G888" s="10" t="s">
        <v>2454</v>
      </c>
      <c r="H888" s="15">
        <v>9011000016</v>
      </c>
      <c r="I888" s="92" t="s">
        <v>47</v>
      </c>
      <c r="J888" s="92">
        <v>1202010202</v>
      </c>
      <c r="K888" s="19"/>
      <c r="L888" s="95" t="s">
        <v>2744</v>
      </c>
      <c r="M888" s="69" t="s">
        <v>2745</v>
      </c>
      <c r="N888" s="69"/>
      <c r="O888" s="94">
        <v>1</v>
      </c>
      <c r="P888" s="69" t="s">
        <v>50</v>
      </c>
      <c r="Q888" s="69" t="s">
        <v>51</v>
      </c>
      <c r="R888" s="69"/>
      <c r="S888" s="46">
        <v>44865</v>
      </c>
      <c r="T888" s="48">
        <v>44865</v>
      </c>
      <c r="U888" s="69"/>
      <c r="V888" s="69"/>
      <c r="W888" s="69"/>
      <c r="X888" s="69"/>
      <c r="Y888" s="69" t="s">
        <v>4131</v>
      </c>
      <c r="Z888" s="43">
        <v>90242</v>
      </c>
      <c r="AA888" s="43" t="s">
        <v>52</v>
      </c>
      <c r="AB888" s="43" t="s">
        <v>53</v>
      </c>
      <c r="AC888" s="43">
        <v>3650</v>
      </c>
      <c r="AD888" s="141">
        <v>10</v>
      </c>
      <c r="AE888" s="142">
        <v>0</v>
      </c>
      <c r="AF888" s="142"/>
      <c r="AG888" s="69" t="str">
        <f t="shared" si="424"/>
        <v>2 years 63 days</v>
      </c>
      <c r="AH888" s="69">
        <v>2</v>
      </c>
      <c r="AI888" s="69">
        <v>63</v>
      </c>
      <c r="AJ888" s="69">
        <v>0</v>
      </c>
      <c r="AK888" s="69">
        <v>0</v>
      </c>
      <c r="AL888" s="60">
        <v>90242</v>
      </c>
      <c r="AM888" s="60">
        <f t="shared" si="425"/>
        <v>90242</v>
      </c>
      <c r="AN888" s="59">
        <v>30015</v>
      </c>
      <c r="AO888" s="148">
        <f t="shared" si="426"/>
        <v>-30015</v>
      </c>
      <c r="AP888" s="58">
        <v>4474.7506849315105</v>
      </c>
      <c r="AQ888" s="143">
        <f t="shared" si="427"/>
        <v>-4474.75</v>
      </c>
    </row>
    <row r="889" spans="1:43" x14ac:dyDescent="0.35">
      <c r="A889" s="69" t="s">
        <v>43</v>
      </c>
      <c r="B889" s="15" t="s">
        <v>2746</v>
      </c>
      <c r="C889" s="15"/>
      <c r="D889" s="69"/>
      <c r="E889" s="76">
        <v>0</v>
      </c>
      <c r="F889" s="69" t="s">
        <v>2453</v>
      </c>
      <c r="G889" s="10" t="s">
        <v>2454</v>
      </c>
      <c r="H889" s="15">
        <v>9011000017</v>
      </c>
      <c r="I889" s="92" t="s">
        <v>47</v>
      </c>
      <c r="J889" s="92">
        <v>1202010202</v>
      </c>
      <c r="K889" s="19"/>
      <c r="L889" s="95" t="s">
        <v>2747</v>
      </c>
      <c r="M889" s="69" t="s">
        <v>2748</v>
      </c>
      <c r="N889" s="69"/>
      <c r="O889" s="94">
        <v>1</v>
      </c>
      <c r="P889" s="69" t="s">
        <v>50</v>
      </c>
      <c r="Q889" s="69" t="s">
        <v>51</v>
      </c>
      <c r="R889" s="69"/>
      <c r="S889" s="46">
        <v>44865</v>
      </c>
      <c r="T889" s="48">
        <v>44865</v>
      </c>
      <c r="U889" s="69"/>
      <c r="V889" s="69"/>
      <c r="W889" s="69"/>
      <c r="X889" s="69"/>
      <c r="Y889" s="69" t="s">
        <v>4131</v>
      </c>
      <c r="Z889" s="43">
        <v>73628</v>
      </c>
      <c r="AA889" s="43" t="s">
        <v>52</v>
      </c>
      <c r="AB889" s="43" t="s">
        <v>53</v>
      </c>
      <c r="AC889" s="43">
        <v>3650</v>
      </c>
      <c r="AD889" s="141">
        <v>10</v>
      </c>
      <c r="AE889" s="142">
        <v>0</v>
      </c>
      <c r="AF889" s="142"/>
      <c r="AG889" s="69" t="str">
        <f t="shared" si="424"/>
        <v>2 years 63 days</v>
      </c>
      <c r="AH889" s="69">
        <v>2</v>
      </c>
      <c r="AI889" s="69">
        <v>63</v>
      </c>
      <c r="AJ889" s="69">
        <v>0</v>
      </c>
      <c r="AK889" s="69">
        <v>0</v>
      </c>
      <c r="AL889" s="60">
        <v>73628</v>
      </c>
      <c r="AM889" s="60">
        <f t="shared" si="425"/>
        <v>73628</v>
      </c>
      <c r="AN889" s="59">
        <v>66225</v>
      </c>
      <c r="AO889" s="148">
        <f t="shared" si="426"/>
        <v>-66225</v>
      </c>
      <c r="AP889" s="58">
        <v>3650.997808219181</v>
      </c>
      <c r="AQ889" s="143">
        <f t="shared" si="427"/>
        <v>-3651</v>
      </c>
    </row>
    <row r="890" spans="1:43" x14ac:dyDescent="0.35">
      <c r="A890" s="69" t="s">
        <v>43</v>
      </c>
      <c r="B890" s="15" t="s">
        <v>2749</v>
      </c>
      <c r="C890" s="15"/>
      <c r="D890" s="69"/>
      <c r="E890" s="76">
        <v>0</v>
      </c>
      <c r="F890" s="69" t="s">
        <v>2750</v>
      </c>
      <c r="G890" s="138" t="s">
        <v>2751</v>
      </c>
      <c r="H890" s="76">
        <v>9012000001</v>
      </c>
      <c r="I890" s="92" t="s">
        <v>47</v>
      </c>
      <c r="J890" s="92">
        <v>1202010202</v>
      </c>
      <c r="K890" s="15"/>
      <c r="L890" s="95" t="s">
        <v>2752</v>
      </c>
      <c r="M890" s="69" t="s">
        <v>2753</v>
      </c>
      <c r="N890" s="69"/>
      <c r="O890" s="94">
        <v>1</v>
      </c>
      <c r="P890" s="69" t="s">
        <v>50</v>
      </c>
      <c r="Q890" s="69" t="s">
        <v>51</v>
      </c>
      <c r="R890" s="69"/>
      <c r="S890" s="46">
        <v>41803</v>
      </c>
      <c r="T890" s="48">
        <v>43191</v>
      </c>
      <c r="U890" s="69"/>
      <c r="V890" s="69"/>
      <c r="W890" s="69"/>
      <c r="X890" s="69"/>
      <c r="Y890" s="69" t="s">
        <v>4125</v>
      </c>
      <c r="Z890" s="43">
        <v>1700</v>
      </c>
      <c r="AA890" s="43" t="s">
        <v>52</v>
      </c>
      <c r="AB890" s="43" t="s">
        <v>53</v>
      </c>
      <c r="AC890" s="43">
        <v>110</v>
      </c>
      <c r="AD890" s="141">
        <v>0</v>
      </c>
      <c r="AE890" s="142">
        <v>4</v>
      </c>
      <c r="AF890" s="142"/>
      <c r="AG890" s="69" t="str">
        <f t="shared" si="424"/>
        <v>0 years 110 days</v>
      </c>
      <c r="AH890" s="69">
        <v>0</v>
      </c>
      <c r="AI890" s="69">
        <v>110</v>
      </c>
      <c r="AJ890" s="69">
        <v>0</v>
      </c>
      <c r="AK890" s="69">
        <v>0</v>
      </c>
      <c r="AL890" s="60">
        <v>1700</v>
      </c>
      <c r="AM890" s="60">
        <f t="shared" si="425"/>
        <v>1700</v>
      </c>
      <c r="AN890" s="59">
        <v>1700</v>
      </c>
      <c r="AO890" s="148">
        <f t="shared" si="426"/>
        <v>-1700</v>
      </c>
      <c r="AP890" s="58">
        <v>0</v>
      </c>
      <c r="AQ890" s="143">
        <f t="shared" si="427"/>
        <v>0</v>
      </c>
    </row>
    <row r="891" spans="1:43" x14ac:dyDescent="0.35">
      <c r="A891" s="69" t="s">
        <v>43</v>
      </c>
      <c r="B891" s="15" t="s">
        <v>2754</v>
      </c>
      <c r="C891" s="15"/>
      <c r="D891" s="69"/>
      <c r="E891" s="76">
        <v>0</v>
      </c>
      <c r="F891" s="69" t="s">
        <v>2750</v>
      </c>
      <c r="G891" s="138" t="s">
        <v>2751</v>
      </c>
      <c r="H891" s="76">
        <v>9012000002</v>
      </c>
      <c r="I891" s="92" t="s">
        <v>47</v>
      </c>
      <c r="J891" s="92">
        <v>1202010202</v>
      </c>
      <c r="K891" s="15"/>
      <c r="L891" s="95" t="s">
        <v>2755</v>
      </c>
      <c r="M891" s="69" t="s">
        <v>2756</v>
      </c>
      <c r="N891" s="69"/>
      <c r="O891" s="94">
        <v>1</v>
      </c>
      <c r="P891" s="69" t="s">
        <v>50</v>
      </c>
      <c r="Q891" s="69" t="s">
        <v>51</v>
      </c>
      <c r="R891" s="69"/>
      <c r="S891" s="46">
        <v>42012</v>
      </c>
      <c r="T891" s="48">
        <v>43191</v>
      </c>
      <c r="U891" s="69"/>
      <c r="V891" s="69"/>
      <c r="W891" s="69"/>
      <c r="X891" s="69"/>
      <c r="Y891" s="69" t="s">
        <v>4125</v>
      </c>
      <c r="Z891" s="43">
        <v>950</v>
      </c>
      <c r="AA891" s="43" t="s">
        <v>52</v>
      </c>
      <c r="AB891" s="43" t="s">
        <v>53</v>
      </c>
      <c r="AC891" s="43">
        <v>110</v>
      </c>
      <c r="AD891" s="141">
        <v>0</v>
      </c>
      <c r="AE891" s="142">
        <v>4</v>
      </c>
      <c r="AF891" s="142"/>
      <c r="AG891" s="69" t="str">
        <f t="shared" si="424"/>
        <v>0 years 110 days</v>
      </c>
      <c r="AH891" s="69">
        <v>0</v>
      </c>
      <c r="AI891" s="69">
        <v>110</v>
      </c>
      <c r="AJ891" s="69">
        <v>0</v>
      </c>
      <c r="AK891" s="69">
        <v>0</v>
      </c>
      <c r="AL891" s="60">
        <v>950</v>
      </c>
      <c r="AM891" s="60">
        <f t="shared" si="425"/>
        <v>950</v>
      </c>
      <c r="AN891" s="59">
        <v>950</v>
      </c>
      <c r="AO891" s="148">
        <f t="shared" si="426"/>
        <v>-950</v>
      </c>
      <c r="AP891" s="58">
        <v>0</v>
      </c>
      <c r="AQ891" s="143">
        <f t="shared" si="427"/>
        <v>0</v>
      </c>
    </row>
    <row r="892" spans="1:43" x14ac:dyDescent="0.35">
      <c r="A892" s="69" t="s">
        <v>43</v>
      </c>
      <c r="B892" s="15" t="s">
        <v>2757</v>
      </c>
      <c r="C892" s="15"/>
      <c r="D892" s="69"/>
      <c r="E892" s="76">
        <v>0</v>
      </c>
      <c r="F892" s="69" t="s">
        <v>2750</v>
      </c>
      <c r="G892" s="138" t="s">
        <v>2751</v>
      </c>
      <c r="H892" s="76">
        <v>9012000003</v>
      </c>
      <c r="I892" s="92" t="s">
        <v>47</v>
      </c>
      <c r="J892" s="92">
        <v>1202010202</v>
      </c>
      <c r="K892" s="15"/>
      <c r="L892" s="95" t="s">
        <v>2758</v>
      </c>
      <c r="M892" s="69" t="s">
        <v>2759</v>
      </c>
      <c r="N892" s="69"/>
      <c r="O892" s="94">
        <v>1</v>
      </c>
      <c r="P892" s="69" t="s">
        <v>50</v>
      </c>
      <c r="Q892" s="69" t="s">
        <v>51</v>
      </c>
      <c r="R892" s="69"/>
      <c r="S892" s="46">
        <v>42185</v>
      </c>
      <c r="T892" s="48">
        <v>43191</v>
      </c>
      <c r="U892" s="69"/>
      <c r="V892" s="69"/>
      <c r="W892" s="69"/>
      <c r="X892" s="69"/>
      <c r="Y892" s="69" t="s">
        <v>4125</v>
      </c>
      <c r="Z892" s="43">
        <v>1100</v>
      </c>
      <c r="AA892" s="43" t="s">
        <v>52</v>
      </c>
      <c r="AB892" s="43" t="s">
        <v>53</v>
      </c>
      <c r="AC892" s="43">
        <v>110</v>
      </c>
      <c r="AD892" s="141">
        <v>0</v>
      </c>
      <c r="AE892" s="142">
        <v>4</v>
      </c>
      <c r="AF892" s="142"/>
      <c r="AG892" s="69" t="str">
        <f t="shared" si="424"/>
        <v>0 years 110 days</v>
      </c>
      <c r="AH892" s="69">
        <v>0</v>
      </c>
      <c r="AI892" s="69">
        <v>110</v>
      </c>
      <c r="AJ892" s="69">
        <v>0</v>
      </c>
      <c r="AK892" s="69">
        <v>0</v>
      </c>
      <c r="AL892" s="60">
        <v>1100</v>
      </c>
      <c r="AM892" s="60">
        <f t="shared" si="425"/>
        <v>1100</v>
      </c>
      <c r="AN892" s="59">
        <v>1100</v>
      </c>
      <c r="AO892" s="148">
        <f t="shared" si="426"/>
        <v>-1100</v>
      </c>
      <c r="AP892" s="58">
        <v>0</v>
      </c>
      <c r="AQ892" s="143">
        <f t="shared" si="427"/>
        <v>0</v>
      </c>
    </row>
    <row r="893" spans="1:43" x14ac:dyDescent="0.35">
      <c r="A893" s="69" t="s">
        <v>43</v>
      </c>
      <c r="B893" s="15" t="s">
        <v>2760</v>
      </c>
      <c r="C893" s="15"/>
      <c r="D893" s="69"/>
      <c r="E893" s="76">
        <v>0</v>
      </c>
      <c r="F893" s="69" t="s">
        <v>2750</v>
      </c>
      <c r="G893" s="138" t="s">
        <v>2751</v>
      </c>
      <c r="H893" s="76">
        <v>9012000004</v>
      </c>
      <c r="I893" s="92" t="s">
        <v>47</v>
      </c>
      <c r="J893" s="92">
        <v>1202010202</v>
      </c>
      <c r="K893" s="15"/>
      <c r="L893" s="95" t="s">
        <v>2761</v>
      </c>
      <c r="M893" s="69" t="s">
        <v>49</v>
      </c>
      <c r="N893" s="69"/>
      <c r="O893" s="94">
        <v>1</v>
      </c>
      <c r="P893" s="69" t="s">
        <v>50</v>
      </c>
      <c r="Q893" s="69" t="s">
        <v>51</v>
      </c>
      <c r="R893" s="69"/>
      <c r="S893" s="46">
        <v>42293</v>
      </c>
      <c r="T893" s="48">
        <v>43191</v>
      </c>
      <c r="U893" s="69"/>
      <c r="V893" s="69"/>
      <c r="W893" s="69"/>
      <c r="X893" s="69"/>
      <c r="Y893" s="69" t="s">
        <v>4125</v>
      </c>
      <c r="Z893" s="43">
        <v>5500</v>
      </c>
      <c r="AA893" s="43" t="s">
        <v>52</v>
      </c>
      <c r="AB893" s="43" t="s">
        <v>53</v>
      </c>
      <c r="AC893" s="43">
        <v>913</v>
      </c>
      <c r="AD893" s="141">
        <v>2</v>
      </c>
      <c r="AE893" s="142">
        <v>6</v>
      </c>
      <c r="AF893" s="142"/>
      <c r="AG893" s="69" t="str">
        <f t="shared" si="424"/>
        <v>2 years 183 days</v>
      </c>
      <c r="AH893" s="69">
        <v>2</v>
      </c>
      <c r="AI893" s="69">
        <v>183</v>
      </c>
      <c r="AJ893" s="69">
        <v>0</v>
      </c>
      <c r="AK893" s="69">
        <v>0</v>
      </c>
      <c r="AL893" s="60">
        <v>5500</v>
      </c>
      <c r="AM893" s="60">
        <f t="shared" si="425"/>
        <v>5500</v>
      </c>
      <c r="AN893" s="59">
        <v>5500</v>
      </c>
      <c r="AO893" s="148">
        <f t="shared" si="426"/>
        <v>-5500</v>
      </c>
      <c r="AP893" s="58">
        <v>0</v>
      </c>
      <c r="AQ893" s="143">
        <f t="shared" si="427"/>
        <v>0</v>
      </c>
    </row>
    <row r="894" spans="1:43" x14ac:dyDescent="0.35">
      <c r="A894" s="69" t="s">
        <v>43</v>
      </c>
      <c r="B894" s="15" t="s">
        <v>2762</v>
      </c>
      <c r="C894" s="15"/>
      <c r="D894" s="69"/>
      <c r="E894" s="76">
        <v>0</v>
      </c>
      <c r="F894" s="69" t="s">
        <v>2750</v>
      </c>
      <c r="G894" s="138" t="s">
        <v>2751</v>
      </c>
      <c r="H894" s="76">
        <v>9012000005</v>
      </c>
      <c r="I894" s="92" t="s">
        <v>47</v>
      </c>
      <c r="J894" s="92">
        <v>1202010202</v>
      </c>
      <c r="K894" s="15"/>
      <c r="L894" s="95" t="s">
        <v>2763</v>
      </c>
      <c r="M894" s="69" t="s">
        <v>2764</v>
      </c>
      <c r="N894" s="69"/>
      <c r="O894" s="94">
        <v>1</v>
      </c>
      <c r="P894" s="69" t="s">
        <v>50</v>
      </c>
      <c r="Q894" s="69" t="s">
        <v>51</v>
      </c>
      <c r="R894" s="69"/>
      <c r="S894" s="46">
        <v>42363</v>
      </c>
      <c r="T894" s="48">
        <v>43191</v>
      </c>
      <c r="U894" s="69"/>
      <c r="V894" s="69"/>
      <c r="W894" s="69"/>
      <c r="X894" s="69"/>
      <c r="Y894" s="69" t="s">
        <v>4125</v>
      </c>
      <c r="Z894" s="43">
        <v>4000</v>
      </c>
      <c r="AA894" s="43" t="s">
        <v>52</v>
      </c>
      <c r="AB894" s="43" t="s">
        <v>53</v>
      </c>
      <c r="AC894" s="43">
        <v>986</v>
      </c>
      <c r="AD894" s="141">
        <v>2</v>
      </c>
      <c r="AE894" s="142">
        <v>9</v>
      </c>
      <c r="AF894" s="142"/>
      <c r="AG894" s="69" t="str">
        <f t="shared" si="424"/>
        <v>2 years 256 days</v>
      </c>
      <c r="AH894" s="69">
        <v>2</v>
      </c>
      <c r="AI894" s="69">
        <v>256</v>
      </c>
      <c r="AJ894" s="69">
        <v>0</v>
      </c>
      <c r="AK894" s="69">
        <v>0</v>
      </c>
      <c r="AL894" s="60">
        <v>4000</v>
      </c>
      <c r="AM894" s="60">
        <f t="shared" si="425"/>
        <v>4000</v>
      </c>
      <c r="AN894" s="59">
        <v>4000</v>
      </c>
      <c r="AO894" s="148">
        <f t="shared" si="426"/>
        <v>-4000</v>
      </c>
      <c r="AP894" s="58">
        <v>0</v>
      </c>
      <c r="AQ894" s="143">
        <f t="shared" si="427"/>
        <v>0</v>
      </c>
    </row>
    <row r="895" spans="1:43" x14ac:dyDescent="0.35">
      <c r="A895" s="69" t="s">
        <v>43</v>
      </c>
      <c r="B895" s="15" t="s">
        <v>2765</v>
      </c>
      <c r="C895" s="15"/>
      <c r="D895" s="69"/>
      <c r="E895" s="76">
        <v>0</v>
      </c>
      <c r="F895" s="69" t="s">
        <v>2750</v>
      </c>
      <c r="G895" s="138" t="s">
        <v>2751</v>
      </c>
      <c r="H895" s="76">
        <v>9012000006</v>
      </c>
      <c r="I895" s="92" t="s">
        <v>47</v>
      </c>
      <c r="J895" s="92">
        <v>1202010202</v>
      </c>
      <c r="K895" s="15"/>
      <c r="L895" s="95" t="s">
        <v>2766</v>
      </c>
      <c r="M895" s="69" t="s">
        <v>2767</v>
      </c>
      <c r="N895" s="69"/>
      <c r="O895" s="94">
        <v>1</v>
      </c>
      <c r="P895" s="69" t="s">
        <v>50</v>
      </c>
      <c r="Q895" s="69" t="s">
        <v>51</v>
      </c>
      <c r="R895" s="69"/>
      <c r="S895" s="46">
        <v>42747</v>
      </c>
      <c r="T895" s="48">
        <v>43191</v>
      </c>
      <c r="U895" s="69"/>
      <c r="V895" s="69"/>
      <c r="W895" s="69"/>
      <c r="X895" s="69"/>
      <c r="Y895" s="69" t="s">
        <v>4125</v>
      </c>
      <c r="Z895" s="43">
        <v>7750</v>
      </c>
      <c r="AA895" s="43" t="s">
        <v>52</v>
      </c>
      <c r="AB895" s="43" t="s">
        <v>53</v>
      </c>
      <c r="AC895" s="43">
        <v>657</v>
      </c>
      <c r="AD895" s="141">
        <v>1</v>
      </c>
      <c r="AE895" s="142">
        <v>10</v>
      </c>
      <c r="AF895" s="142"/>
      <c r="AG895" s="69" t="str">
        <f t="shared" si="424"/>
        <v>1 years 292 days</v>
      </c>
      <c r="AH895" s="69">
        <v>1</v>
      </c>
      <c r="AI895" s="69">
        <v>292</v>
      </c>
      <c r="AJ895" s="69">
        <v>0</v>
      </c>
      <c r="AK895" s="69">
        <v>0</v>
      </c>
      <c r="AL895" s="60">
        <v>7750</v>
      </c>
      <c r="AM895" s="60">
        <f t="shared" si="425"/>
        <v>7750</v>
      </c>
      <c r="AN895" s="59">
        <v>7750</v>
      </c>
      <c r="AO895" s="148">
        <f t="shared" si="426"/>
        <v>-7750</v>
      </c>
      <c r="AP895" s="58">
        <v>0</v>
      </c>
      <c r="AQ895" s="143">
        <f t="shared" si="427"/>
        <v>0</v>
      </c>
    </row>
    <row r="896" spans="1:43" x14ac:dyDescent="0.35">
      <c r="A896" s="69" t="s">
        <v>43</v>
      </c>
      <c r="B896" s="15" t="s">
        <v>2768</v>
      </c>
      <c r="C896" s="15"/>
      <c r="D896" s="69"/>
      <c r="E896" s="76">
        <v>0</v>
      </c>
      <c r="F896" s="69" t="s">
        <v>2750</v>
      </c>
      <c r="G896" s="138" t="s">
        <v>2751</v>
      </c>
      <c r="H896" s="76">
        <v>9012000007</v>
      </c>
      <c r="I896" s="92" t="s">
        <v>47</v>
      </c>
      <c r="J896" s="92">
        <v>1202010202</v>
      </c>
      <c r="K896" s="15"/>
      <c r="L896" s="95" t="s">
        <v>2769</v>
      </c>
      <c r="M896" s="69" t="s">
        <v>2770</v>
      </c>
      <c r="N896" s="69"/>
      <c r="O896" s="94">
        <v>1</v>
      </c>
      <c r="P896" s="69" t="s">
        <v>50</v>
      </c>
      <c r="Q896" s="69" t="s">
        <v>51</v>
      </c>
      <c r="R896" s="69"/>
      <c r="S896" s="46">
        <v>43265</v>
      </c>
      <c r="T896" s="48">
        <v>43265</v>
      </c>
      <c r="U896" s="69"/>
      <c r="V896" s="69"/>
      <c r="W896" s="69"/>
      <c r="X896" s="69"/>
      <c r="Y896" s="69" t="s">
        <v>4125</v>
      </c>
      <c r="Z896" s="43">
        <v>19800</v>
      </c>
      <c r="AA896" s="43" t="s">
        <v>52</v>
      </c>
      <c r="AB896" s="43" t="s">
        <v>53</v>
      </c>
      <c r="AC896" s="43">
        <v>1095</v>
      </c>
      <c r="AD896" s="141">
        <v>3</v>
      </c>
      <c r="AE896" s="142">
        <v>0</v>
      </c>
      <c r="AF896" s="142"/>
      <c r="AG896" s="69" t="str">
        <f t="shared" si="424"/>
        <v>3 years 0 days</v>
      </c>
      <c r="AH896" s="69">
        <v>3</v>
      </c>
      <c r="AI896" s="69">
        <v>0</v>
      </c>
      <c r="AJ896" s="69">
        <v>0</v>
      </c>
      <c r="AK896" s="69">
        <v>0</v>
      </c>
      <c r="AL896" s="60">
        <v>19800</v>
      </c>
      <c r="AM896" s="60">
        <f t="shared" si="425"/>
        <v>19800</v>
      </c>
      <c r="AN896" s="59">
        <v>19800</v>
      </c>
      <c r="AO896" s="148">
        <f t="shared" si="426"/>
        <v>-19800</v>
      </c>
      <c r="AP896" s="58">
        <v>0</v>
      </c>
      <c r="AQ896" s="143">
        <f t="shared" si="427"/>
        <v>0</v>
      </c>
    </row>
    <row r="897" spans="1:43" x14ac:dyDescent="0.35">
      <c r="A897" s="69" t="s">
        <v>43</v>
      </c>
      <c r="B897" s="15" t="s">
        <v>2771</v>
      </c>
      <c r="C897" s="15"/>
      <c r="D897" s="69"/>
      <c r="E897" s="76">
        <v>0</v>
      </c>
      <c r="F897" s="69" t="s">
        <v>2750</v>
      </c>
      <c r="G897" s="138" t="s">
        <v>2751</v>
      </c>
      <c r="H897" s="76">
        <v>9012000008</v>
      </c>
      <c r="I897" s="92" t="s">
        <v>47</v>
      </c>
      <c r="J897" s="92">
        <v>1202010202</v>
      </c>
      <c r="K897" s="15"/>
      <c r="L897" s="95" t="s">
        <v>2772</v>
      </c>
      <c r="M897" s="69" t="s">
        <v>2773</v>
      </c>
      <c r="N897" s="69"/>
      <c r="O897" s="94">
        <v>1</v>
      </c>
      <c r="P897" s="69" t="s">
        <v>50</v>
      </c>
      <c r="Q897" s="69" t="s">
        <v>51</v>
      </c>
      <c r="R897" s="69"/>
      <c r="S897" s="46">
        <v>43593</v>
      </c>
      <c r="T897" s="48">
        <v>43593</v>
      </c>
      <c r="U897" s="69"/>
      <c r="V897" s="69"/>
      <c r="W897" s="69"/>
      <c r="X897" s="69"/>
      <c r="Y897" s="69" t="s">
        <v>4126</v>
      </c>
      <c r="Z897" s="43">
        <v>47760</v>
      </c>
      <c r="AA897" s="43" t="s">
        <v>52</v>
      </c>
      <c r="AB897" s="43" t="s">
        <v>53</v>
      </c>
      <c r="AC897" s="43">
        <v>1095</v>
      </c>
      <c r="AD897" s="141">
        <v>3</v>
      </c>
      <c r="AE897" s="142">
        <v>0</v>
      </c>
      <c r="AF897" s="142"/>
      <c r="AG897" s="69" t="str">
        <f t="shared" si="424"/>
        <v>3 years 0 days</v>
      </c>
      <c r="AH897" s="69">
        <v>3</v>
      </c>
      <c r="AI897" s="69">
        <v>0</v>
      </c>
      <c r="AJ897" s="69">
        <v>0</v>
      </c>
      <c r="AK897" s="69">
        <v>0</v>
      </c>
      <c r="AL897" s="60">
        <v>47760</v>
      </c>
      <c r="AM897" s="60">
        <f t="shared" si="425"/>
        <v>47760</v>
      </c>
      <c r="AN897" s="59">
        <v>47760</v>
      </c>
      <c r="AO897" s="148">
        <f t="shared" si="426"/>
        <v>-47760</v>
      </c>
      <c r="AP897" s="58">
        <v>0</v>
      </c>
      <c r="AQ897" s="143">
        <f t="shared" si="427"/>
        <v>0</v>
      </c>
    </row>
    <row r="898" spans="1:43" x14ac:dyDescent="0.35">
      <c r="A898" s="69" t="s">
        <v>43</v>
      </c>
      <c r="B898" s="15" t="s">
        <v>2774</v>
      </c>
      <c r="C898" s="15"/>
      <c r="D898" s="69"/>
      <c r="E898" s="76">
        <v>0</v>
      </c>
      <c r="F898" s="69" t="s">
        <v>2750</v>
      </c>
      <c r="G898" s="138" t="s">
        <v>2751</v>
      </c>
      <c r="H898" s="76">
        <v>9012000009</v>
      </c>
      <c r="I898" s="92" t="s">
        <v>47</v>
      </c>
      <c r="J898" s="92">
        <v>1202010202</v>
      </c>
      <c r="K898" s="15"/>
      <c r="L898" s="95" t="s">
        <v>2775</v>
      </c>
      <c r="M898" s="69" t="s">
        <v>2776</v>
      </c>
      <c r="N898" s="69"/>
      <c r="O898" s="94">
        <v>1</v>
      </c>
      <c r="P898" s="69" t="s">
        <v>50</v>
      </c>
      <c r="Q898" s="69" t="s">
        <v>51</v>
      </c>
      <c r="R898" s="69"/>
      <c r="S898" s="46">
        <v>43645</v>
      </c>
      <c r="T898" s="48">
        <v>43645</v>
      </c>
      <c r="U898" s="69"/>
      <c r="V898" s="69"/>
      <c r="W898" s="69"/>
      <c r="X898" s="69"/>
      <c r="Y898" s="69" t="s">
        <v>4126</v>
      </c>
      <c r="Z898" s="43">
        <v>27500</v>
      </c>
      <c r="AA898" s="43" t="s">
        <v>52</v>
      </c>
      <c r="AB898" s="43" t="s">
        <v>53</v>
      </c>
      <c r="AC898" s="43">
        <v>1095</v>
      </c>
      <c r="AD898" s="141">
        <v>3</v>
      </c>
      <c r="AE898" s="142">
        <v>0</v>
      </c>
      <c r="AF898" s="142"/>
      <c r="AG898" s="69" t="str">
        <f t="shared" si="424"/>
        <v>3 years 0 days</v>
      </c>
      <c r="AH898" s="69">
        <v>3</v>
      </c>
      <c r="AI898" s="69">
        <v>0</v>
      </c>
      <c r="AJ898" s="69">
        <v>0</v>
      </c>
      <c r="AK898" s="69">
        <v>0</v>
      </c>
      <c r="AL898" s="60">
        <v>27500</v>
      </c>
      <c r="AM898" s="60">
        <f t="shared" si="425"/>
        <v>27500</v>
      </c>
      <c r="AN898" s="59">
        <v>27500</v>
      </c>
      <c r="AO898" s="148">
        <f t="shared" si="426"/>
        <v>-27500</v>
      </c>
      <c r="AP898" s="58">
        <v>0</v>
      </c>
      <c r="AQ898" s="143">
        <f t="shared" si="427"/>
        <v>0</v>
      </c>
    </row>
    <row r="899" spans="1:43" x14ac:dyDescent="0.35">
      <c r="A899" s="69" t="s">
        <v>43</v>
      </c>
      <c r="B899" s="15" t="s">
        <v>2777</v>
      </c>
      <c r="C899" s="15"/>
      <c r="D899" s="69"/>
      <c r="E899" s="76">
        <v>0</v>
      </c>
      <c r="F899" s="69" t="s">
        <v>2750</v>
      </c>
      <c r="G899" s="138" t="s">
        <v>2751</v>
      </c>
      <c r="H899" s="76">
        <v>9012000010</v>
      </c>
      <c r="I899" s="92" t="s">
        <v>47</v>
      </c>
      <c r="J899" s="92">
        <v>1202010202</v>
      </c>
      <c r="K899" s="15"/>
      <c r="L899" s="95" t="s">
        <v>2778</v>
      </c>
      <c r="M899" s="69" t="s">
        <v>2779</v>
      </c>
      <c r="N899" s="69"/>
      <c r="O899" s="94">
        <v>1</v>
      </c>
      <c r="P899" s="69" t="s">
        <v>50</v>
      </c>
      <c r="Q899" s="69" t="s">
        <v>51</v>
      </c>
      <c r="R899" s="69"/>
      <c r="S899" s="46">
        <v>43621</v>
      </c>
      <c r="T899" s="48">
        <v>43621</v>
      </c>
      <c r="U899" s="69"/>
      <c r="V899" s="69"/>
      <c r="W899" s="69"/>
      <c r="X899" s="69"/>
      <c r="Y899" s="69" t="s">
        <v>4126</v>
      </c>
      <c r="Z899" s="43">
        <v>32200</v>
      </c>
      <c r="AA899" s="43" t="s">
        <v>52</v>
      </c>
      <c r="AB899" s="43" t="s">
        <v>53</v>
      </c>
      <c r="AC899" s="43">
        <v>1095</v>
      </c>
      <c r="AD899" s="141">
        <v>3</v>
      </c>
      <c r="AE899" s="142">
        <v>0</v>
      </c>
      <c r="AF899" s="142"/>
      <c r="AG899" s="69" t="str">
        <f t="shared" si="424"/>
        <v>3 years 0 days</v>
      </c>
      <c r="AH899" s="69">
        <v>3</v>
      </c>
      <c r="AI899" s="69">
        <v>0</v>
      </c>
      <c r="AJ899" s="69">
        <v>0</v>
      </c>
      <c r="AK899" s="69">
        <v>0</v>
      </c>
      <c r="AL899" s="60">
        <v>32200</v>
      </c>
      <c r="AM899" s="60">
        <f t="shared" si="425"/>
        <v>32200</v>
      </c>
      <c r="AN899" s="59">
        <v>32200</v>
      </c>
      <c r="AO899" s="148">
        <f t="shared" si="426"/>
        <v>-32200</v>
      </c>
      <c r="AP899" s="58">
        <v>0</v>
      </c>
      <c r="AQ899" s="143">
        <f t="shared" si="427"/>
        <v>0</v>
      </c>
    </row>
    <row r="900" spans="1:43" x14ac:dyDescent="0.35">
      <c r="A900" s="69" t="s">
        <v>43</v>
      </c>
      <c r="B900" s="15" t="s">
        <v>2780</v>
      </c>
      <c r="C900" s="15"/>
      <c r="D900" s="69"/>
      <c r="E900" s="76">
        <v>0</v>
      </c>
      <c r="F900" s="69" t="s">
        <v>2750</v>
      </c>
      <c r="G900" s="138" t="s">
        <v>2751</v>
      </c>
      <c r="H900" s="76">
        <v>9012000011</v>
      </c>
      <c r="I900" s="92" t="s">
        <v>47</v>
      </c>
      <c r="J900" s="92">
        <v>1202010202</v>
      </c>
      <c r="K900" s="15"/>
      <c r="L900" s="95" t="s">
        <v>2781</v>
      </c>
      <c r="M900" s="69" t="s">
        <v>2782</v>
      </c>
      <c r="N900" s="69"/>
      <c r="O900" s="94">
        <v>1</v>
      </c>
      <c r="P900" s="69" t="s">
        <v>50</v>
      </c>
      <c r="Q900" s="69" t="s">
        <v>51</v>
      </c>
      <c r="R900" s="69"/>
      <c r="S900" s="46">
        <v>43658</v>
      </c>
      <c r="T900" s="48">
        <v>43658</v>
      </c>
      <c r="U900" s="69"/>
      <c r="V900" s="69"/>
      <c r="W900" s="69"/>
      <c r="X900" s="69"/>
      <c r="Y900" s="69" t="s">
        <v>4126</v>
      </c>
      <c r="Z900" s="43">
        <v>10200</v>
      </c>
      <c r="AA900" s="43" t="s">
        <v>52</v>
      </c>
      <c r="AB900" s="43" t="s">
        <v>53</v>
      </c>
      <c r="AC900" s="43">
        <v>1095</v>
      </c>
      <c r="AD900" s="141">
        <v>3</v>
      </c>
      <c r="AE900" s="142">
        <v>0</v>
      </c>
      <c r="AF900" s="142"/>
      <c r="AG900" s="69" t="str">
        <f t="shared" si="424"/>
        <v>3 years 0 days</v>
      </c>
      <c r="AH900" s="69">
        <v>3</v>
      </c>
      <c r="AI900" s="69">
        <v>0</v>
      </c>
      <c r="AJ900" s="69">
        <v>0</v>
      </c>
      <c r="AK900" s="69">
        <v>0</v>
      </c>
      <c r="AL900" s="60">
        <v>10200</v>
      </c>
      <c r="AM900" s="60">
        <f t="shared" si="425"/>
        <v>10200</v>
      </c>
      <c r="AN900" s="59">
        <v>10200</v>
      </c>
      <c r="AO900" s="148">
        <f t="shared" si="426"/>
        <v>-10200</v>
      </c>
      <c r="AP900" s="58">
        <v>0</v>
      </c>
      <c r="AQ900" s="143">
        <f t="shared" si="427"/>
        <v>0</v>
      </c>
    </row>
    <row r="901" spans="1:43" x14ac:dyDescent="0.35">
      <c r="A901" s="69" t="s">
        <v>43</v>
      </c>
      <c r="B901" s="15" t="s">
        <v>2783</v>
      </c>
      <c r="C901" s="15"/>
      <c r="D901" s="69"/>
      <c r="E901" s="76">
        <v>0</v>
      </c>
      <c r="F901" s="69" t="s">
        <v>2750</v>
      </c>
      <c r="G901" s="138" t="s">
        <v>2751</v>
      </c>
      <c r="H901" s="76">
        <v>9012000012</v>
      </c>
      <c r="I901" s="92" t="s">
        <v>47</v>
      </c>
      <c r="J901" s="92">
        <v>1202010202</v>
      </c>
      <c r="K901" s="15"/>
      <c r="L901" s="95" t="s">
        <v>2784</v>
      </c>
      <c r="M901" s="69" t="s">
        <v>2785</v>
      </c>
      <c r="N901" s="69"/>
      <c r="O901" s="94">
        <v>1</v>
      </c>
      <c r="P901" s="69" t="s">
        <v>50</v>
      </c>
      <c r="Q901" s="69" t="s">
        <v>51</v>
      </c>
      <c r="R901" s="69"/>
      <c r="S901" s="46">
        <v>44055</v>
      </c>
      <c r="T901" s="48">
        <v>44055</v>
      </c>
      <c r="U901" s="69"/>
      <c r="V901" s="69"/>
      <c r="W901" s="69"/>
      <c r="X901" s="69"/>
      <c r="Y901" s="69" t="s">
        <v>4127</v>
      </c>
      <c r="Z901" s="43">
        <v>9750</v>
      </c>
      <c r="AA901" s="43" t="s">
        <v>52</v>
      </c>
      <c r="AB901" s="43" t="s">
        <v>53</v>
      </c>
      <c r="AC901" s="43">
        <v>1095</v>
      </c>
      <c r="AD901" s="141">
        <v>3</v>
      </c>
      <c r="AE901" s="142">
        <v>0</v>
      </c>
      <c r="AF901" s="142"/>
      <c r="AG901" s="69" t="str">
        <f t="shared" si="424"/>
        <v>3 years 0 days</v>
      </c>
      <c r="AH901" s="69">
        <v>3</v>
      </c>
      <c r="AI901" s="69">
        <v>0</v>
      </c>
      <c r="AJ901" s="69">
        <v>0</v>
      </c>
      <c r="AK901" s="69">
        <v>0</v>
      </c>
      <c r="AL901" s="60">
        <v>9750</v>
      </c>
      <c r="AM901" s="60">
        <f t="shared" si="425"/>
        <v>9750</v>
      </c>
      <c r="AN901" s="59">
        <v>9750</v>
      </c>
      <c r="AO901" s="148">
        <f t="shared" si="426"/>
        <v>-9750</v>
      </c>
      <c r="AP901" s="58">
        <v>0</v>
      </c>
      <c r="AQ901" s="143">
        <f t="shared" si="427"/>
        <v>0</v>
      </c>
    </row>
    <row r="902" spans="1:43" x14ac:dyDescent="0.35">
      <c r="A902" s="69" t="s">
        <v>43</v>
      </c>
      <c r="B902" s="15" t="s">
        <v>2786</v>
      </c>
      <c r="C902" s="15"/>
      <c r="D902" s="69"/>
      <c r="E902" s="76">
        <v>0</v>
      </c>
      <c r="F902" s="69" t="s">
        <v>2750</v>
      </c>
      <c r="G902" s="138" t="s">
        <v>2751</v>
      </c>
      <c r="H902" s="76">
        <v>9012000013</v>
      </c>
      <c r="I902" s="92" t="s">
        <v>47</v>
      </c>
      <c r="J902" s="92">
        <v>1202010202</v>
      </c>
      <c r="K902" s="15"/>
      <c r="L902" s="95" t="s">
        <v>2787</v>
      </c>
      <c r="M902" s="69" t="s">
        <v>2788</v>
      </c>
      <c r="N902" s="69"/>
      <c r="O902" s="94">
        <v>1</v>
      </c>
      <c r="P902" s="69" t="s">
        <v>50</v>
      </c>
      <c r="Q902" s="69" t="s">
        <v>51</v>
      </c>
      <c r="R902" s="69"/>
      <c r="S902" s="46">
        <v>44045</v>
      </c>
      <c r="T902" s="48">
        <v>44045</v>
      </c>
      <c r="U902" s="69"/>
      <c r="V902" s="69"/>
      <c r="W902" s="69"/>
      <c r="X902" s="69"/>
      <c r="Y902" s="69" t="s">
        <v>4127</v>
      </c>
      <c r="Z902" s="43">
        <v>240000</v>
      </c>
      <c r="AA902" s="43" t="s">
        <v>52</v>
      </c>
      <c r="AB902" s="43" t="s">
        <v>53</v>
      </c>
      <c r="AC902" s="43">
        <v>1095</v>
      </c>
      <c r="AD902" s="141">
        <v>3</v>
      </c>
      <c r="AE902" s="142">
        <v>0</v>
      </c>
      <c r="AF902" s="142"/>
      <c r="AG902" s="69" t="str">
        <f t="shared" si="424"/>
        <v>3 years 0 days</v>
      </c>
      <c r="AH902" s="69">
        <v>3</v>
      </c>
      <c r="AI902" s="69">
        <v>0</v>
      </c>
      <c r="AJ902" s="69">
        <v>0</v>
      </c>
      <c r="AK902" s="69">
        <v>0</v>
      </c>
      <c r="AL902" s="60">
        <v>240000</v>
      </c>
      <c r="AM902" s="60">
        <f t="shared" si="425"/>
        <v>240000</v>
      </c>
      <c r="AN902" s="59">
        <v>240000</v>
      </c>
      <c r="AO902" s="148">
        <f t="shared" si="426"/>
        <v>-240000</v>
      </c>
      <c r="AP902" s="58">
        <v>0</v>
      </c>
      <c r="AQ902" s="143">
        <f t="shared" si="427"/>
        <v>0</v>
      </c>
    </row>
    <row r="903" spans="1:43" x14ac:dyDescent="0.35">
      <c r="A903" s="69" t="s">
        <v>43</v>
      </c>
      <c r="B903" s="15" t="s">
        <v>2789</v>
      </c>
      <c r="C903" s="15"/>
      <c r="D903" s="69"/>
      <c r="E903" s="76">
        <v>0</v>
      </c>
      <c r="F903" s="69" t="s">
        <v>2750</v>
      </c>
      <c r="G903" s="138" t="s">
        <v>2751</v>
      </c>
      <c r="H903" s="76">
        <v>9012000014</v>
      </c>
      <c r="I903" s="92" t="s">
        <v>47</v>
      </c>
      <c r="J903" s="92">
        <v>1202010202</v>
      </c>
      <c r="K903" s="15"/>
      <c r="L903" s="95" t="s">
        <v>2790</v>
      </c>
      <c r="M903" s="69" t="s">
        <v>2791</v>
      </c>
      <c r="N903" s="69"/>
      <c r="O903" s="94">
        <v>1</v>
      </c>
      <c r="P903" s="69" t="s">
        <v>50</v>
      </c>
      <c r="Q903" s="69" t="s">
        <v>51</v>
      </c>
      <c r="R903" s="69"/>
      <c r="S903" s="46">
        <v>44112</v>
      </c>
      <c r="T903" s="48">
        <v>44112</v>
      </c>
      <c r="U903" s="69"/>
      <c r="V903" s="69"/>
      <c r="W903" s="69"/>
      <c r="X903" s="69"/>
      <c r="Y903" s="69" t="s">
        <v>4127</v>
      </c>
      <c r="Z903" s="43">
        <v>11000</v>
      </c>
      <c r="AA903" s="43" t="s">
        <v>52</v>
      </c>
      <c r="AB903" s="43" t="s">
        <v>53</v>
      </c>
      <c r="AC903" s="43">
        <v>1095</v>
      </c>
      <c r="AD903" s="141">
        <v>3</v>
      </c>
      <c r="AE903" s="142">
        <v>0</v>
      </c>
      <c r="AF903" s="142"/>
      <c r="AG903" s="69" t="str">
        <f t="shared" si="424"/>
        <v>3 years 0 days</v>
      </c>
      <c r="AH903" s="69">
        <v>3</v>
      </c>
      <c r="AI903" s="69">
        <v>0</v>
      </c>
      <c r="AJ903" s="69">
        <v>0</v>
      </c>
      <c r="AK903" s="69">
        <v>0</v>
      </c>
      <c r="AL903" s="60">
        <v>11000</v>
      </c>
      <c r="AM903" s="60">
        <f t="shared" si="425"/>
        <v>11000</v>
      </c>
      <c r="AN903" s="59">
        <v>11000</v>
      </c>
      <c r="AO903" s="148">
        <f t="shared" si="426"/>
        <v>-11000</v>
      </c>
      <c r="AP903" s="58">
        <v>0</v>
      </c>
      <c r="AQ903" s="143">
        <f t="shared" si="427"/>
        <v>0</v>
      </c>
    </row>
    <row r="904" spans="1:43" x14ac:dyDescent="0.35">
      <c r="A904" s="69" t="s">
        <v>43</v>
      </c>
      <c r="B904" s="15" t="s">
        <v>2792</v>
      </c>
      <c r="C904" s="15"/>
      <c r="D904" s="69"/>
      <c r="E904" s="76">
        <v>0</v>
      </c>
      <c r="F904" s="69" t="s">
        <v>2750</v>
      </c>
      <c r="G904" s="138" t="s">
        <v>2751</v>
      </c>
      <c r="H904" s="76">
        <v>9012000015</v>
      </c>
      <c r="I904" s="92" t="s">
        <v>47</v>
      </c>
      <c r="J904" s="92">
        <v>1202010202</v>
      </c>
      <c r="K904" s="15"/>
      <c r="L904" s="95" t="s">
        <v>2793</v>
      </c>
      <c r="M904" s="69" t="s">
        <v>2794</v>
      </c>
      <c r="N904" s="69"/>
      <c r="O904" s="94">
        <v>1</v>
      </c>
      <c r="P904" s="69" t="s">
        <v>50</v>
      </c>
      <c r="Q904" s="69" t="s">
        <v>51</v>
      </c>
      <c r="R904" s="69"/>
      <c r="S904" s="46">
        <v>44235</v>
      </c>
      <c r="T904" s="48">
        <v>44235</v>
      </c>
      <c r="U904" s="69"/>
      <c r="V904" s="69"/>
      <c r="W904" s="69"/>
      <c r="X904" s="69"/>
      <c r="Y904" s="69" t="s">
        <v>4128</v>
      </c>
      <c r="Z904" s="43">
        <v>18000</v>
      </c>
      <c r="AA904" s="43" t="s">
        <v>52</v>
      </c>
      <c r="AB904" s="43" t="s">
        <v>53</v>
      </c>
      <c r="AC904" s="43">
        <v>1095</v>
      </c>
      <c r="AD904" s="141">
        <v>3</v>
      </c>
      <c r="AE904" s="142">
        <v>0</v>
      </c>
      <c r="AF904" s="142"/>
      <c r="AG904" s="69" t="str">
        <f t="shared" si="424"/>
        <v>3 years 0 days</v>
      </c>
      <c r="AH904" s="69">
        <v>3</v>
      </c>
      <c r="AI904" s="69">
        <v>0</v>
      </c>
      <c r="AJ904" s="69">
        <v>0</v>
      </c>
      <c r="AK904" s="69">
        <v>0</v>
      </c>
      <c r="AL904" s="60">
        <v>18000</v>
      </c>
      <c r="AM904" s="60">
        <f t="shared" si="425"/>
        <v>18000</v>
      </c>
      <c r="AN904" s="59">
        <v>18000</v>
      </c>
      <c r="AO904" s="148">
        <f t="shared" si="426"/>
        <v>-18000</v>
      </c>
      <c r="AP904" s="58">
        <v>0</v>
      </c>
      <c r="AQ904" s="143">
        <f t="shared" si="427"/>
        <v>0</v>
      </c>
    </row>
    <row r="905" spans="1:43" x14ac:dyDescent="0.35">
      <c r="A905" s="69" t="s">
        <v>43</v>
      </c>
      <c r="B905" s="15" t="s">
        <v>2795</v>
      </c>
      <c r="C905" s="15"/>
      <c r="D905" s="69"/>
      <c r="E905" s="76">
        <v>0</v>
      </c>
      <c r="F905" s="69" t="s">
        <v>2750</v>
      </c>
      <c r="G905" s="138" t="s">
        <v>2751</v>
      </c>
      <c r="H905" s="76">
        <v>9012000016</v>
      </c>
      <c r="I905" s="92" t="s">
        <v>47</v>
      </c>
      <c r="J905" s="92">
        <v>1202010202</v>
      </c>
      <c r="K905" s="15"/>
      <c r="L905" s="95" t="s">
        <v>2796</v>
      </c>
      <c r="M905" s="69" t="s">
        <v>2797</v>
      </c>
      <c r="N905" s="69"/>
      <c r="O905" s="94">
        <v>1</v>
      </c>
      <c r="P905" s="69" t="s">
        <v>50</v>
      </c>
      <c r="Q905" s="69" t="s">
        <v>51</v>
      </c>
      <c r="R905" s="69"/>
      <c r="S905" s="46">
        <v>44257</v>
      </c>
      <c r="T905" s="48">
        <v>44257</v>
      </c>
      <c r="U905" s="69"/>
      <c r="V905" s="69"/>
      <c r="W905" s="69"/>
      <c r="X905" s="69"/>
      <c r="Y905" s="69" t="s">
        <v>4128</v>
      </c>
      <c r="Z905" s="43">
        <v>37500</v>
      </c>
      <c r="AA905" s="43" t="s">
        <v>52</v>
      </c>
      <c r="AB905" s="43" t="s">
        <v>53</v>
      </c>
      <c r="AC905" s="43">
        <v>1095</v>
      </c>
      <c r="AD905" s="141">
        <v>3</v>
      </c>
      <c r="AE905" s="142">
        <v>0</v>
      </c>
      <c r="AF905" s="142"/>
      <c r="AG905" s="69" t="str">
        <f t="shared" si="424"/>
        <v>3 years 0 days</v>
      </c>
      <c r="AH905" s="69">
        <v>3</v>
      </c>
      <c r="AI905" s="69">
        <v>0</v>
      </c>
      <c r="AJ905" s="69">
        <v>0</v>
      </c>
      <c r="AK905" s="69">
        <v>0</v>
      </c>
      <c r="AL905" s="60">
        <v>37500</v>
      </c>
      <c r="AM905" s="60">
        <f t="shared" si="425"/>
        <v>37500</v>
      </c>
      <c r="AN905" s="59">
        <v>37500</v>
      </c>
      <c r="AO905" s="148">
        <f t="shared" si="426"/>
        <v>-37500</v>
      </c>
      <c r="AP905" s="58">
        <v>0</v>
      </c>
      <c r="AQ905" s="143">
        <f t="shared" si="427"/>
        <v>0</v>
      </c>
    </row>
    <row r="906" spans="1:43" x14ac:dyDescent="0.35">
      <c r="A906" s="69" t="s">
        <v>43</v>
      </c>
      <c r="B906" s="15" t="s">
        <v>2798</v>
      </c>
      <c r="C906" s="15"/>
      <c r="D906" s="69"/>
      <c r="E906" s="76">
        <v>0</v>
      </c>
      <c r="F906" s="69" t="s">
        <v>2750</v>
      </c>
      <c r="G906" s="138" t="s">
        <v>2751</v>
      </c>
      <c r="H906" s="76">
        <v>9012000017</v>
      </c>
      <c r="I906" s="92" t="s">
        <v>47</v>
      </c>
      <c r="J906" s="92">
        <v>1202010202</v>
      </c>
      <c r="K906" s="15"/>
      <c r="L906" s="95" t="s">
        <v>2799</v>
      </c>
      <c r="M906" s="69" t="s">
        <v>2800</v>
      </c>
      <c r="N906" s="69"/>
      <c r="O906" s="94">
        <v>1</v>
      </c>
      <c r="P906" s="69" t="s">
        <v>50</v>
      </c>
      <c r="Q906" s="69" t="s">
        <v>51</v>
      </c>
      <c r="R906" s="69"/>
      <c r="S906" s="46">
        <v>44224</v>
      </c>
      <c r="T906" s="48">
        <v>44224</v>
      </c>
      <c r="U906" s="69"/>
      <c r="V906" s="69"/>
      <c r="W906" s="69"/>
      <c r="X906" s="69"/>
      <c r="Y906" s="69" t="s">
        <v>4128</v>
      </c>
      <c r="Z906" s="43">
        <v>80000</v>
      </c>
      <c r="AA906" s="43" t="s">
        <v>52</v>
      </c>
      <c r="AB906" s="43" t="s">
        <v>53</v>
      </c>
      <c r="AC906" s="43">
        <v>1095</v>
      </c>
      <c r="AD906" s="141">
        <v>3</v>
      </c>
      <c r="AE906" s="142">
        <v>0</v>
      </c>
      <c r="AF906" s="142"/>
      <c r="AG906" s="69" t="str">
        <f t="shared" si="424"/>
        <v>3 years 0 days</v>
      </c>
      <c r="AH906" s="69">
        <v>3</v>
      </c>
      <c r="AI906" s="69">
        <v>0</v>
      </c>
      <c r="AJ906" s="69">
        <v>0</v>
      </c>
      <c r="AK906" s="69">
        <v>0</v>
      </c>
      <c r="AL906" s="60">
        <v>80000</v>
      </c>
      <c r="AM906" s="60">
        <f t="shared" si="425"/>
        <v>80000</v>
      </c>
      <c r="AN906" s="59">
        <v>80000</v>
      </c>
      <c r="AO906" s="148">
        <f t="shared" si="426"/>
        <v>-80000</v>
      </c>
      <c r="AP906" s="58">
        <v>0</v>
      </c>
      <c r="AQ906" s="143">
        <f t="shared" si="427"/>
        <v>0</v>
      </c>
    </row>
    <row r="907" spans="1:43" x14ac:dyDescent="0.35">
      <c r="A907" s="69" t="s">
        <v>43</v>
      </c>
      <c r="B907" s="15" t="s">
        <v>2801</v>
      </c>
      <c r="C907" s="15"/>
      <c r="D907" s="69"/>
      <c r="E907" s="76">
        <v>0</v>
      </c>
      <c r="F907" s="69" t="s">
        <v>2750</v>
      </c>
      <c r="G907" s="138" t="s">
        <v>2751</v>
      </c>
      <c r="H907" s="76">
        <v>9012000018</v>
      </c>
      <c r="I907" s="92" t="s">
        <v>47</v>
      </c>
      <c r="J907" s="92">
        <v>1202010202</v>
      </c>
      <c r="K907" s="15"/>
      <c r="L907" s="95" t="s">
        <v>2802</v>
      </c>
      <c r="M907" s="69" t="s">
        <v>2803</v>
      </c>
      <c r="N907" s="69"/>
      <c r="O907" s="94">
        <v>2</v>
      </c>
      <c r="P907" s="69" t="s">
        <v>50</v>
      </c>
      <c r="Q907" s="69" t="s">
        <v>51</v>
      </c>
      <c r="R907" s="69"/>
      <c r="S907" s="46">
        <v>44306</v>
      </c>
      <c r="T907" s="48">
        <v>44306</v>
      </c>
      <c r="U907" s="69"/>
      <c r="V907" s="69"/>
      <c r="W907" s="69"/>
      <c r="X907" s="69"/>
      <c r="Y907" s="69" t="s">
        <v>4128</v>
      </c>
      <c r="Z907" s="43">
        <v>118500</v>
      </c>
      <c r="AA907" s="43" t="s">
        <v>52</v>
      </c>
      <c r="AB907" s="43" t="s">
        <v>53</v>
      </c>
      <c r="AC907" s="43">
        <v>1095</v>
      </c>
      <c r="AD907" s="141">
        <v>3</v>
      </c>
      <c r="AE907" s="142">
        <v>0</v>
      </c>
      <c r="AF907" s="142"/>
      <c r="AG907" s="69" t="str">
        <f t="shared" si="424"/>
        <v>3 years 0 days</v>
      </c>
      <c r="AH907" s="69">
        <v>3</v>
      </c>
      <c r="AI907" s="69">
        <v>0</v>
      </c>
      <c r="AJ907" s="69">
        <v>0</v>
      </c>
      <c r="AK907" s="69">
        <v>0</v>
      </c>
      <c r="AL907" s="60">
        <v>118500</v>
      </c>
      <c r="AM907" s="60">
        <f t="shared" si="425"/>
        <v>118500</v>
      </c>
      <c r="AN907" s="59">
        <v>118500</v>
      </c>
      <c r="AO907" s="148">
        <f t="shared" si="426"/>
        <v>-118500</v>
      </c>
      <c r="AP907" s="58">
        <v>0</v>
      </c>
      <c r="AQ907" s="143">
        <f t="shared" si="427"/>
        <v>0</v>
      </c>
    </row>
    <row r="908" spans="1:43" x14ac:dyDescent="0.35">
      <c r="A908" s="69" t="s">
        <v>43</v>
      </c>
      <c r="B908" s="15" t="s">
        <v>2804</v>
      </c>
      <c r="C908" s="15"/>
      <c r="D908" s="69"/>
      <c r="E908" s="76">
        <v>0</v>
      </c>
      <c r="F908" s="69" t="s">
        <v>2750</v>
      </c>
      <c r="G908" s="138" t="s">
        <v>2751</v>
      </c>
      <c r="H908" s="76">
        <v>9012000019</v>
      </c>
      <c r="I908" s="92" t="s">
        <v>47</v>
      </c>
      <c r="J908" s="92">
        <v>1202010202</v>
      </c>
      <c r="K908" s="15"/>
      <c r="L908" s="95" t="s">
        <v>2805</v>
      </c>
      <c r="M908" s="69" t="s">
        <v>2806</v>
      </c>
      <c r="N908" s="69"/>
      <c r="O908" s="94">
        <v>1</v>
      </c>
      <c r="P908" s="69" t="s">
        <v>50</v>
      </c>
      <c r="Q908" s="69" t="s">
        <v>51</v>
      </c>
      <c r="R908" s="69"/>
      <c r="S908" s="46">
        <v>44315</v>
      </c>
      <c r="T908" s="48">
        <v>44315</v>
      </c>
      <c r="U908" s="69"/>
      <c r="V908" s="69"/>
      <c r="W908" s="69"/>
      <c r="X908" s="69"/>
      <c r="Y908" s="69" t="s">
        <v>4128</v>
      </c>
      <c r="Z908" s="43">
        <v>36300</v>
      </c>
      <c r="AA908" s="43" t="s">
        <v>52</v>
      </c>
      <c r="AB908" s="43" t="s">
        <v>53</v>
      </c>
      <c r="AC908" s="43">
        <v>1095</v>
      </c>
      <c r="AD908" s="141">
        <v>3</v>
      </c>
      <c r="AE908" s="142">
        <v>0</v>
      </c>
      <c r="AF908" s="142"/>
      <c r="AG908" s="69" t="str">
        <f t="shared" si="424"/>
        <v>3 years 0 days</v>
      </c>
      <c r="AH908" s="69">
        <v>3</v>
      </c>
      <c r="AI908" s="69">
        <v>0</v>
      </c>
      <c r="AJ908" s="69">
        <v>0</v>
      </c>
      <c r="AK908" s="69">
        <v>0</v>
      </c>
      <c r="AL908" s="60">
        <v>36300</v>
      </c>
      <c r="AM908" s="60">
        <f t="shared" si="425"/>
        <v>36300</v>
      </c>
      <c r="AN908" s="59">
        <v>36300</v>
      </c>
      <c r="AO908" s="148">
        <f t="shared" si="426"/>
        <v>-36300</v>
      </c>
      <c r="AP908" s="58">
        <v>0</v>
      </c>
      <c r="AQ908" s="143">
        <f t="shared" si="427"/>
        <v>0</v>
      </c>
    </row>
    <row r="909" spans="1:43" x14ac:dyDescent="0.35">
      <c r="A909" s="69" t="s">
        <v>43</v>
      </c>
      <c r="B909" s="15" t="s">
        <v>2807</v>
      </c>
      <c r="C909" s="15"/>
      <c r="D909" s="69"/>
      <c r="E909" s="76">
        <v>0</v>
      </c>
      <c r="F909" s="69" t="s">
        <v>2750</v>
      </c>
      <c r="G909" s="138" t="s">
        <v>2751</v>
      </c>
      <c r="H909" s="76">
        <v>9012000020</v>
      </c>
      <c r="I909" s="92" t="s">
        <v>47</v>
      </c>
      <c r="J909" s="92">
        <v>1202010202</v>
      </c>
      <c r="K909" s="15"/>
      <c r="L909" s="95" t="s">
        <v>2808</v>
      </c>
      <c r="M909" s="69" t="s">
        <v>2809</v>
      </c>
      <c r="N909" s="69"/>
      <c r="O909" s="94">
        <v>1</v>
      </c>
      <c r="P909" s="69" t="s">
        <v>50</v>
      </c>
      <c r="Q909" s="69" t="s">
        <v>51</v>
      </c>
      <c r="R909" s="69"/>
      <c r="S909" s="46">
        <v>44359</v>
      </c>
      <c r="T909" s="48">
        <v>44359</v>
      </c>
      <c r="U909" s="69"/>
      <c r="V909" s="69"/>
      <c r="W909" s="69"/>
      <c r="X909" s="69"/>
      <c r="Y909" s="69" t="s">
        <v>4128</v>
      </c>
      <c r="Z909" s="43">
        <v>40000</v>
      </c>
      <c r="AA909" s="43" t="s">
        <v>52</v>
      </c>
      <c r="AB909" s="43" t="s">
        <v>53</v>
      </c>
      <c r="AC909" s="43">
        <v>1095</v>
      </c>
      <c r="AD909" s="141">
        <v>3</v>
      </c>
      <c r="AE909" s="142">
        <v>0</v>
      </c>
      <c r="AF909" s="142"/>
      <c r="AG909" s="69" t="str">
        <f t="shared" si="424"/>
        <v>3 years 0 days</v>
      </c>
      <c r="AH909" s="69">
        <v>3</v>
      </c>
      <c r="AI909" s="69">
        <v>0</v>
      </c>
      <c r="AJ909" s="69">
        <v>0</v>
      </c>
      <c r="AK909" s="69">
        <v>0</v>
      </c>
      <c r="AL909" s="60">
        <v>40000</v>
      </c>
      <c r="AM909" s="60">
        <f t="shared" si="425"/>
        <v>40000</v>
      </c>
      <c r="AN909" s="59">
        <v>40000</v>
      </c>
      <c r="AO909" s="148">
        <f t="shared" si="426"/>
        <v>-40000</v>
      </c>
      <c r="AP909" s="58">
        <v>0</v>
      </c>
      <c r="AQ909" s="143">
        <f t="shared" si="427"/>
        <v>0</v>
      </c>
    </row>
    <row r="910" spans="1:43" x14ac:dyDescent="0.35">
      <c r="A910" s="69" t="s">
        <v>43</v>
      </c>
      <c r="B910" s="15" t="s">
        <v>2810</v>
      </c>
      <c r="C910" s="15"/>
      <c r="D910" s="69"/>
      <c r="E910" s="76">
        <v>0</v>
      </c>
      <c r="F910" s="69" t="s">
        <v>2750</v>
      </c>
      <c r="G910" s="138" t="s">
        <v>2751</v>
      </c>
      <c r="H910" s="76">
        <v>9012000021</v>
      </c>
      <c r="I910" s="92" t="s">
        <v>47</v>
      </c>
      <c r="J910" s="92">
        <v>1202010202</v>
      </c>
      <c r="K910" s="15"/>
      <c r="L910" s="95" t="s">
        <v>2811</v>
      </c>
      <c r="M910" s="69" t="s">
        <v>2812</v>
      </c>
      <c r="N910" s="69"/>
      <c r="O910" s="94">
        <v>1</v>
      </c>
      <c r="P910" s="69" t="s">
        <v>50</v>
      </c>
      <c r="Q910" s="69" t="s">
        <v>51</v>
      </c>
      <c r="R910" s="69"/>
      <c r="S910" s="46">
        <v>44354</v>
      </c>
      <c r="T910" s="48">
        <v>44354</v>
      </c>
      <c r="U910" s="69"/>
      <c r="V910" s="69"/>
      <c r="W910" s="69"/>
      <c r="X910" s="69"/>
      <c r="Y910" s="69" t="s">
        <v>4128</v>
      </c>
      <c r="Z910" s="43">
        <v>37800</v>
      </c>
      <c r="AA910" s="43" t="s">
        <v>52</v>
      </c>
      <c r="AB910" s="43" t="s">
        <v>53</v>
      </c>
      <c r="AC910" s="43">
        <v>1095</v>
      </c>
      <c r="AD910" s="141">
        <v>3</v>
      </c>
      <c r="AE910" s="142">
        <v>0</v>
      </c>
      <c r="AF910" s="142"/>
      <c r="AG910" s="69" t="str">
        <f t="shared" si="424"/>
        <v>3 years 0 days</v>
      </c>
      <c r="AH910" s="69">
        <v>3</v>
      </c>
      <c r="AI910" s="69">
        <v>0</v>
      </c>
      <c r="AJ910" s="69">
        <v>0</v>
      </c>
      <c r="AK910" s="69">
        <v>0</v>
      </c>
      <c r="AL910" s="60">
        <v>37800</v>
      </c>
      <c r="AM910" s="60">
        <f t="shared" si="425"/>
        <v>37800</v>
      </c>
      <c r="AN910" s="59">
        <v>37800</v>
      </c>
      <c r="AO910" s="148">
        <f t="shared" si="426"/>
        <v>-37800</v>
      </c>
      <c r="AP910" s="58">
        <v>0</v>
      </c>
      <c r="AQ910" s="143">
        <f t="shared" si="427"/>
        <v>0</v>
      </c>
    </row>
    <row r="911" spans="1:43" x14ac:dyDescent="0.35">
      <c r="A911" s="69" t="s">
        <v>43</v>
      </c>
      <c r="B911" s="15" t="s">
        <v>2813</v>
      </c>
      <c r="C911" s="15"/>
      <c r="D911" s="69"/>
      <c r="E911" s="76">
        <v>0</v>
      </c>
      <c r="F911" s="69" t="s">
        <v>2750</v>
      </c>
      <c r="G911" s="138" t="s">
        <v>2751</v>
      </c>
      <c r="H911" s="76">
        <v>9012000022</v>
      </c>
      <c r="I911" s="92" t="s">
        <v>47</v>
      </c>
      <c r="J911" s="92">
        <v>1202010202</v>
      </c>
      <c r="K911" s="15"/>
      <c r="L911" s="95" t="s">
        <v>2814</v>
      </c>
      <c r="M911" s="69" t="s">
        <v>2815</v>
      </c>
      <c r="N911" s="69"/>
      <c r="O911" s="94">
        <v>1</v>
      </c>
      <c r="P911" s="69" t="s">
        <v>50</v>
      </c>
      <c r="Q911" s="69" t="s">
        <v>51</v>
      </c>
      <c r="R911" s="69"/>
      <c r="S911" s="46">
        <v>44358</v>
      </c>
      <c r="T911" s="48">
        <v>44358</v>
      </c>
      <c r="U911" s="69"/>
      <c r="V911" s="69"/>
      <c r="W911" s="69"/>
      <c r="X911" s="69"/>
      <c r="Y911" s="69" t="s">
        <v>4128</v>
      </c>
      <c r="Z911" s="43">
        <v>37800</v>
      </c>
      <c r="AA911" s="43" t="s">
        <v>52</v>
      </c>
      <c r="AB911" s="43" t="s">
        <v>53</v>
      </c>
      <c r="AC911" s="43">
        <v>1095</v>
      </c>
      <c r="AD911" s="141">
        <v>3</v>
      </c>
      <c r="AE911" s="142">
        <v>0</v>
      </c>
      <c r="AF911" s="142"/>
      <c r="AG911" s="69" t="str">
        <f t="shared" si="424"/>
        <v>3 years 0 days</v>
      </c>
      <c r="AH911" s="69">
        <v>3</v>
      </c>
      <c r="AI911" s="69">
        <v>0</v>
      </c>
      <c r="AJ911" s="69">
        <v>0</v>
      </c>
      <c r="AK911" s="69">
        <v>0</v>
      </c>
      <c r="AL911" s="60">
        <v>37800</v>
      </c>
      <c r="AM911" s="60">
        <f t="shared" si="425"/>
        <v>37800</v>
      </c>
      <c r="AN911" s="59">
        <v>37800</v>
      </c>
      <c r="AO911" s="148">
        <f t="shared" si="426"/>
        <v>-37800</v>
      </c>
      <c r="AP911" s="58">
        <v>0</v>
      </c>
      <c r="AQ911" s="143">
        <f t="shared" si="427"/>
        <v>0</v>
      </c>
    </row>
    <row r="912" spans="1:43" x14ac:dyDescent="0.35">
      <c r="A912" s="69" t="s">
        <v>43</v>
      </c>
      <c r="B912" s="15" t="s">
        <v>2816</v>
      </c>
      <c r="C912" s="15"/>
      <c r="D912" s="69"/>
      <c r="E912" s="76">
        <v>0</v>
      </c>
      <c r="F912" s="69" t="s">
        <v>2750</v>
      </c>
      <c r="G912" s="138" t="s">
        <v>2751</v>
      </c>
      <c r="H912" s="76">
        <v>9012000023</v>
      </c>
      <c r="I912" s="92" t="s">
        <v>47</v>
      </c>
      <c r="J912" s="92">
        <v>1202010202</v>
      </c>
      <c r="K912" s="15"/>
      <c r="L912" s="95" t="s">
        <v>2817</v>
      </c>
      <c r="M912" s="69" t="s">
        <v>2818</v>
      </c>
      <c r="N912" s="69"/>
      <c r="O912" s="94">
        <v>1</v>
      </c>
      <c r="P912" s="69" t="s">
        <v>50</v>
      </c>
      <c r="Q912" s="69" t="s">
        <v>51</v>
      </c>
      <c r="R912" s="69"/>
      <c r="S912" s="46">
        <v>44373</v>
      </c>
      <c r="T912" s="48">
        <v>44373</v>
      </c>
      <c r="U912" s="69"/>
      <c r="V912" s="69"/>
      <c r="W912" s="69"/>
      <c r="X912" s="69"/>
      <c r="Y912" s="69" t="s">
        <v>4128</v>
      </c>
      <c r="Z912" s="43">
        <v>10000</v>
      </c>
      <c r="AA912" s="43" t="s">
        <v>52</v>
      </c>
      <c r="AB912" s="43" t="s">
        <v>53</v>
      </c>
      <c r="AC912" s="43">
        <v>1095</v>
      </c>
      <c r="AD912" s="141">
        <v>3</v>
      </c>
      <c r="AE912" s="142">
        <v>0</v>
      </c>
      <c r="AF912" s="142"/>
      <c r="AG912" s="69" t="str">
        <f t="shared" si="424"/>
        <v>3 years 0 days</v>
      </c>
      <c r="AH912" s="69">
        <v>3</v>
      </c>
      <c r="AI912" s="69">
        <v>0</v>
      </c>
      <c r="AJ912" s="69">
        <v>0</v>
      </c>
      <c r="AK912" s="69">
        <v>0</v>
      </c>
      <c r="AL912" s="60">
        <v>10000</v>
      </c>
      <c r="AM912" s="60">
        <f t="shared" si="425"/>
        <v>10000</v>
      </c>
      <c r="AN912" s="59">
        <v>10000</v>
      </c>
      <c r="AO912" s="148">
        <f t="shared" si="426"/>
        <v>-10000</v>
      </c>
      <c r="AP912" s="58">
        <v>0</v>
      </c>
      <c r="AQ912" s="143">
        <f t="shared" si="427"/>
        <v>0</v>
      </c>
    </row>
    <row r="913" spans="1:43" x14ac:dyDescent="0.35">
      <c r="A913" s="69" t="s">
        <v>43</v>
      </c>
      <c r="B913" s="15" t="s">
        <v>2819</v>
      </c>
      <c r="C913" s="15"/>
      <c r="D913" s="69"/>
      <c r="E913" s="76">
        <v>0</v>
      </c>
      <c r="F913" s="69" t="s">
        <v>2750</v>
      </c>
      <c r="G913" s="138" t="s">
        <v>2751</v>
      </c>
      <c r="H913" s="76">
        <v>9012000024</v>
      </c>
      <c r="I913" s="92" t="s">
        <v>47</v>
      </c>
      <c r="J913" s="92">
        <v>1202010202</v>
      </c>
      <c r="K913" s="15"/>
      <c r="L913" s="95" t="s">
        <v>2820</v>
      </c>
      <c r="M913" s="69" t="s">
        <v>2821</v>
      </c>
      <c r="N913" s="69"/>
      <c r="O913" s="94">
        <v>1</v>
      </c>
      <c r="P913" s="69" t="s">
        <v>50</v>
      </c>
      <c r="Q913" s="69" t="s">
        <v>51</v>
      </c>
      <c r="R913" s="69"/>
      <c r="S913" s="46">
        <v>44470</v>
      </c>
      <c r="T913" s="48">
        <v>44470</v>
      </c>
      <c r="U913" s="69"/>
      <c r="V913" s="69"/>
      <c r="W913" s="69"/>
      <c r="X913" s="69"/>
      <c r="Y913" s="69" t="s">
        <v>4128</v>
      </c>
      <c r="Z913" s="43">
        <v>34000</v>
      </c>
      <c r="AA913" s="43" t="s">
        <v>52</v>
      </c>
      <c r="AB913" s="43" t="s">
        <v>53</v>
      </c>
      <c r="AC913" s="43">
        <v>1095</v>
      </c>
      <c r="AD913" s="141">
        <v>3</v>
      </c>
      <c r="AE913" s="142">
        <v>0</v>
      </c>
      <c r="AF913" s="142"/>
      <c r="AG913" s="69" t="str">
        <f t="shared" si="424"/>
        <v>3 years 0 days</v>
      </c>
      <c r="AH913" s="69">
        <v>3</v>
      </c>
      <c r="AI913" s="69">
        <v>0</v>
      </c>
      <c r="AJ913" s="69">
        <v>0</v>
      </c>
      <c r="AK913" s="69">
        <v>0</v>
      </c>
      <c r="AL913" s="60">
        <v>34000</v>
      </c>
      <c r="AM913" s="60">
        <f t="shared" si="425"/>
        <v>34000</v>
      </c>
      <c r="AN913" s="59">
        <v>34000</v>
      </c>
      <c r="AO913" s="148">
        <f t="shared" si="426"/>
        <v>-34000</v>
      </c>
      <c r="AP913" s="58">
        <v>0</v>
      </c>
      <c r="AQ913" s="143">
        <f t="shared" si="427"/>
        <v>0</v>
      </c>
    </row>
    <row r="914" spans="1:43" x14ac:dyDescent="0.35">
      <c r="A914" s="69" t="s">
        <v>43</v>
      </c>
      <c r="B914" s="15" t="s">
        <v>2822</v>
      </c>
      <c r="C914" s="15"/>
      <c r="D914" s="69"/>
      <c r="E914" s="76">
        <v>0</v>
      </c>
      <c r="F914" s="69" t="s">
        <v>2750</v>
      </c>
      <c r="G914" s="138" t="s">
        <v>2751</v>
      </c>
      <c r="H914" s="76">
        <v>9012000025</v>
      </c>
      <c r="I914" s="92" t="s">
        <v>47</v>
      </c>
      <c r="J914" s="92">
        <v>1202010202</v>
      </c>
      <c r="K914" s="15"/>
      <c r="L914" s="95" t="s">
        <v>2823</v>
      </c>
      <c r="M914" s="69" t="s">
        <v>2824</v>
      </c>
      <c r="N914" s="69"/>
      <c r="O914" s="94">
        <v>1</v>
      </c>
      <c r="P914" s="69" t="s">
        <v>50</v>
      </c>
      <c r="Q914" s="69" t="s">
        <v>51</v>
      </c>
      <c r="R914" s="69"/>
      <c r="S914" s="46">
        <v>44592</v>
      </c>
      <c r="T914" s="48">
        <v>44592</v>
      </c>
      <c r="U914" s="69"/>
      <c r="V914" s="69"/>
      <c r="W914" s="69"/>
      <c r="X914" s="69"/>
      <c r="Y914" s="69" t="s">
        <v>4131</v>
      </c>
      <c r="Z914" s="43">
        <v>52500</v>
      </c>
      <c r="AA914" s="43" t="s">
        <v>52</v>
      </c>
      <c r="AB914" s="43" t="s">
        <v>53</v>
      </c>
      <c r="AC914" s="43">
        <v>1095</v>
      </c>
      <c r="AD914" s="141">
        <v>3</v>
      </c>
      <c r="AE914" s="142">
        <v>0</v>
      </c>
      <c r="AF914" s="142"/>
      <c r="AG914" s="69" t="str">
        <f t="shared" si="424"/>
        <v>2 years 336 days</v>
      </c>
      <c r="AH914" s="69">
        <v>2</v>
      </c>
      <c r="AI914" s="69">
        <v>336</v>
      </c>
      <c r="AJ914" s="69">
        <v>0</v>
      </c>
      <c r="AK914" s="69">
        <v>0</v>
      </c>
      <c r="AL914" s="60">
        <v>52500</v>
      </c>
      <c r="AM914" s="60">
        <f t="shared" si="425"/>
        <v>52500</v>
      </c>
      <c r="AN914" s="59">
        <v>51110</v>
      </c>
      <c r="AO914" s="148">
        <f t="shared" si="426"/>
        <v>-51110</v>
      </c>
      <c r="AP914" s="58">
        <v>1390</v>
      </c>
      <c r="AQ914" s="143">
        <f t="shared" si="427"/>
        <v>-1390</v>
      </c>
    </row>
    <row r="915" spans="1:43" x14ac:dyDescent="0.35">
      <c r="A915" s="69" t="s">
        <v>43</v>
      </c>
      <c r="B915" s="15" t="s">
        <v>2825</v>
      </c>
      <c r="C915" s="15"/>
      <c r="D915" s="69"/>
      <c r="E915" s="76">
        <v>0</v>
      </c>
      <c r="F915" s="69" t="s">
        <v>2750</v>
      </c>
      <c r="G915" s="138" t="s">
        <v>2751</v>
      </c>
      <c r="H915" s="76">
        <v>9012000026</v>
      </c>
      <c r="I915" s="92" t="s">
        <v>47</v>
      </c>
      <c r="J915" s="92">
        <v>1202010202</v>
      </c>
      <c r="K915" s="15"/>
      <c r="L915" s="95" t="s">
        <v>2826</v>
      </c>
      <c r="M915" s="69" t="s">
        <v>2827</v>
      </c>
      <c r="N915" s="69"/>
      <c r="O915" s="94">
        <v>1</v>
      </c>
      <c r="P915" s="69" t="s">
        <v>50</v>
      </c>
      <c r="Q915" s="69" t="s">
        <v>51</v>
      </c>
      <c r="R915" s="69"/>
      <c r="S915" s="46">
        <v>44742</v>
      </c>
      <c r="T915" s="48">
        <v>44742</v>
      </c>
      <c r="U915" s="69"/>
      <c r="V915" s="69"/>
      <c r="W915" s="69"/>
      <c r="X915" s="69"/>
      <c r="Y915" s="69" t="s">
        <v>4131</v>
      </c>
      <c r="Z915" s="43">
        <v>333000</v>
      </c>
      <c r="AA915" s="43" t="s">
        <v>52</v>
      </c>
      <c r="AB915" s="43" t="s">
        <v>53</v>
      </c>
      <c r="AC915" s="43">
        <v>1095</v>
      </c>
      <c r="AD915" s="141">
        <v>3</v>
      </c>
      <c r="AE915" s="142">
        <v>0</v>
      </c>
      <c r="AF915" s="142"/>
      <c r="AG915" s="69" t="str">
        <f t="shared" si="424"/>
        <v>2 years 186 days</v>
      </c>
      <c r="AH915" s="69">
        <v>2</v>
      </c>
      <c r="AI915" s="69">
        <v>186</v>
      </c>
      <c r="AJ915" s="69">
        <v>0</v>
      </c>
      <c r="AK915" s="69">
        <v>0</v>
      </c>
      <c r="AL915" s="60">
        <v>333000</v>
      </c>
      <c r="AM915" s="60">
        <f t="shared" si="425"/>
        <v>333000</v>
      </c>
      <c r="AN915" s="59">
        <v>278564</v>
      </c>
      <c r="AO915" s="148">
        <f t="shared" si="426"/>
        <v>-278564</v>
      </c>
      <c r="AP915" s="58">
        <v>54436</v>
      </c>
      <c r="AQ915" s="143">
        <f t="shared" si="427"/>
        <v>-54436</v>
      </c>
    </row>
    <row r="916" spans="1:43" x14ac:dyDescent="0.35">
      <c r="A916" s="69" t="s">
        <v>43</v>
      </c>
      <c r="B916" s="15" t="s">
        <v>2828</v>
      </c>
      <c r="C916" s="15"/>
      <c r="D916" s="69"/>
      <c r="E916" s="76">
        <v>0</v>
      </c>
      <c r="F916" s="69" t="s">
        <v>2750</v>
      </c>
      <c r="G916" s="138" t="s">
        <v>2751</v>
      </c>
      <c r="H916" s="79">
        <v>9012000027</v>
      </c>
      <c r="I916" s="92" t="s">
        <v>47</v>
      </c>
      <c r="J916" s="92">
        <v>1202010202</v>
      </c>
      <c r="K916" s="15"/>
      <c r="L916" s="95" t="s">
        <v>2829</v>
      </c>
      <c r="M916" s="69" t="s">
        <v>2830</v>
      </c>
      <c r="N916" s="69"/>
      <c r="O916" s="94">
        <v>1</v>
      </c>
      <c r="P916" s="69" t="s">
        <v>50</v>
      </c>
      <c r="Q916" s="69" t="s">
        <v>51</v>
      </c>
      <c r="R916" s="69"/>
      <c r="S916" s="46">
        <v>44750</v>
      </c>
      <c r="T916" s="48">
        <v>44750</v>
      </c>
      <c r="U916" s="69"/>
      <c r="V916" s="69"/>
      <c r="W916" s="69"/>
      <c r="X916" s="69"/>
      <c r="Y916" s="69" t="s">
        <v>4131</v>
      </c>
      <c r="Z916" s="43">
        <v>240500</v>
      </c>
      <c r="AA916" s="43" t="s">
        <v>52</v>
      </c>
      <c r="AB916" s="43" t="s">
        <v>53</v>
      </c>
      <c r="AC916" s="43">
        <v>1095</v>
      </c>
      <c r="AD916" s="141">
        <v>3</v>
      </c>
      <c r="AE916" s="142">
        <v>0</v>
      </c>
      <c r="AF916" s="142"/>
      <c r="AG916" s="69" t="str">
        <f t="shared" si="424"/>
        <v>2 years 178 days</v>
      </c>
      <c r="AH916" s="69">
        <v>2</v>
      </c>
      <c r="AI916" s="69">
        <v>178</v>
      </c>
      <c r="AJ916" s="69">
        <v>0</v>
      </c>
      <c r="AK916" s="69">
        <v>0</v>
      </c>
      <c r="AL916" s="60">
        <v>240500</v>
      </c>
      <c r="AM916" s="60">
        <f t="shared" si="425"/>
        <v>240500</v>
      </c>
      <c r="AN916" s="59">
        <v>199428</v>
      </c>
      <c r="AO916" s="148">
        <f t="shared" si="426"/>
        <v>-199428</v>
      </c>
      <c r="AP916" s="58">
        <v>39754.191780821915</v>
      </c>
      <c r="AQ916" s="143">
        <f t="shared" si="427"/>
        <v>-39754.19</v>
      </c>
    </row>
    <row r="917" spans="1:43" x14ac:dyDescent="0.35">
      <c r="A917" s="69" t="s">
        <v>43</v>
      </c>
      <c r="B917" s="15" t="s">
        <v>2831</v>
      </c>
      <c r="C917" s="15"/>
      <c r="D917" s="69"/>
      <c r="E917" s="76">
        <v>0</v>
      </c>
      <c r="F917" s="69" t="s">
        <v>2750</v>
      </c>
      <c r="G917" s="138" t="s">
        <v>2751</v>
      </c>
      <c r="H917" s="76">
        <v>9012000028</v>
      </c>
      <c r="I917" s="92" t="s">
        <v>47</v>
      </c>
      <c r="J917" s="92">
        <v>1202010202</v>
      </c>
      <c r="K917" s="15"/>
      <c r="L917" s="95" t="s">
        <v>2832</v>
      </c>
      <c r="M917" s="69" t="s">
        <v>2833</v>
      </c>
      <c r="N917" s="69"/>
      <c r="O917" s="94">
        <v>1</v>
      </c>
      <c r="P917" s="69" t="s">
        <v>50</v>
      </c>
      <c r="Q917" s="69" t="s">
        <v>51</v>
      </c>
      <c r="R917" s="69"/>
      <c r="S917" s="46">
        <v>44896</v>
      </c>
      <c r="T917" s="48">
        <v>44896</v>
      </c>
      <c r="U917" s="69"/>
      <c r="V917" s="69"/>
      <c r="W917" s="69"/>
      <c r="X917" s="69"/>
      <c r="Y917" s="69" t="s">
        <v>4131</v>
      </c>
      <c r="Z917" s="43">
        <v>110000</v>
      </c>
      <c r="AA917" s="43" t="s">
        <v>52</v>
      </c>
      <c r="AB917" s="43" t="s">
        <v>53</v>
      </c>
      <c r="AC917" s="43">
        <v>1095</v>
      </c>
      <c r="AD917" s="141">
        <v>3</v>
      </c>
      <c r="AE917" s="142">
        <v>0</v>
      </c>
      <c r="AF917" s="142"/>
      <c r="AG917" s="69" t="str">
        <f t="shared" si="424"/>
        <v>2 years 32 days</v>
      </c>
      <c r="AH917" s="69">
        <v>2</v>
      </c>
      <c r="AI917" s="69">
        <v>32</v>
      </c>
      <c r="AJ917" s="69">
        <v>0</v>
      </c>
      <c r="AK917" s="69">
        <v>0</v>
      </c>
      <c r="AL917" s="60">
        <v>110000</v>
      </c>
      <c r="AM917" s="60">
        <f t="shared" si="425"/>
        <v>110000</v>
      </c>
      <c r="AN917" s="59">
        <v>76548</v>
      </c>
      <c r="AO917" s="148">
        <f t="shared" si="426"/>
        <v>-76548</v>
      </c>
      <c r="AP917" s="58">
        <v>18182.593607305927</v>
      </c>
      <c r="AQ917" s="143">
        <f t="shared" si="427"/>
        <v>-18182.59</v>
      </c>
    </row>
    <row r="918" spans="1:43" x14ac:dyDescent="0.35">
      <c r="A918" s="69" t="s">
        <v>43</v>
      </c>
      <c r="B918" s="15" t="s">
        <v>2834</v>
      </c>
      <c r="C918" s="15"/>
      <c r="D918" s="69"/>
      <c r="E918" s="76">
        <v>0</v>
      </c>
      <c r="F918" s="69" t="s">
        <v>2750</v>
      </c>
      <c r="G918" s="138" t="s">
        <v>2751</v>
      </c>
      <c r="H918" s="79">
        <v>9012000029</v>
      </c>
      <c r="I918" s="92" t="s">
        <v>47</v>
      </c>
      <c r="J918" s="92">
        <v>1202010202</v>
      </c>
      <c r="K918" s="15"/>
      <c r="L918" s="95" t="s">
        <v>2835</v>
      </c>
      <c r="M918" s="69" t="s">
        <v>2836</v>
      </c>
      <c r="N918" s="69"/>
      <c r="O918" s="94">
        <v>1</v>
      </c>
      <c r="P918" s="69" t="s">
        <v>50</v>
      </c>
      <c r="Q918" s="69" t="s">
        <v>51</v>
      </c>
      <c r="R918" s="69"/>
      <c r="S918" s="46">
        <v>44931</v>
      </c>
      <c r="T918" s="48">
        <v>44931</v>
      </c>
      <c r="U918" s="69"/>
      <c r="V918" s="69"/>
      <c r="W918" s="69"/>
      <c r="X918" s="69"/>
      <c r="Y918" s="69" t="s">
        <v>4129</v>
      </c>
      <c r="Z918" s="43">
        <v>80000</v>
      </c>
      <c r="AA918" s="43" t="s">
        <v>52</v>
      </c>
      <c r="AB918" s="43" t="s">
        <v>53</v>
      </c>
      <c r="AC918" s="43">
        <v>1095</v>
      </c>
      <c r="AD918" s="141">
        <v>3</v>
      </c>
      <c r="AE918" s="142">
        <v>0</v>
      </c>
      <c r="AF918" s="142"/>
      <c r="AG918" s="69" t="str">
        <f t="shared" si="424"/>
        <v>1 years 362 days</v>
      </c>
      <c r="AH918" s="69">
        <v>1</v>
      </c>
      <c r="AI918" s="69">
        <v>362</v>
      </c>
      <c r="AJ918" s="69">
        <v>0</v>
      </c>
      <c r="AK918" s="69">
        <v>0</v>
      </c>
      <c r="AL918" s="60">
        <v>80000</v>
      </c>
      <c r="AM918" s="60">
        <f t="shared" si="425"/>
        <v>80000</v>
      </c>
      <c r="AN918" s="59">
        <v>80000</v>
      </c>
      <c r="AO918" s="148">
        <f t="shared" si="426"/>
        <v>-80000</v>
      </c>
      <c r="AP918" s="58">
        <v>0</v>
      </c>
      <c r="AQ918" s="143">
        <f t="shared" si="427"/>
        <v>0</v>
      </c>
    </row>
    <row r="919" spans="1:43" x14ac:dyDescent="0.35">
      <c r="A919" s="69" t="s">
        <v>43</v>
      </c>
      <c r="B919" s="15" t="s">
        <v>2837</v>
      </c>
      <c r="C919" s="15"/>
      <c r="D919" s="69"/>
      <c r="E919" s="76">
        <v>0</v>
      </c>
      <c r="F919" s="69" t="s">
        <v>2750</v>
      </c>
      <c r="G919" s="138" t="s">
        <v>2751</v>
      </c>
      <c r="H919" s="76">
        <v>9012000030</v>
      </c>
      <c r="I919" s="92" t="s">
        <v>47</v>
      </c>
      <c r="J919" s="92">
        <v>1202010202</v>
      </c>
      <c r="K919" s="15"/>
      <c r="L919" s="95" t="s">
        <v>2838</v>
      </c>
      <c r="M919" s="69" t="s">
        <v>2839</v>
      </c>
      <c r="N919" s="69"/>
      <c r="O919" s="94">
        <v>1</v>
      </c>
      <c r="P919" s="69" t="s">
        <v>50</v>
      </c>
      <c r="Q919" s="69" t="s">
        <v>51</v>
      </c>
      <c r="R919" s="69"/>
      <c r="S919" s="46">
        <v>44991</v>
      </c>
      <c r="T919" s="48">
        <v>44991</v>
      </c>
      <c r="U919" s="69"/>
      <c r="V919" s="69"/>
      <c r="W919" s="69"/>
      <c r="X919" s="69"/>
      <c r="Y919" s="69" t="s">
        <v>4129</v>
      </c>
      <c r="Z919" s="43">
        <v>158000</v>
      </c>
      <c r="AA919" s="43" t="s">
        <v>52</v>
      </c>
      <c r="AB919" s="43" t="s">
        <v>53</v>
      </c>
      <c r="AC919" s="43">
        <v>1095</v>
      </c>
      <c r="AD919" s="141">
        <v>3</v>
      </c>
      <c r="AE919" s="142">
        <v>0</v>
      </c>
      <c r="AF919" s="142"/>
      <c r="AG919" s="69" t="str">
        <f t="shared" si="424"/>
        <v>1 years 302 days</v>
      </c>
      <c r="AH919" s="69">
        <v>1</v>
      </c>
      <c r="AI919" s="69">
        <v>302</v>
      </c>
      <c r="AJ919" s="69">
        <v>0</v>
      </c>
      <c r="AK919" s="69">
        <v>0</v>
      </c>
      <c r="AL919" s="60">
        <v>158000</v>
      </c>
      <c r="AM919" s="60">
        <f t="shared" si="425"/>
        <v>158000</v>
      </c>
      <c r="AN919" s="59">
        <v>96243</v>
      </c>
      <c r="AO919" s="148">
        <f t="shared" si="426"/>
        <v>-96243</v>
      </c>
      <c r="AP919" s="58">
        <v>26116.817351598176</v>
      </c>
      <c r="AQ919" s="143">
        <f t="shared" si="427"/>
        <v>-26116.82</v>
      </c>
    </row>
    <row r="920" spans="1:43" x14ac:dyDescent="0.35">
      <c r="A920" s="69" t="s">
        <v>43</v>
      </c>
      <c r="B920" s="15" t="s">
        <v>2840</v>
      </c>
      <c r="C920" s="15"/>
      <c r="D920" s="69"/>
      <c r="E920" s="76">
        <v>0</v>
      </c>
      <c r="F920" s="69" t="s">
        <v>2750</v>
      </c>
      <c r="G920" s="138" t="s">
        <v>2751</v>
      </c>
      <c r="H920" s="76">
        <v>9012000031</v>
      </c>
      <c r="I920" s="92" t="s">
        <v>47</v>
      </c>
      <c r="J920" s="92">
        <v>1202010202</v>
      </c>
      <c r="K920" s="15"/>
      <c r="L920" s="95" t="s">
        <v>2841</v>
      </c>
      <c r="M920" s="69" t="s">
        <v>2842</v>
      </c>
      <c r="N920" s="69"/>
      <c r="O920" s="94">
        <v>1</v>
      </c>
      <c r="P920" s="69" t="s">
        <v>50</v>
      </c>
      <c r="Q920" s="69" t="s">
        <v>51</v>
      </c>
      <c r="R920" s="69"/>
      <c r="S920" s="46">
        <v>45022</v>
      </c>
      <c r="T920" s="48">
        <v>45022</v>
      </c>
      <c r="U920" s="69"/>
      <c r="V920" s="69"/>
      <c r="W920" s="69"/>
      <c r="X920" s="69"/>
      <c r="Y920" s="69" t="s">
        <v>4129</v>
      </c>
      <c r="Z920" s="43">
        <v>10700</v>
      </c>
      <c r="AA920" s="43" t="s">
        <v>52</v>
      </c>
      <c r="AB920" s="43" t="s">
        <v>53</v>
      </c>
      <c r="AC920" s="43">
        <v>1095</v>
      </c>
      <c r="AD920" s="141">
        <v>3</v>
      </c>
      <c r="AE920" s="142">
        <v>0</v>
      </c>
      <c r="AF920" s="142"/>
      <c r="AG920" s="69" t="str">
        <f t="shared" si="424"/>
        <v>1 years 271 days</v>
      </c>
      <c r="AH920" s="69">
        <v>1</v>
      </c>
      <c r="AI920" s="69">
        <v>271</v>
      </c>
      <c r="AJ920" s="69">
        <v>0</v>
      </c>
      <c r="AK920" s="69">
        <v>0</v>
      </c>
      <c r="AL920" s="60">
        <v>10700</v>
      </c>
      <c r="AM920" s="60">
        <f t="shared" si="425"/>
        <v>10700</v>
      </c>
      <c r="AN920" s="59">
        <v>6215</v>
      </c>
      <c r="AO920" s="148">
        <f t="shared" si="426"/>
        <v>-6215</v>
      </c>
      <c r="AP920" s="58">
        <v>1768.4703196347036</v>
      </c>
      <c r="AQ920" s="143">
        <f t="shared" si="427"/>
        <v>-1768.47</v>
      </c>
    </row>
    <row r="921" spans="1:43" x14ac:dyDescent="0.35">
      <c r="A921" s="69" t="s">
        <v>43</v>
      </c>
      <c r="B921" s="15" t="s">
        <v>2843</v>
      </c>
      <c r="C921" s="15"/>
      <c r="D921" s="69"/>
      <c r="E921" s="76">
        <v>0</v>
      </c>
      <c r="F921" s="69" t="s">
        <v>2750</v>
      </c>
      <c r="G921" s="138" t="s">
        <v>2751</v>
      </c>
      <c r="H921" s="76">
        <v>9012000032</v>
      </c>
      <c r="I921" s="92" t="s">
        <v>47</v>
      </c>
      <c r="J921" s="92">
        <v>1202010202</v>
      </c>
      <c r="K921" s="15"/>
      <c r="L921" s="95" t="s">
        <v>2844</v>
      </c>
      <c r="M921" s="69" t="s">
        <v>2845</v>
      </c>
      <c r="N921" s="69"/>
      <c r="O921" s="94">
        <v>1</v>
      </c>
      <c r="P921" s="69" t="s">
        <v>50</v>
      </c>
      <c r="Q921" s="69" t="s">
        <v>51</v>
      </c>
      <c r="R921" s="69"/>
      <c r="S921" s="46">
        <v>45022</v>
      </c>
      <c r="T921" s="48">
        <v>45022</v>
      </c>
      <c r="U921" s="69"/>
      <c r="V921" s="69"/>
      <c r="W921" s="69"/>
      <c r="X921" s="69"/>
      <c r="Y921" s="69" t="s">
        <v>4129</v>
      </c>
      <c r="Z921" s="43">
        <v>10700</v>
      </c>
      <c r="AA921" s="43" t="s">
        <v>52</v>
      </c>
      <c r="AB921" s="43" t="s">
        <v>53</v>
      </c>
      <c r="AC921" s="43">
        <v>1095</v>
      </c>
      <c r="AD921" s="141">
        <v>3</v>
      </c>
      <c r="AE921" s="142">
        <v>0</v>
      </c>
      <c r="AF921" s="142"/>
      <c r="AG921" s="69" t="str">
        <f t="shared" si="424"/>
        <v>1 years 271 days</v>
      </c>
      <c r="AH921" s="69">
        <v>1</v>
      </c>
      <c r="AI921" s="69">
        <v>271</v>
      </c>
      <c r="AJ921" s="69">
        <v>0</v>
      </c>
      <c r="AK921" s="69">
        <v>0</v>
      </c>
      <c r="AL921" s="60">
        <v>10700</v>
      </c>
      <c r="AM921" s="60">
        <f t="shared" si="425"/>
        <v>10700</v>
      </c>
      <c r="AN921" s="59">
        <v>6215</v>
      </c>
      <c r="AO921" s="148">
        <f t="shared" si="426"/>
        <v>-6215</v>
      </c>
      <c r="AP921" s="58">
        <v>1768.4703196347036</v>
      </c>
      <c r="AQ921" s="143">
        <f t="shared" si="427"/>
        <v>-1768.47</v>
      </c>
    </row>
    <row r="922" spans="1:43" x14ac:dyDescent="0.35">
      <c r="A922" s="69" t="s">
        <v>43</v>
      </c>
      <c r="B922" s="15" t="s">
        <v>2846</v>
      </c>
      <c r="C922" s="15"/>
      <c r="D922" s="69"/>
      <c r="E922" s="76">
        <v>0</v>
      </c>
      <c r="F922" s="69" t="s">
        <v>2750</v>
      </c>
      <c r="G922" s="138" t="s">
        <v>2751</v>
      </c>
      <c r="H922" s="76">
        <v>9012000033</v>
      </c>
      <c r="I922" s="92" t="s">
        <v>47</v>
      </c>
      <c r="J922" s="92">
        <v>1202010202</v>
      </c>
      <c r="K922" s="15"/>
      <c r="L922" s="95" t="s">
        <v>2847</v>
      </c>
      <c r="M922" s="69" t="s">
        <v>2848</v>
      </c>
      <c r="N922" s="69"/>
      <c r="O922" s="94">
        <v>1</v>
      </c>
      <c r="P922" s="69" t="s">
        <v>50</v>
      </c>
      <c r="Q922" s="69" t="s">
        <v>51</v>
      </c>
      <c r="R922" s="69"/>
      <c r="S922" s="46">
        <v>45023</v>
      </c>
      <c r="T922" s="48">
        <v>45023</v>
      </c>
      <c r="U922" s="69"/>
      <c r="V922" s="69"/>
      <c r="W922" s="69"/>
      <c r="X922" s="69"/>
      <c r="Y922" s="69" t="s">
        <v>4129</v>
      </c>
      <c r="Z922" s="43">
        <v>1900</v>
      </c>
      <c r="AA922" s="43" t="s">
        <v>52</v>
      </c>
      <c r="AB922" s="43" t="s">
        <v>53</v>
      </c>
      <c r="AC922" s="43">
        <v>1095</v>
      </c>
      <c r="AD922" s="141">
        <v>3</v>
      </c>
      <c r="AE922" s="142">
        <v>0</v>
      </c>
      <c r="AF922" s="142"/>
      <c r="AG922" s="69" t="str">
        <f t="shared" si="424"/>
        <v>1 years 270 days</v>
      </c>
      <c r="AH922" s="69">
        <v>1</v>
      </c>
      <c r="AI922" s="69">
        <v>270</v>
      </c>
      <c r="AJ922" s="69">
        <v>0</v>
      </c>
      <c r="AK922" s="69">
        <v>0</v>
      </c>
      <c r="AL922" s="60">
        <v>1900</v>
      </c>
      <c r="AM922" s="60">
        <f t="shared" si="425"/>
        <v>1900</v>
      </c>
      <c r="AN922" s="59">
        <v>1900</v>
      </c>
      <c r="AO922" s="148">
        <f t="shared" si="426"/>
        <v>-1900</v>
      </c>
      <c r="AP922" s="58">
        <v>0</v>
      </c>
      <c r="AQ922" s="143">
        <f t="shared" si="427"/>
        <v>0</v>
      </c>
    </row>
    <row r="923" spans="1:43" x14ac:dyDescent="0.35">
      <c r="A923" s="69" t="s">
        <v>43</v>
      </c>
      <c r="B923" s="15" t="s">
        <v>2849</v>
      </c>
      <c r="C923" s="15"/>
      <c r="D923" s="69"/>
      <c r="E923" s="76">
        <v>0</v>
      </c>
      <c r="F923" s="69" t="s">
        <v>2750</v>
      </c>
      <c r="G923" s="138" t="s">
        <v>2751</v>
      </c>
      <c r="H923" s="76">
        <v>9012000034</v>
      </c>
      <c r="I923" s="92" t="s">
        <v>47</v>
      </c>
      <c r="J923" s="92">
        <v>1202010202</v>
      </c>
      <c r="K923" s="15"/>
      <c r="L923" s="95" t="s">
        <v>2850</v>
      </c>
      <c r="M923" s="69" t="s">
        <v>2851</v>
      </c>
      <c r="N923" s="69"/>
      <c r="O923" s="94">
        <v>1</v>
      </c>
      <c r="P923" s="69" t="s">
        <v>50</v>
      </c>
      <c r="Q923" s="69" t="s">
        <v>51</v>
      </c>
      <c r="R923" s="69"/>
      <c r="S923" s="46">
        <v>45061</v>
      </c>
      <c r="T923" s="48">
        <v>45061</v>
      </c>
      <c r="U923" s="69"/>
      <c r="V923" s="69"/>
      <c r="W923" s="69"/>
      <c r="X923" s="69"/>
      <c r="Y923" s="69" t="s">
        <v>4129</v>
      </c>
      <c r="Z923" s="43">
        <v>26000</v>
      </c>
      <c r="AA923" s="43" t="s">
        <v>52</v>
      </c>
      <c r="AB923" s="43" t="s">
        <v>53</v>
      </c>
      <c r="AC923" s="43">
        <v>1095</v>
      </c>
      <c r="AD923" s="141">
        <v>3</v>
      </c>
      <c r="AE923" s="142">
        <v>0</v>
      </c>
      <c r="AF923" s="142"/>
      <c r="AG923" s="69" t="str">
        <f t="shared" si="424"/>
        <v>1 years 232 days</v>
      </c>
      <c r="AH923" s="69">
        <v>1</v>
      </c>
      <c r="AI923" s="69">
        <v>232</v>
      </c>
      <c r="AJ923" s="69">
        <v>0</v>
      </c>
      <c r="AK923" s="69">
        <v>0</v>
      </c>
      <c r="AL923" s="60">
        <v>26000</v>
      </c>
      <c r="AM923" s="60">
        <f t="shared" si="425"/>
        <v>26000</v>
      </c>
      <c r="AN923" s="59">
        <v>26000</v>
      </c>
      <c r="AO923" s="148">
        <f t="shared" si="426"/>
        <v>-26000</v>
      </c>
      <c r="AP923" s="58">
        <v>0</v>
      </c>
      <c r="AQ923" s="143">
        <f t="shared" si="427"/>
        <v>0</v>
      </c>
    </row>
    <row r="924" spans="1:43" x14ac:dyDescent="0.35">
      <c r="A924" s="69" t="s">
        <v>43</v>
      </c>
      <c r="B924" s="15" t="s">
        <v>2852</v>
      </c>
      <c r="C924" s="15"/>
      <c r="D924" s="69"/>
      <c r="E924" s="76">
        <v>0</v>
      </c>
      <c r="F924" s="69" t="s">
        <v>2750</v>
      </c>
      <c r="G924" s="138" t="s">
        <v>2751</v>
      </c>
      <c r="H924" s="76">
        <v>9012000035</v>
      </c>
      <c r="I924" s="92" t="s">
        <v>47</v>
      </c>
      <c r="J924" s="92">
        <v>1202010202</v>
      </c>
      <c r="K924" s="15"/>
      <c r="L924" s="95" t="s">
        <v>2853</v>
      </c>
      <c r="M924" s="69" t="s">
        <v>2854</v>
      </c>
      <c r="N924" s="69"/>
      <c r="O924" s="94">
        <v>1</v>
      </c>
      <c r="P924" s="69" t="s">
        <v>50</v>
      </c>
      <c r="Q924" s="69" t="s">
        <v>51</v>
      </c>
      <c r="R924" s="69"/>
      <c r="S924" s="46">
        <v>45055</v>
      </c>
      <c r="T924" s="48">
        <v>45055</v>
      </c>
      <c r="U924" s="69"/>
      <c r="V924" s="69"/>
      <c r="W924" s="69"/>
      <c r="X924" s="69"/>
      <c r="Y924" s="69" t="s">
        <v>4129</v>
      </c>
      <c r="Z924" s="43">
        <v>3400</v>
      </c>
      <c r="AA924" s="43" t="s">
        <v>52</v>
      </c>
      <c r="AB924" s="43" t="s">
        <v>53</v>
      </c>
      <c r="AC924" s="43">
        <v>1095</v>
      </c>
      <c r="AD924" s="141">
        <v>3</v>
      </c>
      <c r="AE924" s="142">
        <v>0</v>
      </c>
      <c r="AF924" s="142"/>
      <c r="AG924" s="69" t="str">
        <f t="shared" si="424"/>
        <v>1 years 238 days</v>
      </c>
      <c r="AH924" s="69">
        <v>1</v>
      </c>
      <c r="AI924" s="69">
        <v>238</v>
      </c>
      <c r="AJ924" s="69">
        <v>0</v>
      </c>
      <c r="AK924" s="69">
        <v>0</v>
      </c>
      <c r="AL924" s="60">
        <v>3400</v>
      </c>
      <c r="AM924" s="60">
        <f t="shared" si="425"/>
        <v>3400</v>
      </c>
      <c r="AN924" s="59">
        <v>3400</v>
      </c>
      <c r="AO924" s="148">
        <f t="shared" si="426"/>
        <v>-3400</v>
      </c>
      <c r="AP924" s="58">
        <v>0</v>
      </c>
      <c r="AQ924" s="143">
        <f t="shared" si="427"/>
        <v>0</v>
      </c>
    </row>
    <row r="925" spans="1:43" x14ac:dyDescent="0.35">
      <c r="A925" s="69" t="s">
        <v>43</v>
      </c>
      <c r="B925" s="15" t="s">
        <v>2855</v>
      </c>
      <c r="C925" s="15"/>
      <c r="D925" s="69"/>
      <c r="E925" s="76">
        <v>0</v>
      </c>
      <c r="F925" s="69" t="s">
        <v>2750</v>
      </c>
      <c r="G925" s="138" t="s">
        <v>2751</v>
      </c>
      <c r="H925" s="76">
        <v>9012000036</v>
      </c>
      <c r="I925" s="92" t="s">
        <v>47</v>
      </c>
      <c r="J925" s="92">
        <v>1202010202</v>
      </c>
      <c r="K925" s="15"/>
      <c r="L925" s="95" t="s">
        <v>2856</v>
      </c>
      <c r="M925" s="69" t="s">
        <v>2857</v>
      </c>
      <c r="N925" s="69"/>
      <c r="O925" s="94">
        <v>1</v>
      </c>
      <c r="P925" s="69" t="s">
        <v>50</v>
      </c>
      <c r="Q925" s="69" t="s">
        <v>51</v>
      </c>
      <c r="R925" s="69"/>
      <c r="S925" s="46">
        <v>45077</v>
      </c>
      <c r="T925" s="48">
        <v>45077</v>
      </c>
      <c r="U925" s="69"/>
      <c r="V925" s="69"/>
      <c r="W925" s="69"/>
      <c r="X925" s="69"/>
      <c r="Y925" s="69" t="s">
        <v>4129</v>
      </c>
      <c r="Z925" s="43">
        <v>22500</v>
      </c>
      <c r="AA925" s="43" t="s">
        <v>52</v>
      </c>
      <c r="AB925" s="43" t="s">
        <v>53</v>
      </c>
      <c r="AC925" s="43">
        <v>1095</v>
      </c>
      <c r="AD925" s="141">
        <v>3</v>
      </c>
      <c r="AE925" s="142">
        <v>0</v>
      </c>
      <c r="AF925" s="142"/>
      <c r="AG925" s="69" t="str">
        <f t="shared" si="424"/>
        <v>1 years 216 days</v>
      </c>
      <c r="AH925" s="69">
        <v>1</v>
      </c>
      <c r="AI925" s="69">
        <v>216</v>
      </c>
      <c r="AJ925" s="69">
        <v>0</v>
      </c>
      <c r="AK925" s="69">
        <v>0</v>
      </c>
      <c r="AL925" s="60">
        <v>22500</v>
      </c>
      <c r="AM925" s="60">
        <f t="shared" si="425"/>
        <v>22500</v>
      </c>
      <c r="AN925" s="59">
        <v>11938</v>
      </c>
      <c r="AO925" s="148">
        <f t="shared" si="426"/>
        <v>-11938</v>
      </c>
      <c r="AP925" s="58">
        <v>3719.5342465753438</v>
      </c>
      <c r="AQ925" s="143">
        <f t="shared" si="427"/>
        <v>-3719.53</v>
      </c>
    </row>
    <row r="926" spans="1:43" x14ac:dyDescent="0.35">
      <c r="A926" s="69" t="s">
        <v>43</v>
      </c>
      <c r="B926" s="15" t="s">
        <v>2858</v>
      </c>
      <c r="C926" s="15"/>
      <c r="D926" s="69"/>
      <c r="E926" s="76">
        <v>0</v>
      </c>
      <c r="F926" s="69" t="s">
        <v>2750</v>
      </c>
      <c r="G926" s="138" t="s">
        <v>2751</v>
      </c>
      <c r="H926" s="76">
        <v>9012000037</v>
      </c>
      <c r="I926" s="92" t="s">
        <v>47</v>
      </c>
      <c r="J926" s="92">
        <v>1202010202</v>
      </c>
      <c r="K926" s="15"/>
      <c r="L926" s="95" t="s">
        <v>2859</v>
      </c>
      <c r="M926" s="69" t="s">
        <v>2860</v>
      </c>
      <c r="N926" s="69"/>
      <c r="O926" s="94">
        <v>1</v>
      </c>
      <c r="P926" s="69" t="s">
        <v>50</v>
      </c>
      <c r="Q926" s="69" t="s">
        <v>51</v>
      </c>
      <c r="R926" s="69"/>
      <c r="S926" s="46">
        <v>45231</v>
      </c>
      <c r="T926" s="48">
        <v>45231</v>
      </c>
      <c r="U926" s="69"/>
      <c r="V926" s="69"/>
      <c r="W926" s="69"/>
      <c r="X926" s="69"/>
      <c r="Y926" s="69" t="s">
        <v>4129</v>
      </c>
      <c r="Z926" s="43">
        <v>32000</v>
      </c>
      <c r="AA926" s="43" t="s">
        <v>52</v>
      </c>
      <c r="AB926" s="43" t="s">
        <v>53</v>
      </c>
      <c r="AC926" s="43">
        <v>1095</v>
      </c>
      <c r="AD926" s="141">
        <v>3</v>
      </c>
      <c r="AE926" s="142">
        <v>0</v>
      </c>
      <c r="AF926" s="142"/>
      <c r="AG926" s="69" t="str">
        <f t="shared" si="424"/>
        <v>1 years 62 days</v>
      </c>
      <c r="AH926" s="69">
        <v>1</v>
      </c>
      <c r="AI926" s="69">
        <v>62</v>
      </c>
      <c r="AJ926" s="69">
        <v>0</v>
      </c>
      <c r="AK926" s="69">
        <v>0</v>
      </c>
      <c r="AL926" s="60">
        <v>32000</v>
      </c>
      <c r="AM926" s="60">
        <f t="shared" si="425"/>
        <v>32000</v>
      </c>
      <c r="AN926" s="59">
        <v>12479</v>
      </c>
      <c r="AO926" s="148">
        <f t="shared" si="426"/>
        <v>-12479</v>
      </c>
      <c r="AP926" s="58">
        <v>5289.0365296803648</v>
      </c>
      <c r="AQ926" s="143">
        <f t="shared" si="427"/>
        <v>-5289.04</v>
      </c>
    </row>
    <row r="927" spans="1:43" x14ac:dyDescent="0.35">
      <c r="A927" s="69" t="s">
        <v>43</v>
      </c>
      <c r="B927" s="15" t="s">
        <v>2861</v>
      </c>
      <c r="C927" s="15"/>
      <c r="D927" s="69"/>
      <c r="E927" s="76">
        <v>0</v>
      </c>
      <c r="F927" s="69" t="s">
        <v>2750</v>
      </c>
      <c r="G927" s="138" t="s">
        <v>2751</v>
      </c>
      <c r="H927" s="76">
        <v>9012000038</v>
      </c>
      <c r="I927" s="92" t="s">
        <v>47</v>
      </c>
      <c r="J927" s="92">
        <v>1202010202</v>
      </c>
      <c r="K927" s="15"/>
      <c r="L927" s="95" t="s">
        <v>2862</v>
      </c>
      <c r="M927" s="69" t="s">
        <v>2863</v>
      </c>
      <c r="N927" s="69"/>
      <c r="O927" s="94">
        <v>1</v>
      </c>
      <c r="P927" s="69" t="s">
        <v>50</v>
      </c>
      <c r="Q927" s="69" t="s">
        <v>51</v>
      </c>
      <c r="R927" s="69"/>
      <c r="S927" s="46">
        <v>45291</v>
      </c>
      <c r="T927" s="48">
        <v>45291</v>
      </c>
      <c r="U927" s="69"/>
      <c r="V927" s="69"/>
      <c r="W927" s="69"/>
      <c r="X927" s="69"/>
      <c r="Y927" s="69" t="s">
        <v>4129</v>
      </c>
      <c r="Z927" s="43">
        <v>21500</v>
      </c>
      <c r="AA927" s="43" t="s">
        <v>52</v>
      </c>
      <c r="AB927" s="43" t="s">
        <v>53</v>
      </c>
      <c r="AC927" s="43">
        <v>1095</v>
      </c>
      <c r="AD927" s="141">
        <v>3</v>
      </c>
      <c r="AE927" s="142">
        <v>0</v>
      </c>
      <c r="AF927" s="142"/>
      <c r="AG927" s="69" t="str">
        <f t="shared" si="424"/>
        <v>1 years 2 days</v>
      </c>
      <c r="AH927" s="69">
        <v>1</v>
      </c>
      <c r="AI927" s="69">
        <v>2</v>
      </c>
      <c r="AJ927" s="69">
        <v>0</v>
      </c>
      <c r="AK927" s="69">
        <v>0</v>
      </c>
      <c r="AL927" s="60">
        <v>21500</v>
      </c>
      <c r="AM927" s="60">
        <f t="shared" si="425"/>
        <v>21500</v>
      </c>
      <c r="AN927" s="59">
        <v>21500</v>
      </c>
      <c r="AO927" s="148">
        <f t="shared" si="426"/>
        <v>-21500</v>
      </c>
      <c r="AP927" s="58">
        <v>0</v>
      </c>
      <c r="AQ927" s="143">
        <f t="shared" si="427"/>
        <v>0</v>
      </c>
    </row>
    <row r="928" spans="1:43" x14ac:dyDescent="0.35">
      <c r="A928" s="69" t="s">
        <v>43</v>
      </c>
      <c r="B928" s="15" t="s">
        <v>2864</v>
      </c>
      <c r="C928" s="15"/>
      <c r="D928" s="69"/>
      <c r="E928" s="76">
        <v>0</v>
      </c>
      <c r="F928" s="69" t="s">
        <v>2750</v>
      </c>
      <c r="G928" s="138" t="s">
        <v>2751</v>
      </c>
      <c r="H928" s="76">
        <v>9012000039</v>
      </c>
      <c r="I928" s="92" t="s">
        <v>47</v>
      </c>
      <c r="J928" s="92">
        <v>1202010202</v>
      </c>
      <c r="K928" s="15"/>
      <c r="L928" s="95" t="s">
        <v>2865</v>
      </c>
      <c r="M928" s="69" t="s">
        <v>2866</v>
      </c>
      <c r="N928" s="69"/>
      <c r="O928" s="94">
        <v>1</v>
      </c>
      <c r="P928" s="69" t="s">
        <v>50</v>
      </c>
      <c r="Q928" s="69" t="s">
        <v>51</v>
      </c>
      <c r="R928" s="69"/>
      <c r="S928" s="46">
        <v>45303</v>
      </c>
      <c r="T928" s="48">
        <v>45303</v>
      </c>
      <c r="U928" s="69"/>
      <c r="V928" s="69"/>
      <c r="W928" s="69"/>
      <c r="X928" s="69"/>
      <c r="Y928" s="69" t="s">
        <v>4130</v>
      </c>
      <c r="Z928" s="43">
        <v>67990</v>
      </c>
      <c r="AA928" s="43" t="s">
        <v>52</v>
      </c>
      <c r="AB928" s="43" t="s">
        <v>53</v>
      </c>
      <c r="AC928" s="43">
        <v>1095</v>
      </c>
      <c r="AD928" s="141">
        <v>3</v>
      </c>
      <c r="AE928" s="142">
        <v>0</v>
      </c>
      <c r="AF928" s="142"/>
      <c r="AG928" s="69" t="str">
        <f t="shared" si="424"/>
        <v>0 years 355 days</v>
      </c>
      <c r="AH928" s="69">
        <v>0</v>
      </c>
      <c r="AI928" s="69">
        <v>355</v>
      </c>
      <c r="AJ928" s="69">
        <v>0</v>
      </c>
      <c r="AK928" s="69">
        <v>0</v>
      </c>
      <c r="AL928" s="60">
        <v>67990</v>
      </c>
      <c r="AM928" s="60">
        <f t="shared" si="425"/>
        <v>67990</v>
      </c>
      <c r="AN928" s="59">
        <v>22042</v>
      </c>
      <c r="AO928" s="148">
        <f t="shared" si="426"/>
        <v>-22042</v>
      </c>
      <c r="AP928" s="58">
        <v>11238.949771689498</v>
      </c>
      <c r="AQ928" s="143">
        <f t="shared" si="427"/>
        <v>-11238.95</v>
      </c>
    </row>
    <row r="929" spans="1:43" x14ac:dyDescent="0.35">
      <c r="A929" s="69" t="s">
        <v>43</v>
      </c>
      <c r="B929" s="15" t="s">
        <v>2867</v>
      </c>
      <c r="C929" s="15"/>
      <c r="D929" s="69"/>
      <c r="E929" s="76">
        <v>0</v>
      </c>
      <c r="F929" s="69" t="s">
        <v>2750</v>
      </c>
      <c r="G929" s="138" t="s">
        <v>2751</v>
      </c>
      <c r="H929" s="76">
        <v>9012000040</v>
      </c>
      <c r="I929" s="92" t="s">
        <v>47</v>
      </c>
      <c r="J929" s="92">
        <v>1202010202</v>
      </c>
      <c r="K929" s="15"/>
      <c r="L929" s="95" t="s">
        <v>2868</v>
      </c>
      <c r="M929" s="69" t="s">
        <v>2869</v>
      </c>
      <c r="N929" s="69"/>
      <c r="O929" s="94">
        <v>1</v>
      </c>
      <c r="P929" s="69" t="s">
        <v>50</v>
      </c>
      <c r="Q929" s="69" t="s">
        <v>51</v>
      </c>
      <c r="R929" s="69"/>
      <c r="S929" s="46">
        <v>45351</v>
      </c>
      <c r="T929" s="48">
        <v>45351</v>
      </c>
      <c r="U929" s="69"/>
      <c r="V929" s="69"/>
      <c r="W929" s="69"/>
      <c r="X929" s="69"/>
      <c r="Y929" s="69" t="s">
        <v>4130</v>
      </c>
      <c r="Z929" s="43">
        <v>21146</v>
      </c>
      <c r="AA929" s="43" t="s">
        <v>52</v>
      </c>
      <c r="AB929" s="43" t="s">
        <v>53</v>
      </c>
      <c r="AC929" s="43">
        <v>1095</v>
      </c>
      <c r="AD929" s="141">
        <v>3</v>
      </c>
      <c r="AE929" s="142">
        <v>0</v>
      </c>
      <c r="AF929" s="142"/>
      <c r="AG929" s="69" t="str">
        <f t="shared" si="424"/>
        <v>0 years 307 days</v>
      </c>
      <c r="AH929" s="69">
        <v>0</v>
      </c>
      <c r="AI929" s="69">
        <v>307</v>
      </c>
      <c r="AJ929" s="69">
        <v>0</v>
      </c>
      <c r="AK929" s="69">
        <v>0</v>
      </c>
      <c r="AL929" s="60">
        <v>21146</v>
      </c>
      <c r="AM929" s="60">
        <f t="shared" si="425"/>
        <v>21146</v>
      </c>
      <c r="AN929" s="59">
        <v>5929</v>
      </c>
      <c r="AO929" s="148">
        <f t="shared" si="426"/>
        <v>-5929</v>
      </c>
      <c r="AP929" s="58">
        <v>3494.9707762557082</v>
      </c>
      <c r="AQ929" s="143">
        <f t="shared" si="427"/>
        <v>-3494.97</v>
      </c>
    </row>
    <row r="930" spans="1:43" x14ac:dyDescent="0.35">
      <c r="A930" s="69" t="s">
        <v>43</v>
      </c>
      <c r="B930" s="15" t="s">
        <v>2870</v>
      </c>
      <c r="C930" s="15"/>
      <c r="D930" s="69"/>
      <c r="E930" s="76">
        <v>0</v>
      </c>
      <c r="F930" s="69" t="s">
        <v>2750</v>
      </c>
      <c r="G930" s="138" t="s">
        <v>2751</v>
      </c>
      <c r="H930" s="76">
        <v>9012000041</v>
      </c>
      <c r="I930" s="92" t="s">
        <v>47</v>
      </c>
      <c r="J930" s="92">
        <v>1202010202</v>
      </c>
      <c r="K930" s="15"/>
      <c r="L930" s="95" t="s">
        <v>2871</v>
      </c>
      <c r="M930" s="69" t="s">
        <v>2872</v>
      </c>
      <c r="N930" s="69"/>
      <c r="O930" s="94">
        <v>1</v>
      </c>
      <c r="P930" s="69" t="s">
        <v>50</v>
      </c>
      <c r="Q930" s="69" t="s">
        <v>51</v>
      </c>
      <c r="R930" s="69"/>
      <c r="S930" s="46">
        <v>45463</v>
      </c>
      <c r="T930" s="48">
        <v>45463</v>
      </c>
      <c r="U930" s="69"/>
      <c r="V930" s="69"/>
      <c r="W930" s="69"/>
      <c r="X930" s="69"/>
      <c r="Y930" s="69" t="s">
        <v>4130</v>
      </c>
      <c r="Z930" s="43">
        <v>68500</v>
      </c>
      <c r="AA930" s="43" t="s">
        <v>52</v>
      </c>
      <c r="AB930" s="43" t="s">
        <v>53</v>
      </c>
      <c r="AC930" s="43">
        <v>1095</v>
      </c>
      <c r="AD930" s="141">
        <v>3</v>
      </c>
      <c r="AE930" s="142">
        <v>0</v>
      </c>
      <c r="AF930" s="142"/>
      <c r="AG930" s="69" t="str">
        <f t="shared" si="424"/>
        <v>0 years 195 days</v>
      </c>
      <c r="AH930" s="69">
        <v>0</v>
      </c>
      <c r="AI930" s="69">
        <v>195</v>
      </c>
      <c r="AJ930" s="69">
        <v>0</v>
      </c>
      <c r="AK930" s="69">
        <v>0</v>
      </c>
      <c r="AL930" s="60">
        <v>68500</v>
      </c>
      <c r="AM930" s="60">
        <f t="shared" si="425"/>
        <v>68500</v>
      </c>
      <c r="AN930" s="59">
        <v>12199</v>
      </c>
      <c r="AO930" s="148">
        <f t="shared" si="426"/>
        <v>-12199</v>
      </c>
      <c r="AP930" s="58">
        <v>11322.461187214612</v>
      </c>
      <c r="AQ930" s="143">
        <f t="shared" si="427"/>
        <v>-11322.46</v>
      </c>
    </row>
    <row r="931" spans="1:43" x14ac:dyDescent="0.35">
      <c r="A931" s="69" t="s">
        <v>43</v>
      </c>
      <c r="B931" s="15" t="s">
        <v>2873</v>
      </c>
      <c r="C931" s="15"/>
      <c r="D931" s="69"/>
      <c r="E931" s="76">
        <v>0</v>
      </c>
      <c r="F931" s="69" t="s">
        <v>2750</v>
      </c>
      <c r="G931" s="138" t="s">
        <v>2751</v>
      </c>
      <c r="H931" s="76">
        <v>9012000042</v>
      </c>
      <c r="I931" s="92" t="s">
        <v>47</v>
      </c>
      <c r="J931" s="92">
        <v>1202010202</v>
      </c>
      <c r="K931" s="15"/>
      <c r="L931" s="95" t="s">
        <v>2874</v>
      </c>
      <c r="M931" s="69" t="s">
        <v>2875</v>
      </c>
      <c r="N931" s="69"/>
      <c r="O931" s="94">
        <v>2</v>
      </c>
      <c r="P931" s="69" t="s">
        <v>50</v>
      </c>
      <c r="Q931" s="69" t="s">
        <v>51</v>
      </c>
      <c r="R931" s="69"/>
      <c r="S931" s="46">
        <v>45467</v>
      </c>
      <c r="T931" s="48">
        <v>45467</v>
      </c>
      <c r="U931" s="69"/>
      <c r="V931" s="69"/>
      <c r="W931" s="69"/>
      <c r="X931" s="69"/>
      <c r="Y931" s="69" t="s">
        <v>4130</v>
      </c>
      <c r="Z931" s="43">
        <v>202827</v>
      </c>
      <c r="AA931" s="43" t="s">
        <v>52</v>
      </c>
      <c r="AB931" s="43" t="s">
        <v>53</v>
      </c>
      <c r="AC931" s="43">
        <v>1095</v>
      </c>
      <c r="AD931" s="141">
        <v>3</v>
      </c>
      <c r="AE931" s="142">
        <v>0</v>
      </c>
      <c r="AF931" s="142"/>
      <c r="AG931" s="69" t="str">
        <f t="shared" si="424"/>
        <v>0 years 191 days</v>
      </c>
      <c r="AH931" s="69">
        <v>0</v>
      </c>
      <c r="AI931" s="69">
        <v>191</v>
      </c>
      <c r="AJ931" s="69">
        <v>0</v>
      </c>
      <c r="AK931" s="69">
        <v>0</v>
      </c>
      <c r="AL931" s="60">
        <v>202827</v>
      </c>
      <c r="AM931" s="60">
        <f t="shared" si="425"/>
        <v>202827</v>
      </c>
      <c r="AN931" s="59">
        <v>35379</v>
      </c>
      <c r="AO931" s="148">
        <f t="shared" si="426"/>
        <v>-35379</v>
      </c>
      <c r="AP931" s="58">
        <v>33526.610958904115</v>
      </c>
      <c r="AQ931" s="143">
        <f t="shared" si="427"/>
        <v>-33526.61</v>
      </c>
    </row>
    <row r="932" spans="1:43" x14ac:dyDescent="0.35">
      <c r="A932" s="69" t="s">
        <v>43</v>
      </c>
      <c r="B932" s="15" t="s">
        <v>2876</v>
      </c>
      <c r="C932" s="15"/>
      <c r="D932" s="69"/>
      <c r="E932" s="76">
        <v>0</v>
      </c>
      <c r="F932" s="69" t="s">
        <v>2750</v>
      </c>
      <c r="G932" s="138" t="s">
        <v>2751</v>
      </c>
      <c r="H932" s="76">
        <v>9012000043</v>
      </c>
      <c r="I932" s="92" t="s">
        <v>47</v>
      </c>
      <c r="J932" s="92">
        <v>1202010202</v>
      </c>
      <c r="K932" s="15"/>
      <c r="L932" s="95" t="s">
        <v>2877</v>
      </c>
      <c r="M932" s="69" t="s">
        <v>2878</v>
      </c>
      <c r="N932" s="69"/>
      <c r="O932" s="94">
        <v>1</v>
      </c>
      <c r="P932" s="69" t="s">
        <v>50</v>
      </c>
      <c r="Q932" s="69" t="s">
        <v>51</v>
      </c>
      <c r="R932" s="69"/>
      <c r="S932" s="46">
        <v>45473</v>
      </c>
      <c r="T932" s="48">
        <v>45473</v>
      </c>
      <c r="U932" s="69"/>
      <c r="V932" s="69"/>
      <c r="W932" s="69"/>
      <c r="X932" s="69"/>
      <c r="Y932" s="69" t="s">
        <v>4130</v>
      </c>
      <c r="Z932" s="43">
        <v>21800</v>
      </c>
      <c r="AA932" s="43" t="s">
        <v>52</v>
      </c>
      <c r="AB932" s="43" t="s">
        <v>53</v>
      </c>
      <c r="AC932" s="43">
        <v>1095</v>
      </c>
      <c r="AD932" s="141">
        <v>3</v>
      </c>
      <c r="AE932" s="142">
        <v>0</v>
      </c>
      <c r="AF932" s="142"/>
      <c r="AG932" s="69" t="str">
        <f t="shared" ref="AG932:AG959" si="428">_xlfn.CONCAT(AH932," years ",AI932," days")</f>
        <v>0 years 185 days</v>
      </c>
      <c r="AH932" s="69">
        <v>0</v>
      </c>
      <c r="AI932" s="69">
        <v>185</v>
      </c>
      <c r="AJ932" s="69">
        <v>0</v>
      </c>
      <c r="AK932" s="69">
        <v>0</v>
      </c>
      <c r="AL932" s="60">
        <v>21800</v>
      </c>
      <c r="AM932" s="60">
        <f t="shared" ref="AM932:AM959" si="429">ROUND(AL932,2)</f>
        <v>21800</v>
      </c>
      <c r="AN932" s="59">
        <v>3683</v>
      </c>
      <c r="AO932" s="148">
        <f t="shared" ref="AO932:AO959" si="430">ROUND(AN932,2)*-1</f>
        <v>-3683</v>
      </c>
      <c r="AP932" s="58">
        <v>3603.5753424657532</v>
      </c>
      <c r="AQ932" s="143">
        <f t="shared" ref="AQ932:AQ959" si="431">ROUND(AP932,2)*-1</f>
        <v>-3603.58</v>
      </c>
    </row>
    <row r="933" spans="1:43" x14ac:dyDescent="0.35">
      <c r="A933" s="69" t="s">
        <v>43</v>
      </c>
      <c r="B933" s="15" t="s">
        <v>2879</v>
      </c>
      <c r="C933" s="15"/>
      <c r="D933" s="69"/>
      <c r="E933" s="76">
        <v>0</v>
      </c>
      <c r="F933" s="69" t="s">
        <v>2750</v>
      </c>
      <c r="G933" s="138" t="s">
        <v>2751</v>
      </c>
      <c r="H933" s="76">
        <v>9012000044</v>
      </c>
      <c r="I933" s="92" t="s">
        <v>47</v>
      </c>
      <c r="J933" s="92">
        <v>1202010202</v>
      </c>
      <c r="K933" s="15"/>
      <c r="L933" s="95" t="s">
        <v>2880</v>
      </c>
      <c r="M933" s="69" t="s">
        <v>2881</v>
      </c>
      <c r="N933" s="69"/>
      <c r="O933" s="94">
        <v>1</v>
      </c>
      <c r="P933" s="69" t="s">
        <v>50</v>
      </c>
      <c r="Q933" s="69" t="s">
        <v>51</v>
      </c>
      <c r="R933" s="69"/>
      <c r="S933" s="46">
        <v>45531</v>
      </c>
      <c r="T933" s="48">
        <v>45531</v>
      </c>
      <c r="U933" s="69"/>
      <c r="V933" s="69"/>
      <c r="W933" s="69"/>
      <c r="X933" s="69"/>
      <c r="Y933" s="69" t="s">
        <v>4130</v>
      </c>
      <c r="Z933" s="43">
        <v>50000</v>
      </c>
      <c r="AA933" s="43" t="s">
        <v>52</v>
      </c>
      <c r="AB933" s="43" t="s">
        <v>53</v>
      </c>
      <c r="AC933" s="43">
        <v>1095</v>
      </c>
      <c r="AD933" s="141">
        <v>3</v>
      </c>
      <c r="AE933" s="142">
        <v>0</v>
      </c>
      <c r="AF933" s="142"/>
      <c r="AG933" s="69" t="str">
        <f t="shared" si="428"/>
        <v>0 years 127 days</v>
      </c>
      <c r="AH933" s="69">
        <v>0</v>
      </c>
      <c r="AI933" s="69">
        <v>127</v>
      </c>
      <c r="AJ933" s="69">
        <v>0</v>
      </c>
      <c r="AK933" s="69">
        <v>0</v>
      </c>
      <c r="AL933" s="60">
        <v>50000</v>
      </c>
      <c r="AM933" s="60">
        <f t="shared" si="429"/>
        <v>50000</v>
      </c>
      <c r="AN933" s="59">
        <v>5799</v>
      </c>
      <c r="AO933" s="148">
        <f t="shared" si="430"/>
        <v>-5799</v>
      </c>
      <c r="AP933" s="58">
        <v>8264.9269406392687</v>
      </c>
      <c r="AQ933" s="143">
        <f t="shared" si="431"/>
        <v>-8264.93</v>
      </c>
    </row>
    <row r="934" spans="1:43" x14ac:dyDescent="0.35">
      <c r="A934" s="69" t="s">
        <v>43</v>
      </c>
      <c r="B934" s="15" t="s">
        <v>2882</v>
      </c>
      <c r="C934" s="15"/>
      <c r="D934" s="69"/>
      <c r="E934" s="76">
        <v>0</v>
      </c>
      <c r="F934" s="69" t="s">
        <v>2750</v>
      </c>
      <c r="G934" s="138" t="s">
        <v>2751</v>
      </c>
      <c r="H934" s="76">
        <v>9012000045</v>
      </c>
      <c r="I934" s="92" t="s">
        <v>47</v>
      </c>
      <c r="J934" s="92">
        <v>1202010202</v>
      </c>
      <c r="K934" s="15"/>
      <c r="L934" s="95" t="s">
        <v>2883</v>
      </c>
      <c r="M934" s="69" t="s">
        <v>2884</v>
      </c>
      <c r="N934" s="69"/>
      <c r="O934" s="94">
        <v>1</v>
      </c>
      <c r="P934" s="69" t="s">
        <v>50</v>
      </c>
      <c r="Q934" s="69" t="s">
        <v>51</v>
      </c>
      <c r="R934" s="69"/>
      <c r="S934" s="46">
        <v>45589</v>
      </c>
      <c r="T934" s="48">
        <v>45589</v>
      </c>
      <c r="U934" s="69"/>
      <c r="V934" s="69"/>
      <c r="W934" s="69"/>
      <c r="X934" s="69"/>
      <c r="Y934" s="69" t="s">
        <v>4130</v>
      </c>
      <c r="Z934" s="43">
        <v>71200</v>
      </c>
      <c r="AA934" s="43" t="s">
        <v>52</v>
      </c>
      <c r="AB934" s="43" t="s">
        <v>53</v>
      </c>
      <c r="AC934" s="43">
        <v>1095</v>
      </c>
      <c r="AD934" s="141">
        <v>3</v>
      </c>
      <c r="AE934" s="142">
        <v>0</v>
      </c>
      <c r="AF934" s="142"/>
      <c r="AG934" s="69" t="str">
        <f t="shared" si="428"/>
        <v>0 years 69 days</v>
      </c>
      <c r="AH934" s="69">
        <v>0</v>
      </c>
      <c r="AI934" s="69">
        <v>69</v>
      </c>
      <c r="AJ934" s="69">
        <v>0</v>
      </c>
      <c r="AK934" s="69">
        <v>0</v>
      </c>
      <c r="AL934" s="60">
        <v>71200</v>
      </c>
      <c r="AM934" s="60">
        <f t="shared" si="429"/>
        <v>71200</v>
      </c>
      <c r="AN934" s="59">
        <v>4487</v>
      </c>
      <c r="AO934" s="148">
        <f t="shared" si="430"/>
        <v>-4487</v>
      </c>
      <c r="AP934" s="58">
        <v>11768.707762557078</v>
      </c>
      <c r="AQ934" s="143">
        <f t="shared" si="431"/>
        <v>-11768.71</v>
      </c>
    </row>
    <row r="935" spans="1:43" x14ac:dyDescent="0.35">
      <c r="A935" s="69" t="s">
        <v>43</v>
      </c>
      <c r="B935" s="15" t="s">
        <v>2885</v>
      </c>
      <c r="C935" s="15"/>
      <c r="D935" s="69"/>
      <c r="E935" s="76">
        <v>0</v>
      </c>
      <c r="F935" s="69" t="s">
        <v>2750</v>
      </c>
      <c r="G935" s="138" t="s">
        <v>2751</v>
      </c>
      <c r="H935" s="76">
        <v>9012000046</v>
      </c>
      <c r="I935" s="92" t="s">
        <v>47</v>
      </c>
      <c r="J935" s="92">
        <v>1202010202</v>
      </c>
      <c r="K935" s="15"/>
      <c r="L935" s="95" t="s">
        <v>2886</v>
      </c>
      <c r="M935" s="69" t="s">
        <v>2887</v>
      </c>
      <c r="N935" s="69"/>
      <c r="O935" s="94">
        <v>1</v>
      </c>
      <c r="P935" s="69" t="s">
        <v>50</v>
      </c>
      <c r="Q935" s="69" t="s">
        <v>51</v>
      </c>
      <c r="R935" s="69"/>
      <c r="S935" s="46">
        <v>45621</v>
      </c>
      <c r="T935" s="48">
        <v>45621</v>
      </c>
      <c r="U935" s="69"/>
      <c r="V935" s="69"/>
      <c r="W935" s="69"/>
      <c r="X935" s="69"/>
      <c r="Y935" s="69" t="s">
        <v>4130</v>
      </c>
      <c r="Z935" s="43">
        <v>102910</v>
      </c>
      <c r="AA935" s="43" t="s">
        <v>52</v>
      </c>
      <c r="AB935" s="43" t="s">
        <v>53</v>
      </c>
      <c r="AC935" s="43">
        <v>1095</v>
      </c>
      <c r="AD935" s="141">
        <v>3</v>
      </c>
      <c r="AE935" s="142">
        <v>0</v>
      </c>
      <c r="AF935" s="142"/>
      <c r="AG935" s="69" t="str">
        <f t="shared" si="428"/>
        <v>0 years 37 days</v>
      </c>
      <c r="AH935" s="69">
        <v>0</v>
      </c>
      <c r="AI935" s="69">
        <v>37</v>
      </c>
      <c r="AJ935" s="69">
        <v>0</v>
      </c>
      <c r="AK935" s="69">
        <v>0</v>
      </c>
      <c r="AL935" s="60">
        <v>102910</v>
      </c>
      <c r="AM935" s="60">
        <f t="shared" si="429"/>
        <v>102910</v>
      </c>
      <c r="AN935" s="59">
        <v>3477</v>
      </c>
      <c r="AO935" s="148">
        <f t="shared" si="430"/>
        <v>-3477</v>
      </c>
      <c r="AP935" s="58">
        <v>17011.018264840182</v>
      </c>
      <c r="AQ935" s="143">
        <f t="shared" si="431"/>
        <v>-17011.02</v>
      </c>
    </row>
    <row r="936" spans="1:43" x14ac:dyDescent="0.35">
      <c r="A936" s="69" t="s">
        <v>43</v>
      </c>
      <c r="B936" s="15" t="s">
        <v>2888</v>
      </c>
      <c r="C936" s="15"/>
      <c r="D936" s="69"/>
      <c r="E936" s="76">
        <v>0</v>
      </c>
      <c r="F936" s="69" t="s">
        <v>2750</v>
      </c>
      <c r="G936" s="138" t="s">
        <v>2751</v>
      </c>
      <c r="H936" s="76">
        <v>9012000047</v>
      </c>
      <c r="I936" s="92" t="s">
        <v>47</v>
      </c>
      <c r="J936" s="92">
        <v>1202010202</v>
      </c>
      <c r="K936" s="15"/>
      <c r="L936" s="95" t="s">
        <v>2889</v>
      </c>
      <c r="M936" s="69" t="s">
        <v>2890</v>
      </c>
      <c r="N936" s="69"/>
      <c r="O936" s="94">
        <v>2</v>
      </c>
      <c r="P936" s="69" t="s">
        <v>50</v>
      </c>
      <c r="Q936" s="69" t="s">
        <v>51</v>
      </c>
      <c r="R936" s="69"/>
      <c r="S936" s="46">
        <v>45651</v>
      </c>
      <c r="T936" s="48">
        <v>45651</v>
      </c>
      <c r="U936" s="69"/>
      <c r="V936" s="69"/>
      <c r="W936" s="69"/>
      <c r="X936" s="69"/>
      <c r="Y936" s="69" t="s">
        <v>4130</v>
      </c>
      <c r="Z936" s="43">
        <v>142400</v>
      </c>
      <c r="AA936" s="43" t="s">
        <v>52</v>
      </c>
      <c r="AB936" s="43" t="s">
        <v>53</v>
      </c>
      <c r="AC936" s="43">
        <v>1095</v>
      </c>
      <c r="AD936" s="141">
        <v>3</v>
      </c>
      <c r="AE936" s="142">
        <v>0</v>
      </c>
      <c r="AF936" s="142"/>
      <c r="AG936" s="69" t="str">
        <f t="shared" si="428"/>
        <v>0 years 7 days</v>
      </c>
      <c r="AH936" s="69">
        <v>0</v>
      </c>
      <c r="AI936" s="69">
        <v>7</v>
      </c>
      <c r="AJ936" s="69">
        <v>0</v>
      </c>
      <c r="AK936" s="69">
        <v>0</v>
      </c>
      <c r="AL936" s="60">
        <v>142400</v>
      </c>
      <c r="AM936" s="60">
        <f t="shared" si="429"/>
        <v>142400</v>
      </c>
      <c r="AN936" s="59">
        <v>910</v>
      </c>
      <c r="AO936" s="148">
        <f t="shared" si="430"/>
        <v>-910</v>
      </c>
      <c r="AP936" s="58">
        <v>23538.584474885844</v>
      </c>
      <c r="AQ936" s="143">
        <f t="shared" si="431"/>
        <v>-23538.58</v>
      </c>
    </row>
    <row r="937" spans="1:43" x14ac:dyDescent="0.35">
      <c r="A937" s="69" t="s">
        <v>43</v>
      </c>
      <c r="B937" s="15" t="s">
        <v>2891</v>
      </c>
      <c r="C937" s="15"/>
      <c r="D937" s="69"/>
      <c r="E937" s="76">
        <v>0</v>
      </c>
      <c r="F937" s="69" t="s">
        <v>2750</v>
      </c>
      <c r="G937" s="138" t="s">
        <v>2751</v>
      </c>
      <c r="H937" s="76">
        <v>9012000048</v>
      </c>
      <c r="I937" s="92" t="s">
        <v>47</v>
      </c>
      <c r="J937" s="92">
        <v>1202010202</v>
      </c>
      <c r="K937" s="15"/>
      <c r="L937" s="95" t="s">
        <v>2892</v>
      </c>
      <c r="M937" s="69" t="s">
        <v>2893</v>
      </c>
      <c r="N937" s="69"/>
      <c r="O937" s="94">
        <v>2</v>
      </c>
      <c r="P937" s="69" t="s">
        <v>50</v>
      </c>
      <c r="Q937" s="69" t="s">
        <v>51</v>
      </c>
      <c r="R937" s="69"/>
      <c r="S937" s="46">
        <v>45659</v>
      </c>
      <c r="T937" s="48">
        <v>45659</v>
      </c>
      <c r="U937" s="69"/>
      <c r="V937" s="69"/>
      <c r="W937" s="69"/>
      <c r="X937" s="69"/>
      <c r="Y937" s="69" t="s">
        <v>4132</v>
      </c>
      <c r="Z937" s="43">
        <v>142400</v>
      </c>
      <c r="AA937" s="43" t="s">
        <v>52</v>
      </c>
      <c r="AB937" s="43" t="s">
        <v>53</v>
      </c>
      <c r="AC937" s="43">
        <v>1095</v>
      </c>
      <c r="AD937" s="141">
        <v>3</v>
      </c>
      <c r="AE937" s="142">
        <v>0</v>
      </c>
      <c r="AF937" s="142"/>
      <c r="AG937" s="69" t="str">
        <f t="shared" si="428"/>
        <v>0 years 0 days</v>
      </c>
      <c r="AH937" s="69">
        <v>0</v>
      </c>
      <c r="AI937" s="69">
        <v>0</v>
      </c>
      <c r="AJ937" s="69">
        <v>0</v>
      </c>
      <c r="AK937" s="69">
        <v>0</v>
      </c>
      <c r="AL937" s="60">
        <v>142400</v>
      </c>
      <c r="AM937" s="60">
        <f t="shared" si="429"/>
        <v>142400</v>
      </c>
      <c r="AN937" s="59">
        <v>0</v>
      </c>
      <c r="AO937" s="148">
        <f t="shared" si="430"/>
        <v>0</v>
      </c>
      <c r="AP937" s="58">
        <v>23408.219178082192</v>
      </c>
      <c r="AQ937" s="143">
        <f t="shared" si="431"/>
        <v>-23408.22</v>
      </c>
    </row>
    <row r="938" spans="1:43" x14ac:dyDescent="0.35">
      <c r="A938" s="69" t="s">
        <v>43</v>
      </c>
      <c r="B938" s="15" t="s">
        <v>2894</v>
      </c>
      <c r="C938" s="15"/>
      <c r="D938" s="69"/>
      <c r="E938" s="76">
        <v>0</v>
      </c>
      <c r="F938" s="69" t="s">
        <v>2750</v>
      </c>
      <c r="G938" s="138" t="s">
        <v>2751</v>
      </c>
      <c r="H938" s="76">
        <v>9012000049</v>
      </c>
      <c r="I938" s="92" t="s">
        <v>47</v>
      </c>
      <c r="J938" s="92">
        <v>1202010202</v>
      </c>
      <c r="K938" s="15"/>
      <c r="L938" s="95" t="s">
        <v>2895</v>
      </c>
      <c r="M938" s="69" t="s">
        <v>2896</v>
      </c>
      <c r="N938" s="69"/>
      <c r="O938" s="94">
        <v>1</v>
      </c>
      <c r="P938" s="69" t="s">
        <v>50</v>
      </c>
      <c r="Q938" s="69" t="s">
        <v>51</v>
      </c>
      <c r="R938" s="69"/>
      <c r="S938" s="46">
        <v>45746</v>
      </c>
      <c r="T938" s="48">
        <v>45746</v>
      </c>
      <c r="U938" s="69"/>
      <c r="V938" s="69"/>
      <c r="W938" s="69"/>
      <c r="X938" s="69"/>
      <c r="Y938" s="69" t="s">
        <v>4132</v>
      </c>
      <c r="Z938" s="43">
        <v>70000</v>
      </c>
      <c r="AA938" s="43" t="s">
        <v>52</v>
      </c>
      <c r="AB938" s="43" t="s">
        <v>53</v>
      </c>
      <c r="AC938" s="43">
        <v>1095</v>
      </c>
      <c r="AD938" s="141">
        <v>3</v>
      </c>
      <c r="AE938" s="142">
        <v>0</v>
      </c>
      <c r="AF938" s="142"/>
      <c r="AG938" s="69" t="str">
        <f t="shared" si="428"/>
        <v>0 years 0 days</v>
      </c>
      <c r="AH938" s="69">
        <v>0</v>
      </c>
      <c r="AI938" s="69">
        <v>0</v>
      </c>
      <c r="AJ938" s="69">
        <v>0</v>
      </c>
      <c r="AK938" s="69">
        <v>0</v>
      </c>
      <c r="AL938" s="60">
        <v>70000</v>
      </c>
      <c r="AM938" s="60">
        <f t="shared" si="429"/>
        <v>70000</v>
      </c>
      <c r="AN938" s="59">
        <v>0</v>
      </c>
      <c r="AO938" s="148">
        <f t="shared" si="430"/>
        <v>0</v>
      </c>
      <c r="AP938" s="58">
        <v>5881.2785388127859</v>
      </c>
      <c r="AQ938" s="143">
        <f t="shared" si="431"/>
        <v>-5881.28</v>
      </c>
    </row>
    <row r="939" spans="1:43" x14ac:dyDescent="0.35">
      <c r="A939" s="69" t="s">
        <v>43</v>
      </c>
      <c r="B939" s="15" t="s">
        <v>2897</v>
      </c>
      <c r="C939" s="15"/>
      <c r="D939" s="69"/>
      <c r="E939" s="76">
        <v>0</v>
      </c>
      <c r="F939" s="69" t="s">
        <v>2750</v>
      </c>
      <c r="G939" s="138" t="s">
        <v>2751</v>
      </c>
      <c r="H939" s="76">
        <v>9012000050</v>
      </c>
      <c r="I939" s="92" t="s">
        <v>47</v>
      </c>
      <c r="J939" s="92">
        <v>1202010202</v>
      </c>
      <c r="K939" s="15"/>
      <c r="L939" s="95" t="s">
        <v>2898</v>
      </c>
      <c r="M939" s="69" t="s">
        <v>2899</v>
      </c>
      <c r="N939" s="69"/>
      <c r="O939" s="94">
        <v>1</v>
      </c>
      <c r="P939" s="69" t="s">
        <v>50</v>
      </c>
      <c r="Q939" s="69" t="s">
        <v>51</v>
      </c>
      <c r="R939" s="69"/>
      <c r="S939" s="46">
        <v>45829</v>
      </c>
      <c r="T939" s="48">
        <v>45829</v>
      </c>
      <c r="U939" s="69"/>
      <c r="V939" s="69"/>
      <c r="W939" s="69"/>
      <c r="X939" s="69"/>
      <c r="Y939" s="69" t="s">
        <v>4132</v>
      </c>
      <c r="Z939" s="43">
        <v>0</v>
      </c>
      <c r="AA939" s="43" t="s">
        <v>52</v>
      </c>
      <c r="AB939" s="43" t="s">
        <v>53</v>
      </c>
      <c r="AC939" s="43">
        <v>1095</v>
      </c>
      <c r="AD939" s="141">
        <v>3</v>
      </c>
      <c r="AE939" s="142">
        <v>0</v>
      </c>
      <c r="AF939" s="142"/>
      <c r="AG939" s="69" t="str">
        <f t="shared" si="428"/>
        <v>0 years 0 days</v>
      </c>
      <c r="AH939" s="69">
        <v>0</v>
      </c>
      <c r="AI939" s="69">
        <v>0</v>
      </c>
      <c r="AJ939" s="69">
        <v>0</v>
      </c>
      <c r="AK939" s="69">
        <v>0</v>
      </c>
      <c r="AL939" s="60">
        <v>12800</v>
      </c>
      <c r="AM939" s="60">
        <f t="shared" si="429"/>
        <v>12800</v>
      </c>
      <c r="AN939" s="59">
        <v>0</v>
      </c>
      <c r="AO939" s="148">
        <f t="shared" si="430"/>
        <v>0</v>
      </c>
      <c r="AP939" s="58">
        <v>116.89497716894977</v>
      </c>
      <c r="AQ939" s="143">
        <f t="shared" si="431"/>
        <v>-116.89</v>
      </c>
    </row>
    <row r="940" spans="1:43" x14ac:dyDescent="0.35">
      <c r="A940" s="69" t="s">
        <v>43</v>
      </c>
      <c r="B940" s="15" t="s">
        <v>2900</v>
      </c>
      <c r="C940" s="15"/>
      <c r="D940" s="69"/>
      <c r="E940" s="76">
        <v>0</v>
      </c>
      <c r="F940" s="69" t="s">
        <v>2750</v>
      </c>
      <c r="G940" s="138" t="s">
        <v>2751</v>
      </c>
      <c r="H940" s="76">
        <v>9012000051</v>
      </c>
      <c r="I940" s="92" t="s">
        <v>47</v>
      </c>
      <c r="J940" s="92">
        <v>1202010202</v>
      </c>
      <c r="K940" s="15"/>
      <c r="L940" s="95" t="s">
        <v>2901</v>
      </c>
      <c r="M940" s="69" t="s">
        <v>2902</v>
      </c>
      <c r="N940" s="69"/>
      <c r="O940" s="94">
        <v>1</v>
      </c>
      <c r="P940" s="69" t="s">
        <v>50</v>
      </c>
      <c r="Q940" s="69" t="s">
        <v>51</v>
      </c>
      <c r="R940" s="69"/>
      <c r="S940" s="46">
        <v>45821</v>
      </c>
      <c r="T940" s="48">
        <v>45821</v>
      </c>
      <c r="U940" s="69"/>
      <c r="V940" s="69"/>
      <c r="W940" s="69"/>
      <c r="X940" s="69"/>
      <c r="Y940" s="69" t="s">
        <v>4132</v>
      </c>
      <c r="Z940" s="43">
        <v>0</v>
      </c>
      <c r="AA940" s="43" t="s">
        <v>52</v>
      </c>
      <c r="AB940" s="43" t="s">
        <v>53</v>
      </c>
      <c r="AC940" s="43">
        <v>1095</v>
      </c>
      <c r="AD940" s="141">
        <v>3</v>
      </c>
      <c r="AE940" s="142">
        <v>0</v>
      </c>
      <c r="AF940" s="142"/>
      <c r="AG940" s="69" t="str">
        <f t="shared" si="428"/>
        <v>0 years 0 days</v>
      </c>
      <c r="AH940" s="69">
        <v>0</v>
      </c>
      <c r="AI940" s="69">
        <v>0</v>
      </c>
      <c r="AJ940" s="69">
        <v>0</v>
      </c>
      <c r="AK940" s="69">
        <v>0</v>
      </c>
      <c r="AL940" s="60">
        <v>70000</v>
      </c>
      <c r="AM940" s="60">
        <f t="shared" si="429"/>
        <v>70000</v>
      </c>
      <c r="AN940" s="59">
        <v>0</v>
      </c>
      <c r="AO940" s="148">
        <f t="shared" si="430"/>
        <v>0</v>
      </c>
      <c r="AP940" s="58">
        <v>1150.6849315068494</v>
      </c>
      <c r="AQ940" s="143">
        <f t="shared" si="431"/>
        <v>-1150.68</v>
      </c>
    </row>
    <row r="941" spans="1:43" x14ac:dyDescent="0.35">
      <c r="A941" s="69" t="s">
        <v>43</v>
      </c>
      <c r="B941" s="15" t="s">
        <v>2903</v>
      </c>
      <c r="C941" s="15"/>
      <c r="D941" s="69"/>
      <c r="E941" s="76">
        <v>0</v>
      </c>
      <c r="F941" s="69" t="s">
        <v>2750</v>
      </c>
      <c r="G941" s="138" t="s">
        <v>2751</v>
      </c>
      <c r="H941" s="76">
        <v>9012000052</v>
      </c>
      <c r="I941" s="92" t="s">
        <v>47</v>
      </c>
      <c r="J941" s="92">
        <v>1202010202</v>
      </c>
      <c r="K941" s="15"/>
      <c r="L941" s="95" t="s">
        <v>2904</v>
      </c>
      <c r="M941" s="69" t="s">
        <v>49</v>
      </c>
      <c r="N941" s="69"/>
      <c r="O941" s="94">
        <v>1</v>
      </c>
      <c r="P941" s="69" t="s">
        <v>50</v>
      </c>
      <c r="Q941" s="69" t="s">
        <v>51</v>
      </c>
      <c r="R941" s="69"/>
      <c r="S941" s="46">
        <v>43260</v>
      </c>
      <c r="T941" s="48">
        <v>43260</v>
      </c>
      <c r="U941" s="69"/>
      <c r="V941" s="69"/>
      <c r="W941" s="69"/>
      <c r="X941" s="69"/>
      <c r="Y941" s="69" t="s">
        <v>4125</v>
      </c>
      <c r="Z941" s="43">
        <v>26300</v>
      </c>
      <c r="AA941" s="43" t="s">
        <v>52</v>
      </c>
      <c r="AB941" s="43" t="s">
        <v>53</v>
      </c>
      <c r="AC941" s="43">
        <v>1095</v>
      </c>
      <c r="AD941" s="141">
        <v>3</v>
      </c>
      <c r="AE941" s="142">
        <v>0</v>
      </c>
      <c r="AF941" s="142"/>
      <c r="AG941" s="69" t="str">
        <f t="shared" si="428"/>
        <v>3 years 0 days</v>
      </c>
      <c r="AH941" s="69">
        <v>3</v>
      </c>
      <c r="AI941" s="69">
        <v>0</v>
      </c>
      <c r="AJ941" s="69">
        <v>0</v>
      </c>
      <c r="AK941" s="69">
        <v>0</v>
      </c>
      <c r="AL941" s="60">
        <v>26300</v>
      </c>
      <c r="AM941" s="60">
        <f t="shared" si="429"/>
        <v>26300</v>
      </c>
      <c r="AN941" s="59">
        <v>26300</v>
      </c>
      <c r="AO941" s="148">
        <f t="shared" si="430"/>
        <v>-26300</v>
      </c>
      <c r="AP941" s="58">
        <v>0</v>
      </c>
      <c r="AQ941" s="143">
        <f t="shared" si="431"/>
        <v>0</v>
      </c>
    </row>
    <row r="942" spans="1:43" x14ac:dyDescent="0.35">
      <c r="A942" s="69" t="s">
        <v>43</v>
      </c>
      <c r="B942" s="15" t="s">
        <v>2905</v>
      </c>
      <c r="C942" s="15"/>
      <c r="D942" s="69"/>
      <c r="E942" s="76">
        <v>0</v>
      </c>
      <c r="F942" s="69" t="s">
        <v>2750</v>
      </c>
      <c r="G942" s="138" t="s">
        <v>2751</v>
      </c>
      <c r="H942" s="76">
        <v>9012000053</v>
      </c>
      <c r="I942" s="92" t="s">
        <v>47</v>
      </c>
      <c r="J942" s="92">
        <v>1202010202</v>
      </c>
      <c r="K942" s="15"/>
      <c r="L942" s="95" t="s">
        <v>2906</v>
      </c>
      <c r="M942" s="69" t="s">
        <v>2907</v>
      </c>
      <c r="N942" s="69"/>
      <c r="O942" s="94">
        <v>1</v>
      </c>
      <c r="P942" s="69" t="s">
        <v>50</v>
      </c>
      <c r="Q942" s="69" t="s">
        <v>51</v>
      </c>
      <c r="R942" s="69"/>
      <c r="S942" s="46">
        <v>43304</v>
      </c>
      <c r="T942" s="48">
        <v>43304</v>
      </c>
      <c r="U942" s="69"/>
      <c r="V942" s="69"/>
      <c r="W942" s="69"/>
      <c r="X942" s="69"/>
      <c r="Y942" s="69" t="s">
        <v>4125</v>
      </c>
      <c r="Z942" s="43">
        <v>19800</v>
      </c>
      <c r="AA942" s="43" t="s">
        <v>52</v>
      </c>
      <c r="AB942" s="43" t="s">
        <v>53</v>
      </c>
      <c r="AC942" s="43">
        <v>1095</v>
      </c>
      <c r="AD942" s="141">
        <v>3</v>
      </c>
      <c r="AE942" s="142">
        <v>0</v>
      </c>
      <c r="AF942" s="142"/>
      <c r="AG942" s="69" t="str">
        <f t="shared" si="428"/>
        <v>3 years 0 days</v>
      </c>
      <c r="AH942" s="69">
        <v>3</v>
      </c>
      <c r="AI942" s="69">
        <v>0</v>
      </c>
      <c r="AJ942" s="69">
        <v>0</v>
      </c>
      <c r="AK942" s="69">
        <v>0</v>
      </c>
      <c r="AL942" s="60">
        <v>19800</v>
      </c>
      <c r="AM942" s="60">
        <f t="shared" si="429"/>
        <v>19800</v>
      </c>
      <c r="AN942" s="59">
        <v>19800</v>
      </c>
      <c r="AO942" s="148">
        <f t="shared" si="430"/>
        <v>-19800</v>
      </c>
      <c r="AP942" s="58">
        <v>0</v>
      </c>
      <c r="AQ942" s="143">
        <f t="shared" si="431"/>
        <v>0</v>
      </c>
    </row>
    <row r="943" spans="1:43" x14ac:dyDescent="0.35">
      <c r="A943" s="69" t="s">
        <v>43</v>
      </c>
      <c r="B943" s="15" t="s">
        <v>2908</v>
      </c>
      <c r="C943" s="15"/>
      <c r="D943" s="69"/>
      <c r="E943" s="76">
        <v>0</v>
      </c>
      <c r="F943" s="69" t="s">
        <v>2750</v>
      </c>
      <c r="G943" s="138" t="s">
        <v>2751</v>
      </c>
      <c r="H943" s="76">
        <v>9012000054</v>
      </c>
      <c r="I943" s="92" t="s">
        <v>47</v>
      </c>
      <c r="J943" s="92">
        <v>1202010202</v>
      </c>
      <c r="K943" s="15"/>
      <c r="L943" s="95" t="s">
        <v>2909</v>
      </c>
      <c r="M943" s="69" t="s">
        <v>2910</v>
      </c>
      <c r="N943" s="69"/>
      <c r="O943" s="94">
        <v>1</v>
      </c>
      <c r="P943" s="69" t="s">
        <v>50</v>
      </c>
      <c r="Q943" s="69" t="s">
        <v>51</v>
      </c>
      <c r="R943" s="69"/>
      <c r="S943" s="46">
        <v>43318</v>
      </c>
      <c r="T943" s="48">
        <v>43318</v>
      </c>
      <c r="U943" s="69"/>
      <c r="V943" s="69"/>
      <c r="W943" s="69"/>
      <c r="X943" s="69"/>
      <c r="Y943" s="69" t="s">
        <v>4125</v>
      </c>
      <c r="Z943" s="43">
        <v>17800</v>
      </c>
      <c r="AA943" s="43" t="s">
        <v>52</v>
      </c>
      <c r="AB943" s="43" t="s">
        <v>53</v>
      </c>
      <c r="AC943" s="43">
        <v>1095</v>
      </c>
      <c r="AD943" s="141">
        <v>3</v>
      </c>
      <c r="AE943" s="142">
        <v>0</v>
      </c>
      <c r="AF943" s="142"/>
      <c r="AG943" s="69" t="str">
        <f t="shared" si="428"/>
        <v>3 years 0 days</v>
      </c>
      <c r="AH943" s="69">
        <v>3</v>
      </c>
      <c r="AI943" s="69">
        <v>0</v>
      </c>
      <c r="AJ943" s="69">
        <v>0</v>
      </c>
      <c r="AK943" s="69">
        <v>0</v>
      </c>
      <c r="AL943" s="60">
        <v>17800</v>
      </c>
      <c r="AM943" s="60">
        <f t="shared" si="429"/>
        <v>17800</v>
      </c>
      <c r="AN943" s="59">
        <v>17800</v>
      </c>
      <c r="AO943" s="148">
        <f t="shared" si="430"/>
        <v>-17800</v>
      </c>
      <c r="AP943" s="58">
        <v>0</v>
      </c>
      <c r="AQ943" s="143">
        <f t="shared" si="431"/>
        <v>0</v>
      </c>
    </row>
    <row r="944" spans="1:43" x14ac:dyDescent="0.35">
      <c r="A944" s="69" t="s">
        <v>43</v>
      </c>
      <c r="B944" s="15" t="s">
        <v>2911</v>
      </c>
      <c r="C944" s="15"/>
      <c r="D944" s="69"/>
      <c r="E944" s="76">
        <v>0</v>
      </c>
      <c r="F944" s="69" t="s">
        <v>2750</v>
      </c>
      <c r="G944" s="138" t="s">
        <v>2751</v>
      </c>
      <c r="H944" s="76">
        <v>9012000055</v>
      </c>
      <c r="I944" s="92" t="s">
        <v>47</v>
      </c>
      <c r="J944" s="92">
        <v>1202010202</v>
      </c>
      <c r="K944" s="15"/>
      <c r="L944" s="95" t="s">
        <v>2912</v>
      </c>
      <c r="M944" s="69" t="s">
        <v>2913</v>
      </c>
      <c r="N944" s="69"/>
      <c r="O944" s="94">
        <v>1</v>
      </c>
      <c r="P944" s="69" t="s">
        <v>50</v>
      </c>
      <c r="Q944" s="69" t="s">
        <v>51</v>
      </c>
      <c r="R944" s="69"/>
      <c r="S944" s="46">
        <v>43401</v>
      </c>
      <c r="T944" s="48">
        <v>43401</v>
      </c>
      <c r="U944" s="69"/>
      <c r="V944" s="69"/>
      <c r="W944" s="69"/>
      <c r="X944" s="69"/>
      <c r="Y944" s="69" t="s">
        <v>4125</v>
      </c>
      <c r="Z944" s="43">
        <v>22300</v>
      </c>
      <c r="AA944" s="43" t="s">
        <v>52</v>
      </c>
      <c r="AB944" s="43" t="s">
        <v>53</v>
      </c>
      <c r="AC944" s="43">
        <v>1095</v>
      </c>
      <c r="AD944" s="141">
        <v>3</v>
      </c>
      <c r="AE944" s="142">
        <v>0</v>
      </c>
      <c r="AF944" s="142"/>
      <c r="AG944" s="69" t="str">
        <f t="shared" si="428"/>
        <v>3 years 0 days</v>
      </c>
      <c r="AH944" s="69">
        <v>3</v>
      </c>
      <c r="AI944" s="69">
        <v>0</v>
      </c>
      <c r="AJ944" s="69">
        <v>0</v>
      </c>
      <c r="AK944" s="69">
        <v>0</v>
      </c>
      <c r="AL944" s="60">
        <v>22300</v>
      </c>
      <c r="AM944" s="60">
        <f t="shared" si="429"/>
        <v>22300</v>
      </c>
      <c r="AN944" s="59">
        <v>22300</v>
      </c>
      <c r="AO944" s="148">
        <f t="shared" si="430"/>
        <v>-22300</v>
      </c>
      <c r="AP944" s="58">
        <v>0</v>
      </c>
      <c r="AQ944" s="143">
        <f t="shared" si="431"/>
        <v>0</v>
      </c>
    </row>
    <row r="945" spans="1:43" x14ac:dyDescent="0.35">
      <c r="A945" s="69" t="s">
        <v>43</v>
      </c>
      <c r="B945" s="15" t="s">
        <v>2914</v>
      </c>
      <c r="C945" s="15"/>
      <c r="D945" s="69"/>
      <c r="E945" s="76">
        <v>0</v>
      </c>
      <c r="F945" s="69" t="s">
        <v>2750</v>
      </c>
      <c r="G945" s="138" t="s">
        <v>2751</v>
      </c>
      <c r="H945" s="76">
        <v>9012000056</v>
      </c>
      <c r="I945" s="92" t="s">
        <v>47</v>
      </c>
      <c r="J945" s="92">
        <v>1202010202</v>
      </c>
      <c r="K945" s="15"/>
      <c r="L945" s="95" t="s">
        <v>2915</v>
      </c>
      <c r="M945" s="69" t="s">
        <v>2916</v>
      </c>
      <c r="N945" s="69"/>
      <c r="O945" s="94">
        <v>1</v>
      </c>
      <c r="P945" s="69" t="s">
        <v>50</v>
      </c>
      <c r="Q945" s="69" t="s">
        <v>51</v>
      </c>
      <c r="R945" s="69"/>
      <c r="S945" s="46">
        <v>43420</v>
      </c>
      <c r="T945" s="48">
        <v>43420</v>
      </c>
      <c r="U945" s="69"/>
      <c r="V945" s="69"/>
      <c r="W945" s="69"/>
      <c r="X945" s="69"/>
      <c r="Y945" s="69" t="s">
        <v>4125</v>
      </c>
      <c r="Z945" s="43">
        <v>27500</v>
      </c>
      <c r="AA945" s="43" t="s">
        <v>52</v>
      </c>
      <c r="AB945" s="43" t="s">
        <v>53</v>
      </c>
      <c r="AC945" s="43">
        <v>1095</v>
      </c>
      <c r="AD945" s="141">
        <v>3</v>
      </c>
      <c r="AE945" s="142">
        <v>0</v>
      </c>
      <c r="AF945" s="142"/>
      <c r="AG945" s="69" t="str">
        <f t="shared" si="428"/>
        <v>3 years 0 days</v>
      </c>
      <c r="AH945" s="69">
        <v>3</v>
      </c>
      <c r="AI945" s="69">
        <v>0</v>
      </c>
      <c r="AJ945" s="69">
        <v>0</v>
      </c>
      <c r="AK945" s="69">
        <v>0</v>
      </c>
      <c r="AL945" s="60">
        <v>27500</v>
      </c>
      <c r="AM945" s="60">
        <f t="shared" si="429"/>
        <v>27500</v>
      </c>
      <c r="AN945" s="59">
        <v>27500</v>
      </c>
      <c r="AO945" s="148">
        <f t="shared" si="430"/>
        <v>-27500</v>
      </c>
      <c r="AP945" s="58">
        <v>0</v>
      </c>
      <c r="AQ945" s="143">
        <f t="shared" si="431"/>
        <v>0</v>
      </c>
    </row>
    <row r="946" spans="1:43" x14ac:dyDescent="0.35">
      <c r="A946" s="69" t="s">
        <v>43</v>
      </c>
      <c r="B946" s="15" t="s">
        <v>2917</v>
      </c>
      <c r="C946" s="15"/>
      <c r="D946" s="69"/>
      <c r="E946" s="76">
        <v>0</v>
      </c>
      <c r="F946" s="69" t="s">
        <v>2750</v>
      </c>
      <c r="G946" s="138" t="s">
        <v>2751</v>
      </c>
      <c r="H946" s="76">
        <v>9012000057</v>
      </c>
      <c r="I946" s="92" t="s">
        <v>47</v>
      </c>
      <c r="J946" s="92">
        <v>1202010202</v>
      </c>
      <c r="K946" s="15"/>
      <c r="L946" s="95" t="s">
        <v>2918</v>
      </c>
      <c r="M946" s="69" t="s">
        <v>2919</v>
      </c>
      <c r="N946" s="69"/>
      <c r="O946" s="94">
        <v>1</v>
      </c>
      <c r="P946" s="69" t="s">
        <v>50</v>
      </c>
      <c r="Q946" s="69" t="s">
        <v>51</v>
      </c>
      <c r="R946" s="69"/>
      <c r="S946" s="46">
        <v>43509</v>
      </c>
      <c r="T946" s="48">
        <v>43509</v>
      </c>
      <c r="U946" s="69"/>
      <c r="V946" s="69"/>
      <c r="W946" s="69"/>
      <c r="X946" s="69"/>
      <c r="Y946" s="69" t="s">
        <v>4126</v>
      </c>
      <c r="Z946" s="43">
        <v>12500</v>
      </c>
      <c r="AA946" s="43" t="s">
        <v>52</v>
      </c>
      <c r="AB946" s="43" t="s">
        <v>53</v>
      </c>
      <c r="AC946" s="43">
        <v>1095</v>
      </c>
      <c r="AD946" s="141">
        <v>3</v>
      </c>
      <c r="AE946" s="142">
        <v>0</v>
      </c>
      <c r="AF946" s="142"/>
      <c r="AG946" s="69" t="str">
        <f t="shared" si="428"/>
        <v>3 years 0 days</v>
      </c>
      <c r="AH946" s="69">
        <v>3</v>
      </c>
      <c r="AI946" s="69">
        <v>0</v>
      </c>
      <c r="AJ946" s="69">
        <v>0</v>
      </c>
      <c r="AK946" s="69">
        <v>0</v>
      </c>
      <c r="AL946" s="60">
        <v>12500</v>
      </c>
      <c r="AM946" s="60">
        <f t="shared" si="429"/>
        <v>12500</v>
      </c>
      <c r="AN946" s="59">
        <v>12500</v>
      </c>
      <c r="AO946" s="148">
        <f t="shared" si="430"/>
        <v>-12500</v>
      </c>
      <c r="AP946" s="58">
        <v>0</v>
      </c>
      <c r="AQ946" s="143">
        <f t="shared" si="431"/>
        <v>0</v>
      </c>
    </row>
    <row r="947" spans="1:43" x14ac:dyDescent="0.35">
      <c r="A947" s="69" t="s">
        <v>43</v>
      </c>
      <c r="B947" s="15" t="s">
        <v>2920</v>
      </c>
      <c r="C947" s="15"/>
      <c r="D947" s="69"/>
      <c r="E947" s="76">
        <v>0</v>
      </c>
      <c r="F947" s="69" t="s">
        <v>2750</v>
      </c>
      <c r="G947" s="138" t="s">
        <v>2751</v>
      </c>
      <c r="H947" s="76">
        <v>9012000058</v>
      </c>
      <c r="I947" s="92" t="s">
        <v>47</v>
      </c>
      <c r="J947" s="92">
        <v>1202010202</v>
      </c>
      <c r="K947" s="15"/>
      <c r="L947" s="95" t="s">
        <v>2921</v>
      </c>
      <c r="M947" s="69" t="s">
        <v>2922</v>
      </c>
      <c r="N947" s="69"/>
      <c r="O947" s="94">
        <v>1</v>
      </c>
      <c r="P947" s="69" t="s">
        <v>50</v>
      </c>
      <c r="Q947" s="69" t="s">
        <v>51</v>
      </c>
      <c r="R947" s="69"/>
      <c r="S947" s="46">
        <v>43544</v>
      </c>
      <c r="T947" s="48">
        <v>43544</v>
      </c>
      <c r="U947" s="69"/>
      <c r="V947" s="69"/>
      <c r="W947" s="69"/>
      <c r="X947" s="69"/>
      <c r="Y947" s="69" t="s">
        <v>4126</v>
      </c>
      <c r="Z947" s="43">
        <v>25250</v>
      </c>
      <c r="AA947" s="43" t="s">
        <v>52</v>
      </c>
      <c r="AB947" s="43" t="s">
        <v>53</v>
      </c>
      <c r="AC947" s="43">
        <v>1095</v>
      </c>
      <c r="AD947" s="141">
        <v>3</v>
      </c>
      <c r="AE947" s="142">
        <v>0</v>
      </c>
      <c r="AF947" s="142"/>
      <c r="AG947" s="69" t="str">
        <f t="shared" si="428"/>
        <v>3 years 0 days</v>
      </c>
      <c r="AH947" s="69">
        <v>3</v>
      </c>
      <c r="AI947" s="69">
        <v>0</v>
      </c>
      <c r="AJ947" s="69">
        <v>0</v>
      </c>
      <c r="AK947" s="69">
        <v>0</v>
      </c>
      <c r="AL947" s="60">
        <v>25250</v>
      </c>
      <c r="AM947" s="60">
        <f t="shared" si="429"/>
        <v>25250</v>
      </c>
      <c r="AN947" s="59">
        <v>25250</v>
      </c>
      <c r="AO947" s="148">
        <f t="shared" si="430"/>
        <v>-25250</v>
      </c>
      <c r="AP947" s="58">
        <v>0</v>
      </c>
      <c r="AQ947" s="143">
        <f t="shared" si="431"/>
        <v>0</v>
      </c>
    </row>
    <row r="948" spans="1:43" x14ac:dyDescent="0.35">
      <c r="A948" s="69" t="s">
        <v>43</v>
      </c>
      <c r="B948" s="15" t="s">
        <v>2923</v>
      </c>
      <c r="C948" s="15"/>
      <c r="D948" s="69"/>
      <c r="E948" s="76">
        <v>0</v>
      </c>
      <c r="F948" s="69" t="s">
        <v>2750</v>
      </c>
      <c r="G948" s="138" t="s">
        <v>2751</v>
      </c>
      <c r="H948" s="76">
        <v>9012000059</v>
      </c>
      <c r="I948" s="92" t="s">
        <v>47</v>
      </c>
      <c r="J948" s="92">
        <v>1202010202</v>
      </c>
      <c r="K948" s="15"/>
      <c r="L948" s="95" t="s">
        <v>2924</v>
      </c>
      <c r="M948" s="69" t="s">
        <v>2925</v>
      </c>
      <c r="N948" s="69"/>
      <c r="O948" s="94">
        <v>1</v>
      </c>
      <c r="P948" s="69" t="s">
        <v>50</v>
      </c>
      <c r="Q948" s="69" t="s">
        <v>51</v>
      </c>
      <c r="R948" s="69"/>
      <c r="S948" s="46">
        <v>43554</v>
      </c>
      <c r="T948" s="48">
        <v>43554</v>
      </c>
      <c r="U948" s="69"/>
      <c r="V948" s="69"/>
      <c r="W948" s="69"/>
      <c r="X948" s="69"/>
      <c r="Y948" s="69" t="s">
        <v>4126</v>
      </c>
      <c r="Z948" s="43">
        <v>2100</v>
      </c>
      <c r="AA948" s="43" t="s">
        <v>52</v>
      </c>
      <c r="AB948" s="43" t="s">
        <v>53</v>
      </c>
      <c r="AC948" s="43">
        <v>1095</v>
      </c>
      <c r="AD948" s="141">
        <v>3</v>
      </c>
      <c r="AE948" s="142">
        <v>0</v>
      </c>
      <c r="AF948" s="142"/>
      <c r="AG948" s="69" t="str">
        <f t="shared" si="428"/>
        <v>3 years 0 days</v>
      </c>
      <c r="AH948" s="69">
        <v>3</v>
      </c>
      <c r="AI948" s="69">
        <v>0</v>
      </c>
      <c r="AJ948" s="69">
        <v>0</v>
      </c>
      <c r="AK948" s="69">
        <v>0</v>
      </c>
      <c r="AL948" s="60">
        <v>2100</v>
      </c>
      <c r="AM948" s="60">
        <f t="shared" si="429"/>
        <v>2100</v>
      </c>
      <c r="AN948" s="59">
        <v>2100</v>
      </c>
      <c r="AO948" s="148">
        <f t="shared" si="430"/>
        <v>-2100</v>
      </c>
      <c r="AP948" s="58">
        <v>0</v>
      </c>
      <c r="AQ948" s="143">
        <f t="shared" si="431"/>
        <v>0</v>
      </c>
    </row>
    <row r="949" spans="1:43" x14ac:dyDescent="0.35">
      <c r="A949" s="69" t="s">
        <v>43</v>
      </c>
      <c r="B949" s="15" t="s">
        <v>2926</v>
      </c>
      <c r="C949" s="15"/>
      <c r="D949" s="69"/>
      <c r="E949" s="76">
        <v>0</v>
      </c>
      <c r="F949" s="69" t="s">
        <v>2750</v>
      </c>
      <c r="G949" s="138" t="s">
        <v>2751</v>
      </c>
      <c r="H949" s="76">
        <v>9012000060</v>
      </c>
      <c r="I949" s="92" t="s">
        <v>47</v>
      </c>
      <c r="J949" s="92">
        <v>1202010202</v>
      </c>
      <c r="K949" s="15"/>
      <c r="L949" s="95" t="s">
        <v>2927</v>
      </c>
      <c r="M949" s="69" t="s">
        <v>2928</v>
      </c>
      <c r="N949" s="69"/>
      <c r="O949" s="94">
        <v>1</v>
      </c>
      <c r="P949" s="69" t="s">
        <v>50</v>
      </c>
      <c r="Q949" s="69" t="s">
        <v>51</v>
      </c>
      <c r="R949" s="69"/>
      <c r="S949" s="46">
        <v>43601</v>
      </c>
      <c r="T949" s="48">
        <v>43601</v>
      </c>
      <c r="U949" s="69"/>
      <c r="V949" s="69"/>
      <c r="W949" s="69"/>
      <c r="X949" s="69"/>
      <c r="Y949" s="69" t="s">
        <v>4126</v>
      </c>
      <c r="Z949" s="43">
        <v>47760</v>
      </c>
      <c r="AA949" s="43" t="s">
        <v>52</v>
      </c>
      <c r="AB949" s="43" t="s">
        <v>53</v>
      </c>
      <c r="AC949" s="43">
        <v>1095</v>
      </c>
      <c r="AD949" s="141">
        <v>3</v>
      </c>
      <c r="AE949" s="142">
        <v>0</v>
      </c>
      <c r="AF949" s="142"/>
      <c r="AG949" s="69" t="str">
        <f t="shared" si="428"/>
        <v>3 years 0 days</v>
      </c>
      <c r="AH949" s="69">
        <v>3</v>
      </c>
      <c r="AI949" s="69">
        <v>0</v>
      </c>
      <c r="AJ949" s="69">
        <v>0</v>
      </c>
      <c r="AK949" s="69">
        <v>0</v>
      </c>
      <c r="AL949" s="60">
        <v>47760</v>
      </c>
      <c r="AM949" s="60">
        <f t="shared" si="429"/>
        <v>47760</v>
      </c>
      <c r="AN949" s="59">
        <v>47760</v>
      </c>
      <c r="AO949" s="148">
        <f t="shared" si="430"/>
        <v>-47760</v>
      </c>
      <c r="AP949" s="58">
        <v>0</v>
      </c>
      <c r="AQ949" s="143">
        <f t="shared" si="431"/>
        <v>0</v>
      </c>
    </row>
    <row r="950" spans="1:43" x14ac:dyDescent="0.35">
      <c r="A950" s="69" t="s">
        <v>43</v>
      </c>
      <c r="B950" s="15" t="s">
        <v>2929</v>
      </c>
      <c r="C950" s="15"/>
      <c r="D950" s="69"/>
      <c r="E950" s="76">
        <v>0</v>
      </c>
      <c r="F950" s="69" t="s">
        <v>2750</v>
      </c>
      <c r="G950" s="138" t="s">
        <v>2751</v>
      </c>
      <c r="H950" s="76">
        <v>9012000061</v>
      </c>
      <c r="I950" s="92" t="s">
        <v>47</v>
      </c>
      <c r="J950" s="92">
        <v>1202010202</v>
      </c>
      <c r="K950" s="15"/>
      <c r="L950" s="95" t="s">
        <v>2930</v>
      </c>
      <c r="M950" s="69" t="s">
        <v>2931</v>
      </c>
      <c r="N950" s="69"/>
      <c r="O950" s="94">
        <v>1</v>
      </c>
      <c r="P950" s="69" t="s">
        <v>50</v>
      </c>
      <c r="Q950" s="69" t="s">
        <v>51</v>
      </c>
      <c r="R950" s="69"/>
      <c r="S950" s="46">
        <v>43649</v>
      </c>
      <c r="T950" s="48">
        <v>43649</v>
      </c>
      <c r="U950" s="69"/>
      <c r="V950" s="69"/>
      <c r="W950" s="69"/>
      <c r="X950" s="69"/>
      <c r="Y950" s="69" t="s">
        <v>4126</v>
      </c>
      <c r="Z950" s="43">
        <v>4200</v>
      </c>
      <c r="AA950" s="43" t="s">
        <v>52</v>
      </c>
      <c r="AB950" s="43" t="s">
        <v>53</v>
      </c>
      <c r="AC950" s="43">
        <v>1095</v>
      </c>
      <c r="AD950" s="141">
        <v>3</v>
      </c>
      <c r="AE950" s="142">
        <v>0</v>
      </c>
      <c r="AF950" s="142"/>
      <c r="AG950" s="69" t="str">
        <f t="shared" si="428"/>
        <v>3 years 0 days</v>
      </c>
      <c r="AH950" s="69">
        <v>3</v>
      </c>
      <c r="AI950" s="69">
        <v>0</v>
      </c>
      <c r="AJ950" s="69">
        <v>0</v>
      </c>
      <c r="AK950" s="69">
        <v>0</v>
      </c>
      <c r="AL950" s="60">
        <v>4200</v>
      </c>
      <c r="AM950" s="60">
        <f t="shared" si="429"/>
        <v>4200</v>
      </c>
      <c r="AN950" s="59">
        <v>4200</v>
      </c>
      <c r="AO950" s="148">
        <f t="shared" si="430"/>
        <v>-4200</v>
      </c>
      <c r="AP950" s="58">
        <v>0</v>
      </c>
      <c r="AQ950" s="143">
        <f t="shared" si="431"/>
        <v>0</v>
      </c>
    </row>
    <row r="951" spans="1:43" x14ac:dyDescent="0.35">
      <c r="A951" s="69" t="s">
        <v>43</v>
      </c>
      <c r="B951" s="15" t="s">
        <v>2932</v>
      </c>
      <c r="C951" s="15"/>
      <c r="D951" s="69"/>
      <c r="E951" s="76">
        <v>0</v>
      </c>
      <c r="F951" s="69" t="s">
        <v>2750</v>
      </c>
      <c r="G951" s="138" t="s">
        <v>2751</v>
      </c>
      <c r="H951" s="76">
        <v>9012000062</v>
      </c>
      <c r="I951" s="92" t="s">
        <v>47</v>
      </c>
      <c r="J951" s="92">
        <v>1202010202</v>
      </c>
      <c r="K951" s="15"/>
      <c r="L951" s="95" t="s">
        <v>2933</v>
      </c>
      <c r="M951" s="69" t="s">
        <v>2934</v>
      </c>
      <c r="N951" s="69"/>
      <c r="O951" s="94">
        <v>1</v>
      </c>
      <c r="P951" s="69" t="s">
        <v>50</v>
      </c>
      <c r="Q951" s="69" t="s">
        <v>51</v>
      </c>
      <c r="R951" s="69"/>
      <c r="S951" s="46">
        <v>43649</v>
      </c>
      <c r="T951" s="48">
        <v>43649</v>
      </c>
      <c r="U951" s="69"/>
      <c r="V951" s="69"/>
      <c r="W951" s="69"/>
      <c r="X951" s="69"/>
      <c r="Y951" s="69" t="s">
        <v>4126</v>
      </c>
      <c r="Z951" s="43">
        <v>2100</v>
      </c>
      <c r="AA951" s="43" t="s">
        <v>52</v>
      </c>
      <c r="AB951" s="43" t="s">
        <v>53</v>
      </c>
      <c r="AC951" s="43">
        <v>1095</v>
      </c>
      <c r="AD951" s="141">
        <v>3</v>
      </c>
      <c r="AE951" s="142">
        <v>0</v>
      </c>
      <c r="AF951" s="142"/>
      <c r="AG951" s="69" t="str">
        <f t="shared" si="428"/>
        <v>3 years 0 days</v>
      </c>
      <c r="AH951" s="69">
        <v>3</v>
      </c>
      <c r="AI951" s="69">
        <v>0</v>
      </c>
      <c r="AJ951" s="69">
        <v>0</v>
      </c>
      <c r="AK951" s="69">
        <v>0</v>
      </c>
      <c r="AL951" s="60">
        <v>2100</v>
      </c>
      <c r="AM951" s="60">
        <f t="shared" si="429"/>
        <v>2100</v>
      </c>
      <c r="AN951" s="59">
        <v>2100</v>
      </c>
      <c r="AO951" s="148">
        <f t="shared" si="430"/>
        <v>-2100</v>
      </c>
      <c r="AP951" s="58">
        <v>0</v>
      </c>
      <c r="AQ951" s="143">
        <f t="shared" si="431"/>
        <v>0</v>
      </c>
    </row>
    <row r="952" spans="1:43" x14ac:dyDescent="0.35">
      <c r="A952" s="69" t="s">
        <v>43</v>
      </c>
      <c r="B952" s="15" t="s">
        <v>2935</v>
      </c>
      <c r="C952" s="15"/>
      <c r="D952" s="69"/>
      <c r="E952" s="76">
        <v>0</v>
      </c>
      <c r="F952" s="69" t="s">
        <v>2750</v>
      </c>
      <c r="G952" s="138" t="s">
        <v>2751</v>
      </c>
      <c r="H952" s="76">
        <v>9012000063</v>
      </c>
      <c r="I952" s="92" t="s">
        <v>47</v>
      </c>
      <c r="J952" s="92">
        <v>1202010202</v>
      </c>
      <c r="K952" s="15"/>
      <c r="L952" s="95" t="s">
        <v>2936</v>
      </c>
      <c r="M952" s="69" t="s">
        <v>2937</v>
      </c>
      <c r="N952" s="69"/>
      <c r="O952" s="94">
        <v>1</v>
      </c>
      <c r="P952" s="69" t="s">
        <v>50</v>
      </c>
      <c r="Q952" s="69" t="s">
        <v>51</v>
      </c>
      <c r="R952" s="69"/>
      <c r="S952" s="46">
        <v>43830</v>
      </c>
      <c r="T952" s="48">
        <v>43830</v>
      </c>
      <c r="U952" s="69"/>
      <c r="V952" s="69"/>
      <c r="W952" s="69"/>
      <c r="X952" s="69"/>
      <c r="Y952" s="69" t="s">
        <v>4126</v>
      </c>
      <c r="Z952" s="43">
        <v>10000</v>
      </c>
      <c r="AA952" s="43" t="s">
        <v>52</v>
      </c>
      <c r="AB952" s="43" t="s">
        <v>53</v>
      </c>
      <c r="AC952" s="43">
        <v>1095</v>
      </c>
      <c r="AD952" s="141">
        <v>3</v>
      </c>
      <c r="AE952" s="142">
        <v>0</v>
      </c>
      <c r="AF952" s="142"/>
      <c r="AG952" s="69" t="str">
        <f t="shared" si="428"/>
        <v>3 years 0 days</v>
      </c>
      <c r="AH952" s="69">
        <v>3</v>
      </c>
      <c r="AI952" s="69">
        <v>0</v>
      </c>
      <c r="AJ952" s="69">
        <v>0</v>
      </c>
      <c r="AK952" s="69">
        <v>0</v>
      </c>
      <c r="AL952" s="60">
        <v>10000</v>
      </c>
      <c r="AM952" s="60">
        <f t="shared" si="429"/>
        <v>10000</v>
      </c>
      <c r="AN952" s="59">
        <v>10000</v>
      </c>
      <c r="AO952" s="148">
        <f t="shared" si="430"/>
        <v>-10000</v>
      </c>
      <c r="AP952" s="58">
        <v>0</v>
      </c>
      <c r="AQ952" s="143">
        <f t="shared" si="431"/>
        <v>0</v>
      </c>
    </row>
    <row r="953" spans="1:43" x14ac:dyDescent="0.35">
      <c r="A953" s="69" t="s">
        <v>43</v>
      </c>
      <c r="B953" s="15" t="s">
        <v>2938</v>
      </c>
      <c r="C953" s="15"/>
      <c r="D953" s="69"/>
      <c r="E953" s="76">
        <v>0</v>
      </c>
      <c r="F953" s="69" t="s">
        <v>2750</v>
      </c>
      <c r="G953" s="138" t="s">
        <v>2751</v>
      </c>
      <c r="H953" s="76">
        <v>9012000064</v>
      </c>
      <c r="I953" s="92" t="s">
        <v>47</v>
      </c>
      <c r="J953" s="92">
        <v>1202010202</v>
      </c>
      <c r="K953" s="15"/>
      <c r="L953" s="95" t="s">
        <v>2939</v>
      </c>
      <c r="M953" s="69" t="s">
        <v>2940</v>
      </c>
      <c r="N953" s="69"/>
      <c r="O953" s="94">
        <v>1</v>
      </c>
      <c r="P953" s="69" t="s">
        <v>50</v>
      </c>
      <c r="Q953" s="69" t="s">
        <v>51</v>
      </c>
      <c r="R953" s="69"/>
      <c r="S953" s="46">
        <v>44041</v>
      </c>
      <c r="T953" s="48">
        <v>44041</v>
      </c>
      <c r="U953" s="69"/>
      <c r="V953" s="69"/>
      <c r="W953" s="69"/>
      <c r="X953" s="69"/>
      <c r="Y953" s="69" t="s">
        <v>4127</v>
      </c>
      <c r="Z953" s="43">
        <v>29750</v>
      </c>
      <c r="AA953" s="43" t="s">
        <v>52</v>
      </c>
      <c r="AB953" s="43" t="s">
        <v>53</v>
      </c>
      <c r="AC953" s="43">
        <v>1095</v>
      </c>
      <c r="AD953" s="141">
        <v>3</v>
      </c>
      <c r="AE953" s="142">
        <v>0</v>
      </c>
      <c r="AF953" s="142"/>
      <c r="AG953" s="69" t="str">
        <f t="shared" si="428"/>
        <v>3 years 0 days</v>
      </c>
      <c r="AH953" s="69">
        <v>3</v>
      </c>
      <c r="AI953" s="69">
        <v>0</v>
      </c>
      <c r="AJ953" s="69">
        <v>0</v>
      </c>
      <c r="AK953" s="69">
        <v>0</v>
      </c>
      <c r="AL953" s="60">
        <v>29750</v>
      </c>
      <c r="AM953" s="60">
        <f t="shared" si="429"/>
        <v>29750</v>
      </c>
      <c r="AN953" s="59">
        <v>29750</v>
      </c>
      <c r="AO953" s="148">
        <f t="shared" si="430"/>
        <v>-29750</v>
      </c>
      <c r="AP953" s="58">
        <v>0</v>
      </c>
      <c r="AQ953" s="143">
        <f t="shared" si="431"/>
        <v>0</v>
      </c>
    </row>
    <row r="954" spans="1:43" x14ac:dyDescent="0.35">
      <c r="A954" s="69" t="s">
        <v>43</v>
      </c>
      <c r="B954" s="15" t="s">
        <v>2941</v>
      </c>
      <c r="C954" s="15"/>
      <c r="D954" s="69"/>
      <c r="E954" s="76">
        <v>0</v>
      </c>
      <c r="F954" s="69" t="s">
        <v>2750</v>
      </c>
      <c r="G954" s="138" t="s">
        <v>2751</v>
      </c>
      <c r="H954" s="76">
        <v>9012000065</v>
      </c>
      <c r="I954" s="92" t="s">
        <v>47</v>
      </c>
      <c r="J954" s="92">
        <v>1202010202</v>
      </c>
      <c r="K954" s="15"/>
      <c r="L954" s="95" t="s">
        <v>2942</v>
      </c>
      <c r="M954" s="69" t="s">
        <v>2943</v>
      </c>
      <c r="N954" s="69"/>
      <c r="O954" s="94">
        <v>1</v>
      </c>
      <c r="P954" s="69" t="s">
        <v>50</v>
      </c>
      <c r="Q954" s="69" t="s">
        <v>51</v>
      </c>
      <c r="R954" s="69"/>
      <c r="S954" s="46">
        <v>44316</v>
      </c>
      <c r="T954" s="48">
        <v>44316</v>
      </c>
      <c r="U954" s="69"/>
      <c r="V954" s="69"/>
      <c r="W954" s="69"/>
      <c r="X954" s="69"/>
      <c r="Y954" s="69" t="s">
        <v>4128</v>
      </c>
      <c r="Z954" s="43">
        <v>36300</v>
      </c>
      <c r="AA954" s="43" t="s">
        <v>52</v>
      </c>
      <c r="AB954" s="43" t="s">
        <v>53</v>
      </c>
      <c r="AC954" s="43">
        <v>1095</v>
      </c>
      <c r="AD954" s="141">
        <v>3</v>
      </c>
      <c r="AE954" s="142">
        <v>0</v>
      </c>
      <c r="AF954" s="142"/>
      <c r="AG954" s="69" t="str">
        <f t="shared" si="428"/>
        <v>3 years 0 days</v>
      </c>
      <c r="AH954" s="69">
        <v>3</v>
      </c>
      <c r="AI954" s="69">
        <v>0</v>
      </c>
      <c r="AJ954" s="69">
        <v>0</v>
      </c>
      <c r="AK954" s="69">
        <v>0</v>
      </c>
      <c r="AL954" s="60">
        <v>36300</v>
      </c>
      <c r="AM954" s="60">
        <f t="shared" si="429"/>
        <v>36300</v>
      </c>
      <c r="AN954" s="59">
        <v>36300</v>
      </c>
      <c r="AO954" s="148">
        <f t="shared" si="430"/>
        <v>-36300</v>
      </c>
      <c r="AP954" s="58">
        <v>0</v>
      </c>
      <c r="AQ954" s="143">
        <f t="shared" si="431"/>
        <v>0</v>
      </c>
    </row>
    <row r="955" spans="1:43" x14ac:dyDescent="0.35">
      <c r="A955" s="69" t="s">
        <v>43</v>
      </c>
      <c r="B955" s="15" t="s">
        <v>2944</v>
      </c>
      <c r="C955" s="15"/>
      <c r="D955" s="69"/>
      <c r="E955" s="76">
        <v>0</v>
      </c>
      <c r="F955" s="69" t="s">
        <v>2750</v>
      </c>
      <c r="G955" s="138" t="s">
        <v>2751</v>
      </c>
      <c r="H955" s="76">
        <v>9012000066</v>
      </c>
      <c r="I955" s="92" t="s">
        <v>47</v>
      </c>
      <c r="J955" s="92">
        <v>1202010202</v>
      </c>
      <c r="K955" s="15"/>
      <c r="L955" s="95" t="s">
        <v>2945</v>
      </c>
      <c r="M955" s="69" t="s">
        <v>2946</v>
      </c>
      <c r="N955" s="69"/>
      <c r="O955" s="94">
        <v>1</v>
      </c>
      <c r="P955" s="69" t="s">
        <v>50</v>
      </c>
      <c r="Q955" s="69" t="s">
        <v>51</v>
      </c>
      <c r="R955" s="69"/>
      <c r="S955" s="46">
        <v>44354</v>
      </c>
      <c r="T955" s="48">
        <v>44354</v>
      </c>
      <c r="U955" s="69"/>
      <c r="V955" s="69"/>
      <c r="W955" s="69"/>
      <c r="X955" s="69"/>
      <c r="Y955" s="69" t="s">
        <v>4128</v>
      </c>
      <c r="Z955" s="43">
        <v>37800</v>
      </c>
      <c r="AA955" s="43" t="s">
        <v>52</v>
      </c>
      <c r="AB955" s="43" t="s">
        <v>53</v>
      </c>
      <c r="AC955" s="43">
        <v>1095</v>
      </c>
      <c r="AD955" s="141">
        <v>3</v>
      </c>
      <c r="AE955" s="142">
        <v>0</v>
      </c>
      <c r="AF955" s="142"/>
      <c r="AG955" s="69" t="str">
        <f t="shared" si="428"/>
        <v>3 years 0 days</v>
      </c>
      <c r="AH955" s="69">
        <v>3</v>
      </c>
      <c r="AI955" s="69">
        <v>0</v>
      </c>
      <c r="AJ955" s="69">
        <v>0</v>
      </c>
      <c r="AK955" s="69">
        <v>0</v>
      </c>
      <c r="AL955" s="60">
        <v>37800</v>
      </c>
      <c r="AM955" s="60">
        <f t="shared" si="429"/>
        <v>37800</v>
      </c>
      <c r="AN955" s="59">
        <v>37800</v>
      </c>
      <c r="AO955" s="148">
        <f t="shared" si="430"/>
        <v>-37800</v>
      </c>
      <c r="AP955" s="58">
        <v>0</v>
      </c>
      <c r="AQ955" s="143">
        <f t="shared" si="431"/>
        <v>0</v>
      </c>
    </row>
    <row r="956" spans="1:43" x14ac:dyDescent="0.35">
      <c r="A956" s="69" t="s">
        <v>43</v>
      </c>
      <c r="B956" s="15" t="s">
        <v>2947</v>
      </c>
      <c r="C956" s="15"/>
      <c r="D956" s="69"/>
      <c r="E956" s="76">
        <v>0</v>
      </c>
      <c r="F956" s="69" t="s">
        <v>2750</v>
      </c>
      <c r="G956" s="138" t="s">
        <v>2751</v>
      </c>
      <c r="H956" s="76">
        <v>9012000067</v>
      </c>
      <c r="I956" s="92" t="s">
        <v>47</v>
      </c>
      <c r="J956" s="92">
        <v>1202010202</v>
      </c>
      <c r="K956" s="15"/>
      <c r="L956" s="95" t="s">
        <v>2948</v>
      </c>
      <c r="M956" s="69" t="s">
        <v>2949</v>
      </c>
      <c r="N956" s="69"/>
      <c r="O956" s="94">
        <v>1</v>
      </c>
      <c r="P956" s="69" t="s">
        <v>50</v>
      </c>
      <c r="Q956" s="69" t="s">
        <v>51</v>
      </c>
      <c r="R956" s="69"/>
      <c r="S956" s="46">
        <v>44548</v>
      </c>
      <c r="T956" s="48">
        <v>44548</v>
      </c>
      <c r="U956" s="69"/>
      <c r="V956" s="69"/>
      <c r="W956" s="69"/>
      <c r="X956" s="69"/>
      <c r="Y956" s="69" t="s">
        <v>4128</v>
      </c>
      <c r="Z956" s="43">
        <v>56780</v>
      </c>
      <c r="AA956" s="43" t="s">
        <v>52</v>
      </c>
      <c r="AB956" s="43" t="s">
        <v>53</v>
      </c>
      <c r="AC956" s="43">
        <v>1095</v>
      </c>
      <c r="AD956" s="141">
        <v>3</v>
      </c>
      <c r="AE956" s="142">
        <v>0</v>
      </c>
      <c r="AF956" s="142"/>
      <c r="AG956" s="69" t="str">
        <f t="shared" si="428"/>
        <v>3 years 0 days</v>
      </c>
      <c r="AH956" s="69">
        <v>3</v>
      </c>
      <c r="AI956" s="69">
        <v>0</v>
      </c>
      <c r="AJ956" s="69">
        <v>0</v>
      </c>
      <c r="AK956" s="69">
        <v>0</v>
      </c>
      <c r="AL956" s="60">
        <v>56780</v>
      </c>
      <c r="AM956" s="60">
        <f t="shared" si="429"/>
        <v>56780</v>
      </c>
      <c r="AN956" s="59">
        <v>56780</v>
      </c>
      <c r="AO956" s="148">
        <f t="shared" si="430"/>
        <v>-56780</v>
      </c>
      <c r="AP956" s="58">
        <v>0</v>
      </c>
      <c r="AQ956" s="143">
        <f t="shared" si="431"/>
        <v>0</v>
      </c>
    </row>
    <row r="957" spans="1:43" x14ac:dyDescent="0.35">
      <c r="A957" s="69" t="s">
        <v>43</v>
      </c>
      <c r="B957" s="15" t="s">
        <v>2950</v>
      </c>
      <c r="C957" s="15"/>
      <c r="D957" s="69"/>
      <c r="E957" s="76">
        <v>0</v>
      </c>
      <c r="F957" s="69" t="s">
        <v>2750</v>
      </c>
      <c r="G957" s="138" t="s">
        <v>2751</v>
      </c>
      <c r="H957" s="76">
        <v>9012000068</v>
      </c>
      <c r="I957" s="92" t="s">
        <v>47</v>
      </c>
      <c r="J957" s="92">
        <v>1202010202</v>
      </c>
      <c r="K957" s="15"/>
      <c r="L957" s="95" t="s">
        <v>2951</v>
      </c>
      <c r="M957" s="69" t="s">
        <v>2952</v>
      </c>
      <c r="N957" s="69"/>
      <c r="O957" s="94">
        <v>1</v>
      </c>
      <c r="P957" s="69" t="s">
        <v>50</v>
      </c>
      <c r="Q957" s="69" t="s">
        <v>51</v>
      </c>
      <c r="R957" s="69"/>
      <c r="S957" s="46">
        <v>44893</v>
      </c>
      <c r="T957" s="48">
        <v>44893</v>
      </c>
      <c r="U957" s="69"/>
      <c r="V957" s="69"/>
      <c r="W957" s="69"/>
      <c r="X957" s="69"/>
      <c r="Y957" s="69" t="s">
        <v>4131</v>
      </c>
      <c r="Z957" s="43">
        <v>7000</v>
      </c>
      <c r="AA957" s="43" t="s">
        <v>52</v>
      </c>
      <c r="AB957" s="43" t="s">
        <v>53</v>
      </c>
      <c r="AC957" s="43">
        <v>1095</v>
      </c>
      <c r="AD957" s="141">
        <v>3</v>
      </c>
      <c r="AE957" s="142">
        <v>0</v>
      </c>
      <c r="AF957" s="142"/>
      <c r="AG957" s="69" t="str">
        <f t="shared" si="428"/>
        <v>2 years 35 days</v>
      </c>
      <c r="AH957" s="69">
        <v>2</v>
      </c>
      <c r="AI957" s="69">
        <v>35</v>
      </c>
      <c r="AJ957" s="69">
        <v>0</v>
      </c>
      <c r="AK957" s="69">
        <v>0</v>
      </c>
      <c r="AL957" s="60">
        <v>7000</v>
      </c>
      <c r="AM957" s="60">
        <f t="shared" si="429"/>
        <v>7000</v>
      </c>
      <c r="AN957" s="59">
        <v>7000</v>
      </c>
      <c r="AO957" s="148">
        <f t="shared" si="430"/>
        <v>-7000</v>
      </c>
      <c r="AP957" s="58">
        <v>0</v>
      </c>
      <c r="AQ957" s="143">
        <f t="shared" si="431"/>
        <v>0</v>
      </c>
    </row>
    <row r="958" spans="1:43" x14ac:dyDescent="0.35">
      <c r="A958" s="69" t="s">
        <v>43</v>
      </c>
      <c r="B958" s="15" t="s">
        <v>2953</v>
      </c>
      <c r="C958" s="15"/>
      <c r="D958" s="69"/>
      <c r="E958" s="76">
        <v>0</v>
      </c>
      <c r="F958" s="69" t="s">
        <v>2750</v>
      </c>
      <c r="G958" s="138" t="s">
        <v>2751</v>
      </c>
      <c r="H958" s="76">
        <v>9012000069</v>
      </c>
      <c r="I958" s="92" t="s">
        <v>47</v>
      </c>
      <c r="J958" s="92">
        <v>1202010202</v>
      </c>
      <c r="K958" s="15"/>
      <c r="L958" s="95" t="s">
        <v>2954</v>
      </c>
      <c r="M958" s="69" t="s">
        <v>2955</v>
      </c>
      <c r="N958" s="69"/>
      <c r="O958" s="94">
        <v>1</v>
      </c>
      <c r="P958" s="69" t="s">
        <v>50</v>
      </c>
      <c r="Q958" s="69" t="s">
        <v>51</v>
      </c>
      <c r="R958" s="69"/>
      <c r="S958" s="46">
        <v>44880</v>
      </c>
      <c r="T958" s="48">
        <v>44880</v>
      </c>
      <c r="U958" s="69"/>
      <c r="V958" s="69"/>
      <c r="W958" s="69"/>
      <c r="X958" s="69"/>
      <c r="Y958" s="69" t="s">
        <v>4131</v>
      </c>
      <c r="Z958" s="43">
        <v>10200</v>
      </c>
      <c r="AA958" s="43" t="s">
        <v>52</v>
      </c>
      <c r="AB958" s="43" t="s">
        <v>53</v>
      </c>
      <c r="AC958" s="43">
        <v>1095</v>
      </c>
      <c r="AD958" s="141">
        <v>3</v>
      </c>
      <c r="AE958" s="142">
        <v>0</v>
      </c>
      <c r="AF958" s="142"/>
      <c r="AG958" s="69" t="str">
        <f t="shared" si="428"/>
        <v>2 years 48 days</v>
      </c>
      <c r="AH958" s="69">
        <v>2</v>
      </c>
      <c r="AI958" s="69">
        <v>48</v>
      </c>
      <c r="AJ958" s="69">
        <v>0</v>
      </c>
      <c r="AK958" s="69">
        <v>0</v>
      </c>
      <c r="AL958" s="60">
        <v>10200</v>
      </c>
      <c r="AM958" s="60">
        <f t="shared" si="429"/>
        <v>10200</v>
      </c>
      <c r="AN958" s="59">
        <v>10200</v>
      </c>
      <c r="AO958" s="148">
        <f t="shared" si="430"/>
        <v>-10200</v>
      </c>
      <c r="AP958" s="58">
        <v>0</v>
      </c>
      <c r="AQ958" s="143">
        <f t="shared" si="431"/>
        <v>0</v>
      </c>
    </row>
    <row r="959" spans="1:43" x14ac:dyDescent="0.35">
      <c r="A959" s="69" t="s">
        <v>43</v>
      </c>
      <c r="B959" s="15" t="s">
        <v>2956</v>
      </c>
      <c r="C959" s="15"/>
      <c r="D959" s="69"/>
      <c r="E959" s="76">
        <v>0</v>
      </c>
      <c r="F959" s="69" t="s">
        <v>2750</v>
      </c>
      <c r="G959" s="138" t="s">
        <v>2751</v>
      </c>
      <c r="H959" s="76">
        <v>9012000070</v>
      </c>
      <c r="I959" s="92" t="s">
        <v>47</v>
      </c>
      <c r="J959" s="92">
        <v>1202010202</v>
      </c>
      <c r="K959" s="15"/>
      <c r="L959" s="95" t="s">
        <v>2957</v>
      </c>
      <c r="M959" s="69" t="s">
        <v>2958</v>
      </c>
      <c r="N959" s="69"/>
      <c r="O959" s="94">
        <v>1</v>
      </c>
      <c r="P959" s="69" t="s">
        <v>50</v>
      </c>
      <c r="Q959" s="69" t="s">
        <v>51</v>
      </c>
      <c r="R959" s="69"/>
      <c r="S959" s="46">
        <v>44893</v>
      </c>
      <c r="T959" s="48">
        <v>44893</v>
      </c>
      <c r="U959" s="69"/>
      <c r="V959" s="69"/>
      <c r="W959" s="69"/>
      <c r="X959" s="69"/>
      <c r="Y959" s="69" t="s">
        <v>4131</v>
      </c>
      <c r="Z959" s="43">
        <v>4600</v>
      </c>
      <c r="AA959" s="43" t="s">
        <v>52</v>
      </c>
      <c r="AB959" s="43" t="s">
        <v>53</v>
      </c>
      <c r="AC959" s="43">
        <v>1095</v>
      </c>
      <c r="AD959" s="141">
        <v>3</v>
      </c>
      <c r="AE959" s="142">
        <v>0</v>
      </c>
      <c r="AF959" s="142"/>
      <c r="AG959" s="69" t="str">
        <f t="shared" si="428"/>
        <v>2 years 35 days</v>
      </c>
      <c r="AH959" s="69">
        <v>2</v>
      </c>
      <c r="AI959" s="69">
        <v>35</v>
      </c>
      <c r="AJ959" s="69">
        <v>0</v>
      </c>
      <c r="AK959" s="69">
        <v>0</v>
      </c>
      <c r="AL959" s="60">
        <v>4600</v>
      </c>
      <c r="AM959" s="60">
        <f t="shared" si="429"/>
        <v>4600</v>
      </c>
      <c r="AN959" s="59">
        <v>4600</v>
      </c>
      <c r="AO959" s="148">
        <f t="shared" si="430"/>
        <v>-4600</v>
      </c>
      <c r="AP959" s="58">
        <v>0</v>
      </c>
      <c r="AQ959" s="143">
        <f t="shared" si="431"/>
        <v>0</v>
      </c>
    </row>
    <row r="960" spans="1:43" x14ac:dyDescent="0.35">
      <c r="A960" s="69" t="s">
        <v>43</v>
      </c>
      <c r="B960" s="15" t="s">
        <v>2959</v>
      </c>
      <c r="C960" s="15"/>
      <c r="D960" s="69"/>
      <c r="E960" s="76">
        <v>0</v>
      </c>
      <c r="F960" s="69" t="s">
        <v>2960</v>
      </c>
      <c r="G960" s="132" t="s">
        <v>2961</v>
      </c>
      <c r="H960" s="15">
        <v>9013000001</v>
      </c>
      <c r="I960" s="92" t="s">
        <v>593</v>
      </c>
      <c r="J960" s="92">
        <v>1202020101</v>
      </c>
      <c r="K960" s="34" t="s">
        <v>2962</v>
      </c>
      <c r="L960" s="95" t="s">
        <v>2963</v>
      </c>
      <c r="M960" s="69" t="s">
        <v>49</v>
      </c>
      <c r="N960" s="69"/>
      <c r="O960" s="94">
        <v>1</v>
      </c>
      <c r="P960" s="69" t="s">
        <v>50</v>
      </c>
      <c r="Q960" s="69" t="s">
        <v>51</v>
      </c>
      <c r="R960" s="69"/>
      <c r="S960" s="46">
        <v>40570</v>
      </c>
      <c r="T960" s="48">
        <v>43191</v>
      </c>
      <c r="U960" s="69"/>
      <c r="V960" s="69"/>
      <c r="W960" s="69"/>
      <c r="X960" s="69"/>
      <c r="Y960" s="69" t="s">
        <v>4125</v>
      </c>
      <c r="Z960" s="43">
        <v>170000</v>
      </c>
      <c r="AA960" s="43" t="s">
        <v>52</v>
      </c>
      <c r="AB960" s="43" t="s">
        <v>53</v>
      </c>
      <c r="AC960" s="43">
        <v>183</v>
      </c>
      <c r="AD960" s="141">
        <v>0</v>
      </c>
      <c r="AE960" s="142">
        <v>6</v>
      </c>
      <c r="AF960" s="142"/>
      <c r="AG960" s="69" t="str">
        <f t="shared" ref="AG960:AG964" si="432">_xlfn.CONCAT(AH960," years ",AI960," days")</f>
        <v>0 years 183 days</v>
      </c>
      <c r="AH960" s="69">
        <v>0</v>
      </c>
      <c r="AI960" s="69">
        <v>183</v>
      </c>
      <c r="AJ960" s="69">
        <v>0</v>
      </c>
      <c r="AK960" s="69">
        <v>0</v>
      </c>
      <c r="AL960" s="60">
        <v>170000</v>
      </c>
      <c r="AM960" s="60">
        <f t="shared" ref="AM960:AM964" si="433">ROUND(AL960,2)</f>
        <v>170000</v>
      </c>
      <c r="AN960" s="59">
        <v>170000</v>
      </c>
      <c r="AO960" s="148">
        <f t="shared" ref="AO960:AO964" si="434">ROUND(AN960,2)*-1</f>
        <v>-170000</v>
      </c>
      <c r="AP960" s="58">
        <v>0</v>
      </c>
      <c r="AQ960" s="143">
        <f t="shared" ref="AQ960:AQ964" si="435">ROUND(AP960,2)*-1</f>
        <v>0</v>
      </c>
    </row>
    <row r="961" spans="1:43" x14ac:dyDescent="0.35">
      <c r="A961" s="69" t="s">
        <v>43</v>
      </c>
      <c r="B961" s="15" t="s">
        <v>2964</v>
      </c>
      <c r="C961" s="15"/>
      <c r="D961" s="69"/>
      <c r="E961" s="76">
        <v>0</v>
      </c>
      <c r="F961" s="69" t="s">
        <v>2960</v>
      </c>
      <c r="G961" s="132" t="s">
        <v>2961</v>
      </c>
      <c r="H961" s="15">
        <v>9013000004</v>
      </c>
      <c r="I961" s="92" t="s">
        <v>593</v>
      </c>
      <c r="J961" s="92">
        <v>1202020101</v>
      </c>
      <c r="K961" s="34" t="s">
        <v>2965</v>
      </c>
      <c r="L961" s="95" t="s">
        <v>2966</v>
      </c>
      <c r="M961" s="69" t="s">
        <v>2967</v>
      </c>
      <c r="N961" s="69"/>
      <c r="O961" s="94">
        <v>1</v>
      </c>
      <c r="P961" s="69" t="s">
        <v>50</v>
      </c>
      <c r="Q961" s="69" t="s">
        <v>51</v>
      </c>
      <c r="R961" s="69"/>
      <c r="S961" s="46">
        <v>41035</v>
      </c>
      <c r="T961" s="48">
        <v>43191</v>
      </c>
      <c r="U961" s="69"/>
      <c r="V961" s="69"/>
      <c r="W961" s="69"/>
      <c r="X961" s="69"/>
      <c r="Y961" s="69" t="s">
        <v>4125</v>
      </c>
      <c r="Z961" s="43">
        <v>140000</v>
      </c>
      <c r="AA961" s="43" t="s">
        <v>52</v>
      </c>
      <c r="AB961" s="43" t="s">
        <v>53</v>
      </c>
      <c r="AC961" s="43">
        <v>183</v>
      </c>
      <c r="AD961" s="141">
        <v>0</v>
      </c>
      <c r="AE961" s="142">
        <v>6</v>
      </c>
      <c r="AF961" s="142"/>
      <c r="AG961" s="69" t="str">
        <f t="shared" si="432"/>
        <v>0 years 183 days</v>
      </c>
      <c r="AH961" s="69">
        <v>0</v>
      </c>
      <c r="AI961" s="69">
        <v>183</v>
      </c>
      <c r="AJ961" s="69">
        <v>0</v>
      </c>
      <c r="AK961" s="69">
        <v>0</v>
      </c>
      <c r="AL961" s="60">
        <v>140000</v>
      </c>
      <c r="AM961" s="60">
        <f t="shared" si="433"/>
        <v>140000</v>
      </c>
      <c r="AN961" s="59">
        <v>140000</v>
      </c>
      <c r="AO961" s="148">
        <f t="shared" si="434"/>
        <v>-140000</v>
      </c>
      <c r="AP961" s="58">
        <v>0</v>
      </c>
      <c r="AQ961" s="143">
        <f t="shared" si="435"/>
        <v>0</v>
      </c>
    </row>
    <row r="962" spans="1:43" x14ac:dyDescent="0.35">
      <c r="A962" s="69" t="s">
        <v>43</v>
      </c>
      <c r="B962" s="15" t="s">
        <v>2968</v>
      </c>
      <c r="C962" s="15"/>
      <c r="D962" s="69"/>
      <c r="E962" s="76">
        <v>0</v>
      </c>
      <c r="F962" s="69" t="s">
        <v>2960</v>
      </c>
      <c r="G962" s="132" t="s">
        <v>2961</v>
      </c>
      <c r="H962" s="15">
        <v>9013000005</v>
      </c>
      <c r="I962" s="92" t="s">
        <v>593</v>
      </c>
      <c r="J962" s="92">
        <v>1202020101</v>
      </c>
      <c r="K962" s="34" t="s">
        <v>2969</v>
      </c>
      <c r="L962" s="95" t="s">
        <v>2970</v>
      </c>
      <c r="M962" s="69" t="s">
        <v>2971</v>
      </c>
      <c r="N962" s="69"/>
      <c r="O962" s="94">
        <v>1</v>
      </c>
      <c r="P962" s="69" t="s">
        <v>50</v>
      </c>
      <c r="Q962" s="69" t="s">
        <v>51</v>
      </c>
      <c r="R962" s="69"/>
      <c r="S962" s="46">
        <v>41067</v>
      </c>
      <c r="T962" s="48">
        <v>43191</v>
      </c>
      <c r="U962" s="69"/>
      <c r="V962" s="69"/>
      <c r="W962" s="69"/>
      <c r="X962" s="69"/>
      <c r="Y962" s="69" t="s">
        <v>4125</v>
      </c>
      <c r="Z962" s="43">
        <v>12500</v>
      </c>
      <c r="AA962" s="43" t="s">
        <v>52</v>
      </c>
      <c r="AB962" s="43" t="s">
        <v>53</v>
      </c>
      <c r="AC962" s="43">
        <v>183</v>
      </c>
      <c r="AD962" s="141">
        <v>0</v>
      </c>
      <c r="AE962" s="142">
        <v>6</v>
      </c>
      <c r="AF962" s="142"/>
      <c r="AG962" s="69" t="str">
        <f t="shared" si="432"/>
        <v>0 years 183 days</v>
      </c>
      <c r="AH962" s="69">
        <v>0</v>
      </c>
      <c r="AI962" s="69">
        <v>183</v>
      </c>
      <c r="AJ962" s="69">
        <v>0</v>
      </c>
      <c r="AK962" s="69">
        <v>0</v>
      </c>
      <c r="AL962" s="60">
        <v>12500</v>
      </c>
      <c r="AM962" s="60">
        <f t="shared" si="433"/>
        <v>12500</v>
      </c>
      <c r="AN962" s="59">
        <v>12500</v>
      </c>
      <c r="AO962" s="148">
        <f t="shared" si="434"/>
        <v>-12500</v>
      </c>
      <c r="AP962" s="58">
        <v>0</v>
      </c>
      <c r="AQ962" s="143">
        <f t="shared" si="435"/>
        <v>0</v>
      </c>
    </row>
    <row r="963" spans="1:43" x14ac:dyDescent="0.35">
      <c r="A963" s="69" t="s">
        <v>43</v>
      </c>
      <c r="B963" s="15" t="s">
        <v>2972</v>
      </c>
      <c r="C963" s="15"/>
      <c r="D963" s="69"/>
      <c r="E963" s="76">
        <v>0</v>
      </c>
      <c r="F963" s="69" t="s">
        <v>2960</v>
      </c>
      <c r="G963" s="132" t="s">
        <v>2961</v>
      </c>
      <c r="H963" s="15">
        <v>9013000006</v>
      </c>
      <c r="I963" s="92" t="s">
        <v>593</v>
      </c>
      <c r="J963" s="92">
        <v>1202020101</v>
      </c>
      <c r="K963" s="34" t="s">
        <v>2973</v>
      </c>
      <c r="L963" s="95" t="s">
        <v>2974</v>
      </c>
      <c r="M963" s="69" t="s">
        <v>2975</v>
      </c>
      <c r="N963" s="69"/>
      <c r="O963" s="94">
        <v>1</v>
      </c>
      <c r="P963" s="69" t="s">
        <v>50</v>
      </c>
      <c r="Q963" s="69" t="s">
        <v>51</v>
      </c>
      <c r="R963" s="69"/>
      <c r="S963" s="46">
        <v>45349</v>
      </c>
      <c r="T963" s="48">
        <v>45349</v>
      </c>
      <c r="U963" s="69"/>
      <c r="V963" s="69"/>
      <c r="W963" s="69"/>
      <c r="X963" s="69"/>
      <c r="Y963" s="69" t="s">
        <v>4130</v>
      </c>
      <c r="Z963" s="43">
        <v>490000</v>
      </c>
      <c r="AA963" s="43" t="s">
        <v>52</v>
      </c>
      <c r="AB963" s="43" t="s">
        <v>53</v>
      </c>
      <c r="AC963" s="43">
        <v>1460</v>
      </c>
      <c r="AD963" s="141">
        <v>4</v>
      </c>
      <c r="AE963" s="142">
        <v>0</v>
      </c>
      <c r="AF963" s="142"/>
      <c r="AG963" s="69" t="str">
        <f t="shared" si="432"/>
        <v>0 years 309 days</v>
      </c>
      <c r="AH963" s="69">
        <v>0</v>
      </c>
      <c r="AI963" s="69">
        <v>309</v>
      </c>
      <c r="AJ963" s="69">
        <v>0</v>
      </c>
      <c r="AK963" s="69">
        <v>0</v>
      </c>
      <c r="AL963" s="60">
        <v>490000</v>
      </c>
      <c r="AM963" s="60">
        <f t="shared" si="433"/>
        <v>490000</v>
      </c>
      <c r="AN963" s="59">
        <v>490000</v>
      </c>
      <c r="AO963" s="148">
        <f t="shared" si="434"/>
        <v>-490000</v>
      </c>
      <c r="AP963" s="58">
        <v>0</v>
      </c>
      <c r="AQ963" s="143">
        <f t="shared" si="435"/>
        <v>0</v>
      </c>
    </row>
    <row r="964" spans="1:43" x14ac:dyDescent="0.35">
      <c r="A964" s="69" t="s">
        <v>43</v>
      </c>
      <c r="B964" s="15" t="s">
        <v>2976</v>
      </c>
      <c r="C964" s="15"/>
      <c r="D964" s="69"/>
      <c r="E964" s="76">
        <v>0</v>
      </c>
      <c r="F964" s="69" t="s">
        <v>2960</v>
      </c>
      <c r="G964" s="132" t="s">
        <v>2961</v>
      </c>
      <c r="H964" s="15">
        <v>9013000003</v>
      </c>
      <c r="I964" s="92" t="s">
        <v>593</v>
      </c>
      <c r="J964" s="92">
        <v>1202020101</v>
      </c>
      <c r="K964" s="34" t="s">
        <v>2977</v>
      </c>
      <c r="L964" s="95" t="s">
        <v>2978</v>
      </c>
      <c r="M964" s="69" t="s">
        <v>49</v>
      </c>
      <c r="N964" s="69"/>
      <c r="O964" s="94">
        <v>1</v>
      </c>
      <c r="P964" s="69" t="s">
        <v>50</v>
      </c>
      <c r="Q964" s="69" t="s">
        <v>51</v>
      </c>
      <c r="R964" s="69"/>
      <c r="S964" s="46">
        <v>40761</v>
      </c>
      <c r="T964" s="48">
        <v>43191</v>
      </c>
      <c r="U964" s="69"/>
      <c r="V964" s="69"/>
      <c r="W964" s="69"/>
      <c r="X964" s="69"/>
      <c r="Y964" s="69" t="s">
        <v>4125</v>
      </c>
      <c r="Z964" s="43">
        <v>155000</v>
      </c>
      <c r="AA964" s="43" t="s">
        <v>52</v>
      </c>
      <c r="AB964" s="43" t="s">
        <v>53</v>
      </c>
      <c r="AC964" s="43">
        <v>183</v>
      </c>
      <c r="AD964" s="141">
        <v>0</v>
      </c>
      <c r="AE964" s="142">
        <v>6</v>
      </c>
      <c r="AF964" s="142"/>
      <c r="AG964" s="69" t="str">
        <f t="shared" si="432"/>
        <v>0 years 183 days</v>
      </c>
      <c r="AH964" s="69">
        <v>0</v>
      </c>
      <c r="AI964" s="69">
        <v>183</v>
      </c>
      <c r="AJ964" s="69">
        <v>0</v>
      </c>
      <c r="AK964" s="69">
        <v>0</v>
      </c>
      <c r="AL964" s="60">
        <v>155000</v>
      </c>
      <c r="AM964" s="60">
        <f t="shared" si="433"/>
        <v>155000</v>
      </c>
      <c r="AN964" s="59">
        <v>155000</v>
      </c>
      <c r="AO964" s="148">
        <f t="shared" si="434"/>
        <v>-155000</v>
      </c>
      <c r="AP964" s="58">
        <v>0</v>
      </c>
      <c r="AQ964" s="143">
        <f t="shared" si="435"/>
        <v>0</v>
      </c>
    </row>
    <row r="965" spans="1:43" x14ac:dyDescent="0.35">
      <c r="A965" s="69" t="s">
        <v>43</v>
      </c>
      <c r="B965" s="15" t="s">
        <v>2979</v>
      </c>
      <c r="C965" s="15"/>
      <c r="D965" s="69"/>
      <c r="E965" s="76">
        <v>0</v>
      </c>
      <c r="F965" s="69" t="s">
        <v>2960</v>
      </c>
      <c r="G965" s="132" t="s">
        <v>2961</v>
      </c>
      <c r="H965" s="15">
        <v>9013000002</v>
      </c>
      <c r="I965" s="92" t="s">
        <v>593</v>
      </c>
      <c r="J965" s="92">
        <v>1202020101</v>
      </c>
      <c r="K965" s="34" t="s">
        <v>2980</v>
      </c>
      <c r="L965" s="95" t="s">
        <v>2981</v>
      </c>
      <c r="M965" s="69" t="s">
        <v>49</v>
      </c>
      <c r="N965" s="69"/>
      <c r="O965" s="94">
        <v>1</v>
      </c>
      <c r="P965" s="69" t="s">
        <v>50</v>
      </c>
      <c r="Q965" s="69" t="s">
        <v>51</v>
      </c>
      <c r="R965" s="69"/>
      <c r="S965" s="46">
        <v>40570</v>
      </c>
      <c r="T965" s="48">
        <v>43191</v>
      </c>
      <c r="U965" s="69"/>
      <c r="V965" s="69"/>
      <c r="W965" s="69"/>
      <c r="X965" s="69"/>
      <c r="Y965" s="69" t="s">
        <v>4125</v>
      </c>
      <c r="Z965" s="43">
        <v>60000</v>
      </c>
      <c r="AA965" s="43" t="s">
        <v>52</v>
      </c>
      <c r="AB965" s="43" t="s">
        <v>53</v>
      </c>
      <c r="AC965" s="43">
        <v>183</v>
      </c>
      <c r="AD965" s="141">
        <v>0</v>
      </c>
      <c r="AE965" s="142">
        <v>6</v>
      </c>
      <c r="AF965" s="142"/>
      <c r="AG965" s="69" t="str">
        <f t="shared" ref="AG965:AG966" si="436">_xlfn.CONCAT(AH965," years ",AI965," days")</f>
        <v>0 years 183 days</v>
      </c>
      <c r="AH965" s="69">
        <v>0</v>
      </c>
      <c r="AI965" s="69">
        <v>183</v>
      </c>
      <c r="AJ965" s="69">
        <v>0</v>
      </c>
      <c r="AK965" s="69">
        <v>0</v>
      </c>
      <c r="AL965" s="60">
        <v>60000</v>
      </c>
      <c r="AM965" s="60">
        <f t="shared" ref="AM965:AM966" si="437">ROUND(AL965,2)</f>
        <v>60000</v>
      </c>
      <c r="AN965" s="59">
        <v>60000</v>
      </c>
      <c r="AO965" s="148">
        <f t="shared" ref="AO965:AO966" si="438">ROUND(AN965,2)*-1</f>
        <v>-60000</v>
      </c>
      <c r="AP965" s="58">
        <v>0</v>
      </c>
      <c r="AQ965" s="143">
        <f t="shared" ref="AQ965:AQ966" si="439">ROUND(AP965,2)*-1</f>
        <v>0</v>
      </c>
    </row>
    <row r="966" spans="1:43" x14ac:dyDescent="0.35">
      <c r="A966" s="69" t="s">
        <v>43</v>
      </c>
      <c r="B966" s="15" t="s">
        <v>2982</v>
      </c>
      <c r="C966" s="15"/>
      <c r="D966" s="69"/>
      <c r="E966" s="76">
        <v>0</v>
      </c>
      <c r="F966" s="69" t="s">
        <v>2960</v>
      </c>
      <c r="G966" s="132" t="s">
        <v>2961</v>
      </c>
      <c r="H966" s="15">
        <v>9013000007</v>
      </c>
      <c r="I966" s="92" t="s">
        <v>593</v>
      </c>
      <c r="J966" s="92">
        <v>1202020101</v>
      </c>
      <c r="K966" s="34" t="s">
        <v>2983</v>
      </c>
      <c r="L966" s="95" t="s">
        <v>2984</v>
      </c>
      <c r="M966" s="69" t="s">
        <v>2985</v>
      </c>
      <c r="N966" s="69"/>
      <c r="O966" s="94">
        <v>1</v>
      </c>
      <c r="P966" s="69" t="s">
        <v>50</v>
      </c>
      <c r="Q966" s="69" t="s">
        <v>51</v>
      </c>
      <c r="R966" s="69"/>
      <c r="S966" s="46">
        <v>41230</v>
      </c>
      <c r="T966" s="48">
        <v>43191</v>
      </c>
      <c r="U966" s="69"/>
      <c r="V966" s="69"/>
      <c r="W966" s="69"/>
      <c r="X966" s="69"/>
      <c r="Y966" s="69" t="s">
        <v>4125</v>
      </c>
      <c r="Z966" s="43">
        <v>26000</v>
      </c>
      <c r="AA966" s="43" t="s">
        <v>52</v>
      </c>
      <c r="AB966" s="43" t="s">
        <v>53</v>
      </c>
      <c r="AC966" s="43">
        <v>183</v>
      </c>
      <c r="AD966" s="141">
        <v>0</v>
      </c>
      <c r="AE966" s="142">
        <v>6</v>
      </c>
      <c r="AF966" s="142"/>
      <c r="AG966" s="69" t="str">
        <f t="shared" si="436"/>
        <v>0 years 183 days</v>
      </c>
      <c r="AH966" s="69">
        <v>0</v>
      </c>
      <c r="AI966" s="69">
        <v>183</v>
      </c>
      <c r="AJ966" s="69">
        <v>0</v>
      </c>
      <c r="AK966" s="69">
        <v>0</v>
      </c>
      <c r="AL966" s="60">
        <v>26000</v>
      </c>
      <c r="AM966" s="60">
        <f t="shared" si="437"/>
        <v>26000</v>
      </c>
      <c r="AN966" s="59">
        <v>26000</v>
      </c>
      <c r="AO966" s="148">
        <f t="shared" si="438"/>
        <v>-26000</v>
      </c>
      <c r="AP966" s="58">
        <v>0</v>
      </c>
      <c r="AQ966" s="143">
        <f t="shared" si="439"/>
        <v>0</v>
      </c>
    </row>
    <row r="967" spans="1:43" x14ac:dyDescent="0.35">
      <c r="A967" s="69" t="s">
        <v>43</v>
      </c>
      <c r="B967" s="15" t="s">
        <v>2986</v>
      </c>
      <c r="C967" s="15"/>
      <c r="D967" s="69"/>
      <c r="E967" s="76">
        <v>0</v>
      </c>
      <c r="F967" s="69" t="s">
        <v>2960</v>
      </c>
      <c r="G967" s="132" t="s">
        <v>2961</v>
      </c>
      <c r="H967" s="15">
        <v>9013000008</v>
      </c>
      <c r="I967" s="92" t="s">
        <v>593</v>
      </c>
      <c r="J967" s="92">
        <v>1202020101</v>
      </c>
      <c r="K967" s="35" t="s">
        <v>2987</v>
      </c>
      <c r="L967" s="95" t="s">
        <v>2988</v>
      </c>
      <c r="M967" s="69" t="s">
        <v>2989</v>
      </c>
      <c r="N967" s="69"/>
      <c r="O967" s="94">
        <v>1</v>
      </c>
      <c r="P967" s="69" t="s">
        <v>50</v>
      </c>
      <c r="Q967" s="69" t="s">
        <v>51</v>
      </c>
      <c r="R967" s="69"/>
      <c r="S967" s="46">
        <v>42299</v>
      </c>
      <c r="T967" s="48">
        <v>43191</v>
      </c>
      <c r="U967" s="69"/>
      <c r="V967" s="69"/>
      <c r="W967" s="69"/>
      <c r="X967" s="69"/>
      <c r="Y967" s="69" t="s">
        <v>4125</v>
      </c>
      <c r="Z967" s="43">
        <v>760000</v>
      </c>
      <c r="AA967" s="43" t="s">
        <v>52</v>
      </c>
      <c r="AB967" s="43" t="s">
        <v>53</v>
      </c>
      <c r="AC967" s="43">
        <v>913</v>
      </c>
      <c r="AD967" s="141">
        <v>2</v>
      </c>
      <c r="AE967" s="142">
        <v>6</v>
      </c>
      <c r="AF967" s="142"/>
      <c r="AG967" s="69" t="str">
        <f>_xlfn.CONCAT(AH967," years ",AI967," days")</f>
        <v>2 years 183 days</v>
      </c>
      <c r="AH967" s="69">
        <v>2</v>
      </c>
      <c r="AI967" s="69">
        <v>183</v>
      </c>
      <c r="AJ967" s="69">
        <v>0</v>
      </c>
      <c r="AK967" s="69">
        <v>0</v>
      </c>
      <c r="AL967" s="60">
        <v>760000</v>
      </c>
      <c r="AM967" s="60">
        <f>ROUND(AL967,2)</f>
        <v>760000</v>
      </c>
      <c r="AN967" s="59">
        <v>760000</v>
      </c>
      <c r="AO967" s="148">
        <f>ROUND(AN967,2)*-1</f>
        <v>-760000</v>
      </c>
      <c r="AP967" s="58">
        <v>0</v>
      </c>
      <c r="AQ967" s="143">
        <f>ROUND(AP967,2)*-1</f>
        <v>0</v>
      </c>
    </row>
    <row r="968" spans="1:43" x14ac:dyDescent="0.35">
      <c r="A968" s="69" t="s">
        <v>43</v>
      </c>
      <c r="B968" s="15" t="s">
        <v>2990</v>
      </c>
      <c r="C968" s="15"/>
      <c r="D968" s="69"/>
      <c r="E968" s="76">
        <v>0</v>
      </c>
      <c r="F968" s="69" t="s">
        <v>2960</v>
      </c>
      <c r="G968" s="132" t="s">
        <v>2961</v>
      </c>
      <c r="H968" s="15">
        <v>9013000009</v>
      </c>
      <c r="I968" s="92" t="s">
        <v>593</v>
      </c>
      <c r="J968" s="92">
        <v>1202020101</v>
      </c>
      <c r="K968" s="35" t="s">
        <v>2991</v>
      </c>
      <c r="L968" s="95" t="s">
        <v>2992</v>
      </c>
      <c r="M968" s="69" t="s">
        <v>2993</v>
      </c>
      <c r="N968" s="69"/>
      <c r="O968" s="94">
        <v>1</v>
      </c>
      <c r="P968" s="69" t="s">
        <v>50</v>
      </c>
      <c r="Q968" s="69" t="s">
        <v>51</v>
      </c>
      <c r="R968" s="69"/>
      <c r="S968" s="46">
        <v>43650</v>
      </c>
      <c r="T968" s="48">
        <v>43650</v>
      </c>
      <c r="U968" s="69"/>
      <c r="V968" s="69"/>
      <c r="W968" s="69"/>
      <c r="X968" s="69"/>
      <c r="Y968" s="69" t="s">
        <v>4126</v>
      </c>
      <c r="Z968" s="43">
        <v>135000</v>
      </c>
      <c r="AA968" s="43" t="s">
        <v>52</v>
      </c>
      <c r="AB968" s="43" t="s">
        <v>53</v>
      </c>
      <c r="AC968" s="43">
        <v>1460</v>
      </c>
      <c r="AD968" s="141">
        <v>4</v>
      </c>
      <c r="AE968" s="142">
        <v>0</v>
      </c>
      <c r="AF968" s="142"/>
      <c r="AG968" s="69" t="str">
        <f>_xlfn.CONCAT(AH968," years ",AI968," days")</f>
        <v>4 years 0 days</v>
      </c>
      <c r="AH968" s="69">
        <v>4</v>
      </c>
      <c r="AI968" s="69">
        <v>0</v>
      </c>
      <c r="AJ968" s="69">
        <v>0</v>
      </c>
      <c r="AK968" s="69">
        <v>0</v>
      </c>
      <c r="AL968" s="60">
        <v>135000</v>
      </c>
      <c r="AM968" s="60">
        <f>ROUND(AL968,2)</f>
        <v>135000</v>
      </c>
      <c r="AN968" s="59">
        <v>135000</v>
      </c>
      <c r="AO968" s="148">
        <f>ROUND(AN968,2)*-1</f>
        <v>-135000</v>
      </c>
      <c r="AP968" s="58">
        <v>0</v>
      </c>
      <c r="AQ968" s="143">
        <f>ROUND(AP968,2)*-1</f>
        <v>0</v>
      </c>
    </row>
    <row r="969" spans="1:43" x14ac:dyDescent="0.35">
      <c r="A969" s="69" t="s">
        <v>43</v>
      </c>
      <c r="B969" s="15" t="s">
        <v>2994</v>
      </c>
      <c r="C969" s="15"/>
      <c r="D969" s="69"/>
      <c r="E969" s="76">
        <v>0</v>
      </c>
      <c r="F969" s="69" t="s">
        <v>2960</v>
      </c>
      <c r="G969" s="132" t="s">
        <v>2961</v>
      </c>
      <c r="H969" s="15">
        <v>9013000010</v>
      </c>
      <c r="I969" s="92" t="s">
        <v>593</v>
      </c>
      <c r="J969" s="92">
        <v>1202020101</v>
      </c>
      <c r="K969" s="35" t="s">
        <v>2995</v>
      </c>
      <c r="L969" s="95" t="s">
        <v>2996</v>
      </c>
      <c r="M969" s="69" t="s">
        <v>49</v>
      </c>
      <c r="N969" s="69"/>
      <c r="O969" s="94">
        <v>1</v>
      </c>
      <c r="P969" s="69" t="s">
        <v>50</v>
      </c>
      <c r="Q969" s="69" t="s">
        <v>51</v>
      </c>
      <c r="R969" s="69"/>
      <c r="S969" s="46">
        <v>41258</v>
      </c>
      <c r="T969" s="48">
        <v>43191</v>
      </c>
      <c r="U969" s="69"/>
      <c r="V969" s="69"/>
      <c r="W969" s="69"/>
      <c r="X969" s="69"/>
      <c r="Y969" s="69" t="s">
        <v>4125</v>
      </c>
      <c r="Z969" s="43">
        <v>175000</v>
      </c>
      <c r="AA969" s="43" t="s">
        <v>52</v>
      </c>
      <c r="AB969" s="43" t="s">
        <v>53</v>
      </c>
      <c r="AC969" s="43">
        <v>183</v>
      </c>
      <c r="AD969" s="141">
        <v>0</v>
      </c>
      <c r="AE969" s="142">
        <v>6</v>
      </c>
      <c r="AF969" s="142"/>
      <c r="AG969" s="69" t="str">
        <f>_xlfn.CONCAT(AH969," years ",AI969," days")</f>
        <v>0 years 183 days</v>
      </c>
      <c r="AH969" s="69">
        <v>0</v>
      </c>
      <c r="AI969" s="69">
        <v>183</v>
      </c>
      <c r="AJ969" s="69">
        <v>0</v>
      </c>
      <c r="AK969" s="69">
        <v>0</v>
      </c>
      <c r="AL969" s="60">
        <v>175000</v>
      </c>
      <c r="AM969" s="60">
        <f>ROUND(AL969,2)</f>
        <v>175000</v>
      </c>
      <c r="AN969" s="59">
        <v>175000</v>
      </c>
      <c r="AO969" s="148">
        <f>ROUND(AN969,2)*-1</f>
        <v>-175000</v>
      </c>
      <c r="AP969" s="58">
        <v>0</v>
      </c>
      <c r="AQ969" s="143">
        <f>ROUND(AP969,2)*-1</f>
        <v>0</v>
      </c>
    </row>
    <row r="970" spans="1:43" x14ac:dyDescent="0.35">
      <c r="A970" s="69" t="s">
        <v>43</v>
      </c>
      <c r="B970" s="15" t="s">
        <v>2997</v>
      </c>
      <c r="C970" s="15"/>
      <c r="D970" s="69"/>
      <c r="E970" s="76">
        <v>0</v>
      </c>
      <c r="F970" s="69" t="s">
        <v>2960</v>
      </c>
      <c r="G970" s="132" t="s">
        <v>2961</v>
      </c>
      <c r="H970" s="15">
        <v>9013000011</v>
      </c>
      <c r="I970" s="92" t="s">
        <v>593</v>
      </c>
      <c r="J970" s="92">
        <v>1202020101</v>
      </c>
      <c r="K970" s="35" t="s">
        <v>2998</v>
      </c>
      <c r="L970" s="95" t="s">
        <v>2999</v>
      </c>
      <c r="M970" s="69" t="s">
        <v>49</v>
      </c>
      <c r="N970" s="69"/>
      <c r="O970" s="94">
        <v>1</v>
      </c>
      <c r="P970" s="69" t="s">
        <v>50</v>
      </c>
      <c r="Q970" s="69" t="s">
        <v>51</v>
      </c>
      <c r="R970" s="69"/>
      <c r="S970" s="46">
        <v>43879</v>
      </c>
      <c r="T970" s="48">
        <v>43879</v>
      </c>
      <c r="U970" s="69"/>
      <c r="V970" s="69"/>
      <c r="W970" s="69"/>
      <c r="X970" s="69"/>
      <c r="Y970" s="69" t="s">
        <v>4127</v>
      </c>
      <c r="Z970" s="43">
        <v>155000</v>
      </c>
      <c r="AA970" s="43" t="s">
        <v>52</v>
      </c>
      <c r="AB970" s="43" t="s">
        <v>53</v>
      </c>
      <c r="AC970" s="43">
        <v>1460</v>
      </c>
      <c r="AD970" s="141">
        <v>4</v>
      </c>
      <c r="AE970" s="142">
        <v>0</v>
      </c>
      <c r="AF970" s="142"/>
      <c r="AG970" s="69" t="str">
        <f t="shared" ref="AG970:AG971" si="440">_xlfn.CONCAT(AH970," years ",AI970," days")</f>
        <v>4 years 0 days</v>
      </c>
      <c r="AH970" s="69">
        <v>4</v>
      </c>
      <c r="AI970" s="69">
        <v>0</v>
      </c>
      <c r="AJ970" s="69">
        <v>0</v>
      </c>
      <c r="AK970" s="69">
        <v>0</v>
      </c>
      <c r="AL970" s="60">
        <v>155000</v>
      </c>
      <c r="AM970" s="60">
        <f t="shared" ref="AM970:AM971" si="441">ROUND(AL970,2)</f>
        <v>155000</v>
      </c>
      <c r="AN970" s="59">
        <v>155000</v>
      </c>
      <c r="AO970" s="148">
        <f t="shared" ref="AO970:AO971" si="442">ROUND(AN970,2)*-1</f>
        <v>-155000</v>
      </c>
      <c r="AP970" s="58">
        <v>0</v>
      </c>
      <c r="AQ970" s="143">
        <f t="shared" ref="AQ970:AQ971" si="443">ROUND(AP970,2)*-1</f>
        <v>0</v>
      </c>
    </row>
    <row r="971" spans="1:43" x14ac:dyDescent="0.35">
      <c r="A971" s="69" t="s">
        <v>43</v>
      </c>
      <c r="B971" s="15" t="s">
        <v>3000</v>
      </c>
      <c r="C971" s="15"/>
      <c r="D971" s="69"/>
      <c r="E971" s="76">
        <v>0</v>
      </c>
      <c r="F971" s="69" t="s">
        <v>2960</v>
      </c>
      <c r="G971" s="132" t="s">
        <v>2961</v>
      </c>
      <c r="H971" s="15">
        <v>9013000012</v>
      </c>
      <c r="I971" s="92" t="s">
        <v>593</v>
      </c>
      <c r="J971" s="92">
        <v>1202020101</v>
      </c>
      <c r="K971" s="35" t="s">
        <v>3001</v>
      </c>
      <c r="L971" s="95" t="s">
        <v>3002</v>
      </c>
      <c r="M971" s="69" t="s">
        <v>3003</v>
      </c>
      <c r="N971" s="69"/>
      <c r="O971" s="94">
        <v>1</v>
      </c>
      <c r="P971" s="69" t="s">
        <v>50</v>
      </c>
      <c r="Q971" s="69" t="s">
        <v>51</v>
      </c>
      <c r="R971" s="69"/>
      <c r="S971" s="46">
        <v>42246</v>
      </c>
      <c r="T971" s="48">
        <v>43191</v>
      </c>
      <c r="U971" s="69"/>
      <c r="V971" s="69"/>
      <c r="W971" s="69"/>
      <c r="X971" s="69"/>
      <c r="Y971" s="69" t="s">
        <v>4125</v>
      </c>
      <c r="Z971" s="43">
        <v>48000</v>
      </c>
      <c r="AA971" s="43" t="s">
        <v>52</v>
      </c>
      <c r="AB971" s="43" t="s">
        <v>53</v>
      </c>
      <c r="AC971" s="43">
        <v>876</v>
      </c>
      <c r="AD971" s="141">
        <v>2</v>
      </c>
      <c r="AE971" s="142">
        <v>5</v>
      </c>
      <c r="AF971" s="142"/>
      <c r="AG971" s="69" t="str">
        <f t="shared" si="440"/>
        <v>2 years 146 days</v>
      </c>
      <c r="AH971" s="69">
        <v>2</v>
      </c>
      <c r="AI971" s="69">
        <v>146</v>
      </c>
      <c r="AJ971" s="69">
        <v>0</v>
      </c>
      <c r="AK971" s="69">
        <v>0</v>
      </c>
      <c r="AL971" s="60">
        <v>48000</v>
      </c>
      <c r="AM971" s="60">
        <f t="shared" si="441"/>
        <v>48000</v>
      </c>
      <c r="AN971" s="59">
        <v>48000</v>
      </c>
      <c r="AO971" s="148">
        <f t="shared" si="442"/>
        <v>-48000</v>
      </c>
      <c r="AP971" s="58">
        <v>0</v>
      </c>
      <c r="AQ971" s="143">
        <f t="shared" si="443"/>
        <v>0</v>
      </c>
    </row>
    <row r="972" spans="1:43" x14ac:dyDescent="0.35">
      <c r="A972" s="69" t="s">
        <v>43</v>
      </c>
      <c r="B972" s="15" t="s">
        <v>3004</v>
      </c>
      <c r="C972" s="15"/>
      <c r="D972" s="69"/>
      <c r="E972" s="76">
        <v>0</v>
      </c>
      <c r="F972" s="69" t="s">
        <v>2960</v>
      </c>
      <c r="G972" s="132" t="s">
        <v>2961</v>
      </c>
      <c r="H972" s="15">
        <v>9013000013</v>
      </c>
      <c r="I972" s="92" t="s">
        <v>593</v>
      </c>
      <c r="J972" s="92">
        <v>1202020101</v>
      </c>
      <c r="K972" s="35" t="s">
        <v>3005</v>
      </c>
      <c r="L972" s="95" t="s">
        <v>3006</v>
      </c>
      <c r="M972" s="69" t="s">
        <v>3007</v>
      </c>
      <c r="N972" s="69"/>
      <c r="O972" s="94">
        <v>1</v>
      </c>
      <c r="P972" s="69" t="s">
        <v>50</v>
      </c>
      <c r="Q972" s="69" t="s">
        <v>51</v>
      </c>
      <c r="R972" s="69"/>
      <c r="S972" s="46">
        <v>42313</v>
      </c>
      <c r="T972" s="48">
        <v>43191</v>
      </c>
      <c r="U972" s="69"/>
      <c r="V972" s="69"/>
      <c r="W972" s="69"/>
      <c r="X972" s="69"/>
      <c r="Y972" s="69" t="s">
        <v>4125</v>
      </c>
      <c r="Z972" s="43">
        <v>770000</v>
      </c>
      <c r="AA972" s="43" t="s">
        <v>52</v>
      </c>
      <c r="AB972" s="43" t="s">
        <v>53</v>
      </c>
      <c r="AC972" s="43">
        <v>913</v>
      </c>
      <c r="AD972" s="141">
        <v>2</v>
      </c>
      <c r="AE972" s="142">
        <v>6</v>
      </c>
      <c r="AF972" s="142"/>
      <c r="AG972" s="69" t="str">
        <f>_xlfn.CONCAT(AH972," years ",AI972," days")</f>
        <v>2 years 183 days</v>
      </c>
      <c r="AH972" s="69">
        <v>2</v>
      </c>
      <c r="AI972" s="69">
        <v>183</v>
      </c>
      <c r="AJ972" s="69">
        <v>0</v>
      </c>
      <c r="AK972" s="69">
        <v>0</v>
      </c>
      <c r="AL972" s="60">
        <v>770000</v>
      </c>
      <c r="AM972" s="60">
        <f>ROUND(AL972,2)</f>
        <v>770000</v>
      </c>
      <c r="AN972" s="59">
        <v>770000</v>
      </c>
      <c r="AO972" s="148">
        <f>ROUND(AN972,2)*-1</f>
        <v>-770000</v>
      </c>
      <c r="AP972" s="58">
        <v>0</v>
      </c>
      <c r="AQ972" s="143">
        <f>ROUND(AP972,2)*-1</f>
        <v>0</v>
      </c>
    </row>
    <row r="973" spans="1:43" x14ac:dyDescent="0.35">
      <c r="A973" s="69" t="s">
        <v>43</v>
      </c>
      <c r="B973" s="15" t="s">
        <v>3008</v>
      </c>
      <c r="C973" s="15"/>
      <c r="D973" s="69"/>
      <c r="E973" s="76">
        <v>0</v>
      </c>
      <c r="F973" s="69" t="s">
        <v>2960</v>
      </c>
      <c r="G973" s="132" t="s">
        <v>2961</v>
      </c>
      <c r="H973" s="15">
        <v>9013000014</v>
      </c>
      <c r="I973" s="92" t="s">
        <v>593</v>
      </c>
      <c r="J973" s="92">
        <v>1202020101</v>
      </c>
      <c r="K973" s="35" t="s">
        <v>3009</v>
      </c>
      <c r="L973" s="95" t="s">
        <v>3010</v>
      </c>
      <c r="M973" s="69" t="s">
        <v>3011</v>
      </c>
      <c r="N973" s="69"/>
      <c r="O973" s="94">
        <v>1</v>
      </c>
      <c r="P973" s="69" t="s">
        <v>50</v>
      </c>
      <c r="Q973" s="69" t="s">
        <v>51</v>
      </c>
      <c r="R973" s="69"/>
      <c r="S973" s="46">
        <v>45555</v>
      </c>
      <c r="T973" s="48">
        <v>45555</v>
      </c>
      <c r="U973" s="69"/>
      <c r="V973" s="69"/>
      <c r="W973" s="69"/>
      <c r="X973" s="69"/>
      <c r="Y973" s="69" t="s">
        <v>4130</v>
      </c>
      <c r="Z973" s="43">
        <v>120500</v>
      </c>
      <c r="AA973" s="43" t="s">
        <v>52</v>
      </c>
      <c r="AB973" s="43" t="s">
        <v>53</v>
      </c>
      <c r="AC973" s="43">
        <v>1460</v>
      </c>
      <c r="AD973" s="141">
        <v>4</v>
      </c>
      <c r="AE973" s="142">
        <v>0</v>
      </c>
      <c r="AF973" s="142"/>
      <c r="AG973" s="69" t="str">
        <f t="shared" ref="AG973:AG974" si="444">_xlfn.CONCAT(AH973," years ",AI973," days")</f>
        <v>0 years 103 days</v>
      </c>
      <c r="AH973" s="69">
        <v>0</v>
      </c>
      <c r="AI973" s="69">
        <v>103</v>
      </c>
      <c r="AJ973" s="69">
        <v>0</v>
      </c>
      <c r="AK973" s="69">
        <v>0</v>
      </c>
      <c r="AL973" s="60">
        <v>120500</v>
      </c>
      <c r="AM973" s="60">
        <f t="shared" ref="AM973:AM974" si="445">ROUND(AL973,2)</f>
        <v>120500</v>
      </c>
      <c r="AN973" s="59">
        <v>12628</v>
      </c>
      <c r="AO973" s="148">
        <f t="shared" ref="AO973:AO974" si="446">ROUND(AN973,2)*-1</f>
        <v>-12628</v>
      </c>
      <c r="AP973" s="58">
        <v>14938.726027397257</v>
      </c>
      <c r="AQ973" s="143">
        <f t="shared" ref="AQ973:AQ974" si="447">ROUND(AP973,2)*-1</f>
        <v>-14938.73</v>
      </c>
    </row>
    <row r="974" spans="1:43" x14ac:dyDescent="0.35">
      <c r="A974" s="69" t="s">
        <v>43</v>
      </c>
      <c r="B974" s="15" t="s">
        <v>3012</v>
      </c>
      <c r="C974" s="15"/>
      <c r="D974" s="69"/>
      <c r="E974" s="76">
        <v>0</v>
      </c>
      <c r="F974" s="69" t="s">
        <v>2960</v>
      </c>
      <c r="G974" s="132" t="s">
        <v>2961</v>
      </c>
      <c r="H974" s="15">
        <v>9013000015</v>
      </c>
      <c r="I974" s="92" t="s">
        <v>593</v>
      </c>
      <c r="J974" s="92">
        <v>1202020101</v>
      </c>
      <c r="K974" s="35" t="s">
        <v>3013</v>
      </c>
      <c r="L974" s="95" t="s">
        <v>3014</v>
      </c>
      <c r="M974" s="69" t="s">
        <v>3015</v>
      </c>
      <c r="N974" s="69"/>
      <c r="O974" s="94">
        <v>1</v>
      </c>
      <c r="P974" s="69" t="s">
        <v>50</v>
      </c>
      <c r="Q974" s="69" t="s">
        <v>51</v>
      </c>
      <c r="R974" s="69"/>
      <c r="S974" s="46">
        <v>45809</v>
      </c>
      <c r="T974" s="48">
        <v>45809</v>
      </c>
      <c r="U974" s="69"/>
      <c r="V974" s="69"/>
      <c r="W974" s="69"/>
      <c r="X974" s="69"/>
      <c r="Y974" s="69" t="s">
        <v>4132</v>
      </c>
      <c r="Z974" s="43">
        <v>0</v>
      </c>
      <c r="AA974" s="43" t="s">
        <v>52</v>
      </c>
      <c r="AB974" s="43" t="s">
        <v>53</v>
      </c>
      <c r="AC974" s="43">
        <v>1460</v>
      </c>
      <c r="AD974" s="141">
        <v>4</v>
      </c>
      <c r="AE974" s="142">
        <v>0</v>
      </c>
      <c r="AF974" s="142"/>
      <c r="AG974" s="69" t="str">
        <f t="shared" si="444"/>
        <v>0 years 0 days</v>
      </c>
      <c r="AH974" s="69">
        <v>0</v>
      </c>
      <c r="AI974" s="69">
        <v>0</v>
      </c>
      <c r="AJ974" s="69">
        <v>0</v>
      </c>
      <c r="AK974" s="69">
        <v>0</v>
      </c>
      <c r="AL974" s="60">
        <v>166000</v>
      </c>
      <c r="AM974" s="60">
        <f t="shared" si="445"/>
        <v>166000</v>
      </c>
      <c r="AN974" s="59">
        <v>0</v>
      </c>
      <c r="AO974" s="148">
        <f t="shared" si="446"/>
        <v>0</v>
      </c>
      <c r="AP974" s="58">
        <v>3410.9589041095892</v>
      </c>
      <c r="AQ974" s="143">
        <f t="shared" si="447"/>
        <v>-3410.96</v>
      </c>
    </row>
    <row r="975" spans="1:43" x14ac:dyDescent="0.35">
      <c r="A975" s="69" t="s">
        <v>43</v>
      </c>
      <c r="B975" s="15" t="s">
        <v>3016</v>
      </c>
      <c r="C975" s="15"/>
      <c r="D975" s="69"/>
      <c r="E975" s="76">
        <v>0</v>
      </c>
      <c r="F975" s="69" t="s">
        <v>2960</v>
      </c>
      <c r="G975" s="132" t="s">
        <v>2961</v>
      </c>
      <c r="H975" s="15">
        <v>9013000016</v>
      </c>
      <c r="I975" s="92" t="s">
        <v>593</v>
      </c>
      <c r="J975" s="92">
        <v>1202020101</v>
      </c>
      <c r="K975" s="35" t="s">
        <v>3017</v>
      </c>
      <c r="L975" s="95" t="s">
        <v>3018</v>
      </c>
      <c r="M975" s="69" t="s">
        <v>49</v>
      </c>
      <c r="N975" s="69"/>
      <c r="O975" s="94">
        <v>1</v>
      </c>
      <c r="P975" s="69" t="s">
        <v>50</v>
      </c>
      <c r="Q975" s="69" t="s">
        <v>51</v>
      </c>
      <c r="R975" s="69"/>
      <c r="S975" s="46">
        <v>40495</v>
      </c>
      <c r="T975" s="48">
        <v>43191</v>
      </c>
      <c r="U975" s="69"/>
      <c r="V975" s="69"/>
      <c r="W975" s="69"/>
      <c r="X975" s="69"/>
      <c r="Y975" s="69" t="s">
        <v>4125</v>
      </c>
      <c r="Z975" s="43">
        <v>155000</v>
      </c>
      <c r="AA975" s="43" t="s">
        <v>52</v>
      </c>
      <c r="AB975" s="43" t="s">
        <v>53</v>
      </c>
      <c r="AC975" s="43">
        <v>183</v>
      </c>
      <c r="AD975" s="141">
        <v>0</v>
      </c>
      <c r="AE975" s="142">
        <v>6</v>
      </c>
      <c r="AF975" s="142"/>
      <c r="AG975" s="69" t="str">
        <f t="shared" ref="AG975:AG976" si="448">_xlfn.CONCAT(AH975," years ",AI975," days")</f>
        <v>0 years 183 days</v>
      </c>
      <c r="AH975" s="69">
        <v>0</v>
      </c>
      <c r="AI975" s="69">
        <v>183</v>
      </c>
      <c r="AJ975" s="69">
        <v>0</v>
      </c>
      <c r="AK975" s="69">
        <v>0</v>
      </c>
      <c r="AL975" s="60">
        <v>155000</v>
      </c>
      <c r="AM975" s="60">
        <f t="shared" ref="AM975:AM976" si="449">ROUND(AL975,2)</f>
        <v>155000</v>
      </c>
      <c r="AN975" s="59">
        <v>155000</v>
      </c>
      <c r="AO975" s="148">
        <f t="shared" ref="AO975:AO976" si="450">ROUND(AN975,2)*-1</f>
        <v>-155000</v>
      </c>
      <c r="AP975" s="58">
        <v>0</v>
      </c>
      <c r="AQ975" s="143">
        <f t="shared" ref="AQ975:AQ976" si="451">ROUND(AP975,2)*-1</f>
        <v>0</v>
      </c>
    </row>
    <row r="976" spans="1:43" x14ac:dyDescent="0.35">
      <c r="A976" s="69" t="s">
        <v>43</v>
      </c>
      <c r="B976" s="15" t="s">
        <v>3019</v>
      </c>
      <c r="C976" s="15"/>
      <c r="D976" s="69"/>
      <c r="E976" s="76">
        <v>0</v>
      </c>
      <c r="F976" s="69" t="s">
        <v>2960</v>
      </c>
      <c r="G976" s="132" t="s">
        <v>2961</v>
      </c>
      <c r="H976" s="15">
        <v>9013000017</v>
      </c>
      <c r="I976" s="92" t="s">
        <v>593</v>
      </c>
      <c r="J976" s="92">
        <v>1202020101</v>
      </c>
      <c r="K976" s="35" t="s">
        <v>3020</v>
      </c>
      <c r="L976" s="95" t="s">
        <v>3021</v>
      </c>
      <c r="M976" s="69" t="s">
        <v>3022</v>
      </c>
      <c r="N976" s="69"/>
      <c r="O976" s="94">
        <v>1</v>
      </c>
      <c r="P976" s="69" t="s">
        <v>50</v>
      </c>
      <c r="Q976" s="69" t="s">
        <v>51</v>
      </c>
      <c r="R976" s="69"/>
      <c r="S976" s="46">
        <v>44275</v>
      </c>
      <c r="T976" s="48">
        <v>44275</v>
      </c>
      <c r="U976" s="69"/>
      <c r="V976" s="69"/>
      <c r="W976" s="69"/>
      <c r="X976" s="69"/>
      <c r="Y976" s="69" t="s">
        <v>4128</v>
      </c>
      <c r="Z976" s="43">
        <v>1375000</v>
      </c>
      <c r="AA976" s="43" t="s">
        <v>52</v>
      </c>
      <c r="AB976" s="43" t="s">
        <v>53</v>
      </c>
      <c r="AC976" s="43">
        <v>1460</v>
      </c>
      <c r="AD976" s="141">
        <v>4</v>
      </c>
      <c r="AE976" s="142">
        <v>0</v>
      </c>
      <c r="AF976" s="142"/>
      <c r="AG976" s="69" t="str">
        <f t="shared" si="448"/>
        <v>3 years 288 days</v>
      </c>
      <c r="AH976" s="69">
        <v>3</v>
      </c>
      <c r="AI976" s="69">
        <v>288</v>
      </c>
      <c r="AJ976" s="69">
        <v>0</v>
      </c>
      <c r="AK976" s="69">
        <v>0</v>
      </c>
      <c r="AL976" s="60">
        <v>1375000</v>
      </c>
      <c r="AM976" s="60">
        <f t="shared" si="449"/>
        <v>1375000</v>
      </c>
      <c r="AN976" s="59">
        <v>1302483</v>
      </c>
      <c r="AO976" s="148">
        <f t="shared" si="450"/>
        <v>-1302483</v>
      </c>
      <c r="AP976" s="58">
        <v>72517</v>
      </c>
      <c r="AQ976" s="143">
        <f t="shared" si="451"/>
        <v>-72517</v>
      </c>
    </row>
    <row r="977" spans="1:43" x14ac:dyDescent="0.35">
      <c r="A977" s="69" t="s">
        <v>43</v>
      </c>
      <c r="B977" s="15" t="s">
        <v>3023</v>
      </c>
      <c r="C977" s="15"/>
      <c r="D977" s="69"/>
      <c r="E977" s="76">
        <v>0</v>
      </c>
      <c r="F977" s="69" t="s">
        <v>2960</v>
      </c>
      <c r="G977" s="132" t="s">
        <v>2961</v>
      </c>
      <c r="H977" s="15">
        <v>9013000018</v>
      </c>
      <c r="I977" s="92" t="s">
        <v>593</v>
      </c>
      <c r="J977" s="92">
        <v>1202020101</v>
      </c>
      <c r="K977" s="35" t="s">
        <v>3024</v>
      </c>
      <c r="L977" s="95" t="s">
        <v>3025</v>
      </c>
      <c r="M977" s="69" t="s">
        <v>49</v>
      </c>
      <c r="N977" s="69"/>
      <c r="O977" s="94">
        <v>1</v>
      </c>
      <c r="P977" s="69" t="s">
        <v>50</v>
      </c>
      <c r="Q977" s="69" t="s">
        <v>51</v>
      </c>
      <c r="R977" s="69"/>
      <c r="S977" s="46">
        <v>40480</v>
      </c>
      <c r="T977" s="48">
        <v>43191</v>
      </c>
      <c r="U977" s="69"/>
      <c r="V977" s="69"/>
      <c r="W977" s="69"/>
      <c r="X977" s="69"/>
      <c r="Y977" s="69" t="s">
        <v>4125</v>
      </c>
      <c r="Z977" s="43">
        <v>160000</v>
      </c>
      <c r="AA977" s="43" t="s">
        <v>52</v>
      </c>
      <c r="AB977" s="43" t="s">
        <v>53</v>
      </c>
      <c r="AC977" s="43">
        <v>183</v>
      </c>
      <c r="AD977" s="141">
        <v>0</v>
      </c>
      <c r="AE977" s="142">
        <v>6</v>
      </c>
      <c r="AF977" s="142"/>
      <c r="AG977" s="69" t="str">
        <f t="shared" ref="AG977:AG978" si="452">_xlfn.CONCAT(AH977," years ",AI977," days")</f>
        <v>0 years 183 days</v>
      </c>
      <c r="AH977" s="69">
        <v>0</v>
      </c>
      <c r="AI977" s="69">
        <v>183</v>
      </c>
      <c r="AJ977" s="69">
        <v>0</v>
      </c>
      <c r="AK977" s="69">
        <v>0</v>
      </c>
      <c r="AL977" s="60">
        <v>160000</v>
      </c>
      <c r="AM977" s="60">
        <f t="shared" ref="AM977:AM978" si="453">ROUND(AL977,2)</f>
        <v>160000</v>
      </c>
      <c r="AN977" s="59">
        <v>160000</v>
      </c>
      <c r="AO977" s="148">
        <f t="shared" ref="AO977:AO978" si="454">ROUND(AN977,2)*-1</f>
        <v>-160000</v>
      </c>
      <c r="AP977" s="58">
        <v>0</v>
      </c>
      <c r="AQ977" s="143">
        <f t="shared" ref="AQ977:AQ978" si="455">ROUND(AP977,2)*-1</f>
        <v>0</v>
      </c>
    </row>
    <row r="978" spans="1:43" x14ac:dyDescent="0.35">
      <c r="A978" s="69" t="s">
        <v>43</v>
      </c>
      <c r="B978" s="15" t="s">
        <v>3026</v>
      </c>
      <c r="C978" s="15"/>
      <c r="D978" s="69"/>
      <c r="E978" s="76">
        <v>0</v>
      </c>
      <c r="F978" s="69" t="s">
        <v>2960</v>
      </c>
      <c r="G978" s="132" t="s">
        <v>2961</v>
      </c>
      <c r="H978" s="15">
        <v>9013000019</v>
      </c>
      <c r="I978" s="92" t="s">
        <v>593</v>
      </c>
      <c r="J978" s="92">
        <v>1202020101</v>
      </c>
      <c r="K978" s="35" t="s">
        <v>3027</v>
      </c>
      <c r="L978" s="95" t="s">
        <v>3028</v>
      </c>
      <c r="M978" s="69" t="s">
        <v>3029</v>
      </c>
      <c r="N978" s="69"/>
      <c r="O978" s="94">
        <v>1</v>
      </c>
      <c r="P978" s="69" t="s">
        <v>50</v>
      </c>
      <c r="Q978" s="69" t="s">
        <v>51</v>
      </c>
      <c r="R978" s="69"/>
      <c r="S978" s="46">
        <v>43650</v>
      </c>
      <c r="T978" s="48">
        <v>43650</v>
      </c>
      <c r="U978" s="69"/>
      <c r="V978" s="69"/>
      <c r="W978" s="69"/>
      <c r="X978" s="69"/>
      <c r="Y978" s="69" t="s">
        <v>4126</v>
      </c>
      <c r="Z978" s="43">
        <v>135000</v>
      </c>
      <c r="AA978" s="43" t="s">
        <v>52</v>
      </c>
      <c r="AB978" s="43" t="s">
        <v>53</v>
      </c>
      <c r="AC978" s="43">
        <v>1460</v>
      </c>
      <c r="AD978" s="141">
        <v>4</v>
      </c>
      <c r="AE978" s="142">
        <v>0</v>
      </c>
      <c r="AF978" s="142"/>
      <c r="AG978" s="69" t="str">
        <f t="shared" si="452"/>
        <v>4 years 0 days</v>
      </c>
      <c r="AH978" s="69">
        <v>4</v>
      </c>
      <c r="AI978" s="69">
        <v>0</v>
      </c>
      <c r="AJ978" s="69">
        <v>0</v>
      </c>
      <c r="AK978" s="69">
        <v>0</v>
      </c>
      <c r="AL978" s="60">
        <v>135000</v>
      </c>
      <c r="AM978" s="60">
        <f t="shared" si="453"/>
        <v>135000</v>
      </c>
      <c r="AN978" s="59">
        <v>135000</v>
      </c>
      <c r="AO978" s="148">
        <f t="shared" si="454"/>
        <v>-135000</v>
      </c>
      <c r="AP978" s="58">
        <v>0</v>
      </c>
      <c r="AQ978" s="143">
        <f t="shared" si="455"/>
        <v>0</v>
      </c>
    </row>
    <row r="979" spans="1:43" x14ac:dyDescent="0.35">
      <c r="A979" s="69" t="s">
        <v>43</v>
      </c>
      <c r="B979" s="15" t="s">
        <v>3030</v>
      </c>
      <c r="C979" s="15"/>
      <c r="D979" s="69"/>
      <c r="E979" s="76">
        <v>0</v>
      </c>
      <c r="F979" s="69" t="s">
        <v>2960</v>
      </c>
      <c r="G979" s="132" t="s">
        <v>2961</v>
      </c>
      <c r="H979" s="15">
        <v>9013000020</v>
      </c>
      <c r="I979" s="92" t="s">
        <v>593</v>
      </c>
      <c r="J979" s="92">
        <v>1202020101</v>
      </c>
      <c r="K979" s="35" t="s">
        <v>3031</v>
      </c>
      <c r="L979" s="95" t="s">
        <v>3032</v>
      </c>
      <c r="M979" s="69" t="s">
        <v>49</v>
      </c>
      <c r="N979" s="69"/>
      <c r="O979" s="94">
        <v>1</v>
      </c>
      <c r="P979" s="69" t="s">
        <v>50</v>
      </c>
      <c r="Q979" s="69" t="s">
        <v>51</v>
      </c>
      <c r="R979" s="69"/>
      <c r="S979" s="46">
        <v>40480</v>
      </c>
      <c r="T979" s="48">
        <v>43191</v>
      </c>
      <c r="U979" s="69"/>
      <c r="V979" s="69"/>
      <c r="W979" s="69"/>
      <c r="X979" s="69"/>
      <c r="Y979" s="69" t="s">
        <v>4125</v>
      </c>
      <c r="Z979" s="43">
        <v>160000</v>
      </c>
      <c r="AA979" s="43" t="s">
        <v>52</v>
      </c>
      <c r="AB979" s="43" t="s">
        <v>53</v>
      </c>
      <c r="AC979" s="43">
        <v>183</v>
      </c>
      <c r="AD979" s="141">
        <v>0</v>
      </c>
      <c r="AE979" s="142">
        <v>6</v>
      </c>
      <c r="AF979" s="142"/>
      <c r="AG979" s="69" t="str">
        <f t="shared" ref="AG979:AG980" si="456">_xlfn.CONCAT(AH979," years ",AI979," days")</f>
        <v>0 years 183 days</v>
      </c>
      <c r="AH979" s="69">
        <v>0</v>
      </c>
      <c r="AI979" s="69">
        <v>183</v>
      </c>
      <c r="AJ979" s="69">
        <v>0</v>
      </c>
      <c r="AK979" s="69">
        <v>0</v>
      </c>
      <c r="AL979" s="60">
        <v>160000</v>
      </c>
      <c r="AM979" s="60">
        <f t="shared" ref="AM979:AM980" si="457">ROUND(AL979,2)</f>
        <v>160000</v>
      </c>
      <c r="AN979" s="59">
        <v>160000</v>
      </c>
      <c r="AO979" s="148">
        <f t="shared" ref="AO979:AO980" si="458">ROUND(AN979,2)*-1</f>
        <v>-160000</v>
      </c>
      <c r="AP979" s="58">
        <v>0</v>
      </c>
      <c r="AQ979" s="143">
        <f t="shared" ref="AQ979:AQ980" si="459">ROUND(AP979,2)*-1</f>
        <v>0</v>
      </c>
    </row>
    <row r="980" spans="1:43" x14ac:dyDescent="0.35">
      <c r="A980" s="69" t="s">
        <v>43</v>
      </c>
      <c r="B980" s="15" t="s">
        <v>3033</v>
      </c>
      <c r="C980" s="15"/>
      <c r="D980" s="69"/>
      <c r="E980" s="76">
        <v>0</v>
      </c>
      <c r="F980" s="69" t="s">
        <v>2960</v>
      </c>
      <c r="G980" s="132" t="s">
        <v>2961</v>
      </c>
      <c r="H980" s="15">
        <v>9013000021</v>
      </c>
      <c r="I980" s="92" t="s">
        <v>593</v>
      </c>
      <c r="J980" s="92">
        <v>1202020101</v>
      </c>
      <c r="K980" s="36" t="s">
        <v>3034</v>
      </c>
      <c r="L980" s="95" t="s">
        <v>3035</v>
      </c>
      <c r="M980" s="69" t="s">
        <v>3036</v>
      </c>
      <c r="N980" s="69"/>
      <c r="O980" s="94">
        <v>1</v>
      </c>
      <c r="P980" s="69" t="s">
        <v>50</v>
      </c>
      <c r="Q980" s="69" t="s">
        <v>51</v>
      </c>
      <c r="R980" s="69"/>
      <c r="S980" s="46">
        <v>44663</v>
      </c>
      <c r="T980" s="48">
        <v>44663</v>
      </c>
      <c r="U980" s="69"/>
      <c r="V980" s="69"/>
      <c r="W980" s="69"/>
      <c r="X980" s="69"/>
      <c r="Y980" s="69" t="s">
        <v>4131</v>
      </c>
      <c r="Z980" s="43">
        <v>135000</v>
      </c>
      <c r="AA980" s="43" t="s">
        <v>52</v>
      </c>
      <c r="AB980" s="43" t="s">
        <v>53</v>
      </c>
      <c r="AC980" s="43">
        <v>1460</v>
      </c>
      <c r="AD980" s="141">
        <v>4</v>
      </c>
      <c r="AE980" s="142">
        <v>0</v>
      </c>
      <c r="AF980" s="142"/>
      <c r="AG980" s="69" t="str">
        <f t="shared" si="456"/>
        <v>2 years 265 days</v>
      </c>
      <c r="AH980" s="69">
        <v>2</v>
      </c>
      <c r="AI980" s="69">
        <v>265</v>
      </c>
      <c r="AJ980" s="69">
        <v>0</v>
      </c>
      <c r="AK980" s="69">
        <v>0</v>
      </c>
      <c r="AL980" s="60">
        <v>135000</v>
      </c>
      <c r="AM980" s="60">
        <f t="shared" si="457"/>
        <v>135000</v>
      </c>
      <c r="AN980" s="59">
        <v>135000</v>
      </c>
      <c r="AO980" s="148">
        <f t="shared" si="458"/>
        <v>-135000</v>
      </c>
      <c r="AP980" s="58">
        <v>0</v>
      </c>
      <c r="AQ980" s="143">
        <f t="shared" si="459"/>
        <v>0</v>
      </c>
    </row>
    <row r="981" spans="1:43" x14ac:dyDescent="0.35">
      <c r="A981" s="69" t="s">
        <v>43</v>
      </c>
      <c r="B981" s="15" t="s">
        <v>3037</v>
      </c>
      <c r="C981" s="15"/>
      <c r="D981" s="69"/>
      <c r="E981" s="76">
        <v>0</v>
      </c>
      <c r="F981" s="69" t="s">
        <v>2960</v>
      </c>
      <c r="G981" s="132" t="s">
        <v>2961</v>
      </c>
      <c r="H981" s="15">
        <v>9013000022</v>
      </c>
      <c r="I981" s="92" t="s">
        <v>593</v>
      </c>
      <c r="J981" s="92">
        <v>1202020101</v>
      </c>
      <c r="K981" s="35" t="s">
        <v>3038</v>
      </c>
      <c r="L981" s="95" t="s">
        <v>3039</v>
      </c>
      <c r="M981" s="69" t="s">
        <v>3040</v>
      </c>
      <c r="N981" s="69"/>
      <c r="O981" s="94">
        <v>1</v>
      </c>
      <c r="P981" s="69" t="s">
        <v>50</v>
      </c>
      <c r="Q981" s="69" t="s">
        <v>51</v>
      </c>
      <c r="R981" s="69"/>
      <c r="S981" s="46">
        <v>41407</v>
      </c>
      <c r="T981" s="48">
        <v>43191</v>
      </c>
      <c r="U981" s="69"/>
      <c r="V981" s="69"/>
      <c r="W981" s="69"/>
      <c r="X981" s="69"/>
      <c r="Y981" s="69" t="s">
        <v>4125</v>
      </c>
      <c r="Z981" s="43">
        <v>170000</v>
      </c>
      <c r="AA981" s="43" t="s">
        <v>52</v>
      </c>
      <c r="AB981" s="43" t="s">
        <v>53</v>
      </c>
      <c r="AC981" s="43">
        <v>183</v>
      </c>
      <c r="AD981" s="141">
        <v>0</v>
      </c>
      <c r="AE981" s="142">
        <v>6</v>
      </c>
      <c r="AF981" s="142"/>
      <c r="AG981" s="69" t="str">
        <f t="shared" ref="AG981:AG982" si="460">_xlfn.CONCAT(AH981," years ",AI981," days")</f>
        <v>0 years 183 days</v>
      </c>
      <c r="AH981" s="69">
        <v>0</v>
      </c>
      <c r="AI981" s="69">
        <v>183</v>
      </c>
      <c r="AJ981" s="69">
        <v>0</v>
      </c>
      <c r="AK981" s="69">
        <v>0</v>
      </c>
      <c r="AL981" s="60">
        <v>170000</v>
      </c>
      <c r="AM981" s="60">
        <f t="shared" ref="AM981:AM982" si="461">ROUND(AL981,2)</f>
        <v>170000</v>
      </c>
      <c r="AN981" s="59">
        <v>170000</v>
      </c>
      <c r="AO981" s="148">
        <f t="shared" ref="AO981:AO982" si="462">ROUND(AN981,2)*-1</f>
        <v>-170000</v>
      </c>
      <c r="AP981" s="58">
        <v>0</v>
      </c>
      <c r="AQ981" s="143">
        <f t="shared" ref="AQ981:AQ982" si="463">ROUND(AP981,2)*-1</f>
        <v>0</v>
      </c>
    </row>
    <row r="982" spans="1:43" x14ac:dyDescent="0.35">
      <c r="A982" s="69" t="s">
        <v>43</v>
      </c>
      <c r="B982" s="15" t="s">
        <v>3041</v>
      </c>
      <c r="C982" s="15"/>
      <c r="D982" s="69"/>
      <c r="E982" s="76">
        <v>0</v>
      </c>
      <c r="F982" s="69" t="s">
        <v>2960</v>
      </c>
      <c r="G982" s="132" t="s">
        <v>2961</v>
      </c>
      <c r="H982" s="15">
        <v>9013000023</v>
      </c>
      <c r="I982" s="92" t="s">
        <v>593</v>
      </c>
      <c r="J982" s="92">
        <v>1202020101</v>
      </c>
      <c r="K982" s="35" t="s">
        <v>3042</v>
      </c>
      <c r="L982" s="95" t="s">
        <v>3043</v>
      </c>
      <c r="M982" s="69" t="s">
        <v>3044</v>
      </c>
      <c r="N982" s="69"/>
      <c r="O982" s="94">
        <v>1</v>
      </c>
      <c r="P982" s="69" t="s">
        <v>50</v>
      </c>
      <c r="Q982" s="69" t="s">
        <v>51</v>
      </c>
      <c r="R982" s="69"/>
      <c r="S982" s="46">
        <v>43973</v>
      </c>
      <c r="T982" s="48">
        <v>43973</v>
      </c>
      <c r="U982" s="69"/>
      <c r="V982" s="69"/>
      <c r="W982" s="69"/>
      <c r="X982" s="69"/>
      <c r="Y982" s="69" t="s">
        <v>4127</v>
      </c>
      <c r="Z982" s="43">
        <v>135000</v>
      </c>
      <c r="AA982" s="43" t="s">
        <v>52</v>
      </c>
      <c r="AB982" s="43" t="s">
        <v>53</v>
      </c>
      <c r="AC982" s="43">
        <v>1460</v>
      </c>
      <c r="AD982" s="141">
        <v>4</v>
      </c>
      <c r="AE982" s="142">
        <v>0</v>
      </c>
      <c r="AF982" s="142"/>
      <c r="AG982" s="69" t="str">
        <f t="shared" si="460"/>
        <v>4 years 0 days</v>
      </c>
      <c r="AH982" s="69">
        <v>4</v>
      </c>
      <c r="AI982" s="69">
        <v>0</v>
      </c>
      <c r="AJ982" s="69">
        <v>0</v>
      </c>
      <c r="AK982" s="69">
        <v>0</v>
      </c>
      <c r="AL982" s="60">
        <v>135000</v>
      </c>
      <c r="AM982" s="60">
        <f t="shared" si="461"/>
        <v>135000</v>
      </c>
      <c r="AN982" s="59">
        <v>135000</v>
      </c>
      <c r="AO982" s="148">
        <f t="shared" si="462"/>
        <v>-135000</v>
      </c>
      <c r="AP982" s="58">
        <v>0</v>
      </c>
      <c r="AQ982" s="143">
        <f t="shared" si="463"/>
        <v>0</v>
      </c>
    </row>
    <row r="983" spans="1:43" x14ac:dyDescent="0.35">
      <c r="A983" s="69" t="s">
        <v>43</v>
      </c>
      <c r="B983" s="15" t="s">
        <v>3045</v>
      </c>
      <c r="C983" s="15"/>
      <c r="D983" s="69"/>
      <c r="E983" s="76">
        <v>0</v>
      </c>
      <c r="F983" s="69" t="s">
        <v>2960</v>
      </c>
      <c r="G983" s="132" t="s">
        <v>2961</v>
      </c>
      <c r="H983" s="15">
        <v>9013000024</v>
      </c>
      <c r="I983" s="92" t="s">
        <v>593</v>
      </c>
      <c r="J983" s="92">
        <v>1202020101</v>
      </c>
      <c r="K983" s="35" t="s">
        <v>3046</v>
      </c>
      <c r="L983" s="95" t="s">
        <v>3047</v>
      </c>
      <c r="M983" s="69" t="s">
        <v>49</v>
      </c>
      <c r="N983" s="69"/>
      <c r="O983" s="94">
        <v>1</v>
      </c>
      <c r="P983" s="69" t="s">
        <v>50</v>
      </c>
      <c r="Q983" s="69" t="s">
        <v>51</v>
      </c>
      <c r="R983" s="69"/>
      <c r="S983" s="46">
        <v>41502</v>
      </c>
      <c r="T983" s="48">
        <v>43191</v>
      </c>
      <c r="U983" s="69"/>
      <c r="V983" s="69"/>
      <c r="W983" s="69"/>
      <c r="X983" s="69"/>
      <c r="Y983" s="69" t="s">
        <v>4125</v>
      </c>
      <c r="Z983" s="43">
        <v>14000</v>
      </c>
      <c r="AA983" s="43" t="s">
        <v>52</v>
      </c>
      <c r="AB983" s="43" t="s">
        <v>53</v>
      </c>
      <c r="AC983" s="43">
        <v>183</v>
      </c>
      <c r="AD983" s="141">
        <v>0</v>
      </c>
      <c r="AE983" s="142">
        <v>6</v>
      </c>
      <c r="AF983" s="142"/>
      <c r="AG983" s="69" t="str">
        <f>_xlfn.CONCAT(AH983," years ",AI983," days")</f>
        <v>0 years 183 days</v>
      </c>
      <c r="AH983" s="69">
        <v>0</v>
      </c>
      <c r="AI983" s="69">
        <v>183</v>
      </c>
      <c r="AJ983" s="69">
        <v>0</v>
      </c>
      <c r="AK983" s="69">
        <v>0</v>
      </c>
      <c r="AL983" s="60">
        <v>14000</v>
      </c>
      <c r="AM983" s="60">
        <f>ROUND(AL983,2)</f>
        <v>14000</v>
      </c>
      <c r="AN983" s="59">
        <v>14000</v>
      </c>
      <c r="AO983" s="148">
        <f>ROUND(AN983,2)*-1</f>
        <v>-14000</v>
      </c>
      <c r="AP983" s="58">
        <v>0</v>
      </c>
      <c r="AQ983" s="143">
        <f>ROUND(AP983,2)*-1</f>
        <v>0</v>
      </c>
    </row>
    <row r="984" spans="1:43" x14ac:dyDescent="0.35">
      <c r="A984" s="69" t="s">
        <v>43</v>
      </c>
      <c r="B984" s="15" t="s">
        <v>3048</v>
      </c>
      <c r="C984" s="15"/>
      <c r="D984" s="69"/>
      <c r="E984" s="76">
        <v>0</v>
      </c>
      <c r="F984" s="69" t="s">
        <v>2960</v>
      </c>
      <c r="G984" s="132" t="s">
        <v>2961</v>
      </c>
      <c r="H984" s="15">
        <v>9013000025</v>
      </c>
      <c r="I984" s="92" t="s">
        <v>593</v>
      </c>
      <c r="J984" s="92">
        <v>1202020101</v>
      </c>
      <c r="K984" s="35" t="s">
        <v>3049</v>
      </c>
      <c r="L984" s="95" t="s">
        <v>3050</v>
      </c>
      <c r="M984" s="69" t="s">
        <v>49</v>
      </c>
      <c r="N984" s="69"/>
      <c r="O984" s="94">
        <v>1</v>
      </c>
      <c r="P984" s="69" t="s">
        <v>50</v>
      </c>
      <c r="Q984" s="69" t="s">
        <v>51</v>
      </c>
      <c r="R984" s="69"/>
      <c r="S984" s="46">
        <v>40931</v>
      </c>
      <c r="T984" s="48">
        <v>43191</v>
      </c>
      <c r="U984" s="69"/>
      <c r="V984" s="69"/>
      <c r="W984" s="69"/>
      <c r="X984" s="69"/>
      <c r="Y984" s="69" t="s">
        <v>4125</v>
      </c>
      <c r="Z984" s="43">
        <v>30000</v>
      </c>
      <c r="AA984" s="43" t="s">
        <v>52</v>
      </c>
      <c r="AB984" s="43" t="s">
        <v>53</v>
      </c>
      <c r="AC984" s="43">
        <v>183</v>
      </c>
      <c r="AD984" s="141">
        <v>0</v>
      </c>
      <c r="AE984" s="142">
        <v>6</v>
      </c>
      <c r="AF984" s="142"/>
      <c r="AG984" s="69" t="str">
        <f t="shared" ref="AG984:AG986" si="464">_xlfn.CONCAT(AH984," years ",AI984," days")</f>
        <v>0 years 183 days</v>
      </c>
      <c r="AH984" s="69">
        <v>0</v>
      </c>
      <c r="AI984" s="69">
        <v>183</v>
      </c>
      <c r="AJ984" s="69">
        <v>0</v>
      </c>
      <c r="AK984" s="69">
        <v>0</v>
      </c>
      <c r="AL984" s="60">
        <v>30000</v>
      </c>
      <c r="AM984" s="60">
        <f t="shared" ref="AM984:AM986" si="465">ROUND(AL984,2)</f>
        <v>30000</v>
      </c>
      <c r="AN984" s="59">
        <v>30000</v>
      </c>
      <c r="AO984" s="148">
        <f t="shared" ref="AO984:AO986" si="466">ROUND(AN984,2)*-1</f>
        <v>-30000</v>
      </c>
      <c r="AP984" s="58">
        <v>0</v>
      </c>
      <c r="AQ984" s="143">
        <f t="shared" ref="AQ984:AQ986" si="467">ROUND(AP984,2)*-1</f>
        <v>0</v>
      </c>
    </row>
    <row r="985" spans="1:43" x14ac:dyDescent="0.35">
      <c r="A985" s="69" t="s">
        <v>43</v>
      </c>
      <c r="B985" s="15" t="s">
        <v>3051</v>
      </c>
      <c r="C985" s="15"/>
      <c r="D985" s="69"/>
      <c r="E985" s="76">
        <v>0</v>
      </c>
      <c r="F985" s="69" t="s">
        <v>2960</v>
      </c>
      <c r="G985" s="132" t="s">
        <v>2961</v>
      </c>
      <c r="H985" s="15">
        <v>9013000026</v>
      </c>
      <c r="I985" s="92" t="s">
        <v>593</v>
      </c>
      <c r="J985" s="92">
        <v>1202020101</v>
      </c>
      <c r="K985" s="35" t="s">
        <v>3052</v>
      </c>
      <c r="L985" s="95" t="s">
        <v>3053</v>
      </c>
      <c r="M985" s="69" t="s">
        <v>3054</v>
      </c>
      <c r="N985" s="69"/>
      <c r="O985" s="94">
        <v>1</v>
      </c>
      <c r="P985" s="69" t="s">
        <v>50</v>
      </c>
      <c r="Q985" s="69" t="s">
        <v>51</v>
      </c>
      <c r="R985" s="69"/>
      <c r="S985" s="46">
        <v>43558</v>
      </c>
      <c r="T985" s="48">
        <v>43558</v>
      </c>
      <c r="U985" s="69"/>
      <c r="V985" s="69"/>
      <c r="W985" s="69"/>
      <c r="X985" s="69"/>
      <c r="Y985" s="69" t="s">
        <v>4126</v>
      </c>
      <c r="Z985" s="43">
        <v>106000</v>
      </c>
      <c r="AA985" s="43" t="s">
        <v>52</v>
      </c>
      <c r="AB985" s="43" t="s">
        <v>53</v>
      </c>
      <c r="AC985" s="43">
        <v>1460</v>
      </c>
      <c r="AD985" s="141">
        <v>4</v>
      </c>
      <c r="AE985" s="142">
        <v>0</v>
      </c>
      <c r="AF985" s="142"/>
      <c r="AG985" s="69" t="str">
        <f t="shared" si="464"/>
        <v>4 years 0 days</v>
      </c>
      <c r="AH985" s="69">
        <v>4</v>
      </c>
      <c r="AI985" s="69">
        <v>0</v>
      </c>
      <c r="AJ985" s="69">
        <v>0</v>
      </c>
      <c r="AK985" s="69">
        <v>0</v>
      </c>
      <c r="AL985" s="60">
        <v>106000</v>
      </c>
      <c r="AM985" s="60">
        <f t="shared" si="465"/>
        <v>106000</v>
      </c>
      <c r="AN985" s="59">
        <v>106000</v>
      </c>
      <c r="AO985" s="148">
        <f t="shared" si="466"/>
        <v>-106000</v>
      </c>
      <c r="AP985" s="58">
        <v>0</v>
      </c>
      <c r="AQ985" s="143">
        <f t="shared" si="467"/>
        <v>0</v>
      </c>
    </row>
    <row r="986" spans="1:43" x14ac:dyDescent="0.35">
      <c r="A986" s="69" t="s">
        <v>43</v>
      </c>
      <c r="B986" s="15" t="s">
        <v>3055</v>
      </c>
      <c r="C986" s="15"/>
      <c r="D986" s="69"/>
      <c r="E986" s="76">
        <v>0</v>
      </c>
      <c r="F986" s="69" t="s">
        <v>2960</v>
      </c>
      <c r="G986" s="132" t="s">
        <v>2961</v>
      </c>
      <c r="H986" s="15">
        <v>9013000027</v>
      </c>
      <c r="I986" s="92" t="s">
        <v>593</v>
      </c>
      <c r="J986" s="92">
        <v>1202020101</v>
      </c>
      <c r="K986" s="35" t="s">
        <v>3056</v>
      </c>
      <c r="L986" s="95" t="s">
        <v>3057</v>
      </c>
      <c r="M986" s="69" t="s">
        <v>3058</v>
      </c>
      <c r="N986" s="69"/>
      <c r="O986" s="94">
        <v>2</v>
      </c>
      <c r="P986" s="69" t="s">
        <v>50</v>
      </c>
      <c r="Q986" s="69" t="s">
        <v>51</v>
      </c>
      <c r="R986" s="69"/>
      <c r="S986" s="46">
        <v>44693</v>
      </c>
      <c r="T986" s="48">
        <v>44693</v>
      </c>
      <c r="U986" s="69"/>
      <c r="V986" s="69"/>
      <c r="W986" s="69"/>
      <c r="X986" s="69"/>
      <c r="Y986" s="69" t="s">
        <v>4131</v>
      </c>
      <c r="Z986" s="43">
        <v>270000</v>
      </c>
      <c r="AA986" s="43" t="s">
        <v>52</v>
      </c>
      <c r="AB986" s="43" t="s">
        <v>53</v>
      </c>
      <c r="AC986" s="43">
        <v>1460</v>
      </c>
      <c r="AD986" s="141">
        <v>4</v>
      </c>
      <c r="AE986" s="142">
        <v>0</v>
      </c>
      <c r="AF986" s="142"/>
      <c r="AG986" s="69" t="str">
        <f t="shared" si="464"/>
        <v>2 years 235 days</v>
      </c>
      <c r="AH986" s="69">
        <v>2</v>
      </c>
      <c r="AI986" s="69">
        <v>235</v>
      </c>
      <c r="AJ986" s="69">
        <v>0</v>
      </c>
      <c r="AK986" s="69">
        <v>0</v>
      </c>
      <c r="AL986" s="60">
        <v>270000</v>
      </c>
      <c r="AM986" s="60">
        <f t="shared" si="465"/>
        <v>270000</v>
      </c>
      <c r="AN986" s="59">
        <v>178459</v>
      </c>
      <c r="AO986" s="148">
        <f t="shared" si="466"/>
        <v>-178459</v>
      </c>
      <c r="AP986" s="58">
        <v>33472.506849315076</v>
      </c>
      <c r="AQ986" s="143">
        <f t="shared" si="467"/>
        <v>-33472.51</v>
      </c>
    </row>
    <row r="987" spans="1:43" x14ac:dyDescent="0.35">
      <c r="A987" s="69" t="s">
        <v>43</v>
      </c>
      <c r="B987" s="15" t="s">
        <v>3059</v>
      </c>
      <c r="C987" s="15"/>
      <c r="D987" s="69"/>
      <c r="E987" s="76">
        <v>0</v>
      </c>
      <c r="F987" s="69" t="s">
        <v>2960</v>
      </c>
      <c r="G987" s="132" t="s">
        <v>2961</v>
      </c>
      <c r="H987" s="15">
        <v>9013000028</v>
      </c>
      <c r="I987" s="92" t="s">
        <v>593</v>
      </c>
      <c r="J987" s="92">
        <v>1202020101</v>
      </c>
      <c r="K987" s="35" t="s">
        <v>3060</v>
      </c>
      <c r="L987" s="95" t="s">
        <v>3061</v>
      </c>
      <c r="M987" s="69" t="s">
        <v>3062</v>
      </c>
      <c r="N987" s="69"/>
      <c r="O987" s="94">
        <v>1</v>
      </c>
      <c r="P987" s="69" t="s">
        <v>50</v>
      </c>
      <c r="Q987" s="69" t="s">
        <v>51</v>
      </c>
      <c r="R987" s="69"/>
      <c r="S987" s="46">
        <v>41949</v>
      </c>
      <c r="T987" s="48">
        <v>43191</v>
      </c>
      <c r="U987" s="69"/>
      <c r="V987" s="69"/>
      <c r="W987" s="69"/>
      <c r="X987" s="69"/>
      <c r="Y987" s="69" t="s">
        <v>4125</v>
      </c>
      <c r="Z987" s="43">
        <v>460000</v>
      </c>
      <c r="AA987" s="43" t="s">
        <v>52</v>
      </c>
      <c r="AB987" s="43" t="s">
        <v>53</v>
      </c>
      <c r="AC987" s="43">
        <v>584</v>
      </c>
      <c r="AD987" s="141">
        <v>1</v>
      </c>
      <c r="AE987" s="142">
        <v>7</v>
      </c>
      <c r="AF987" s="142"/>
      <c r="AG987" s="69" t="str">
        <f t="shared" ref="AG987:AG990" si="468">_xlfn.CONCAT(AH987," years ",AI987," days")</f>
        <v>1 years 219 days</v>
      </c>
      <c r="AH987" s="69">
        <v>1</v>
      </c>
      <c r="AI987" s="69">
        <v>219</v>
      </c>
      <c r="AJ987" s="69">
        <v>0</v>
      </c>
      <c r="AK987" s="69">
        <v>0</v>
      </c>
      <c r="AL987" s="60">
        <v>460000</v>
      </c>
      <c r="AM987" s="60">
        <f t="shared" ref="AM987:AM990" si="469">ROUND(AL987,2)</f>
        <v>460000</v>
      </c>
      <c r="AN987" s="59">
        <v>460000</v>
      </c>
      <c r="AO987" s="148">
        <f t="shared" ref="AO987:AO990" si="470">ROUND(AN987,2)*-1</f>
        <v>-460000</v>
      </c>
      <c r="AP987" s="58">
        <v>0</v>
      </c>
      <c r="AQ987" s="143">
        <f t="shared" ref="AQ987:AQ990" si="471">ROUND(AP987,2)*-1</f>
        <v>0</v>
      </c>
    </row>
    <row r="988" spans="1:43" x14ac:dyDescent="0.35">
      <c r="A988" s="69" t="s">
        <v>43</v>
      </c>
      <c r="B988" s="15" t="s">
        <v>3063</v>
      </c>
      <c r="C988" s="15"/>
      <c r="D988" s="69"/>
      <c r="E988" s="76">
        <v>0</v>
      </c>
      <c r="F988" s="69" t="s">
        <v>2960</v>
      </c>
      <c r="G988" s="132" t="s">
        <v>2961</v>
      </c>
      <c r="H988" s="15">
        <v>9013000029</v>
      </c>
      <c r="I988" s="92" t="s">
        <v>593</v>
      </c>
      <c r="J988" s="92">
        <v>1202020101</v>
      </c>
      <c r="K988" s="35" t="s">
        <v>3064</v>
      </c>
      <c r="L988" s="95" t="s">
        <v>3065</v>
      </c>
      <c r="M988" s="69" t="s">
        <v>3066</v>
      </c>
      <c r="N988" s="69"/>
      <c r="O988" s="94">
        <v>1</v>
      </c>
      <c r="P988" s="69" t="s">
        <v>50</v>
      </c>
      <c r="Q988" s="69" t="s">
        <v>51</v>
      </c>
      <c r="R988" s="69"/>
      <c r="S988" s="46">
        <v>44334</v>
      </c>
      <c r="T988" s="48">
        <v>44334</v>
      </c>
      <c r="U988" s="69"/>
      <c r="V988" s="69"/>
      <c r="W988" s="69"/>
      <c r="X988" s="69"/>
      <c r="Y988" s="69" t="s">
        <v>4128</v>
      </c>
      <c r="Z988" s="43">
        <v>135000</v>
      </c>
      <c r="AA988" s="43" t="s">
        <v>52</v>
      </c>
      <c r="AB988" s="43" t="s">
        <v>53</v>
      </c>
      <c r="AC988" s="43">
        <v>1460</v>
      </c>
      <c r="AD988" s="141">
        <v>4</v>
      </c>
      <c r="AE988" s="142">
        <v>0</v>
      </c>
      <c r="AF988" s="142"/>
      <c r="AG988" s="69" t="str">
        <f t="shared" si="468"/>
        <v>3 years 229 days</v>
      </c>
      <c r="AH988" s="69">
        <v>3</v>
      </c>
      <c r="AI988" s="69">
        <v>229</v>
      </c>
      <c r="AJ988" s="69">
        <v>0</v>
      </c>
      <c r="AK988" s="69">
        <v>0</v>
      </c>
      <c r="AL988" s="60">
        <v>135000</v>
      </c>
      <c r="AM988" s="60">
        <f t="shared" si="469"/>
        <v>135000</v>
      </c>
      <c r="AN988" s="59">
        <v>122425</v>
      </c>
      <c r="AO988" s="148">
        <f t="shared" si="470"/>
        <v>-122425</v>
      </c>
      <c r="AP988" s="58">
        <v>12575</v>
      </c>
      <c r="AQ988" s="143">
        <f t="shared" si="471"/>
        <v>-12575</v>
      </c>
    </row>
    <row r="989" spans="1:43" x14ac:dyDescent="0.35">
      <c r="A989" s="69" t="s">
        <v>43</v>
      </c>
      <c r="B989" s="15" t="s">
        <v>3067</v>
      </c>
      <c r="C989" s="15"/>
      <c r="D989" s="69"/>
      <c r="E989" s="76">
        <v>0</v>
      </c>
      <c r="F989" s="69" t="s">
        <v>2960</v>
      </c>
      <c r="G989" s="132" t="s">
        <v>2961</v>
      </c>
      <c r="H989" s="15">
        <v>9013000030</v>
      </c>
      <c r="I989" s="92" t="s">
        <v>593</v>
      </c>
      <c r="J989" s="92">
        <v>1202020101</v>
      </c>
      <c r="K989" s="35" t="s">
        <v>3068</v>
      </c>
      <c r="L989" s="95" t="s">
        <v>3069</v>
      </c>
      <c r="M989" s="69" t="s">
        <v>3044</v>
      </c>
      <c r="N989" s="69"/>
      <c r="O989" s="94">
        <v>1</v>
      </c>
      <c r="P989" s="69" t="s">
        <v>50</v>
      </c>
      <c r="Q989" s="69" t="s">
        <v>51</v>
      </c>
      <c r="R989" s="69"/>
      <c r="S989" s="46">
        <v>43964</v>
      </c>
      <c r="T989" s="48">
        <v>43964</v>
      </c>
      <c r="U989" s="69"/>
      <c r="V989" s="69"/>
      <c r="W989" s="69"/>
      <c r="X989" s="69"/>
      <c r="Y989" s="69" t="s">
        <v>4127</v>
      </c>
      <c r="Z989" s="43">
        <v>135000</v>
      </c>
      <c r="AA989" s="43" t="s">
        <v>52</v>
      </c>
      <c r="AB989" s="43" t="s">
        <v>53</v>
      </c>
      <c r="AC989" s="43">
        <v>1460</v>
      </c>
      <c r="AD989" s="141">
        <v>4</v>
      </c>
      <c r="AE989" s="142">
        <v>0</v>
      </c>
      <c r="AF989" s="142"/>
      <c r="AG989" s="69" t="str">
        <f t="shared" si="468"/>
        <v>4 years 0 days</v>
      </c>
      <c r="AH989" s="69">
        <v>4</v>
      </c>
      <c r="AI989" s="69">
        <v>0</v>
      </c>
      <c r="AJ989" s="69">
        <v>0</v>
      </c>
      <c r="AK989" s="69">
        <v>0</v>
      </c>
      <c r="AL989" s="60">
        <v>135000</v>
      </c>
      <c r="AM989" s="60">
        <f t="shared" si="469"/>
        <v>135000</v>
      </c>
      <c r="AN989" s="59">
        <v>135000</v>
      </c>
      <c r="AO989" s="148">
        <f t="shared" si="470"/>
        <v>-135000</v>
      </c>
      <c r="AP989" s="58">
        <v>0</v>
      </c>
      <c r="AQ989" s="143">
        <f t="shared" si="471"/>
        <v>0</v>
      </c>
    </row>
    <row r="990" spans="1:43" x14ac:dyDescent="0.35">
      <c r="A990" s="69" t="s">
        <v>43</v>
      </c>
      <c r="B990" s="15" t="s">
        <v>3070</v>
      </c>
      <c r="C990" s="15"/>
      <c r="D990" s="69"/>
      <c r="E990" s="76">
        <v>0</v>
      </c>
      <c r="F990" s="69" t="s">
        <v>2960</v>
      </c>
      <c r="G990" s="132" t="s">
        <v>2961</v>
      </c>
      <c r="H990" s="15">
        <v>9013000031</v>
      </c>
      <c r="I990" s="92" t="s">
        <v>593</v>
      </c>
      <c r="J990" s="92">
        <v>1202020101</v>
      </c>
      <c r="K990" s="35" t="s">
        <v>3071</v>
      </c>
      <c r="L990" s="95" t="s">
        <v>3072</v>
      </c>
      <c r="M990" s="69" t="s">
        <v>3073</v>
      </c>
      <c r="N990" s="69"/>
      <c r="O990" s="94">
        <v>1</v>
      </c>
      <c r="P990" s="69" t="s">
        <v>50</v>
      </c>
      <c r="Q990" s="69" t="s">
        <v>51</v>
      </c>
      <c r="R990" s="69"/>
      <c r="S990" s="46">
        <v>43650</v>
      </c>
      <c r="T990" s="48">
        <v>43650</v>
      </c>
      <c r="U990" s="69"/>
      <c r="V990" s="69"/>
      <c r="W990" s="69"/>
      <c r="X990" s="69"/>
      <c r="Y990" s="69" t="s">
        <v>4126</v>
      </c>
      <c r="Z990" s="43">
        <v>135000</v>
      </c>
      <c r="AA990" s="43" t="s">
        <v>52</v>
      </c>
      <c r="AB990" s="43" t="s">
        <v>53</v>
      </c>
      <c r="AC990" s="43">
        <v>1460</v>
      </c>
      <c r="AD990" s="141">
        <v>4</v>
      </c>
      <c r="AE990" s="142">
        <v>0</v>
      </c>
      <c r="AF990" s="142"/>
      <c r="AG990" s="69" t="str">
        <f t="shared" si="468"/>
        <v>4 years 0 days</v>
      </c>
      <c r="AH990" s="69">
        <v>4</v>
      </c>
      <c r="AI990" s="69">
        <v>0</v>
      </c>
      <c r="AJ990" s="69">
        <v>0</v>
      </c>
      <c r="AK990" s="69">
        <v>0</v>
      </c>
      <c r="AL990" s="60">
        <v>135000</v>
      </c>
      <c r="AM990" s="60">
        <f t="shared" si="469"/>
        <v>135000</v>
      </c>
      <c r="AN990" s="59">
        <v>135000</v>
      </c>
      <c r="AO990" s="148">
        <f t="shared" si="470"/>
        <v>-135000</v>
      </c>
      <c r="AP990" s="58">
        <v>0</v>
      </c>
      <c r="AQ990" s="143">
        <f t="shared" si="471"/>
        <v>0</v>
      </c>
    </row>
    <row r="991" spans="1:43" x14ac:dyDescent="0.35">
      <c r="A991" s="69" t="s">
        <v>43</v>
      </c>
      <c r="B991" s="15" t="s">
        <v>3074</v>
      </c>
      <c r="C991" s="15"/>
      <c r="D991" s="69"/>
      <c r="E991" s="76">
        <v>0</v>
      </c>
      <c r="F991" s="69" t="s">
        <v>2960</v>
      </c>
      <c r="G991" s="132" t="s">
        <v>2961</v>
      </c>
      <c r="H991" s="15">
        <v>9013000032</v>
      </c>
      <c r="I991" s="92" t="s">
        <v>593</v>
      </c>
      <c r="J991" s="92">
        <v>1202020101</v>
      </c>
      <c r="K991" s="35" t="s">
        <v>3075</v>
      </c>
      <c r="L991" s="95" t="s">
        <v>3076</v>
      </c>
      <c r="M991" s="69" t="s">
        <v>49</v>
      </c>
      <c r="N991" s="69"/>
      <c r="O991" s="94">
        <v>1</v>
      </c>
      <c r="P991" s="69" t="s">
        <v>50</v>
      </c>
      <c r="Q991" s="69" t="s">
        <v>51</v>
      </c>
      <c r="R991" s="69"/>
      <c r="S991" s="46">
        <v>40494</v>
      </c>
      <c r="T991" s="48">
        <v>43191</v>
      </c>
      <c r="U991" s="69"/>
      <c r="V991" s="69"/>
      <c r="W991" s="69"/>
      <c r="X991" s="69"/>
      <c r="Y991" s="69" t="s">
        <v>4125</v>
      </c>
      <c r="Z991" s="43">
        <v>160000</v>
      </c>
      <c r="AA991" s="43" t="s">
        <v>52</v>
      </c>
      <c r="AB991" s="43" t="s">
        <v>53</v>
      </c>
      <c r="AC991" s="43">
        <v>183</v>
      </c>
      <c r="AD991" s="141">
        <v>0</v>
      </c>
      <c r="AE991" s="142">
        <v>6</v>
      </c>
      <c r="AF991" s="142"/>
      <c r="AG991" s="69" t="str">
        <f t="shared" ref="AG991:AG993" si="472">_xlfn.CONCAT(AH991," years ",AI991," days")</f>
        <v>0 years 183 days</v>
      </c>
      <c r="AH991" s="69">
        <v>0</v>
      </c>
      <c r="AI991" s="69">
        <v>183</v>
      </c>
      <c r="AJ991" s="69">
        <v>0</v>
      </c>
      <c r="AK991" s="69">
        <v>0</v>
      </c>
      <c r="AL991" s="60">
        <v>160000</v>
      </c>
      <c r="AM991" s="60">
        <f t="shared" ref="AM991:AM993" si="473">ROUND(AL991,2)</f>
        <v>160000</v>
      </c>
      <c r="AN991" s="59">
        <v>160000</v>
      </c>
      <c r="AO991" s="148">
        <f t="shared" ref="AO991:AO993" si="474">ROUND(AN991,2)*-1</f>
        <v>-160000</v>
      </c>
      <c r="AP991" s="58">
        <v>0</v>
      </c>
      <c r="AQ991" s="143">
        <f t="shared" ref="AQ991:AQ993" si="475">ROUND(AP991,2)*-1</f>
        <v>0</v>
      </c>
    </row>
    <row r="992" spans="1:43" x14ac:dyDescent="0.35">
      <c r="A992" s="69" t="s">
        <v>43</v>
      </c>
      <c r="B992" s="15" t="s">
        <v>3077</v>
      </c>
      <c r="C992" s="15"/>
      <c r="D992" s="69"/>
      <c r="E992" s="76">
        <v>0</v>
      </c>
      <c r="F992" s="69" t="s">
        <v>2960</v>
      </c>
      <c r="G992" s="132" t="s">
        <v>2961</v>
      </c>
      <c r="H992" s="15">
        <v>9013000033</v>
      </c>
      <c r="I992" s="92" t="s">
        <v>593</v>
      </c>
      <c r="J992" s="92">
        <v>1202020101</v>
      </c>
      <c r="K992" s="35" t="s">
        <v>3078</v>
      </c>
      <c r="L992" s="95" t="s">
        <v>3079</v>
      </c>
      <c r="M992" s="69" t="s">
        <v>49</v>
      </c>
      <c r="N992" s="69"/>
      <c r="O992" s="94">
        <v>1</v>
      </c>
      <c r="P992" s="69" t="s">
        <v>50</v>
      </c>
      <c r="Q992" s="69" t="s">
        <v>51</v>
      </c>
      <c r="R992" s="69"/>
      <c r="S992" s="46">
        <v>42928</v>
      </c>
      <c r="T992" s="48">
        <v>43191</v>
      </c>
      <c r="U992" s="69"/>
      <c r="V992" s="69"/>
      <c r="W992" s="69"/>
      <c r="X992" s="69"/>
      <c r="Y992" s="69" t="s">
        <v>4125</v>
      </c>
      <c r="Z992" s="43">
        <v>90000</v>
      </c>
      <c r="AA992" s="43" t="s">
        <v>52</v>
      </c>
      <c r="AB992" s="43" t="s">
        <v>53</v>
      </c>
      <c r="AC992" s="43">
        <v>1533</v>
      </c>
      <c r="AD992" s="141">
        <v>4</v>
      </c>
      <c r="AE992" s="142">
        <v>2</v>
      </c>
      <c r="AF992" s="142"/>
      <c r="AG992" s="69" t="str">
        <f t="shared" si="472"/>
        <v>4 years 73 days</v>
      </c>
      <c r="AH992" s="69">
        <v>4</v>
      </c>
      <c r="AI992" s="69">
        <v>73</v>
      </c>
      <c r="AJ992" s="69">
        <v>0</v>
      </c>
      <c r="AK992" s="69">
        <v>0</v>
      </c>
      <c r="AL992" s="60">
        <v>90000</v>
      </c>
      <c r="AM992" s="60">
        <f t="shared" si="473"/>
        <v>90000</v>
      </c>
      <c r="AN992" s="59">
        <v>90000</v>
      </c>
      <c r="AO992" s="148">
        <f t="shared" si="474"/>
        <v>-90000</v>
      </c>
      <c r="AP992" s="58">
        <v>0</v>
      </c>
      <c r="AQ992" s="143">
        <f t="shared" si="475"/>
        <v>0</v>
      </c>
    </row>
    <row r="993" spans="1:43" x14ac:dyDescent="0.35">
      <c r="A993" s="69" t="s">
        <v>43</v>
      </c>
      <c r="B993" s="15" t="s">
        <v>3080</v>
      </c>
      <c r="C993" s="15"/>
      <c r="D993" s="69"/>
      <c r="E993" s="76">
        <v>0</v>
      </c>
      <c r="F993" s="69" t="s">
        <v>2960</v>
      </c>
      <c r="G993" s="132" t="s">
        <v>2961</v>
      </c>
      <c r="H993" s="15">
        <v>9013000034</v>
      </c>
      <c r="I993" s="92" t="s">
        <v>593</v>
      </c>
      <c r="J993" s="92">
        <v>1202020101</v>
      </c>
      <c r="K993" s="35" t="s">
        <v>3081</v>
      </c>
      <c r="L993" s="95" t="s">
        <v>3082</v>
      </c>
      <c r="M993" s="69" t="s">
        <v>3083</v>
      </c>
      <c r="N993" s="69"/>
      <c r="O993" s="94">
        <v>1</v>
      </c>
      <c r="P993" s="69" t="s">
        <v>50</v>
      </c>
      <c r="Q993" s="69" t="s">
        <v>51</v>
      </c>
      <c r="R993" s="69"/>
      <c r="S993" s="46">
        <v>44175</v>
      </c>
      <c r="T993" s="48">
        <v>44175</v>
      </c>
      <c r="U993" s="69"/>
      <c r="V993" s="69"/>
      <c r="W993" s="69"/>
      <c r="X993" s="69"/>
      <c r="Y993" s="69" t="s">
        <v>4127</v>
      </c>
      <c r="Z993" s="43">
        <v>135000</v>
      </c>
      <c r="AA993" s="43" t="s">
        <v>52</v>
      </c>
      <c r="AB993" s="43" t="s">
        <v>53</v>
      </c>
      <c r="AC993" s="43">
        <v>1460</v>
      </c>
      <c r="AD993" s="141">
        <v>4</v>
      </c>
      <c r="AE993" s="142">
        <v>0</v>
      </c>
      <c r="AF993" s="142"/>
      <c r="AG993" s="69" t="str">
        <f t="shared" si="472"/>
        <v>4 years 0 days</v>
      </c>
      <c r="AH993" s="69">
        <v>4</v>
      </c>
      <c r="AI993" s="69">
        <v>0</v>
      </c>
      <c r="AJ993" s="69">
        <v>0</v>
      </c>
      <c r="AK993" s="69">
        <v>0</v>
      </c>
      <c r="AL993" s="60">
        <v>135000</v>
      </c>
      <c r="AM993" s="60">
        <f t="shared" si="473"/>
        <v>135000</v>
      </c>
      <c r="AN993" s="59">
        <v>135000</v>
      </c>
      <c r="AO993" s="148">
        <f t="shared" si="474"/>
        <v>-135000</v>
      </c>
      <c r="AP993" s="58">
        <v>0</v>
      </c>
      <c r="AQ993" s="143">
        <f t="shared" si="475"/>
        <v>0</v>
      </c>
    </row>
    <row r="994" spans="1:43" x14ac:dyDescent="0.35">
      <c r="A994" s="69" t="s">
        <v>43</v>
      </c>
      <c r="B994" s="15" t="s">
        <v>3084</v>
      </c>
      <c r="C994" s="15"/>
      <c r="D994" s="69"/>
      <c r="E994" s="76">
        <v>0</v>
      </c>
      <c r="F994" s="69" t="s">
        <v>2960</v>
      </c>
      <c r="G994" s="132" t="s">
        <v>2961</v>
      </c>
      <c r="H994" s="15">
        <v>9013000035</v>
      </c>
      <c r="I994" s="92" t="s">
        <v>593</v>
      </c>
      <c r="J994" s="92">
        <v>1202020101</v>
      </c>
      <c r="K994" s="35" t="s">
        <v>3085</v>
      </c>
      <c r="L994" s="95" t="s">
        <v>3086</v>
      </c>
      <c r="M994" s="69" t="s">
        <v>3087</v>
      </c>
      <c r="N994" s="69"/>
      <c r="O994" s="94">
        <v>1</v>
      </c>
      <c r="P994" s="69" t="s">
        <v>50</v>
      </c>
      <c r="Q994" s="69" t="s">
        <v>51</v>
      </c>
      <c r="R994" s="69"/>
      <c r="S994" s="46">
        <v>41630</v>
      </c>
      <c r="T994" s="48">
        <v>43191</v>
      </c>
      <c r="U994" s="69"/>
      <c r="V994" s="69"/>
      <c r="W994" s="69"/>
      <c r="X994" s="69"/>
      <c r="Y994" s="69" t="s">
        <v>4125</v>
      </c>
      <c r="Z994" s="43">
        <v>18000</v>
      </c>
      <c r="AA994" s="43" t="s">
        <v>52</v>
      </c>
      <c r="AB994" s="43" t="s">
        <v>53</v>
      </c>
      <c r="AC994" s="43">
        <v>256</v>
      </c>
      <c r="AD994" s="141">
        <v>0</v>
      </c>
      <c r="AE994" s="142">
        <v>9</v>
      </c>
      <c r="AF994" s="142"/>
      <c r="AG994" s="69" t="str">
        <f>_xlfn.CONCAT(AH994," years ",AI994," days")</f>
        <v>0 years 256 days</v>
      </c>
      <c r="AH994" s="69">
        <v>0</v>
      </c>
      <c r="AI994" s="69">
        <v>256</v>
      </c>
      <c r="AJ994" s="69">
        <v>0</v>
      </c>
      <c r="AK994" s="69">
        <v>0</v>
      </c>
      <c r="AL994" s="60">
        <v>18000</v>
      </c>
      <c r="AM994" s="60">
        <f>ROUND(AL994,2)</f>
        <v>18000</v>
      </c>
      <c r="AN994" s="59">
        <v>18000</v>
      </c>
      <c r="AO994" s="148">
        <f>ROUND(AN994,2)*-1</f>
        <v>-18000</v>
      </c>
      <c r="AP994" s="58">
        <v>0</v>
      </c>
      <c r="AQ994" s="143">
        <f>ROUND(AP994,2)*-1</f>
        <v>0</v>
      </c>
    </row>
    <row r="995" spans="1:43" x14ac:dyDescent="0.35">
      <c r="A995" s="69" t="s">
        <v>43</v>
      </c>
      <c r="B995" s="15" t="s">
        <v>3088</v>
      </c>
      <c r="C995" s="15"/>
      <c r="D995" s="69"/>
      <c r="E995" s="76">
        <v>0</v>
      </c>
      <c r="F995" s="69" t="s">
        <v>2960</v>
      </c>
      <c r="G995" s="132" t="s">
        <v>2961</v>
      </c>
      <c r="H995" s="15">
        <v>9013000036</v>
      </c>
      <c r="I995" s="92" t="s">
        <v>593</v>
      </c>
      <c r="J995" s="92">
        <v>1202020101</v>
      </c>
      <c r="K995" s="35" t="s">
        <v>3089</v>
      </c>
      <c r="L995" s="95" t="s">
        <v>3090</v>
      </c>
      <c r="M995" s="69" t="s">
        <v>49</v>
      </c>
      <c r="N995" s="69"/>
      <c r="O995" s="94">
        <v>1</v>
      </c>
      <c r="P995" s="69" t="s">
        <v>50</v>
      </c>
      <c r="Q995" s="69" t="s">
        <v>51</v>
      </c>
      <c r="R995" s="69"/>
      <c r="S995" s="46">
        <v>40494</v>
      </c>
      <c r="T995" s="48">
        <v>43191</v>
      </c>
      <c r="U995" s="69"/>
      <c r="V995" s="69"/>
      <c r="W995" s="69"/>
      <c r="X995" s="69"/>
      <c r="Y995" s="69" t="s">
        <v>4125</v>
      </c>
      <c r="Z995" s="43">
        <v>160000</v>
      </c>
      <c r="AA995" s="43" t="s">
        <v>52</v>
      </c>
      <c r="AB995" s="43" t="s">
        <v>53</v>
      </c>
      <c r="AC995" s="43">
        <v>183</v>
      </c>
      <c r="AD995" s="141">
        <v>0</v>
      </c>
      <c r="AE995" s="142">
        <v>6</v>
      </c>
      <c r="AF995" s="142"/>
      <c r="AG995" s="69" t="str">
        <f t="shared" ref="AG995:AG998" si="476">_xlfn.CONCAT(AH995," years ",AI995," days")</f>
        <v>0 years 183 days</v>
      </c>
      <c r="AH995" s="69">
        <v>0</v>
      </c>
      <c r="AI995" s="69">
        <v>183</v>
      </c>
      <c r="AJ995" s="69">
        <v>0</v>
      </c>
      <c r="AK995" s="69">
        <v>0</v>
      </c>
      <c r="AL995" s="60">
        <v>160000</v>
      </c>
      <c r="AM995" s="60">
        <f t="shared" ref="AM995:AM998" si="477">ROUND(AL995,2)</f>
        <v>160000</v>
      </c>
      <c r="AN995" s="59">
        <v>160000</v>
      </c>
      <c r="AO995" s="148">
        <f t="shared" ref="AO995:AO998" si="478">ROUND(AN995,2)*-1</f>
        <v>-160000</v>
      </c>
      <c r="AP995" s="58">
        <v>0</v>
      </c>
      <c r="AQ995" s="143">
        <f t="shared" ref="AQ995:AQ998" si="479">ROUND(AP995,2)*-1</f>
        <v>0</v>
      </c>
    </row>
    <row r="996" spans="1:43" x14ac:dyDescent="0.35">
      <c r="A996" s="69" t="s">
        <v>43</v>
      </c>
      <c r="B996" s="15" t="s">
        <v>3091</v>
      </c>
      <c r="C996" s="15"/>
      <c r="D996" s="69"/>
      <c r="E996" s="76">
        <v>0</v>
      </c>
      <c r="F996" s="69" t="s">
        <v>2960</v>
      </c>
      <c r="G996" s="132" t="s">
        <v>2961</v>
      </c>
      <c r="H996" s="15">
        <v>9013000037</v>
      </c>
      <c r="I996" s="92" t="s">
        <v>593</v>
      </c>
      <c r="J996" s="92">
        <v>1202020101</v>
      </c>
      <c r="K996" s="35" t="s">
        <v>3092</v>
      </c>
      <c r="L996" s="95" t="s">
        <v>3093</v>
      </c>
      <c r="M996" s="69" t="s">
        <v>3094</v>
      </c>
      <c r="N996" s="69"/>
      <c r="O996" s="94">
        <v>1</v>
      </c>
      <c r="P996" s="69" t="s">
        <v>50</v>
      </c>
      <c r="Q996" s="69" t="s">
        <v>51</v>
      </c>
      <c r="R996" s="69"/>
      <c r="S996" s="46">
        <v>40962</v>
      </c>
      <c r="T996" s="48">
        <v>43191</v>
      </c>
      <c r="U996" s="69"/>
      <c r="V996" s="69"/>
      <c r="W996" s="69"/>
      <c r="X996" s="69"/>
      <c r="Y996" s="69" t="s">
        <v>4125</v>
      </c>
      <c r="Z996" s="43">
        <v>12500</v>
      </c>
      <c r="AA996" s="43" t="s">
        <v>52</v>
      </c>
      <c r="AB996" s="43" t="s">
        <v>53</v>
      </c>
      <c r="AC996" s="43">
        <v>183</v>
      </c>
      <c r="AD996" s="141">
        <v>0</v>
      </c>
      <c r="AE996" s="142">
        <v>6</v>
      </c>
      <c r="AF996" s="142"/>
      <c r="AG996" s="69" t="str">
        <f t="shared" si="476"/>
        <v>0 years 183 days</v>
      </c>
      <c r="AH996" s="69">
        <v>0</v>
      </c>
      <c r="AI996" s="69">
        <v>183</v>
      </c>
      <c r="AJ996" s="69">
        <v>0</v>
      </c>
      <c r="AK996" s="69">
        <v>0</v>
      </c>
      <c r="AL996" s="60">
        <v>12500</v>
      </c>
      <c r="AM996" s="60">
        <f t="shared" si="477"/>
        <v>12500</v>
      </c>
      <c r="AN996" s="59">
        <v>12500</v>
      </c>
      <c r="AO996" s="148">
        <f t="shared" si="478"/>
        <v>-12500</v>
      </c>
      <c r="AP996" s="58">
        <v>0</v>
      </c>
      <c r="AQ996" s="143">
        <f t="shared" si="479"/>
        <v>0</v>
      </c>
    </row>
    <row r="997" spans="1:43" x14ac:dyDescent="0.35">
      <c r="A997" s="69" t="s">
        <v>43</v>
      </c>
      <c r="B997" s="15" t="s">
        <v>3095</v>
      </c>
      <c r="C997" s="15"/>
      <c r="D997" s="69"/>
      <c r="E997" s="76">
        <v>0</v>
      </c>
      <c r="F997" s="69" t="s">
        <v>2960</v>
      </c>
      <c r="G997" s="132" t="s">
        <v>2961</v>
      </c>
      <c r="H997" s="15">
        <v>9013000038</v>
      </c>
      <c r="I997" s="92" t="s">
        <v>593</v>
      </c>
      <c r="J997" s="92">
        <v>1202020101</v>
      </c>
      <c r="K997" s="35" t="s">
        <v>3096</v>
      </c>
      <c r="L997" s="95" t="s">
        <v>3097</v>
      </c>
      <c r="M997" s="69" t="s">
        <v>3098</v>
      </c>
      <c r="N997" s="69"/>
      <c r="O997" s="94">
        <v>1</v>
      </c>
      <c r="P997" s="69" t="s">
        <v>50</v>
      </c>
      <c r="Q997" s="69" t="s">
        <v>51</v>
      </c>
      <c r="R997" s="69"/>
      <c r="S997" s="46">
        <v>41570</v>
      </c>
      <c r="T997" s="48">
        <v>43191</v>
      </c>
      <c r="U997" s="69"/>
      <c r="V997" s="69"/>
      <c r="W997" s="69"/>
      <c r="X997" s="69"/>
      <c r="Y997" s="69" t="s">
        <v>4125</v>
      </c>
      <c r="Z997" s="43">
        <v>16000</v>
      </c>
      <c r="AA997" s="43" t="s">
        <v>52</v>
      </c>
      <c r="AB997" s="43" t="s">
        <v>53</v>
      </c>
      <c r="AC997" s="43">
        <v>219</v>
      </c>
      <c r="AD997" s="141">
        <v>0</v>
      </c>
      <c r="AE997" s="142">
        <v>7</v>
      </c>
      <c r="AF997" s="142"/>
      <c r="AG997" s="69" t="str">
        <f t="shared" si="476"/>
        <v>0 years 219 days</v>
      </c>
      <c r="AH997" s="69">
        <v>0</v>
      </c>
      <c r="AI997" s="69">
        <v>219</v>
      </c>
      <c r="AJ997" s="69">
        <v>0</v>
      </c>
      <c r="AK997" s="69">
        <v>0</v>
      </c>
      <c r="AL997" s="60">
        <v>16000</v>
      </c>
      <c r="AM997" s="60">
        <f t="shared" si="477"/>
        <v>16000</v>
      </c>
      <c r="AN997" s="59">
        <v>16000</v>
      </c>
      <c r="AO997" s="148">
        <f t="shared" si="478"/>
        <v>-16000</v>
      </c>
      <c r="AP997" s="58">
        <v>0</v>
      </c>
      <c r="AQ997" s="143">
        <f t="shared" si="479"/>
        <v>0</v>
      </c>
    </row>
    <row r="998" spans="1:43" x14ac:dyDescent="0.35">
      <c r="A998" s="69" t="s">
        <v>43</v>
      </c>
      <c r="B998" s="15" t="s">
        <v>3099</v>
      </c>
      <c r="C998" s="15"/>
      <c r="D998" s="69"/>
      <c r="E998" s="76">
        <v>0</v>
      </c>
      <c r="F998" s="69" t="s">
        <v>2960</v>
      </c>
      <c r="G998" s="132" t="s">
        <v>2961</v>
      </c>
      <c r="H998" s="15">
        <v>9013000039</v>
      </c>
      <c r="I998" s="92" t="s">
        <v>593</v>
      </c>
      <c r="J998" s="92">
        <v>1202020101</v>
      </c>
      <c r="K998" s="35" t="s">
        <v>3100</v>
      </c>
      <c r="L998" s="95" t="s">
        <v>3101</v>
      </c>
      <c r="M998" s="69" t="s">
        <v>49</v>
      </c>
      <c r="N998" s="69"/>
      <c r="O998" s="94">
        <v>1</v>
      </c>
      <c r="P998" s="69" t="s">
        <v>50</v>
      </c>
      <c r="Q998" s="69" t="s">
        <v>51</v>
      </c>
      <c r="R998" s="69"/>
      <c r="S998" s="46">
        <v>42751</v>
      </c>
      <c r="T998" s="48">
        <v>43191</v>
      </c>
      <c r="U998" s="69"/>
      <c r="V998" s="69"/>
      <c r="W998" s="69"/>
      <c r="X998" s="69"/>
      <c r="Y998" s="69" t="s">
        <v>4125</v>
      </c>
      <c r="Z998" s="43">
        <v>82500</v>
      </c>
      <c r="AA998" s="43" t="s">
        <v>52</v>
      </c>
      <c r="AB998" s="43" t="s">
        <v>53</v>
      </c>
      <c r="AC998" s="43">
        <v>1387</v>
      </c>
      <c r="AD998" s="141">
        <v>3</v>
      </c>
      <c r="AE998" s="142">
        <v>10</v>
      </c>
      <c r="AF998" s="142"/>
      <c r="AG998" s="69" t="str">
        <f t="shared" si="476"/>
        <v>3 years 292 days</v>
      </c>
      <c r="AH998" s="69">
        <v>3</v>
      </c>
      <c r="AI998" s="69">
        <v>292</v>
      </c>
      <c r="AJ998" s="69">
        <v>0</v>
      </c>
      <c r="AK998" s="69">
        <v>0</v>
      </c>
      <c r="AL998" s="60">
        <v>82500</v>
      </c>
      <c r="AM998" s="60">
        <f t="shared" si="477"/>
        <v>82500</v>
      </c>
      <c r="AN998" s="59">
        <v>82500</v>
      </c>
      <c r="AO998" s="148">
        <f t="shared" si="478"/>
        <v>-82500</v>
      </c>
      <c r="AP998" s="58">
        <v>0</v>
      </c>
      <c r="AQ998" s="143">
        <f t="shared" si="479"/>
        <v>0</v>
      </c>
    </row>
    <row r="999" spans="1:43" x14ac:dyDescent="0.35">
      <c r="A999" s="69" t="s">
        <v>43</v>
      </c>
      <c r="B999" s="15" t="s">
        <v>3102</v>
      </c>
      <c r="C999" s="15"/>
      <c r="D999" s="69"/>
      <c r="E999" s="76">
        <v>0</v>
      </c>
      <c r="F999" s="69" t="s">
        <v>2960</v>
      </c>
      <c r="G999" s="132" t="s">
        <v>2961</v>
      </c>
      <c r="H999" s="15">
        <v>9013000040</v>
      </c>
      <c r="I999" s="92" t="s">
        <v>593</v>
      </c>
      <c r="J999" s="92">
        <v>1202020101</v>
      </c>
      <c r="K999" s="35" t="s">
        <v>3103</v>
      </c>
      <c r="L999" s="95" t="s">
        <v>3104</v>
      </c>
      <c r="M999" s="69" t="s">
        <v>49</v>
      </c>
      <c r="N999" s="69"/>
      <c r="O999" s="94">
        <v>1</v>
      </c>
      <c r="P999" s="69" t="s">
        <v>50</v>
      </c>
      <c r="Q999" s="69" t="s">
        <v>51</v>
      </c>
      <c r="R999" s="69"/>
      <c r="S999" s="46">
        <v>40562</v>
      </c>
      <c r="T999" s="48">
        <v>43191</v>
      </c>
      <c r="U999" s="69"/>
      <c r="V999" s="69"/>
      <c r="W999" s="69"/>
      <c r="X999" s="69"/>
      <c r="Y999" s="69" t="s">
        <v>4125</v>
      </c>
      <c r="Z999" s="43">
        <v>175000</v>
      </c>
      <c r="AA999" s="43" t="s">
        <v>52</v>
      </c>
      <c r="AB999" s="43" t="s">
        <v>53</v>
      </c>
      <c r="AC999" s="43">
        <v>183</v>
      </c>
      <c r="AD999" s="141">
        <v>0</v>
      </c>
      <c r="AE999" s="142">
        <v>6</v>
      </c>
      <c r="AF999" s="142"/>
      <c r="AG999" s="69" t="str">
        <f t="shared" ref="AG999:AG1000" si="480">_xlfn.CONCAT(AH999," years ",AI999," days")</f>
        <v>0 years 183 days</v>
      </c>
      <c r="AH999" s="69">
        <v>0</v>
      </c>
      <c r="AI999" s="69">
        <v>183</v>
      </c>
      <c r="AJ999" s="69">
        <v>0</v>
      </c>
      <c r="AK999" s="69">
        <v>0</v>
      </c>
      <c r="AL999" s="60">
        <v>175000</v>
      </c>
      <c r="AM999" s="60">
        <f t="shared" ref="AM999:AM1000" si="481">ROUND(AL999,2)</f>
        <v>175000</v>
      </c>
      <c r="AN999" s="59">
        <v>175000</v>
      </c>
      <c r="AO999" s="148">
        <f t="shared" ref="AO999:AO1000" si="482">ROUND(AN999,2)*-1</f>
        <v>-175000</v>
      </c>
      <c r="AP999" s="58">
        <v>0</v>
      </c>
      <c r="AQ999" s="143">
        <f t="shared" ref="AQ999:AQ1000" si="483">ROUND(AP999,2)*-1</f>
        <v>0</v>
      </c>
    </row>
    <row r="1000" spans="1:43" x14ac:dyDescent="0.35">
      <c r="A1000" s="69" t="s">
        <v>43</v>
      </c>
      <c r="B1000" s="15" t="s">
        <v>3105</v>
      </c>
      <c r="C1000" s="15"/>
      <c r="D1000" s="69"/>
      <c r="E1000" s="76">
        <v>0</v>
      </c>
      <c r="F1000" s="69" t="s">
        <v>2960</v>
      </c>
      <c r="G1000" s="132" t="s">
        <v>2961</v>
      </c>
      <c r="H1000" s="15">
        <v>9013000041</v>
      </c>
      <c r="I1000" s="92" t="s">
        <v>593</v>
      </c>
      <c r="J1000" s="92">
        <v>1202020101</v>
      </c>
      <c r="K1000" s="35" t="s">
        <v>3106</v>
      </c>
      <c r="L1000" s="95" t="s">
        <v>3107</v>
      </c>
      <c r="M1000" s="69" t="s">
        <v>3108</v>
      </c>
      <c r="N1000" s="69"/>
      <c r="O1000" s="94">
        <v>1</v>
      </c>
      <c r="P1000" s="69" t="s">
        <v>50</v>
      </c>
      <c r="Q1000" s="69" t="s">
        <v>51</v>
      </c>
      <c r="R1000" s="69"/>
      <c r="S1000" s="46">
        <v>44314</v>
      </c>
      <c r="T1000" s="48">
        <v>44314</v>
      </c>
      <c r="U1000" s="69"/>
      <c r="V1000" s="69"/>
      <c r="W1000" s="69"/>
      <c r="X1000" s="69"/>
      <c r="Y1000" s="69" t="s">
        <v>4128</v>
      </c>
      <c r="Z1000" s="43">
        <v>135000</v>
      </c>
      <c r="AA1000" s="43" t="s">
        <v>52</v>
      </c>
      <c r="AB1000" s="43" t="s">
        <v>53</v>
      </c>
      <c r="AC1000" s="43">
        <v>1460</v>
      </c>
      <c r="AD1000" s="141">
        <v>4</v>
      </c>
      <c r="AE1000" s="142">
        <v>0</v>
      </c>
      <c r="AF1000" s="142"/>
      <c r="AG1000" s="69" t="str">
        <f t="shared" si="480"/>
        <v>3 years 249 days</v>
      </c>
      <c r="AH1000" s="69">
        <v>3</v>
      </c>
      <c r="AI1000" s="69">
        <v>249</v>
      </c>
      <c r="AJ1000" s="69">
        <v>0</v>
      </c>
      <c r="AK1000" s="69">
        <v>0</v>
      </c>
      <c r="AL1000" s="60">
        <v>135000</v>
      </c>
      <c r="AM1000" s="60">
        <f t="shared" si="481"/>
        <v>135000</v>
      </c>
      <c r="AN1000" s="59">
        <v>124274</v>
      </c>
      <c r="AO1000" s="148">
        <f t="shared" si="482"/>
        <v>-124274</v>
      </c>
      <c r="AP1000" s="58">
        <v>10726</v>
      </c>
      <c r="AQ1000" s="143">
        <f t="shared" si="483"/>
        <v>-10726</v>
      </c>
    </row>
    <row r="1001" spans="1:43" x14ac:dyDescent="0.35">
      <c r="A1001" s="69" t="s">
        <v>43</v>
      </c>
      <c r="B1001" s="15" t="s">
        <v>3109</v>
      </c>
      <c r="C1001" s="15"/>
      <c r="D1001" s="69"/>
      <c r="E1001" s="76">
        <v>0</v>
      </c>
      <c r="F1001" s="69" t="s">
        <v>2960</v>
      </c>
      <c r="G1001" s="132" t="s">
        <v>2961</v>
      </c>
      <c r="H1001" s="15">
        <v>9013000042</v>
      </c>
      <c r="I1001" s="92" t="s">
        <v>593</v>
      </c>
      <c r="J1001" s="92">
        <v>1202020101</v>
      </c>
      <c r="K1001" s="37" t="s">
        <v>3110</v>
      </c>
      <c r="L1001" s="95" t="s">
        <v>3111</v>
      </c>
      <c r="M1001" s="69" t="s">
        <v>49</v>
      </c>
      <c r="N1001" s="69"/>
      <c r="O1001" s="94">
        <v>1</v>
      </c>
      <c r="P1001" s="69" t="s">
        <v>50</v>
      </c>
      <c r="Q1001" s="69" t="s">
        <v>51</v>
      </c>
      <c r="R1001" s="69"/>
      <c r="S1001" s="46">
        <v>40529</v>
      </c>
      <c r="T1001" s="48">
        <v>43191</v>
      </c>
      <c r="U1001" s="69"/>
      <c r="V1001" s="69"/>
      <c r="W1001" s="69"/>
      <c r="X1001" s="69"/>
      <c r="Y1001" s="69" t="s">
        <v>4125</v>
      </c>
      <c r="Z1001" s="43">
        <v>160000</v>
      </c>
      <c r="AA1001" s="43" t="s">
        <v>52</v>
      </c>
      <c r="AB1001" s="43" t="s">
        <v>53</v>
      </c>
      <c r="AC1001" s="43">
        <v>183</v>
      </c>
      <c r="AD1001" s="141">
        <v>0</v>
      </c>
      <c r="AE1001" s="142">
        <v>6</v>
      </c>
      <c r="AF1001" s="142"/>
      <c r="AG1001" s="69" t="str">
        <f t="shared" ref="AG1001:AG1004" si="484">_xlfn.CONCAT(AH1001," years ",AI1001," days")</f>
        <v>0 years 183 days</v>
      </c>
      <c r="AH1001" s="69">
        <v>0</v>
      </c>
      <c r="AI1001" s="69">
        <v>183</v>
      </c>
      <c r="AJ1001" s="69">
        <v>0</v>
      </c>
      <c r="AK1001" s="69">
        <v>0</v>
      </c>
      <c r="AL1001" s="60">
        <v>160000</v>
      </c>
      <c r="AM1001" s="60">
        <f t="shared" ref="AM1001:AM1004" si="485">ROUND(AL1001,2)</f>
        <v>160000</v>
      </c>
      <c r="AN1001" s="59">
        <v>160000</v>
      </c>
      <c r="AO1001" s="148">
        <f t="shared" ref="AO1001:AO1004" si="486">ROUND(AN1001,2)*-1</f>
        <v>-160000</v>
      </c>
      <c r="AP1001" s="58">
        <v>0</v>
      </c>
      <c r="AQ1001" s="143">
        <f t="shared" ref="AQ1001:AQ1004" si="487">ROUND(AP1001,2)*-1</f>
        <v>0</v>
      </c>
    </row>
    <row r="1002" spans="1:43" x14ac:dyDescent="0.35">
      <c r="A1002" s="69" t="s">
        <v>43</v>
      </c>
      <c r="B1002" s="15" t="s">
        <v>3112</v>
      </c>
      <c r="C1002" s="15"/>
      <c r="D1002" s="69"/>
      <c r="E1002" s="76">
        <v>0</v>
      </c>
      <c r="F1002" s="69" t="s">
        <v>2960</v>
      </c>
      <c r="G1002" s="132" t="s">
        <v>2961</v>
      </c>
      <c r="H1002" s="15">
        <v>9013000043</v>
      </c>
      <c r="I1002" s="92" t="s">
        <v>593</v>
      </c>
      <c r="J1002" s="92">
        <v>1202020101</v>
      </c>
      <c r="K1002" s="35" t="s">
        <v>3113</v>
      </c>
      <c r="L1002" s="95" t="s">
        <v>3114</v>
      </c>
      <c r="M1002" s="69" t="s">
        <v>49</v>
      </c>
      <c r="N1002" s="69"/>
      <c r="O1002" s="94">
        <v>1</v>
      </c>
      <c r="P1002" s="69" t="s">
        <v>50</v>
      </c>
      <c r="Q1002" s="69" t="s">
        <v>51</v>
      </c>
      <c r="R1002" s="69"/>
      <c r="S1002" s="46">
        <v>40761</v>
      </c>
      <c r="T1002" s="48">
        <v>43191</v>
      </c>
      <c r="U1002" s="69"/>
      <c r="V1002" s="69"/>
      <c r="W1002" s="69"/>
      <c r="X1002" s="69"/>
      <c r="Y1002" s="69" t="s">
        <v>4125</v>
      </c>
      <c r="Z1002" s="43">
        <v>155000</v>
      </c>
      <c r="AA1002" s="43" t="s">
        <v>52</v>
      </c>
      <c r="AB1002" s="43" t="s">
        <v>53</v>
      </c>
      <c r="AC1002" s="43">
        <v>183</v>
      </c>
      <c r="AD1002" s="141">
        <v>0</v>
      </c>
      <c r="AE1002" s="142">
        <v>6</v>
      </c>
      <c r="AF1002" s="142"/>
      <c r="AG1002" s="69" t="str">
        <f t="shared" si="484"/>
        <v>0 years 183 days</v>
      </c>
      <c r="AH1002" s="69">
        <v>0</v>
      </c>
      <c r="AI1002" s="69">
        <v>183</v>
      </c>
      <c r="AJ1002" s="69">
        <v>0</v>
      </c>
      <c r="AK1002" s="69">
        <v>0</v>
      </c>
      <c r="AL1002" s="60">
        <v>155000</v>
      </c>
      <c r="AM1002" s="60">
        <f t="shared" si="485"/>
        <v>155000</v>
      </c>
      <c r="AN1002" s="59">
        <v>155000</v>
      </c>
      <c r="AO1002" s="148">
        <f t="shared" si="486"/>
        <v>-155000</v>
      </c>
      <c r="AP1002" s="58">
        <v>0</v>
      </c>
      <c r="AQ1002" s="143">
        <f t="shared" si="487"/>
        <v>0</v>
      </c>
    </row>
    <row r="1003" spans="1:43" x14ac:dyDescent="0.35">
      <c r="A1003" s="69" t="s">
        <v>43</v>
      </c>
      <c r="B1003" s="15" t="s">
        <v>3115</v>
      </c>
      <c r="C1003" s="15"/>
      <c r="D1003" s="69"/>
      <c r="E1003" s="76">
        <v>0</v>
      </c>
      <c r="F1003" s="69" t="s">
        <v>2960</v>
      </c>
      <c r="G1003" s="132" t="s">
        <v>2961</v>
      </c>
      <c r="H1003" s="15">
        <v>9013000044</v>
      </c>
      <c r="I1003" s="92" t="s">
        <v>593</v>
      </c>
      <c r="J1003" s="92">
        <v>1202020101</v>
      </c>
      <c r="K1003" s="35" t="s">
        <v>3116</v>
      </c>
      <c r="L1003" s="95" t="s">
        <v>3117</v>
      </c>
      <c r="M1003" s="69" t="s">
        <v>3118</v>
      </c>
      <c r="N1003" s="69"/>
      <c r="O1003" s="94">
        <v>1</v>
      </c>
      <c r="P1003" s="69" t="s">
        <v>50</v>
      </c>
      <c r="Q1003" s="69" t="s">
        <v>51</v>
      </c>
      <c r="R1003" s="69"/>
      <c r="S1003" s="46">
        <v>45375</v>
      </c>
      <c r="T1003" s="48">
        <v>45375</v>
      </c>
      <c r="U1003" s="69"/>
      <c r="V1003" s="69"/>
      <c r="W1003" s="69"/>
      <c r="X1003" s="69"/>
      <c r="Y1003" s="69" t="s">
        <v>4130</v>
      </c>
      <c r="Z1003" s="43">
        <v>121550</v>
      </c>
      <c r="AA1003" s="43" t="s">
        <v>52</v>
      </c>
      <c r="AB1003" s="43" t="s">
        <v>53</v>
      </c>
      <c r="AC1003" s="43">
        <v>1460</v>
      </c>
      <c r="AD1003" s="141">
        <v>4</v>
      </c>
      <c r="AE1003" s="142">
        <v>0</v>
      </c>
      <c r="AF1003" s="142"/>
      <c r="AG1003" s="69" t="str">
        <f t="shared" si="484"/>
        <v>0 years 283 days</v>
      </c>
      <c r="AH1003" s="69">
        <v>0</v>
      </c>
      <c r="AI1003" s="69">
        <v>283</v>
      </c>
      <c r="AJ1003" s="69">
        <v>0</v>
      </c>
      <c r="AK1003" s="69">
        <v>0</v>
      </c>
      <c r="AL1003" s="60">
        <v>121550</v>
      </c>
      <c r="AM1003" s="60">
        <f t="shared" si="485"/>
        <v>121550</v>
      </c>
      <c r="AN1003" s="59">
        <v>23561</v>
      </c>
      <c r="AO1003" s="148">
        <f t="shared" si="486"/>
        <v>-23561</v>
      </c>
      <c r="AP1003" s="58">
        <v>15068.589041095889</v>
      </c>
      <c r="AQ1003" s="143">
        <f t="shared" si="487"/>
        <v>-15068.59</v>
      </c>
    </row>
    <row r="1004" spans="1:43" x14ac:dyDescent="0.35">
      <c r="A1004" s="69" t="s">
        <v>43</v>
      </c>
      <c r="B1004" s="15" t="s">
        <v>3119</v>
      </c>
      <c r="C1004" s="15"/>
      <c r="D1004" s="69"/>
      <c r="E1004" s="76">
        <v>0</v>
      </c>
      <c r="F1004" s="69" t="s">
        <v>2960</v>
      </c>
      <c r="G1004" s="132" t="s">
        <v>2961</v>
      </c>
      <c r="H1004" s="15">
        <v>9013000045</v>
      </c>
      <c r="I1004" s="92" t="s">
        <v>593</v>
      </c>
      <c r="J1004" s="92">
        <v>1202020101</v>
      </c>
      <c r="K1004" s="35" t="s">
        <v>3120</v>
      </c>
      <c r="L1004" s="95" t="s">
        <v>3121</v>
      </c>
      <c r="M1004" s="69" t="s">
        <v>3122</v>
      </c>
      <c r="N1004" s="69"/>
      <c r="O1004" s="94">
        <v>1</v>
      </c>
      <c r="P1004" s="69" t="s">
        <v>50</v>
      </c>
      <c r="Q1004" s="69" t="s">
        <v>51</v>
      </c>
      <c r="R1004" s="69"/>
      <c r="S1004" s="46">
        <v>44423</v>
      </c>
      <c r="T1004" s="48">
        <v>44423</v>
      </c>
      <c r="U1004" s="69"/>
      <c r="V1004" s="69"/>
      <c r="W1004" s="69"/>
      <c r="X1004" s="69"/>
      <c r="Y1004" s="69" t="s">
        <v>4128</v>
      </c>
      <c r="Z1004" s="43">
        <v>135000</v>
      </c>
      <c r="AA1004" s="43" t="s">
        <v>52</v>
      </c>
      <c r="AB1004" s="43" t="s">
        <v>53</v>
      </c>
      <c r="AC1004" s="43">
        <v>1460</v>
      </c>
      <c r="AD1004" s="141">
        <v>4</v>
      </c>
      <c r="AE1004" s="142">
        <v>0</v>
      </c>
      <c r="AF1004" s="142"/>
      <c r="AG1004" s="69" t="str">
        <f t="shared" si="484"/>
        <v>3 years 140 days</v>
      </c>
      <c r="AH1004" s="69">
        <v>3</v>
      </c>
      <c r="AI1004" s="69">
        <v>140</v>
      </c>
      <c r="AJ1004" s="69">
        <v>0</v>
      </c>
      <c r="AK1004" s="69">
        <v>0</v>
      </c>
      <c r="AL1004" s="60">
        <v>135000</v>
      </c>
      <c r="AM1004" s="60">
        <f t="shared" si="485"/>
        <v>135000</v>
      </c>
      <c r="AN1004" s="59">
        <v>114195</v>
      </c>
      <c r="AO1004" s="148">
        <f t="shared" si="486"/>
        <v>-114195</v>
      </c>
      <c r="AP1004" s="58">
        <v>16736.506849315076</v>
      </c>
      <c r="AQ1004" s="143">
        <f t="shared" si="487"/>
        <v>-16736.509999999998</v>
      </c>
    </row>
    <row r="1005" spans="1:43" x14ac:dyDescent="0.35">
      <c r="A1005" s="69" t="s">
        <v>43</v>
      </c>
      <c r="B1005" s="15" t="s">
        <v>3123</v>
      </c>
      <c r="C1005" s="15"/>
      <c r="D1005" s="69"/>
      <c r="E1005" s="76">
        <v>0</v>
      </c>
      <c r="F1005" s="69" t="s">
        <v>2960</v>
      </c>
      <c r="G1005" s="132" t="s">
        <v>2961</v>
      </c>
      <c r="H1005" s="15">
        <v>9013000046</v>
      </c>
      <c r="I1005" s="92" t="s">
        <v>593</v>
      </c>
      <c r="J1005" s="92">
        <v>1202020101</v>
      </c>
      <c r="K1005" s="35" t="s">
        <v>3124</v>
      </c>
      <c r="L1005" s="95" t="s">
        <v>3125</v>
      </c>
      <c r="M1005" s="69" t="s">
        <v>49</v>
      </c>
      <c r="N1005" s="69"/>
      <c r="O1005" s="94">
        <v>1</v>
      </c>
      <c r="P1005" s="69" t="s">
        <v>50</v>
      </c>
      <c r="Q1005" s="69" t="s">
        <v>51</v>
      </c>
      <c r="R1005" s="69"/>
      <c r="S1005" s="46">
        <v>42751</v>
      </c>
      <c r="T1005" s="48">
        <v>43191</v>
      </c>
      <c r="U1005" s="69"/>
      <c r="V1005" s="69"/>
      <c r="W1005" s="69"/>
      <c r="X1005" s="69"/>
      <c r="Y1005" s="69" t="s">
        <v>4125</v>
      </c>
      <c r="Z1005" s="43">
        <v>72500</v>
      </c>
      <c r="AA1005" s="43" t="s">
        <v>52</v>
      </c>
      <c r="AB1005" s="43" t="s">
        <v>53</v>
      </c>
      <c r="AC1005" s="43">
        <v>1387</v>
      </c>
      <c r="AD1005" s="141">
        <v>3</v>
      </c>
      <c r="AE1005" s="142">
        <v>10</v>
      </c>
      <c r="AF1005" s="142"/>
      <c r="AG1005" s="69" t="str">
        <f t="shared" ref="AG1005:AG1006" si="488">_xlfn.CONCAT(AH1005," years ",AI1005," days")</f>
        <v>3 years 292 days</v>
      </c>
      <c r="AH1005" s="69">
        <v>3</v>
      </c>
      <c r="AI1005" s="69">
        <v>292</v>
      </c>
      <c r="AJ1005" s="69">
        <v>0</v>
      </c>
      <c r="AK1005" s="69">
        <v>0</v>
      </c>
      <c r="AL1005" s="60">
        <v>72500</v>
      </c>
      <c r="AM1005" s="60">
        <f t="shared" ref="AM1005:AM1006" si="489">ROUND(AL1005,2)</f>
        <v>72500</v>
      </c>
      <c r="AN1005" s="59">
        <v>72500</v>
      </c>
      <c r="AO1005" s="148">
        <f t="shared" ref="AO1005:AO1006" si="490">ROUND(AN1005,2)*-1</f>
        <v>-72500</v>
      </c>
      <c r="AP1005" s="58">
        <v>0</v>
      </c>
      <c r="AQ1005" s="143">
        <f t="shared" ref="AQ1005:AQ1006" si="491">ROUND(AP1005,2)*-1</f>
        <v>0</v>
      </c>
    </row>
    <row r="1006" spans="1:43" x14ac:dyDescent="0.35">
      <c r="A1006" s="69" t="s">
        <v>43</v>
      </c>
      <c r="B1006" s="15" t="s">
        <v>3126</v>
      </c>
      <c r="C1006" s="15"/>
      <c r="D1006" s="69"/>
      <c r="E1006" s="76">
        <v>0</v>
      </c>
      <c r="F1006" s="69" t="s">
        <v>2960</v>
      </c>
      <c r="G1006" s="132" t="s">
        <v>2961</v>
      </c>
      <c r="H1006" s="15">
        <v>9013000047</v>
      </c>
      <c r="I1006" s="92" t="s">
        <v>593</v>
      </c>
      <c r="J1006" s="92">
        <v>1202020101</v>
      </c>
      <c r="K1006" s="35" t="s">
        <v>3127</v>
      </c>
      <c r="L1006" s="95" t="s">
        <v>3128</v>
      </c>
      <c r="M1006" s="69" t="s">
        <v>3129</v>
      </c>
      <c r="N1006" s="69"/>
      <c r="O1006" s="94">
        <v>1</v>
      </c>
      <c r="P1006" s="69" t="s">
        <v>50</v>
      </c>
      <c r="Q1006" s="69" t="s">
        <v>51</v>
      </c>
      <c r="R1006" s="69"/>
      <c r="S1006" s="46">
        <v>40870</v>
      </c>
      <c r="T1006" s="48">
        <v>43191</v>
      </c>
      <c r="U1006" s="69"/>
      <c r="V1006" s="69"/>
      <c r="W1006" s="69"/>
      <c r="X1006" s="69"/>
      <c r="Y1006" s="69" t="s">
        <v>4125</v>
      </c>
      <c r="Z1006" s="43">
        <v>12500</v>
      </c>
      <c r="AA1006" s="43" t="s">
        <v>52</v>
      </c>
      <c r="AB1006" s="43" t="s">
        <v>53</v>
      </c>
      <c r="AC1006" s="43">
        <v>183</v>
      </c>
      <c r="AD1006" s="141">
        <v>0</v>
      </c>
      <c r="AE1006" s="142">
        <v>6</v>
      </c>
      <c r="AF1006" s="142"/>
      <c r="AG1006" s="69" t="str">
        <f t="shared" si="488"/>
        <v>0 years 183 days</v>
      </c>
      <c r="AH1006" s="69">
        <v>0</v>
      </c>
      <c r="AI1006" s="69">
        <v>183</v>
      </c>
      <c r="AJ1006" s="69">
        <v>0</v>
      </c>
      <c r="AK1006" s="69">
        <v>0</v>
      </c>
      <c r="AL1006" s="60">
        <v>12500</v>
      </c>
      <c r="AM1006" s="60">
        <f t="shared" si="489"/>
        <v>12500</v>
      </c>
      <c r="AN1006" s="59">
        <v>12500</v>
      </c>
      <c r="AO1006" s="148">
        <f t="shared" si="490"/>
        <v>-12500</v>
      </c>
      <c r="AP1006" s="58">
        <v>0</v>
      </c>
      <c r="AQ1006" s="143">
        <f t="shared" si="491"/>
        <v>0</v>
      </c>
    </row>
    <row r="1007" spans="1:43" x14ac:dyDescent="0.35">
      <c r="A1007" s="69" t="s">
        <v>43</v>
      </c>
      <c r="B1007" s="15" t="s">
        <v>3130</v>
      </c>
      <c r="C1007" s="15"/>
      <c r="D1007" s="69"/>
      <c r="E1007" s="76">
        <v>0</v>
      </c>
      <c r="F1007" s="69" t="s">
        <v>2960</v>
      </c>
      <c r="G1007" s="132" t="s">
        <v>2961</v>
      </c>
      <c r="H1007" s="15">
        <v>9013000048</v>
      </c>
      <c r="I1007" s="92" t="s">
        <v>593</v>
      </c>
      <c r="J1007" s="92">
        <v>1202020101</v>
      </c>
      <c r="K1007" s="35" t="s">
        <v>3131</v>
      </c>
      <c r="L1007" s="95" t="s">
        <v>3132</v>
      </c>
      <c r="M1007" s="69" t="s">
        <v>3133</v>
      </c>
      <c r="N1007" s="69"/>
      <c r="O1007" s="94">
        <v>2</v>
      </c>
      <c r="P1007" s="69" t="s">
        <v>50</v>
      </c>
      <c r="Q1007" s="69" t="s">
        <v>51</v>
      </c>
      <c r="R1007" s="69"/>
      <c r="S1007" s="46">
        <v>42318</v>
      </c>
      <c r="T1007" s="48">
        <v>43191</v>
      </c>
      <c r="U1007" s="69"/>
      <c r="V1007" s="69"/>
      <c r="W1007" s="69"/>
      <c r="X1007" s="69"/>
      <c r="Y1007" s="69" t="s">
        <v>4125</v>
      </c>
      <c r="Z1007" s="43">
        <v>1475000</v>
      </c>
      <c r="AA1007" s="43" t="s">
        <v>52</v>
      </c>
      <c r="AB1007" s="43" t="s">
        <v>53</v>
      </c>
      <c r="AC1007" s="43">
        <v>876</v>
      </c>
      <c r="AD1007" s="141">
        <v>2</v>
      </c>
      <c r="AE1007" s="142">
        <v>5</v>
      </c>
      <c r="AF1007" s="142"/>
      <c r="AG1007" s="69" t="str">
        <f t="shared" ref="AG1007:AG1009" si="492">_xlfn.CONCAT(AH1007," years ",AI1007," days")</f>
        <v>2 years 146 days</v>
      </c>
      <c r="AH1007" s="69">
        <v>2</v>
      </c>
      <c r="AI1007" s="69">
        <v>146</v>
      </c>
      <c r="AJ1007" s="69">
        <v>0</v>
      </c>
      <c r="AK1007" s="69">
        <v>0</v>
      </c>
      <c r="AL1007" s="60">
        <v>1475000</v>
      </c>
      <c r="AM1007" s="60">
        <f t="shared" ref="AM1007:AM1009" si="493">ROUND(AL1007,2)</f>
        <v>1475000</v>
      </c>
      <c r="AN1007" s="59">
        <v>1475000</v>
      </c>
      <c r="AO1007" s="148">
        <f t="shared" ref="AO1007:AO1009" si="494">ROUND(AN1007,2)*-1</f>
        <v>-1475000</v>
      </c>
      <c r="AP1007" s="58">
        <v>0</v>
      </c>
      <c r="AQ1007" s="143">
        <f t="shared" ref="AQ1007:AQ1009" si="495">ROUND(AP1007,2)*-1</f>
        <v>0</v>
      </c>
    </row>
    <row r="1008" spans="1:43" x14ac:dyDescent="0.35">
      <c r="A1008" s="69" t="s">
        <v>43</v>
      </c>
      <c r="B1008" s="15" t="s">
        <v>3134</v>
      </c>
      <c r="C1008" s="15"/>
      <c r="D1008" s="69"/>
      <c r="E1008" s="76">
        <v>0</v>
      </c>
      <c r="F1008" s="69" t="s">
        <v>2960</v>
      </c>
      <c r="G1008" s="132" t="s">
        <v>2961</v>
      </c>
      <c r="H1008" s="15">
        <v>9013000049</v>
      </c>
      <c r="I1008" s="92" t="s">
        <v>593</v>
      </c>
      <c r="J1008" s="92">
        <v>1202020101</v>
      </c>
      <c r="K1008" s="35" t="s">
        <v>3135</v>
      </c>
      <c r="L1008" s="95" t="s">
        <v>3136</v>
      </c>
      <c r="M1008" s="69" t="s">
        <v>3122</v>
      </c>
      <c r="N1008" s="69"/>
      <c r="O1008" s="94">
        <v>1</v>
      </c>
      <c r="P1008" s="69" t="s">
        <v>50</v>
      </c>
      <c r="Q1008" s="69" t="s">
        <v>51</v>
      </c>
      <c r="R1008" s="69"/>
      <c r="S1008" s="46">
        <v>44497</v>
      </c>
      <c r="T1008" s="48">
        <v>44497</v>
      </c>
      <c r="U1008" s="69"/>
      <c r="V1008" s="69"/>
      <c r="W1008" s="69"/>
      <c r="X1008" s="69"/>
      <c r="Y1008" s="69" t="s">
        <v>4128</v>
      </c>
      <c r="Z1008" s="43">
        <v>135000</v>
      </c>
      <c r="AA1008" s="43" t="s">
        <v>52</v>
      </c>
      <c r="AB1008" s="43" t="s">
        <v>53</v>
      </c>
      <c r="AC1008" s="43">
        <v>1460</v>
      </c>
      <c r="AD1008" s="141">
        <v>4</v>
      </c>
      <c r="AE1008" s="142">
        <v>0</v>
      </c>
      <c r="AF1008" s="142"/>
      <c r="AG1008" s="69" t="str">
        <f t="shared" si="492"/>
        <v>3 years 66 days</v>
      </c>
      <c r="AH1008" s="69">
        <v>3</v>
      </c>
      <c r="AI1008" s="69">
        <v>66</v>
      </c>
      <c r="AJ1008" s="69">
        <v>0</v>
      </c>
      <c r="AK1008" s="69">
        <v>0</v>
      </c>
      <c r="AL1008" s="60">
        <v>135000</v>
      </c>
      <c r="AM1008" s="60">
        <f t="shared" si="493"/>
        <v>135000</v>
      </c>
      <c r="AN1008" s="59">
        <v>107353</v>
      </c>
      <c r="AO1008" s="148">
        <f t="shared" si="494"/>
        <v>-107353</v>
      </c>
      <c r="AP1008" s="58">
        <v>16736.041095890396</v>
      </c>
      <c r="AQ1008" s="143">
        <f t="shared" si="495"/>
        <v>-16736.04</v>
      </c>
    </row>
    <row r="1009" spans="1:43" x14ac:dyDescent="0.35">
      <c r="A1009" s="69" t="s">
        <v>43</v>
      </c>
      <c r="B1009" s="15" t="s">
        <v>3137</v>
      </c>
      <c r="C1009" s="15"/>
      <c r="D1009" s="69"/>
      <c r="E1009" s="76">
        <v>0</v>
      </c>
      <c r="F1009" s="69" t="s">
        <v>2960</v>
      </c>
      <c r="G1009" s="132" t="s">
        <v>2961</v>
      </c>
      <c r="H1009" s="15">
        <v>9013000050</v>
      </c>
      <c r="I1009" s="92" t="s">
        <v>593</v>
      </c>
      <c r="J1009" s="92">
        <v>1202020101</v>
      </c>
      <c r="K1009" s="35" t="s">
        <v>3138</v>
      </c>
      <c r="L1009" s="95" t="s">
        <v>3139</v>
      </c>
      <c r="M1009" s="69" t="s">
        <v>49</v>
      </c>
      <c r="N1009" s="69"/>
      <c r="O1009" s="94">
        <v>1</v>
      </c>
      <c r="P1009" s="69" t="s">
        <v>50</v>
      </c>
      <c r="Q1009" s="69" t="s">
        <v>51</v>
      </c>
      <c r="R1009" s="69"/>
      <c r="S1009" s="46">
        <v>42740</v>
      </c>
      <c r="T1009" s="48">
        <v>43191</v>
      </c>
      <c r="U1009" s="69"/>
      <c r="V1009" s="69"/>
      <c r="W1009" s="69"/>
      <c r="X1009" s="69"/>
      <c r="Y1009" s="69" t="s">
        <v>4125</v>
      </c>
      <c r="Z1009" s="43">
        <v>82500</v>
      </c>
      <c r="AA1009" s="43" t="s">
        <v>52</v>
      </c>
      <c r="AB1009" s="43" t="s">
        <v>53</v>
      </c>
      <c r="AC1009" s="43">
        <v>1387</v>
      </c>
      <c r="AD1009" s="141">
        <v>3</v>
      </c>
      <c r="AE1009" s="142">
        <v>10</v>
      </c>
      <c r="AF1009" s="142"/>
      <c r="AG1009" s="69" t="str">
        <f t="shared" si="492"/>
        <v>3 years 292 days</v>
      </c>
      <c r="AH1009" s="69">
        <v>3</v>
      </c>
      <c r="AI1009" s="69">
        <v>292</v>
      </c>
      <c r="AJ1009" s="69">
        <v>0</v>
      </c>
      <c r="AK1009" s="69">
        <v>0</v>
      </c>
      <c r="AL1009" s="60">
        <v>82500</v>
      </c>
      <c r="AM1009" s="60">
        <f t="shared" si="493"/>
        <v>82500</v>
      </c>
      <c r="AN1009" s="59">
        <v>82500</v>
      </c>
      <c r="AO1009" s="148">
        <f t="shared" si="494"/>
        <v>-82500</v>
      </c>
      <c r="AP1009" s="58">
        <v>0</v>
      </c>
      <c r="AQ1009" s="143">
        <f t="shared" si="495"/>
        <v>0</v>
      </c>
    </row>
    <row r="1010" spans="1:43" x14ac:dyDescent="0.35">
      <c r="A1010" s="69" t="s">
        <v>43</v>
      </c>
      <c r="B1010" s="15" t="s">
        <v>3140</v>
      </c>
      <c r="C1010" s="15"/>
      <c r="D1010" s="69"/>
      <c r="E1010" s="76">
        <v>0</v>
      </c>
      <c r="F1010" s="69" t="s">
        <v>2960</v>
      </c>
      <c r="G1010" s="132" t="s">
        <v>2961</v>
      </c>
      <c r="H1010" s="15">
        <v>9013000051</v>
      </c>
      <c r="I1010" s="92" t="s">
        <v>593</v>
      </c>
      <c r="J1010" s="92">
        <v>1202020101</v>
      </c>
      <c r="K1010" s="35" t="s">
        <v>3141</v>
      </c>
      <c r="L1010" s="95" t="s">
        <v>3142</v>
      </c>
      <c r="M1010" s="69" t="s">
        <v>49</v>
      </c>
      <c r="N1010" s="69"/>
      <c r="O1010" s="94">
        <v>1</v>
      </c>
      <c r="P1010" s="69" t="s">
        <v>50</v>
      </c>
      <c r="Q1010" s="69" t="s">
        <v>51</v>
      </c>
      <c r="R1010" s="69"/>
      <c r="S1010" s="46">
        <v>40479</v>
      </c>
      <c r="T1010" s="48">
        <v>43191</v>
      </c>
      <c r="U1010" s="69"/>
      <c r="V1010" s="69"/>
      <c r="W1010" s="69"/>
      <c r="X1010" s="69"/>
      <c r="Y1010" s="69" t="s">
        <v>4125</v>
      </c>
      <c r="Z1010" s="43">
        <v>160000</v>
      </c>
      <c r="AA1010" s="43" t="s">
        <v>52</v>
      </c>
      <c r="AB1010" s="43" t="s">
        <v>53</v>
      </c>
      <c r="AC1010" s="43">
        <v>183</v>
      </c>
      <c r="AD1010" s="141">
        <v>0</v>
      </c>
      <c r="AE1010" s="142">
        <v>6</v>
      </c>
      <c r="AF1010" s="142"/>
      <c r="AG1010" s="69" t="str">
        <f t="shared" ref="AG1010:AG1014" si="496">_xlfn.CONCAT(AH1010," years ",AI1010," days")</f>
        <v>0 years 183 days</v>
      </c>
      <c r="AH1010" s="69">
        <v>0</v>
      </c>
      <c r="AI1010" s="69">
        <v>183</v>
      </c>
      <c r="AJ1010" s="69">
        <v>0</v>
      </c>
      <c r="AK1010" s="69">
        <v>0</v>
      </c>
      <c r="AL1010" s="60">
        <v>160000</v>
      </c>
      <c r="AM1010" s="60">
        <f t="shared" ref="AM1010:AM1014" si="497">ROUND(AL1010,2)</f>
        <v>160000</v>
      </c>
      <c r="AN1010" s="59">
        <v>160000</v>
      </c>
      <c r="AO1010" s="148">
        <f t="shared" ref="AO1010:AO1014" si="498">ROUND(AN1010,2)*-1</f>
        <v>-160000</v>
      </c>
      <c r="AP1010" s="58">
        <v>0</v>
      </c>
      <c r="AQ1010" s="143">
        <f t="shared" ref="AQ1010:AQ1014" si="499">ROUND(AP1010,2)*-1</f>
        <v>0</v>
      </c>
    </row>
    <row r="1011" spans="1:43" x14ac:dyDescent="0.35">
      <c r="A1011" s="69" t="s">
        <v>43</v>
      </c>
      <c r="B1011" s="15" t="s">
        <v>3143</v>
      </c>
      <c r="C1011" s="15"/>
      <c r="D1011" s="69"/>
      <c r="E1011" s="76">
        <v>0</v>
      </c>
      <c r="F1011" s="69" t="s">
        <v>2960</v>
      </c>
      <c r="G1011" s="132" t="s">
        <v>2961</v>
      </c>
      <c r="H1011" s="15">
        <v>9013000052</v>
      </c>
      <c r="I1011" s="92" t="s">
        <v>593</v>
      </c>
      <c r="J1011" s="92">
        <v>1202020101</v>
      </c>
      <c r="K1011" s="35" t="s">
        <v>3144</v>
      </c>
      <c r="L1011" s="95" t="s">
        <v>3145</v>
      </c>
      <c r="M1011" s="69" t="s">
        <v>3108</v>
      </c>
      <c r="N1011" s="69"/>
      <c r="O1011" s="94">
        <v>1</v>
      </c>
      <c r="P1011" s="69" t="s">
        <v>50</v>
      </c>
      <c r="Q1011" s="69" t="s">
        <v>51</v>
      </c>
      <c r="R1011" s="69"/>
      <c r="S1011" s="46">
        <v>43829</v>
      </c>
      <c r="T1011" s="48">
        <v>43829</v>
      </c>
      <c r="U1011" s="69"/>
      <c r="V1011" s="69"/>
      <c r="W1011" s="69"/>
      <c r="X1011" s="69"/>
      <c r="Y1011" s="69" t="s">
        <v>4126</v>
      </c>
      <c r="Z1011" s="43">
        <v>135000</v>
      </c>
      <c r="AA1011" s="43" t="s">
        <v>52</v>
      </c>
      <c r="AB1011" s="43" t="s">
        <v>53</v>
      </c>
      <c r="AC1011" s="43">
        <v>1460</v>
      </c>
      <c r="AD1011" s="141">
        <v>4</v>
      </c>
      <c r="AE1011" s="142">
        <v>0</v>
      </c>
      <c r="AF1011" s="142"/>
      <c r="AG1011" s="69" t="str">
        <f t="shared" si="496"/>
        <v>4 years 0 days</v>
      </c>
      <c r="AH1011" s="69">
        <v>4</v>
      </c>
      <c r="AI1011" s="69">
        <v>0</v>
      </c>
      <c r="AJ1011" s="69">
        <v>0</v>
      </c>
      <c r="AK1011" s="69">
        <v>0</v>
      </c>
      <c r="AL1011" s="60">
        <v>135000</v>
      </c>
      <c r="AM1011" s="60">
        <f t="shared" si="497"/>
        <v>135000</v>
      </c>
      <c r="AN1011" s="59">
        <v>135000</v>
      </c>
      <c r="AO1011" s="148">
        <f t="shared" si="498"/>
        <v>-135000</v>
      </c>
      <c r="AP1011" s="58">
        <v>0</v>
      </c>
      <c r="AQ1011" s="143">
        <f t="shared" si="499"/>
        <v>0</v>
      </c>
    </row>
    <row r="1012" spans="1:43" x14ac:dyDescent="0.35">
      <c r="A1012" s="69" t="s">
        <v>43</v>
      </c>
      <c r="B1012" s="15" t="s">
        <v>3146</v>
      </c>
      <c r="C1012" s="15"/>
      <c r="D1012" s="69"/>
      <c r="E1012" s="76">
        <v>0</v>
      </c>
      <c r="F1012" s="69" t="s">
        <v>2960</v>
      </c>
      <c r="G1012" s="132" t="s">
        <v>2961</v>
      </c>
      <c r="H1012" s="15">
        <v>9013000053</v>
      </c>
      <c r="I1012" s="92" t="s">
        <v>593</v>
      </c>
      <c r="J1012" s="92">
        <v>1202020101</v>
      </c>
      <c r="K1012" s="35" t="s">
        <v>3147</v>
      </c>
      <c r="L1012" s="95" t="s">
        <v>3148</v>
      </c>
      <c r="M1012" s="69" t="s">
        <v>49</v>
      </c>
      <c r="N1012" s="69"/>
      <c r="O1012" s="94">
        <v>1</v>
      </c>
      <c r="P1012" s="69" t="s">
        <v>50</v>
      </c>
      <c r="Q1012" s="69" t="s">
        <v>51</v>
      </c>
      <c r="R1012" s="69"/>
      <c r="S1012" s="46">
        <v>40585</v>
      </c>
      <c r="T1012" s="48">
        <v>43191</v>
      </c>
      <c r="U1012" s="69"/>
      <c r="V1012" s="69"/>
      <c r="W1012" s="69"/>
      <c r="X1012" s="69"/>
      <c r="Y1012" s="69" t="s">
        <v>4125</v>
      </c>
      <c r="Z1012" s="43">
        <v>8000</v>
      </c>
      <c r="AA1012" s="43" t="s">
        <v>52</v>
      </c>
      <c r="AB1012" s="43" t="s">
        <v>53</v>
      </c>
      <c r="AC1012" s="43">
        <v>183</v>
      </c>
      <c r="AD1012" s="141">
        <v>0</v>
      </c>
      <c r="AE1012" s="142">
        <v>6</v>
      </c>
      <c r="AF1012" s="142"/>
      <c r="AG1012" s="69" t="str">
        <f t="shared" si="496"/>
        <v>0 years 183 days</v>
      </c>
      <c r="AH1012" s="69">
        <v>0</v>
      </c>
      <c r="AI1012" s="69">
        <v>183</v>
      </c>
      <c r="AJ1012" s="69">
        <v>0</v>
      </c>
      <c r="AK1012" s="69">
        <v>0</v>
      </c>
      <c r="AL1012" s="60">
        <v>8000</v>
      </c>
      <c r="AM1012" s="60">
        <f t="shared" si="497"/>
        <v>8000</v>
      </c>
      <c r="AN1012" s="59">
        <v>8000</v>
      </c>
      <c r="AO1012" s="148">
        <f t="shared" si="498"/>
        <v>-8000</v>
      </c>
      <c r="AP1012" s="58">
        <v>0</v>
      </c>
      <c r="AQ1012" s="143">
        <f t="shared" si="499"/>
        <v>0</v>
      </c>
    </row>
    <row r="1013" spans="1:43" x14ac:dyDescent="0.35">
      <c r="A1013" s="69" t="s">
        <v>43</v>
      </c>
      <c r="B1013" s="15" t="s">
        <v>3149</v>
      </c>
      <c r="C1013" s="15"/>
      <c r="D1013" s="69"/>
      <c r="E1013" s="76">
        <v>0</v>
      </c>
      <c r="F1013" s="69" t="s">
        <v>2960</v>
      </c>
      <c r="G1013" s="132" t="s">
        <v>2961</v>
      </c>
      <c r="H1013" s="15">
        <v>9013000054</v>
      </c>
      <c r="I1013" s="92" t="s">
        <v>593</v>
      </c>
      <c r="J1013" s="92">
        <v>1202020101</v>
      </c>
      <c r="K1013" s="35" t="s">
        <v>3150</v>
      </c>
      <c r="L1013" s="95" t="s">
        <v>3151</v>
      </c>
      <c r="M1013" s="69" t="s">
        <v>3152</v>
      </c>
      <c r="N1013" s="69"/>
      <c r="O1013" s="94">
        <v>1</v>
      </c>
      <c r="P1013" s="69" t="s">
        <v>50</v>
      </c>
      <c r="Q1013" s="69" t="s">
        <v>51</v>
      </c>
      <c r="R1013" s="69"/>
      <c r="S1013" s="46">
        <v>44114</v>
      </c>
      <c r="T1013" s="48">
        <v>44114</v>
      </c>
      <c r="U1013" s="69"/>
      <c r="V1013" s="69"/>
      <c r="W1013" s="69"/>
      <c r="X1013" s="69"/>
      <c r="Y1013" s="69" t="s">
        <v>4127</v>
      </c>
      <c r="Z1013" s="43">
        <v>135000</v>
      </c>
      <c r="AA1013" s="43" t="s">
        <v>52</v>
      </c>
      <c r="AB1013" s="43" t="s">
        <v>53</v>
      </c>
      <c r="AC1013" s="43">
        <v>1460</v>
      </c>
      <c r="AD1013" s="141">
        <v>4</v>
      </c>
      <c r="AE1013" s="142">
        <v>0</v>
      </c>
      <c r="AF1013" s="142"/>
      <c r="AG1013" s="69" t="str">
        <f t="shared" si="496"/>
        <v>4 years 0 days</v>
      </c>
      <c r="AH1013" s="69">
        <v>4</v>
      </c>
      <c r="AI1013" s="69">
        <v>0</v>
      </c>
      <c r="AJ1013" s="69">
        <v>0</v>
      </c>
      <c r="AK1013" s="69">
        <v>0</v>
      </c>
      <c r="AL1013" s="60">
        <v>135000</v>
      </c>
      <c r="AM1013" s="60">
        <f t="shared" si="497"/>
        <v>135000</v>
      </c>
      <c r="AN1013" s="59">
        <v>135000</v>
      </c>
      <c r="AO1013" s="148">
        <f t="shared" si="498"/>
        <v>-135000</v>
      </c>
      <c r="AP1013" s="58">
        <v>0</v>
      </c>
      <c r="AQ1013" s="143">
        <f t="shared" si="499"/>
        <v>0</v>
      </c>
    </row>
    <row r="1014" spans="1:43" x14ac:dyDescent="0.35">
      <c r="A1014" s="69" t="s">
        <v>43</v>
      </c>
      <c r="B1014" s="15" t="s">
        <v>3153</v>
      </c>
      <c r="C1014" s="15"/>
      <c r="D1014" s="69"/>
      <c r="E1014" s="76">
        <v>0</v>
      </c>
      <c r="F1014" s="69" t="s">
        <v>2960</v>
      </c>
      <c r="G1014" s="132" t="s">
        <v>2961</v>
      </c>
      <c r="H1014" s="15">
        <v>9013000055</v>
      </c>
      <c r="I1014" s="92" t="s">
        <v>593</v>
      </c>
      <c r="J1014" s="92">
        <v>1202020101</v>
      </c>
      <c r="K1014" s="35" t="s">
        <v>3154</v>
      </c>
      <c r="L1014" s="95" t="s">
        <v>3155</v>
      </c>
      <c r="M1014" s="69" t="s">
        <v>3156</v>
      </c>
      <c r="N1014" s="69"/>
      <c r="O1014" s="94">
        <v>1</v>
      </c>
      <c r="P1014" s="69" t="s">
        <v>50</v>
      </c>
      <c r="Q1014" s="69" t="s">
        <v>51</v>
      </c>
      <c r="R1014" s="69"/>
      <c r="S1014" s="46">
        <v>45536</v>
      </c>
      <c r="T1014" s="48">
        <v>45536</v>
      </c>
      <c r="U1014" s="69"/>
      <c r="V1014" s="69"/>
      <c r="W1014" s="69"/>
      <c r="X1014" s="69"/>
      <c r="Y1014" s="69" t="s">
        <v>4130</v>
      </c>
      <c r="Z1014" s="43">
        <v>140000</v>
      </c>
      <c r="AA1014" s="43" t="s">
        <v>52</v>
      </c>
      <c r="AB1014" s="43" t="s">
        <v>53</v>
      </c>
      <c r="AC1014" s="43">
        <v>1460</v>
      </c>
      <c r="AD1014" s="141">
        <v>4</v>
      </c>
      <c r="AE1014" s="142">
        <v>0</v>
      </c>
      <c r="AF1014" s="142"/>
      <c r="AG1014" s="69" t="str">
        <f t="shared" si="496"/>
        <v>0 years 122 days</v>
      </c>
      <c r="AH1014" s="69">
        <v>0</v>
      </c>
      <c r="AI1014" s="69">
        <v>122</v>
      </c>
      <c r="AJ1014" s="69">
        <v>0</v>
      </c>
      <c r="AK1014" s="69">
        <v>0</v>
      </c>
      <c r="AL1014" s="60">
        <v>140000</v>
      </c>
      <c r="AM1014" s="60">
        <f t="shared" si="497"/>
        <v>140000</v>
      </c>
      <c r="AN1014" s="59">
        <v>11699</v>
      </c>
      <c r="AO1014" s="148">
        <f t="shared" si="498"/>
        <v>-11699</v>
      </c>
      <c r="AP1014" s="58">
        <v>17355.794520547945</v>
      </c>
      <c r="AQ1014" s="143">
        <f t="shared" si="499"/>
        <v>-17355.79</v>
      </c>
    </row>
    <row r="1015" spans="1:43" x14ac:dyDescent="0.35">
      <c r="A1015" s="69" t="s">
        <v>43</v>
      </c>
      <c r="B1015" s="15" t="s">
        <v>3157</v>
      </c>
      <c r="C1015" s="15"/>
      <c r="D1015" s="69"/>
      <c r="E1015" s="76">
        <v>0</v>
      </c>
      <c r="F1015" s="69" t="s">
        <v>2960</v>
      </c>
      <c r="G1015" s="132" t="s">
        <v>2961</v>
      </c>
      <c r="H1015" s="15">
        <v>9013000056</v>
      </c>
      <c r="I1015" s="92" t="s">
        <v>593</v>
      </c>
      <c r="J1015" s="92">
        <v>1202020101</v>
      </c>
      <c r="K1015" s="35" t="s">
        <v>3158</v>
      </c>
      <c r="L1015" s="95" t="s">
        <v>3159</v>
      </c>
      <c r="M1015" s="69" t="s">
        <v>49</v>
      </c>
      <c r="N1015" s="69"/>
      <c r="O1015" s="94">
        <v>1</v>
      </c>
      <c r="P1015" s="69" t="s">
        <v>50</v>
      </c>
      <c r="Q1015" s="69" t="s">
        <v>51</v>
      </c>
      <c r="R1015" s="69"/>
      <c r="S1015" s="46">
        <v>40294</v>
      </c>
      <c r="T1015" s="48">
        <v>43191</v>
      </c>
      <c r="U1015" s="69"/>
      <c r="V1015" s="69"/>
      <c r="W1015" s="69"/>
      <c r="X1015" s="69"/>
      <c r="Y1015" s="69" t="s">
        <v>4125</v>
      </c>
      <c r="Z1015" s="43">
        <v>37000</v>
      </c>
      <c r="AA1015" s="43" t="s">
        <v>52</v>
      </c>
      <c r="AB1015" s="43" t="s">
        <v>53</v>
      </c>
      <c r="AC1015" s="43">
        <v>183</v>
      </c>
      <c r="AD1015" s="141">
        <v>0</v>
      </c>
      <c r="AE1015" s="142">
        <v>6</v>
      </c>
      <c r="AF1015" s="142"/>
      <c r="AG1015" s="69" t="str">
        <f>_xlfn.CONCAT(AH1015," years ",AI1015," days")</f>
        <v>0 years 183 days</v>
      </c>
      <c r="AH1015" s="69">
        <v>0</v>
      </c>
      <c r="AI1015" s="69">
        <v>183</v>
      </c>
      <c r="AJ1015" s="69">
        <v>0</v>
      </c>
      <c r="AK1015" s="69">
        <v>0</v>
      </c>
      <c r="AL1015" s="60">
        <v>37000</v>
      </c>
      <c r="AM1015" s="60">
        <f>ROUND(AL1015,2)</f>
        <v>37000</v>
      </c>
      <c r="AN1015" s="59">
        <v>37000</v>
      </c>
      <c r="AO1015" s="148">
        <f>ROUND(AN1015,2)*-1</f>
        <v>-37000</v>
      </c>
      <c r="AP1015" s="58">
        <v>0</v>
      </c>
      <c r="AQ1015" s="143">
        <f>ROUND(AP1015,2)*-1</f>
        <v>0</v>
      </c>
    </row>
    <row r="1016" spans="1:43" x14ac:dyDescent="0.35">
      <c r="A1016" s="69" t="s">
        <v>43</v>
      </c>
      <c r="B1016" s="15" t="s">
        <v>3160</v>
      </c>
      <c r="C1016" s="15"/>
      <c r="D1016" s="69"/>
      <c r="E1016" s="76">
        <v>0</v>
      </c>
      <c r="F1016" s="69" t="s">
        <v>2960</v>
      </c>
      <c r="G1016" s="132" t="s">
        <v>2961</v>
      </c>
      <c r="H1016" s="15">
        <v>9013000057</v>
      </c>
      <c r="I1016" s="92" t="s">
        <v>593</v>
      </c>
      <c r="J1016" s="92">
        <v>1202020101</v>
      </c>
      <c r="K1016" s="35" t="s">
        <v>3161</v>
      </c>
      <c r="L1016" s="95" t="s">
        <v>3162</v>
      </c>
      <c r="M1016" s="69" t="s">
        <v>49</v>
      </c>
      <c r="N1016" s="69"/>
      <c r="O1016" s="94">
        <v>1</v>
      </c>
      <c r="P1016" s="69" t="s">
        <v>50</v>
      </c>
      <c r="Q1016" s="69" t="s">
        <v>51</v>
      </c>
      <c r="R1016" s="69"/>
      <c r="S1016" s="46">
        <v>40831</v>
      </c>
      <c r="T1016" s="48">
        <v>43191</v>
      </c>
      <c r="U1016" s="69"/>
      <c r="V1016" s="69"/>
      <c r="W1016" s="69"/>
      <c r="X1016" s="69"/>
      <c r="Y1016" s="69" t="s">
        <v>4125</v>
      </c>
      <c r="Z1016" s="43">
        <v>160000</v>
      </c>
      <c r="AA1016" s="43" t="s">
        <v>52</v>
      </c>
      <c r="AB1016" s="43" t="s">
        <v>53</v>
      </c>
      <c r="AC1016" s="43">
        <v>183</v>
      </c>
      <c r="AD1016" s="141">
        <v>0</v>
      </c>
      <c r="AE1016" s="142">
        <v>6</v>
      </c>
      <c r="AF1016" s="142"/>
      <c r="AG1016" s="69" t="str">
        <f t="shared" ref="AG1016:AG1020" si="500">_xlfn.CONCAT(AH1016," years ",AI1016," days")</f>
        <v>0 years 183 days</v>
      </c>
      <c r="AH1016" s="69">
        <v>0</v>
      </c>
      <c r="AI1016" s="69">
        <v>183</v>
      </c>
      <c r="AJ1016" s="69">
        <v>0</v>
      </c>
      <c r="AK1016" s="69">
        <v>0</v>
      </c>
      <c r="AL1016" s="60">
        <v>160000</v>
      </c>
      <c r="AM1016" s="60">
        <f t="shared" ref="AM1016:AM1020" si="501">ROUND(AL1016,2)</f>
        <v>160000</v>
      </c>
      <c r="AN1016" s="59">
        <v>160000</v>
      </c>
      <c r="AO1016" s="148">
        <f t="shared" ref="AO1016:AO1020" si="502">ROUND(AN1016,2)*-1</f>
        <v>-160000</v>
      </c>
      <c r="AP1016" s="58">
        <v>0</v>
      </c>
      <c r="AQ1016" s="143">
        <f t="shared" ref="AQ1016:AQ1020" si="503">ROUND(AP1016,2)*-1</f>
        <v>0</v>
      </c>
    </row>
    <row r="1017" spans="1:43" x14ac:dyDescent="0.35">
      <c r="A1017" s="69" t="s">
        <v>43</v>
      </c>
      <c r="B1017" s="15" t="s">
        <v>3163</v>
      </c>
      <c r="C1017" s="15"/>
      <c r="D1017" s="69"/>
      <c r="E1017" s="76">
        <v>0</v>
      </c>
      <c r="F1017" s="69" t="s">
        <v>2960</v>
      </c>
      <c r="G1017" s="132" t="s">
        <v>2961</v>
      </c>
      <c r="H1017" s="15">
        <v>9013000058</v>
      </c>
      <c r="I1017" s="92" t="s">
        <v>593</v>
      </c>
      <c r="J1017" s="92">
        <v>1202020101</v>
      </c>
      <c r="K1017" s="35" t="s">
        <v>3164</v>
      </c>
      <c r="L1017" s="95" t="s">
        <v>3165</v>
      </c>
      <c r="M1017" s="69" t="s">
        <v>3166</v>
      </c>
      <c r="N1017" s="69"/>
      <c r="O1017" s="94">
        <v>3</v>
      </c>
      <c r="P1017" s="69" t="s">
        <v>50</v>
      </c>
      <c r="Q1017" s="69" t="s">
        <v>51</v>
      </c>
      <c r="R1017" s="69"/>
      <c r="S1017" s="46">
        <v>42119</v>
      </c>
      <c r="T1017" s="48">
        <v>43191</v>
      </c>
      <c r="U1017" s="69"/>
      <c r="V1017" s="69"/>
      <c r="W1017" s="69"/>
      <c r="X1017" s="69"/>
      <c r="Y1017" s="69" t="s">
        <v>4125</v>
      </c>
      <c r="Z1017" s="43">
        <v>120000</v>
      </c>
      <c r="AA1017" s="43" t="s">
        <v>52</v>
      </c>
      <c r="AB1017" s="43" t="s">
        <v>53</v>
      </c>
      <c r="AC1017" s="43">
        <v>730</v>
      </c>
      <c r="AD1017" s="141">
        <v>2</v>
      </c>
      <c r="AE1017" s="142">
        <v>0</v>
      </c>
      <c r="AF1017" s="142"/>
      <c r="AG1017" s="69" t="str">
        <f t="shared" si="500"/>
        <v>2 years 0 days</v>
      </c>
      <c r="AH1017" s="69">
        <v>2</v>
      </c>
      <c r="AI1017" s="69">
        <v>0</v>
      </c>
      <c r="AJ1017" s="69">
        <v>0</v>
      </c>
      <c r="AK1017" s="69">
        <v>0</v>
      </c>
      <c r="AL1017" s="60">
        <v>120000</v>
      </c>
      <c r="AM1017" s="60">
        <f t="shared" si="501"/>
        <v>120000</v>
      </c>
      <c r="AN1017" s="59">
        <v>120000</v>
      </c>
      <c r="AO1017" s="148">
        <f t="shared" si="502"/>
        <v>-120000</v>
      </c>
      <c r="AP1017" s="58">
        <v>0</v>
      </c>
      <c r="AQ1017" s="143">
        <f t="shared" si="503"/>
        <v>0</v>
      </c>
    </row>
    <row r="1018" spans="1:43" x14ac:dyDescent="0.35">
      <c r="A1018" s="69" t="s">
        <v>43</v>
      </c>
      <c r="B1018" s="15" t="s">
        <v>3167</v>
      </c>
      <c r="C1018" s="15"/>
      <c r="D1018" s="69"/>
      <c r="E1018" s="76">
        <v>0</v>
      </c>
      <c r="F1018" s="69" t="s">
        <v>2960</v>
      </c>
      <c r="G1018" s="132" t="s">
        <v>2961</v>
      </c>
      <c r="H1018" s="15">
        <v>9013000059</v>
      </c>
      <c r="I1018" s="92" t="s">
        <v>593</v>
      </c>
      <c r="J1018" s="92">
        <v>1202020101</v>
      </c>
      <c r="K1018" s="35" t="s">
        <v>3168</v>
      </c>
      <c r="L1018" s="95" t="s">
        <v>3169</v>
      </c>
      <c r="M1018" s="69" t="s">
        <v>3170</v>
      </c>
      <c r="N1018" s="69"/>
      <c r="O1018" s="94">
        <v>1</v>
      </c>
      <c r="P1018" s="69" t="s">
        <v>50</v>
      </c>
      <c r="Q1018" s="69" t="s">
        <v>51</v>
      </c>
      <c r="R1018" s="69"/>
      <c r="S1018" s="46">
        <v>43966</v>
      </c>
      <c r="T1018" s="48">
        <v>43966</v>
      </c>
      <c r="U1018" s="69"/>
      <c r="V1018" s="69"/>
      <c r="W1018" s="69"/>
      <c r="X1018" s="69"/>
      <c r="Y1018" s="69" t="s">
        <v>4127</v>
      </c>
      <c r="Z1018" s="43">
        <v>135000</v>
      </c>
      <c r="AA1018" s="43" t="s">
        <v>52</v>
      </c>
      <c r="AB1018" s="43" t="s">
        <v>53</v>
      </c>
      <c r="AC1018" s="43">
        <v>1460</v>
      </c>
      <c r="AD1018" s="141">
        <v>4</v>
      </c>
      <c r="AE1018" s="142">
        <v>0</v>
      </c>
      <c r="AF1018" s="142"/>
      <c r="AG1018" s="69" t="str">
        <f t="shared" si="500"/>
        <v>4 years 0 days</v>
      </c>
      <c r="AH1018" s="69">
        <v>4</v>
      </c>
      <c r="AI1018" s="69">
        <v>0</v>
      </c>
      <c r="AJ1018" s="69">
        <v>0</v>
      </c>
      <c r="AK1018" s="69">
        <v>0</v>
      </c>
      <c r="AL1018" s="60">
        <v>135000</v>
      </c>
      <c r="AM1018" s="60">
        <f t="shared" si="501"/>
        <v>135000</v>
      </c>
      <c r="AN1018" s="59">
        <v>135000</v>
      </c>
      <c r="AO1018" s="148">
        <f t="shared" si="502"/>
        <v>-135000</v>
      </c>
      <c r="AP1018" s="58">
        <v>0</v>
      </c>
      <c r="AQ1018" s="143">
        <f t="shared" si="503"/>
        <v>0</v>
      </c>
    </row>
    <row r="1019" spans="1:43" x14ac:dyDescent="0.35">
      <c r="A1019" s="69" t="s">
        <v>43</v>
      </c>
      <c r="B1019" s="15" t="s">
        <v>3171</v>
      </c>
      <c r="C1019" s="15"/>
      <c r="D1019" s="69"/>
      <c r="E1019" s="76">
        <v>0</v>
      </c>
      <c r="F1019" s="69" t="s">
        <v>2960</v>
      </c>
      <c r="G1019" s="132" t="s">
        <v>2961</v>
      </c>
      <c r="H1019" s="15">
        <v>9013000060</v>
      </c>
      <c r="I1019" s="92" t="s">
        <v>593</v>
      </c>
      <c r="J1019" s="92">
        <v>1202020101</v>
      </c>
      <c r="K1019" s="35" t="s">
        <v>3172</v>
      </c>
      <c r="L1019" s="95" t="s">
        <v>3173</v>
      </c>
      <c r="M1019" s="69" t="s">
        <v>49</v>
      </c>
      <c r="N1019" s="69"/>
      <c r="O1019" s="94">
        <v>1</v>
      </c>
      <c r="P1019" s="69" t="s">
        <v>50</v>
      </c>
      <c r="Q1019" s="69" t="s">
        <v>51</v>
      </c>
      <c r="R1019" s="69"/>
      <c r="S1019" s="46">
        <v>42921</v>
      </c>
      <c r="T1019" s="48">
        <v>43191</v>
      </c>
      <c r="U1019" s="69"/>
      <c r="V1019" s="69"/>
      <c r="W1019" s="69"/>
      <c r="X1019" s="69"/>
      <c r="Y1019" s="69" t="s">
        <v>4125</v>
      </c>
      <c r="Z1019" s="43">
        <v>90000</v>
      </c>
      <c r="AA1019" s="43" t="s">
        <v>52</v>
      </c>
      <c r="AB1019" s="43" t="s">
        <v>53</v>
      </c>
      <c r="AC1019" s="43">
        <v>1533</v>
      </c>
      <c r="AD1019" s="141">
        <v>4</v>
      </c>
      <c r="AE1019" s="142">
        <v>2</v>
      </c>
      <c r="AF1019" s="142"/>
      <c r="AG1019" s="69" t="str">
        <f t="shared" si="500"/>
        <v>4 years 73 days</v>
      </c>
      <c r="AH1019" s="69">
        <v>4</v>
      </c>
      <c r="AI1019" s="69">
        <v>73</v>
      </c>
      <c r="AJ1019" s="69">
        <v>0</v>
      </c>
      <c r="AK1019" s="69">
        <v>0</v>
      </c>
      <c r="AL1019" s="60">
        <v>90000</v>
      </c>
      <c r="AM1019" s="60">
        <f t="shared" si="501"/>
        <v>90000</v>
      </c>
      <c r="AN1019" s="59">
        <v>90000</v>
      </c>
      <c r="AO1019" s="148">
        <f t="shared" si="502"/>
        <v>-90000</v>
      </c>
      <c r="AP1019" s="58">
        <v>0</v>
      </c>
      <c r="AQ1019" s="143">
        <f t="shared" si="503"/>
        <v>0</v>
      </c>
    </row>
    <row r="1020" spans="1:43" x14ac:dyDescent="0.35">
      <c r="A1020" s="69" t="s">
        <v>43</v>
      </c>
      <c r="B1020" s="15" t="s">
        <v>3174</v>
      </c>
      <c r="C1020" s="15"/>
      <c r="D1020" s="69"/>
      <c r="E1020" s="76">
        <v>0</v>
      </c>
      <c r="F1020" s="69" t="s">
        <v>2960</v>
      </c>
      <c r="G1020" s="132" t="s">
        <v>2961</v>
      </c>
      <c r="H1020" s="15">
        <v>9013000061</v>
      </c>
      <c r="I1020" s="92" t="s">
        <v>593</v>
      </c>
      <c r="J1020" s="92">
        <v>1202020101</v>
      </c>
      <c r="K1020" s="35" t="s">
        <v>3175</v>
      </c>
      <c r="L1020" s="95" t="s">
        <v>3176</v>
      </c>
      <c r="M1020" s="69" t="s">
        <v>3177</v>
      </c>
      <c r="N1020" s="69"/>
      <c r="O1020" s="94">
        <v>1</v>
      </c>
      <c r="P1020" s="69" t="s">
        <v>50</v>
      </c>
      <c r="Q1020" s="69" t="s">
        <v>51</v>
      </c>
      <c r="R1020" s="69"/>
      <c r="S1020" s="46">
        <v>44986</v>
      </c>
      <c r="T1020" s="48">
        <v>44986</v>
      </c>
      <c r="U1020" s="69"/>
      <c r="V1020" s="69"/>
      <c r="W1020" s="69"/>
      <c r="X1020" s="69"/>
      <c r="Y1020" s="69" t="s">
        <v>4129</v>
      </c>
      <c r="Z1020" s="43">
        <v>143000</v>
      </c>
      <c r="AA1020" s="43" t="s">
        <v>52</v>
      </c>
      <c r="AB1020" s="43" t="s">
        <v>53</v>
      </c>
      <c r="AC1020" s="43">
        <v>1460</v>
      </c>
      <c r="AD1020" s="141">
        <v>4</v>
      </c>
      <c r="AE1020" s="142">
        <v>0</v>
      </c>
      <c r="AF1020" s="142"/>
      <c r="AG1020" s="69" t="str">
        <f t="shared" si="500"/>
        <v>1 years 307 days</v>
      </c>
      <c r="AH1020" s="69">
        <v>1</v>
      </c>
      <c r="AI1020" s="69">
        <v>307</v>
      </c>
      <c r="AJ1020" s="69">
        <v>0</v>
      </c>
      <c r="AK1020" s="69">
        <v>0</v>
      </c>
      <c r="AL1020" s="60">
        <v>143000</v>
      </c>
      <c r="AM1020" s="60">
        <f t="shared" si="501"/>
        <v>143000</v>
      </c>
      <c r="AN1020" s="59">
        <v>65819</v>
      </c>
      <c r="AO1020" s="148">
        <f t="shared" si="502"/>
        <v>-65819</v>
      </c>
      <c r="AP1020" s="58">
        <v>17728.260273972599</v>
      </c>
      <c r="AQ1020" s="143">
        <f t="shared" si="503"/>
        <v>-17728.259999999998</v>
      </c>
    </row>
    <row r="1021" spans="1:43" x14ac:dyDescent="0.35">
      <c r="A1021" s="69" t="s">
        <v>43</v>
      </c>
      <c r="B1021" s="15" t="s">
        <v>3178</v>
      </c>
      <c r="C1021" s="15"/>
      <c r="D1021" s="69"/>
      <c r="E1021" s="76">
        <v>0</v>
      </c>
      <c r="F1021" s="69" t="s">
        <v>2960</v>
      </c>
      <c r="G1021" s="132" t="s">
        <v>2961</v>
      </c>
      <c r="H1021" s="15">
        <v>9013000062</v>
      </c>
      <c r="I1021" s="92" t="s">
        <v>593</v>
      </c>
      <c r="J1021" s="92">
        <v>1202020101</v>
      </c>
      <c r="K1021" s="35" t="s">
        <v>3179</v>
      </c>
      <c r="L1021" s="95" t="s">
        <v>3180</v>
      </c>
      <c r="M1021" s="69" t="s">
        <v>3181</v>
      </c>
      <c r="N1021" s="69"/>
      <c r="O1021" s="94">
        <v>1</v>
      </c>
      <c r="P1021" s="69" t="s">
        <v>50</v>
      </c>
      <c r="Q1021" s="69" t="s">
        <v>51</v>
      </c>
      <c r="R1021" s="69"/>
      <c r="S1021" s="46">
        <v>41011</v>
      </c>
      <c r="T1021" s="48">
        <v>43191</v>
      </c>
      <c r="U1021" s="69"/>
      <c r="V1021" s="69"/>
      <c r="W1021" s="69"/>
      <c r="X1021" s="69"/>
      <c r="Y1021" s="69" t="s">
        <v>4125</v>
      </c>
      <c r="Z1021" s="43">
        <v>31000</v>
      </c>
      <c r="AA1021" s="43" t="s">
        <v>52</v>
      </c>
      <c r="AB1021" s="43" t="s">
        <v>53</v>
      </c>
      <c r="AC1021" s="43">
        <v>183</v>
      </c>
      <c r="AD1021" s="141">
        <v>0</v>
      </c>
      <c r="AE1021" s="142">
        <v>6</v>
      </c>
      <c r="AF1021" s="142"/>
      <c r="AG1021" s="69" t="str">
        <f t="shared" ref="AG1021:AG1023" si="504">_xlfn.CONCAT(AH1021," years ",AI1021," days")</f>
        <v>0 years 183 days</v>
      </c>
      <c r="AH1021" s="69">
        <v>0</v>
      </c>
      <c r="AI1021" s="69">
        <v>183</v>
      </c>
      <c r="AJ1021" s="69">
        <v>0</v>
      </c>
      <c r="AK1021" s="69">
        <v>0</v>
      </c>
      <c r="AL1021" s="60">
        <v>31000</v>
      </c>
      <c r="AM1021" s="60">
        <f t="shared" ref="AM1021:AM1023" si="505">ROUND(AL1021,2)</f>
        <v>31000</v>
      </c>
      <c r="AN1021" s="59">
        <v>31000</v>
      </c>
      <c r="AO1021" s="148">
        <f t="shared" ref="AO1021:AO1023" si="506">ROUND(AN1021,2)*-1</f>
        <v>-31000</v>
      </c>
      <c r="AP1021" s="58">
        <v>0</v>
      </c>
      <c r="AQ1021" s="143">
        <f t="shared" ref="AQ1021:AQ1023" si="507">ROUND(AP1021,2)*-1</f>
        <v>0</v>
      </c>
    </row>
    <row r="1022" spans="1:43" x14ac:dyDescent="0.35">
      <c r="A1022" s="69" t="s">
        <v>43</v>
      </c>
      <c r="B1022" s="15" t="s">
        <v>3182</v>
      </c>
      <c r="C1022" s="15"/>
      <c r="D1022" s="69"/>
      <c r="E1022" s="76">
        <v>0</v>
      </c>
      <c r="F1022" s="69" t="s">
        <v>2960</v>
      </c>
      <c r="G1022" s="132" t="s">
        <v>2961</v>
      </c>
      <c r="H1022" s="15">
        <v>9013000063</v>
      </c>
      <c r="I1022" s="92" t="s">
        <v>593</v>
      </c>
      <c r="J1022" s="92">
        <v>1202020101</v>
      </c>
      <c r="K1022" s="35" t="s">
        <v>3183</v>
      </c>
      <c r="L1022" s="95" t="s">
        <v>3184</v>
      </c>
      <c r="M1022" s="69" t="s">
        <v>3185</v>
      </c>
      <c r="N1022" s="69"/>
      <c r="O1022" s="94">
        <v>1</v>
      </c>
      <c r="P1022" s="69" t="s">
        <v>50</v>
      </c>
      <c r="Q1022" s="69" t="s">
        <v>51</v>
      </c>
      <c r="R1022" s="69"/>
      <c r="S1022" s="46">
        <v>44896</v>
      </c>
      <c r="T1022" s="48">
        <v>44896</v>
      </c>
      <c r="U1022" s="69"/>
      <c r="V1022" s="69"/>
      <c r="W1022" s="69"/>
      <c r="X1022" s="69"/>
      <c r="Y1022" s="69" t="s">
        <v>4131</v>
      </c>
      <c r="Z1022" s="43">
        <v>16000</v>
      </c>
      <c r="AA1022" s="43" t="s">
        <v>52</v>
      </c>
      <c r="AB1022" s="43" t="s">
        <v>53</v>
      </c>
      <c r="AC1022" s="43">
        <v>1460</v>
      </c>
      <c r="AD1022" s="141">
        <v>4</v>
      </c>
      <c r="AE1022" s="142">
        <v>0</v>
      </c>
      <c r="AF1022" s="142"/>
      <c r="AG1022" s="69" t="str">
        <f t="shared" si="504"/>
        <v>2 years 32 days</v>
      </c>
      <c r="AH1022" s="69">
        <v>2</v>
      </c>
      <c r="AI1022" s="69">
        <v>32</v>
      </c>
      <c r="AJ1022" s="69">
        <v>0</v>
      </c>
      <c r="AK1022" s="69">
        <v>0</v>
      </c>
      <c r="AL1022" s="60">
        <v>16000</v>
      </c>
      <c r="AM1022" s="60">
        <f t="shared" si="505"/>
        <v>16000</v>
      </c>
      <c r="AN1022" s="59">
        <v>8351</v>
      </c>
      <c r="AO1022" s="148">
        <f t="shared" si="506"/>
        <v>-8351</v>
      </c>
      <c r="AP1022" s="58">
        <v>1983.2465753424658</v>
      </c>
      <c r="AQ1022" s="143">
        <f t="shared" si="507"/>
        <v>-1983.25</v>
      </c>
    </row>
    <row r="1023" spans="1:43" x14ac:dyDescent="0.35">
      <c r="A1023" s="69" t="s">
        <v>43</v>
      </c>
      <c r="B1023" s="15" t="s">
        <v>3186</v>
      </c>
      <c r="C1023" s="15"/>
      <c r="D1023" s="69"/>
      <c r="E1023" s="76">
        <v>0</v>
      </c>
      <c r="F1023" s="69" t="s">
        <v>2960</v>
      </c>
      <c r="G1023" s="132" t="s">
        <v>2961</v>
      </c>
      <c r="H1023" s="15">
        <v>9013000064</v>
      </c>
      <c r="I1023" s="92" t="s">
        <v>593</v>
      </c>
      <c r="J1023" s="92">
        <v>1202020101</v>
      </c>
      <c r="K1023" s="35" t="s">
        <v>3187</v>
      </c>
      <c r="L1023" s="95" t="s">
        <v>3188</v>
      </c>
      <c r="M1023" s="69" t="s">
        <v>3108</v>
      </c>
      <c r="N1023" s="69"/>
      <c r="O1023" s="94">
        <v>1</v>
      </c>
      <c r="P1023" s="69" t="s">
        <v>50</v>
      </c>
      <c r="Q1023" s="69" t="s">
        <v>51</v>
      </c>
      <c r="R1023" s="69"/>
      <c r="S1023" s="46">
        <v>43829</v>
      </c>
      <c r="T1023" s="48">
        <v>43829</v>
      </c>
      <c r="U1023" s="69"/>
      <c r="V1023" s="69"/>
      <c r="W1023" s="69"/>
      <c r="X1023" s="69"/>
      <c r="Y1023" s="69" t="s">
        <v>4126</v>
      </c>
      <c r="Z1023" s="43">
        <v>135000</v>
      </c>
      <c r="AA1023" s="43" t="s">
        <v>52</v>
      </c>
      <c r="AB1023" s="43" t="s">
        <v>53</v>
      </c>
      <c r="AC1023" s="43">
        <v>1460</v>
      </c>
      <c r="AD1023" s="141">
        <v>4</v>
      </c>
      <c r="AE1023" s="142">
        <v>0</v>
      </c>
      <c r="AF1023" s="142"/>
      <c r="AG1023" s="69" t="str">
        <f t="shared" si="504"/>
        <v>4 years 0 days</v>
      </c>
      <c r="AH1023" s="69">
        <v>4</v>
      </c>
      <c r="AI1023" s="69">
        <v>0</v>
      </c>
      <c r="AJ1023" s="69">
        <v>0</v>
      </c>
      <c r="AK1023" s="69">
        <v>0</v>
      </c>
      <c r="AL1023" s="60">
        <v>135000</v>
      </c>
      <c r="AM1023" s="60">
        <f t="shared" si="505"/>
        <v>135000</v>
      </c>
      <c r="AN1023" s="59">
        <v>135000</v>
      </c>
      <c r="AO1023" s="148">
        <f t="shared" si="506"/>
        <v>-135000</v>
      </c>
      <c r="AP1023" s="58">
        <v>0</v>
      </c>
      <c r="AQ1023" s="143">
        <f t="shared" si="507"/>
        <v>0</v>
      </c>
    </row>
    <row r="1024" spans="1:43" x14ac:dyDescent="0.35">
      <c r="A1024" s="69" t="s">
        <v>43</v>
      </c>
      <c r="B1024" s="15" t="s">
        <v>3189</v>
      </c>
      <c r="C1024" s="15"/>
      <c r="D1024" s="69"/>
      <c r="E1024" s="76">
        <v>0</v>
      </c>
      <c r="F1024" s="69" t="s">
        <v>2960</v>
      </c>
      <c r="G1024" s="132" t="s">
        <v>2961</v>
      </c>
      <c r="H1024" s="15">
        <v>9013000065</v>
      </c>
      <c r="I1024" s="92" t="s">
        <v>593</v>
      </c>
      <c r="J1024" s="92">
        <v>1202020101</v>
      </c>
      <c r="K1024" s="35" t="s">
        <v>3190</v>
      </c>
      <c r="L1024" s="95" t="s">
        <v>3191</v>
      </c>
      <c r="M1024" s="69" t="s">
        <v>3108</v>
      </c>
      <c r="N1024" s="69"/>
      <c r="O1024" s="94">
        <v>1</v>
      </c>
      <c r="P1024" s="69" t="s">
        <v>50</v>
      </c>
      <c r="Q1024" s="69" t="s">
        <v>51</v>
      </c>
      <c r="R1024" s="69"/>
      <c r="S1024" s="46">
        <v>43829</v>
      </c>
      <c r="T1024" s="48">
        <v>43829</v>
      </c>
      <c r="U1024" s="69"/>
      <c r="V1024" s="69"/>
      <c r="W1024" s="69"/>
      <c r="X1024" s="69"/>
      <c r="Y1024" s="69" t="s">
        <v>4126</v>
      </c>
      <c r="Z1024" s="43">
        <v>135000</v>
      </c>
      <c r="AA1024" s="43" t="s">
        <v>52</v>
      </c>
      <c r="AB1024" s="43" t="s">
        <v>53</v>
      </c>
      <c r="AC1024" s="43">
        <v>1460</v>
      </c>
      <c r="AD1024" s="141">
        <v>4</v>
      </c>
      <c r="AE1024" s="142">
        <v>0</v>
      </c>
      <c r="AF1024" s="142"/>
      <c r="AG1024" s="69" t="str">
        <f t="shared" ref="AG1024:AG1027" si="508">_xlfn.CONCAT(AH1024," years ",AI1024," days")</f>
        <v>4 years 0 days</v>
      </c>
      <c r="AH1024" s="69">
        <v>4</v>
      </c>
      <c r="AI1024" s="69">
        <v>0</v>
      </c>
      <c r="AJ1024" s="69">
        <v>0</v>
      </c>
      <c r="AK1024" s="69">
        <v>0</v>
      </c>
      <c r="AL1024" s="60">
        <v>135000</v>
      </c>
      <c r="AM1024" s="60">
        <f t="shared" ref="AM1024:AM1027" si="509">ROUND(AL1024,2)</f>
        <v>135000</v>
      </c>
      <c r="AN1024" s="59">
        <v>135000</v>
      </c>
      <c r="AO1024" s="148">
        <f t="shared" ref="AO1024:AO1027" si="510">ROUND(AN1024,2)*-1</f>
        <v>-135000</v>
      </c>
      <c r="AP1024" s="58">
        <v>0</v>
      </c>
      <c r="AQ1024" s="143">
        <f t="shared" ref="AQ1024:AQ1027" si="511">ROUND(AP1024,2)*-1</f>
        <v>0</v>
      </c>
    </row>
    <row r="1025" spans="1:43" x14ac:dyDescent="0.35">
      <c r="A1025" s="69" t="s">
        <v>43</v>
      </c>
      <c r="B1025" s="15" t="s">
        <v>3192</v>
      </c>
      <c r="C1025" s="15"/>
      <c r="D1025" s="69"/>
      <c r="E1025" s="76">
        <v>0</v>
      </c>
      <c r="F1025" s="69" t="s">
        <v>2960</v>
      </c>
      <c r="G1025" s="132" t="s">
        <v>2961</v>
      </c>
      <c r="H1025" s="15">
        <v>9013000066</v>
      </c>
      <c r="I1025" s="92" t="s">
        <v>593</v>
      </c>
      <c r="J1025" s="92">
        <v>1202020101</v>
      </c>
      <c r="K1025" s="35" t="s">
        <v>3193</v>
      </c>
      <c r="L1025" s="95" t="s">
        <v>3194</v>
      </c>
      <c r="M1025" s="69" t="s">
        <v>49</v>
      </c>
      <c r="N1025" s="69"/>
      <c r="O1025" s="94">
        <v>1</v>
      </c>
      <c r="P1025" s="69" t="s">
        <v>50</v>
      </c>
      <c r="Q1025" s="69" t="s">
        <v>51</v>
      </c>
      <c r="R1025" s="69"/>
      <c r="S1025" s="46">
        <v>42328</v>
      </c>
      <c r="T1025" s="48">
        <v>43191</v>
      </c>
      <c r="U1025" s="69"/>
      <c r="V1025" s="69"/>
      <c r="W1025" s="69"/>
      <c r="X1025" s="69"/>
      <c r="Y1025" s="69" t="s">
        <v>4125</v>
      </c>
      <c r="Z1025" s="43">
        <v>52500</v>
      </c>
      <c r="AA1025" s="43" t="s">
        <v>52</v>
      </c>
      <c r="AB1025" s="43" t="s">
        <v>53</v>
      </c>
      <c r="AC1025" s="43">
        <v>949</v>
      </c>
      <c r="AD1025" s="141">
        <v>2</v>
      </c>
      <c r="AE1025" s="142">
        <v>7</v>
      </c>
      <c r="AF1025" s="142"/>
      <c r="AG1025" s="69" t="str">
        <f t="shared" si="508"/>
        <v>2 years 219 days</v>
      </c>
      <c r="AH1025" s="69">
        <v>2</v>
      </c>
      <c r="AI1025" s="69">
        <v>219</v>
      </c>
      <c r="AJ1025" s="69">
        <v>0</v>
      </c>
      <c r="AK1025" s="69">
        <v>0</v>
      </c>
      <c r="AL1025" s="60">
        <v>52500</v>
      </c>
      <c r="AM1025" s="60">
        <f t="shared" si="509"/>
        <v>52500</v>
      </c>
      <c r="AN1025" s="59">
        <v>52500</v>
      </c>
      <c r="AO1025" s="148">
        <f t="shared" si="510"/>
        <v>-52500</v>
      </c>
      <c r="AP1025" s="58">
        <v>0</v>
      </c>
      <c r="AQ1025" s="143">
        <f t="shared" si="511"/>
        <v>0</v>
      </c>
    </row>
    <row r="1026" spans="1:43" x14ac:dyDescent="0.35">
      <c r="A1026" s="69" t="s">
        <v>43</v>
      </c>
      <c r="B1026" s="15" t="s">
        <v>3195</v>
      </c>
      <c r="C1026" s="15"/>
      <c r="D1026" s="69"/>
      <c r="E1026" s="76">
        <v>0</v>
      </c>
      <c r="F1026" s="69" t="s">
        <v>2960</v>
      </c>
      <c r="G1026" s="132" t="s">
        <v>2961</v>
      </c>
      <c r="H1026" s="15">
        <v>9013000067</v>
      </c>
      <c r="I1026" s="92" t="s">
        <v>593</v>
      </c>
      <c r="J1026" s="92">
        <v>1202020101</v>
      </c>
      <c r="K1026" s="35" t="s">
        <v>3196</v>
      </c>
      <c r="L1026" s="95" t="s">
        <v>3197</v>
      </c>
      <c r="M1026" s="69" t="s">
        <v>49</v>
      </c>
      <c r="N1026" s="69"/>
      <c r="O1026" s="94">
        <v>1</v>
      </c>
      <c r="P1026" s="69" t="s">
        <v>50</v>
      </c>
      <c r="Q1026" s="69" t="s">
        <v>51</v>
      </c>
      <c r="R1026" s="69"/>
      <c r="S1026" s="46">
        <v>43068</v>
      </c>
      <c r="T1026" s="48">
        <v>43191</v>
      </c>
      <c r="U1026" s="69"/>
      <c r="V1026" s="69"/>
      <c r="W1026" s="69"/>
      <c r="X1026" s="69"/>
      <c r="Y1026" s="69" t="s">
        <v>4125</v>
      </c>
      <c r="Z1026" s="43">
        <v>100000</v>
      </c>
      <c r="AA1026" s="43" t="s">
        <v>52</v>
      </c>
      <c r="AB1026" s="43" t="s">
        <v>53</v>
      </c>
      <c r="AC1026" s="43">
        <v>1679</v>
      </c>
      <c r="AD1026" s="141">
        <v>4</v>
      </c>
      <c r="AE1026" s="142">
        <v>7</v>
      </c>
      <c r="AF1026" s="142"/>
      <c r="AG1026" s="69" t="str">
        <f t="shared" si="508"/>
        <v>4 years 219 days</v>
      </c>
      <c r="AH1026" s="69">
        <v>4</v>
      </c>
      <c r="AI1026" s="69">
        <v>219</v>
      </c>
      <c r="AJ1026" s="69">
        <v>0</v>
      </c>
      <c r="AK1026" s="69">
        <v>0</v>
      </c>
      <c r="AL1026" s="60">
        <v>100000</v>
      </c>
      <c r="AM1026" s="60">
        <f t="shared" si="509"/>
        <v>100000</v>
      </c>
      <c r="AN1026" s="59">
        <v>100000</v>
      </c>
      <c r="AO1026" s="148">
        <f t="shared" si="510"/>
        <v>-100000</v>
      </c>
      <c r="AP1026" s="58">
        <v>0</v>
      </c>
      <c r="AQ1026" s="143">
        <f t="shared" si="511"/>
        <v>0</v>
      </c>
    </row>
    <row r="1027" spans="1:43" x14ac:dyDescent="0.35">
      <c r="A1027" s="69" t="s">
        <v>43</v>
      </c>
      <c r="B1027" s="15" t="s">
        <v>3198</v>
      </c>
      <c r="C1027" s="15"/>
      <c r="D1027" s="69"/>
      <c r="E1027" s="76">
        <v>0</v>
      </c>
      <c r="F1027" s="69" t="s">
        <v>2960</v>
      </c>
      <c r="G1027" s="132" t="s">
        <v>2961</v>
      </c>
      <c r="H1027" s="15">
        <v>9013000068</v>
      </c>
      <c r="I1027" s="92" t="s">
        <v>593</v>
      </c>
      <c r="J1027" s="92">
        <v>1202020101</v>
      </c>
      <c r="K1027" s="35" t="s">
        <v>3199</v>
      </c>
      <c r="L1027" s="95" t="s">
        <v>3200</v>
      </c>
      <c r="M1027" s="69" t="s">
        <v>3201</v>
      </c>
      <c r="N1027" s="69"/>
      <c r="O1027" s="94">
        <v>1</v>
      </c>
      <c r="P1027" s="69" t="s">
        <v>50</v>
      </c>
      <c r="Q1027" s="69" t="s">
        <v>51</v>
      </c>
      <c r="R1027" s="69"/>
      <c r="S1027" s="46">
        <v>44328</v>
      </c>
      <c r="T1027" s="48">
        <v>44328</v>
      </c>
      <c r="U1027" s="69"/>
      <c r="V1027" s="69"/>
      <c r="W1027" s="69"/>
      <c r="X1027" s="69"/>
      <c r="Y1027" s="69" t="s">
        <v>4128</v>
      </c>
      <c r="Z1027" s="43">
        <v>135000</v>
      </c>
      <c r="AA1027" s="43" t="s">
        <v>52</v>
      </c>
      <c r="AB1027" s="43" t="s">
        <v>53</v>
      </c>
      <c r="AC1027" s="43">
        <v>1460</v>
      </c>
      <c r="AD1027" s="141">
        <v>4</v>
      </c>
      <c r="AE1027" s="142">
        <v>0</v>
      </c>
      <c r="AF1027" s="142"/>
      <c r="AG1027" s="69" t="str">
        <f t="shared" si="508"/>
        <v>3 years 235 days</v>
      </c>
      <c r="AH1027" s="69">
        <v>3</v>
      </c>
      <c r="AI1027" s="69">
        <v>235</v>
      </c>
      <c r="AJ1027" s="69">
        <v>0</v>
      </c>
      <c r="AK1027" s="69">
        <v>0</v>
      </c>
      <c r="AL1027" s="60">
        <v>135000</v>
      </c>
      <c r="AM1027" s="60">
        <f t="shared" si="509"/>
        <v>135000</v>
      </c>
      <c r="AN1027" s="59">
        <v>122979</v>
      </c>
      <c r="AO1027" s="148">
        <f t="shared" si="510"/>
        <v>-122979</v>
      </c>
      <c r="AP1027" s="58">
        <v>12021</v>
      </c>
      <c r="AQ1027" s="143">
        <f t="shared" si="511"/>
        <v>-12021</v>
      </c>
    </row>
    <row r="1028" spans="1:43" x14ac:dyDescent="0.35">
      <c r="A1028" s="69" t="s">
        <v>43</v>
      </c>
      <c r="B1028" s="15" t="s">
        <v>3202</v>
      </c>
      <c r="C1028" s="15"/>
      <c r="D1028" s="69"/>
      <c r="E1028" s="76">
        <v>0</v>
      </c>
      <c r="F1028" s="69" t="s">
        <v>2960</v>
      </c>
      <c r="G1028" s="132" t="s">
        <v>2961</v>
      </c>
      <c r="H1028" s="15">
        <v>9013000069</v>
      </c>
      <c r="I1028" s="92" t="s">
        <v>593</v>
      </c>
      <c r="J1028" s="92">
        <v>1202020101</v>
      </c>
      <c r="K1028" s="35" t="s">
        <v>3203</v>
      </c>
      <c r="L1028" s="95" t="s">
        <v>3204</v>
      </c>
      <c r="M1028" s="69" t="s">
        <v>49</v>
      </c>
      <c r="N1028" s="69"/>
      <c r="O1028" s="94">
        <v>1</v>
      </c>
      <c r="P1028" s="69" t="s">
        <v>50</v>
      </c>
      <c r="Q1028" s="69" t="s">
        <v>51</v>
      </c>
      <c r="R1028" s="69"/>
      <c r="S1028" s="46">
        <v>40794</v>
      </c>
      <c r="T1028" s="48">
        <v>43191</v>
      </c>
      <c r="U1028" s="69"/>
      <c r="V1028" s="69"/>
      <c r="W1028" s="69"/>
      <c r="X1028" s="69"/>
      <c r="Y1028" s="69" t="s">
        <v>4125</v>
      </c>
      <c r="Z1028" s="43">
        <v>130000</v>
      </c>
      <c r="AA1028" s="43" t="s">
        <v>52</v>
      </c>
      <c r="AB1028" s="43" t="s">
        <v>53</v>
      </c>
      <c r="AC1028" s="43">
        <v>183</v>
      </c>
      <c r="AD1028" s="141">
        <v>0</v>
      </c>
      <c r="AE1028" s="142">
        <v>6</v>
      </c>
      <c r="AF1028" s="142"/>
      <c r="AG1028" s="69" t="str">
        <f t="shared" ref="AG1028:AG1031" si="512">_xlfn.CONCAT(AH1028," years ",AI1028," days")</f>
        <v>0 years 183 days</v>
      </c>
      <c r="AH1028" s="69">
        <v>0</v>
      </c>
      <c r="AI1028" s="69">
        <v>183</v>
      </c>
      <c r="AJ1028" s="69">
        <v>0</v>
      </c>
      <c r="AK1028" s="69">
        <v>0</v>
      </c>
      <c r="AL1028" s="60">
        <v>130000</v>
      </c>
      <c r="AM1028" s="60">
        <f t="shared" ref="AM1028:AM1031" si="513">ROUND(AL1028,2)</f>
        <v>130000</v>
      </c>
      <c r="AN1028" s="59">
        <v>130000</v>
      </c>
      <c r="AO1028" s="148">
        <f t="shared" ref="AO1028:AO1031" si="514">ROUND(AN1028,2)*-1</f>
        <v>-130000</v>
      </c>
      <c r="AP1028" s="58">
        <v>0</v>
      </c>
      <c r="AQ1028" s="143">
        <f t="shared" ref="AQ1028:AQ1031" si="515">ROUND(AP1028,2)*-1</f>
        <v>0</v>
      </c>
    </row>
    <row r="1029" spans="1:43" x14ac:dyDescent="0.35">
      <c r="A1029" s="69" t="s">
        <v>43</v>
      </c>
      <c r="B1029" s="15" t="s">
        <v>3205</v>
      </c>
      <c r="C1029" s="15"/>
      <c r="D1029" s="69"/>
      <c r="E1029" s="76">
        <v>0</v>
      </c>
      <c r="F1029" s="69" t="s">
        <v>2960</v>
      </c>
      <c r="G1029" s="132" t="s">
        <v>2961</v>
      </c>
      <c r="H1029" s="15">
        <v>9013000070</v>
      </c>
      <c r="I1029" s="92" t="s">
        <v>593</v>
      </c>
      <c r="J1029" s="92">
        <v>1202020101</v>
      </c>
      <c r="K1029" s="35" t="s">
        <v>3206</v>
      </c>
      <c r="L1029" s="95" t="s">
        <v>3207</v>
      </c>
      <c r="M1029" s="69" t="s">
        <v>3208</v>
      </c>
      <c r="N1029" s="69"/>
      <c r="O1029" s="94">
        <v>1</v>
      </c>
      <c r="P1029" s="69" t="s">
        <v>50</v>
      </c>
      <c r="Q1029" s="69" t="s">
        <v>51</v>
      </c>
      <c r="R1029" s="69"/>
      <c r="S1029" s="46">
        <v>44621</v>
      </c>
      <c r="T1029" s="48">
        <v>44621</v>
      </c>
      <c r="U1029" s="69"/>
      <c r="V1029" s="69"/>
      <c r="W1029" s="69"/>
      <c r="X1029" s="69"/>
      <c r="Y1029" s="69" t="s">
        <v>4131</v>
      </c>
      <c r="Z1029" s="43">
        <v>135000</v>
      </c>
      <c r="AA1029" s="43" t="s">
        <v>52</v>
      </c>
      <c r="AB1029" s="43" t="s">
        <v>53</v>
      </c>
      <c r="AC1029" s="43">
        <v>1460</v>
      </c>
      <c r="AD1029" s="141">
        <v>4</v>
      </c>
      <c r="AE1029" s="142">
        <v>0</v>
      </c>
      <c r="AF1029" s="142"/>
      <c r="AG1029" s="69" t="str">
        <f t="shared" si="512"/>
        <v>2 years 307 days</v>
      </c>
      <c r="AH1029" s="69">
        <v>2</v>
      </c>
      <c r="AI1029" s="69">
        <v>307</v>
      </c>
      <c r="AJ1029" s="69">
        <v>0</v>
      </c>
      <c r="AK1029" s="69">
        <v>0</v>
      </c>
      <c r="AL1029" s="60">
        <v>135000</v>
      </c>
      <c r="AM1029" s="60">
        <f t="shared" si="513"/>
        <v>135000</v>
      </c>
      <c r="AN1029" s="59">
        <v>94167</v>
      </c>
      <c r="AO1029" s="148">
        <f t="shared" si="514"/>
        <v>-94167</v>
      </c>
      <c r="AP1029" s="58">
        <v>16736.42465753424</v>
      </c>
      <c r="AQ1029" s="143">
        <f t="shared" si="515"/>
        <v>-16736.419999999998</v>
      </c>
    </row>
    <row r="1030" spans="1:43" x14ac:dyDescent="0.35">
      <c r="A1030" s="69" t="s">
        <v>43</v>
      </c>
      <c r="B1030" s="15" t="s">
        <v>3209</v>
      </c>
      <c r="C1030" s="15"/>
      <c r="D1030" s="69"/>
      <c r="E1030" s="76">
        <v>0</v>
      </c>
      <c r="F1030" s="69" t="s">
        <v>2960</v>
      </c>
      <c r="G1030" s="132" t="s">
        <v>2961</v>
      </c>
      <c r="H1030" s="15">
        <v>9013000071</v>
      </c>
      <c r="I1030" s="92" t="s">
        <v>593</v>
      </c>
      <c r="J1030" s="92">
        <v>1202020101</v>
      </c>
      <c r="K1030" s="35" t="s">
        <v>3210</v>
      </c>
      <c r="L1030" s="95" t="s">
        <v>3211</v>
      </c>
      <c r="M1030" s="69" t="s">
        <v>3212</v>
      </c>
      <c r="N1030" s="69"/>
      <c r="O1030" s="94">
        <v>2</v>
      </c>
      <c r="P1030" s="69" t="s">
        <v>50</v>
      </c>
      <c r="Q1030" s="69" t="s">
        <v>51</v>
      </c>
      <c r="R1030" s="69"/>
      <c r="S1030" s="46">
        <v>45199</v>
      </c>
      <c r="T1030" s="48">
        <v>45199</v>
      </c>
      <c r="U1030" s="69"/>
      <c r="V1030" s="69"/>
      <c r="W1030" s="69"/>
      <c r="X1030" s="69"/>
      <c r="Y1030" s="69" t="s">
        <v>4129</v>
      </c>
      <c r="Z1030" s="43">
        <v>220000</v>
      </c>
      <c r="AA1030" s="43" t="s">
        <v>52</v>
      </c>
      <c r="AB1030" s="43" t="s">
        <v>53</v>
      </c>
      <c r="AC1030" s="43">
        <v>1460</v>
      </c>
      <c r="AD1030" s="141">
        <v>4</v>
      </c>
      <c r="AE1030" s="142">
        <v>0</v>
      </c>
      <c r="AF1030" s="142"/>
      <c r="AG1030" s="69" t="str">
        <f t="shared" si="512"/>
        <v>1 years 94 days</v>
      </c>
      <c r="AH1030" s="69">
        <v>1</v>
      </c>
      <c r="AI1030" s="69">
        <v>94</v>
      </c>
      <c r="AJ1030" s="69">
        <v>0</v>
      </c>
      <c r="AK1030" s="69">
        <v>0</v>
      </c>
      <c r="AL1030" s="60">
        <v>220000</v>
      </c>
      <c r="AM1030" s="60">
        <f t="shared" si="513"/>
        <v>220000</v>
      </c>
      <c r="AN1030" s="59">
        <v>69164</v>
      </c>
      <c r="AO1030" s="148">
        <f t="shared" si="514"/>
        <v>-69164</v>
      </c>
      <c r="AP1030" s="58">
        <v>27274.356164383556</v>
      </c>
      <c r="AQ1030" s="143">
        <f t="shared" si="515"/>
        <v>-27274.36</v>
      </c>
    </row>
    <row r="1031" spans="1:43" x14ac:dyDescent="0.35">
      <c r="A1031" s="69" t="s">
        <v>43</v>
      </c>
      <c r="B1031" s="15" t="s">
        <v>3213</v>
      </c>
      <c r="C1031" s="15"/>
      <c r="D1031" s="69"/>
      <c r="E1031" s="76">
        <v>0</v>
      </c>
      <c r="F1031" s="69" t="s">
        <v>2960</v>
      </c>
      <c r="G1031" s="132" t="s">
        <v>2961</v>
      </c>
      <c r="H1031" s="15">
        <v>9013000072</v>
      </c>
      <c r="I1031" s="92" t="s">
        <v>593</v>
      </c>
      <c r="J1031" s="92">
        <v>1202020101</v>
      </c>
      <c r="K1031" s="35" t="s">
        <v>3214</v>
      </c>
      <c r="L1031" s="95" t="s">
        <v>3215</v>
      </c>
      <c r="M1031" s="69" t="s">
        <v>49</v>
      </c>
      <c r="N1031" s="69"/>
      <c r="O1031" s="94">
        <v>1</v>
      </c>
      <c r="P1031" s="69" t="s">
        <v>50</v>
      </c>
      <c r="Q1031" s="69" t="s">
        <v>51</v>
      </c>
      <c r="R1031" s="69"/>
      <c r="S1031" s="46">
        <v>40794</v>
      </c>
      <c r="T1031" s="48">
        <v>43191</v>
      </c>
      <c r="U1031" s="69"/>
      <c r="V1031" s="69"/>
      <c r="W1031" s="69"/>
      <c r="X1031" s="69"/>
      <c r="Y1031" s="69" t="s">
        <v>4125</v>
      </c>
      <c r="Z1031" s="43">
        <v>52500</v>
      </c>
      <c r="AA1031" s="43" t="s">
        <v>52</v>
      </c>
      <c r="AB1031" s="43" t="s">
        <v>53</v>
      </c>
      <c r="AC1031" s="43">
        <v>183</v>
      </c>
      <c r="AD1031" s="141">
        <v>0</v>
      </c>
      <c r="AE1031" s="142">
        <v>6</v>
      </c>
      <c r="AF1031" s="142"/>
      <c r="AG1031" s="69" t="str">
        <f t="shared" si="512"/>
        <v>0 years 183 days</v>
      </c>
      <c r="AH1031" s="69">
        <v>0</v>
      </c>
      <c r="AI1031" s="69">
        <v>183</v>
      </c>
      <c r="AJ1031" s="69">
        <v>0</v>
      </c>
      <c r="AK1031" s="69">
        <v>0</v>
      </c>
      <c r="AL1031" s="60">
        <v>52500</v>
      </c>
      <c r="AM1031" s="60">
        <f t="shared" si="513"/>
        <v>52500</v>
      </c>
      <c r="AN1031" s="59">
        <v>52500</v>
      </c>
      <c r="AO1031" s="148">
        <f t="shared" si="514"/>
        <v>-52500</v>
      </c>
      <c r="AP1031" s="58">
        <v>0</v>
      </c>
      <c r="AQ1031" s="143">
        <f t="shared" si="515"/>
        <v>0</v>
      </c>
    </row>
    <row r="1032" spans="1:43" x14ac:dyDescent="0.35">
      <c r="A1032" s="69" t="s">
        <v>43</v>
      </c>
      <c r="B1032" s="15" t="s">
        <v>3216</v>
      </c>
      <c r="C1032" s="15"/>
      <c r="D1032" s="69"/>
      <c r="E1032" s="76">
        <v>0</v>
      </c>
      <c r="F1032" s="69" t="s">
        <v>2960</v>
      </c>
      <c r="G1032" s="132" t="s">
        <v>2961</v>
      </c>
      <c r="H1032" s="15">
        <v>9013000073</v>
      </c>
      <c r="I1032" s="92" t="s">
        <v>593</v>
      </c>
      <c r="J1032" s="92">
        <v>1202020101</v>
      </c>
      <c r="K1032" s="35" t="s">
        <v>3217</v>
      </c>
      <c r="L1032" s="95" t="s">
        <v>3218</v>
      </c>
      <c r="M1032" s="69" t="s">
        <v>49</v>
      </c>
      <c r="N1032" s="69"/>
      <c r="O1032" s="94">
        <v>1</v>
      </c>
      <c r="P1032" s="69" t="s">
        <v>50</v>
      </c>
      <c r="Q1032" s="69" t="s">
        <v>51</v>
      </c>
      <c r="R1032" s="69"/>
      <c r="S1032" s="46">
        <v>40794</v>
      </c>
      <c r="T1032" s="48">
        <v>43191</v>
      </c>
      <c r="U1032" s="69"/>
      <c r="V1032" s="69"/>
      <c r="W1032" s="69"/>
      <c r="X1032" s="69"/>
      <c r="Y1032" s="69" t="s">
        <v>4125</v>
      </c>
      <c r="Z1032" s="43">
        <v>130000</v>
      </c>
      <c r="AA1032" s="43" t="s">
        <v>52</v>
      </c>
      <c r="AB1032" s="43" t="s">
        <v>53</v>
      </c>
      <c r="AC1032" s="43">
        <v>183</v>
      </c>
      <c r="AD1032" s="141">
        <v>0</v>
      </c>
      <c r="AE1032" s="142">
        <v>6</v>
      </c>
      <c r="AF1032" s="142"/>
      <c r="AG1032" s="69" t="str">
        <f t="shared" ref="AG1032:AG1034" si="516">_xlfn.CONCAT(AH1032," years ",AI1032," days")</f>
        <v>0 years 183 days</v>
      </c>
      <c r="AH1032" s="69">
        <v>0</v>
      </c>
      <c r="AI1032" s="69">
        <v>183</v>
      </c>
      <c r="AJ1032" s="69">
        <v>0</v>
      </c>
      <c r="AK1032" s="69">
        <v>0</v>
      </c>
      <c r="AL1032" s="60">
        <v>130000</v>
      </c>
      <c r="AM1032" s="60">
        <f t="shared" ref="AM1032:AM1034" si="517">ROUND(AL1032,2)</f>
        <v>130000</v>
      </c>
      <c r="AN1032" s="59">
        <v>130000</v>
      </c>
      <c r="AO1032" s="148">
        <f t="shared" ref="AO1032:AO1034" si="518">ROUND(AN1032,2)*-1</f>
        <v>-130000</v>
      </c>
      <c r="AP1032" s="58">
        <v>0</v>
      </c>
      <c r="AQ1032" s="143">
        <f t="shared" ref="AQ1032:AQ1034" si="519">ROUND(AP1032,2)*-1</f>
        <v>0</v>
      </c>
    </row>
    <row r="1033" spans="1:43" x14ac:dyDescent="0.35">
      <c r="A1033" s="69" t="s">
        <v>43</v>
      </c>
      <c r="B1033" s="15" t="s">
        <v>3219</v>
      </c>
      <c r="C1033" s="15"/>
      <c r="D1033" s="69"/>
      <c r="E1033" s="76">
        <v>0</v>
      </c>
      <c r="F1033" s="69" t="s">
        <v>2960</v>
      </c>
      <c r="G1033" s="132" t="s">
        <v>2961</v>
      </c>
      <c r="H1033" s="15">
        <v>9013000074</v>
      </c>
      <c r="I1033" s="92" t="s">
        <v>593</v>
      </c>
      <c r="J1033" s="92">
        <v>1202020101</v>
      </c>
      <c r="K1033" s="35" t="s">
        <v>3220</v>
      </c>
      <c r="L1033" s="95" t="s">
        <v>3221</v>
      </c>
      <c r="M1033" s="69" t="s">
        <v>49</v>
      </c>
      <c r="N1033" s="69"/>
      <c r="O1033" s="94">
        <v>1</v>
      </c>
      <c r="P1033" s="69" t="s">
        <v>50</v>
      </c>
      <c r="Q1033" s="69" t="s">
        <v>51</v>
      </c>
      <c r="R1033" s="69"/>
      <c r="S1033" s="46">
        <v>42480</v>
      </c>
      <c r="T1033" s="48">
        <v>43191</v>
      </c>
      <c r="U1033" s="69"/>
      <c r="V1033" s="69"/>
      <c r="W1033" s="69"/>
      <c r="X1033" s="69"/>
      <c r="Y1033" s="69" t="s">
        <v>4125</v>
      </c>
      <c r="Z1033" s="43">
        <v>75000</v>
      </c>
      <c r="AA1033" s="43" t="s">
        <v>52</v>
      </c>
      <c r="AB1033" s="43" t="s">
        <v>53</v>
      </c>
      <c r="AC1033" s="43">
        <v>1132</v>
      </c>
      <c r="AD1033" s="141">
        <v>3</v>
      </c>
      <c r="AE1033" s="142">
        <v>1</v>
      </c>
      <c r="AF1033" s="142"/>
      <c r="AG1033" s="69" t="str">
        <f t="shared" si="516"/>
        <v>3 years 37 days</v>
      </c>
      <c r="AH1033" s="69">
        <v>3</v>
      </c>
      <c r="AI1033" s="69">
        <v>37</v>
      </c>
      <c r="AJ1033" s="69">
        <v>0</v>
      </c>
      <c r="AK1033" s="69">
        <v>0</v>
      </c>
      <c r="AL1033" s="60">
        <v>75000</v>
      </c>
      <c r="AM1033" s="60">
        <f t="shared" si="517"/>
        <v>75000</v>
      </c>
      <c r="AN1033" s="59">
        <v>75000</v>
      </c>
      <c r="AO1033" s="148">
        <f t="shared" si="518"/>
        <v>-75000</v>
      </c>
      <c r="AP1033" s="58">
        <v>0</v>
      </c>
      <c r="AQ1033" s="143">
        <f t="shared" si="519"/>
        <v>0</v>
      </c>
    </row>
    <row r="1034" spans="1:43" x14ac:dyDescent="0.35">
      <c r="A1034" s="69" t="s">
        <v>43</v>
      </c>
      <c r="B1034" s="15" t="s">
        <v>3222</v>
      </c>
      <c r="C1034" s="15"/>
      <c r="D1034" s="69"/>
      <c r="E1034" s="76">
        <v>0</v>
      </c>
      <c r="F1034" s="69" t="s">
        <v>2960</v>
      </c>
      <c r="G1034" s="132" t="s">
        <v>2961</v>
      </c>
      <c r="H1034" s="15">
        <v>9013000075</v>
      </c>
      <c r="I1034" s="92" t="s">
        <v>593</v>
      </c>
      <c r="J1034" s="92">
        <v>1202020101</v>
      </c>
      <c r="K1034" s="35" t="s">
        <v>3223</v>
      </c>
      <c r="L1034" s="95" t="s">
        <v>3224</v>
      </c>
      <c r="M1034" s="69" t="s">
        <v>3225</v>
      </c>
      <c r="N1034" s="69"/>
      <c r="O1034" s="94">
        <v>2</v>
      </c>
      <c r="P1034" s="69" t="s">
        <v>50</v>
      </c>
      <c r="Q1034" s="69" t="s">
        <v>51</v>
      </c>
      <c r="R1034" s="69"/>
      <c r="S1034" s="46">
        <v>45199</v>
      </c>
      <c r="T1034" s="48">
        <v>45199</v>
      </c>
      <c r="U1034" s="69"/>
      <c r="V1034" s="69"/>
      <c r="W1034" s="69"/>
      <c r="X1034" s="69"/>
      <c r="Y1034" s="69" t="s">
        <v>4129</v>
      </c>
      <c r="Z1034" s="43">
        <v>220000</v>
      </c>
      <c r="AA1034" s="43" t="s">
        <v>52</v>
      </c>
      <c r="AB1034" s="43" t="s">
        <v>53</v>
      </c>
      <c r="AC1034" s="43">
        <v>1460</v>
      </c>
      <c r="AD1034" s="141">
        <v>4</v>
      </c>
      <c r="AE1034" s="142">
        <v>0</v>
      </c>
      <c r="AF1034" s="142"/>
      <c r="AG1034" s="69" t="str">
        <f t="shared" si="516"/>
        <v>1 years 94 days</v>
      </c>
      <c r="AH1034" s="69">
        <v>1</v>
      </c>
      <c r="AI1034" s="69">
        <v>94</v>
      </c>
      <c r="AJ1034" s="69">
        <v>0</v>
      </c>
      <c r="AK1034" s="69">
        <v>0</v>
      </c>
      <c r="AL1034" s="60">
        <v>220000</v>
      </c>
      <c r="AM1034" s="60">
        <f t="shared" si="517"/>
        <v>220000</v>
      </c>
      <c r="AN1034" s="59">
        <v>69164</v>
      </c>
      <c r="AO1034" s="148">
        <f t="shared" si="518"/>
        <v>-69164</v>
      </c>
      <c r="AP1034" s="58">
        <v>27274.356164383556</v>
      </c>
      <c r="AQ1034" s="143">
        <f t="shared" si="519"/>
        <v>-27274.36</v>
      </c>
    </row>
    <row r="1035" spans="1:43" x14ac:dyDescent="0.35">
      <c r="A1035" s="69" t="s">
        <v>43</v>
      </c>
      <c r="B1035" s="15" t="s">
        <v>3226</v>
      </c>
      <c r="C1035" s="15"/>
      <c r="D1035" s="69"/>
      <c r="E1035" s="76">
        <v>0</v>
      </c>
      <c r="F1035" s="69" t="s">
        <v>2960</v>
      </c>
      <c r="G1035" s="132" t="s">
        <v>2961</v>
      </c>
      <c r="H1035" s="15">
        <v>9013000076</v>
      </c>
      <c r="I1035" s="92" t="s">
        <v>593</v>
      </c>
      <c r="J1035" s="92">
        <v>1202020101</v>
      </c>
      <c r="K1035" s="35" t="s">
        <v>3227</v>
      </c>
      <c r="L1035" s="95" t="s">
        <v>3228</v>
      </c>
      <c r="M1035" s="69" t="s">
        <v>3229</v>
      </c>
      <c r="N1035" s="69"/>
      <c r="O1035" s="94">
        <v>1</v>
      </c>
      <c r="P1035" s="69" t="s">
        <v>50</v>
      </c>
      <c r="Q1035" s="69" t="s">
        <v>51</v>
      </c>
      <c r="R1035" s="69"/>
      <c r="S1035" s="46">
        <v>41585</v>
      </c>
      <c r="T1035" s="48">
        <v>43191</v>
      </c>
      <c r="U1035" s="69"/>
      <c r="V1035" s="69"/>
      <c r="W1035" s="69"/>
      <c r="X1035" s="69"/>
      <c r="Y1035" s="69" t="s">
        <v>4125</v>
      </c>
      <c r="Z1035" s="43">
        <v>170000</v>
      </c>
      <c r="AA1035" s="43" t="s">
        <v>52</v>
      </c>
      <c r="AB1035" s="43" t="s">
        <v>53</v>
      </c>
      <c r="AC1035" s="43">
        <v>219</v>
      </c>
      <c r="AD1035" s="141">
        <v>0</v>
      </c>
      <c r="AE1035" s="142">
        <v>7</v>
      </c>
      <c r="AF1035" s="142"/>
      <c r="AG1035" s="69" t="str">
        <f t="shared" ref="AG1035:AG1038" si="520">_xlfn.CONCAT(AH1035," years ",AI1035," days")</f>
        <v>0 years 219 days</v>
      </c>
      <c r="AH1035" s="69">
        <v>0</v>
      </c>
      <c r="AI1035" s="69">
        <v>219</v>
      </c>
      <c r="AJ1035" s="69">
        <v>0</v>
      </c>
      <c r="AK1035" s="69">
        <v>0</v>
      </c>
      <c r="AL1035" s="60">
        <v>170000</v>
      </c>
      <c r="AM1035" s="60">
        <f t="shared" ref="AM1035:AM1038" si="521">ROUND(AL1035,2)</f>
        <v>170000</v>
      </c>
      <c r="AN1035" s="59">
        <v>170000</v>
      </c>
      <c r="AO1035" s="148">
        <f t="shared" ref="AO1035:AO1038" si="522">ROUND(AN1035,2)*-1</f>
        <v>-170000</v>
      </c>
      <c r="AP1035" s="58">
        <v>0</v>
      </c>
      <c r="AQ1035" s="143">
        <f t="shared" ref="AQ1035:AQ1038" si="523">ROUND(AP1035,2)*-1</f>
        <v>0</v>
      </c>
    </row>
    <row r="1036" spans="1:43" x14ac:dyDescent="0.35">
      <c r="A1036" s="69" t="s">
        <v>43</v>
      </c>
      <c r="B1036" s="15" t="s">
        <v>3230</v>
      </c>
      <c r="C1036" s="15"/>
      <c r="D1036" s="69"/>
      <c r="E1036" s="76">
        <v>0</v>
      </c>
      <c r="F1036" s="69" t="s">
        <v>2960</v>
      </c>
      <c r="G1036" s="132" t="s">
        <v>2961</v>
      </c>
      <c r="H1036" s="15">
        <v>9013000077</v>
      </c>
      <c r="I1036" s="92" t="s">
        <v>593</v>
      </c>
      <c r="J1036" s="92">
        <v>1202020101</v>
      </c>
      <c r="K1036" s="35" t="s">
        <v>3231</v>
      </c>
      <c r="L1036" s="95" t="s">
        <v>3232</v>
      </c>
      <c r="M1036" s="69" t="s">
        <v>3233</v>
      </c>
      <c r="N1036" s="69"/>
      <c r="O1036" s="94">
        <v>1</v>
      </c>
      <c r="P1036" s="69" t="s">
        <v>50</v>
      </c>
      <c r="Q1036" s="69" t="s">
        <v>51</v>
      </c>
      <c r="R1036" s="69"/>
      <c r="S1036" s="46">
        <v>41419</v>
      </c>
      <c r="T1036" s="48">
        <v>43191</v>
      </c>
      <c r="U1036" s="69"/>
      <c r="V1036" s="69"/>
      <c r="W1036" s="69"/>
      <c r="X1036" s="69"/>
      <c r="Y1036" s="69" t="s">
        <v>4125</v>
      </c>
      <c r="Z1036" s="43">
        <v>13500</v>
      </c>
      <c r="AA1036" s="43" t="s">
        <v>52</v>
      </c>
      <c r="AB1036" s="43" t="s">
        <v>53</v>
      </c>
      <c r="AC1036" s="43">
        <v>183</v>
      </c>
      <c r="AD1036" s="141">
        <v>0</v>
      </c>
      <c r="AE1036" s="142">
        <v>6</v>
      </c>
      <c r="AF1036" s="142"/>
      <c r="AG1036" s="69" t="str">
        <f t="shared" si="520"/>
        <v>0 years 183 days</v>
      </c>
      <c r="AH1036" s="69">
        <v>0</v>
      </c>
      <c r="AI1036" s="69">
        <v>183</v>
      </c>
      <c r="AJ1036" s="69">
        <v>0</v>
      </c>
      <c r="AK1036" s="69">
        <v>0</v>
      </c>
      <c r="AL1036" s="60">
        <v>13500</v>
      </c>
      <c r="AM1036" s="60">
        <f t="shared" si="521"/>
        <v>13500</v>
      </c>
      <c r="AN1036" s="59">
        <v>13500</v>
      </c>
      <c r="AO1036" s="148">
        <f t="shared" si="522"/>
        <v>-13500</v>
      </c>
      <c r="AP1036" s="58">
        <v>0</v>
      </c>
      <c r="AQ1036" s="143">
        <f t="shared" si="523"/>
        <v>0</v>
      </c>
    </row>
    <row r="1037" spans="1:43" x14ac:dyDescent="0.35">
      <c r="A1037" s="69" t="s">
        <v>43</v>
      </c>
      <c r="B1037" s="15" t="s">
        <v>3234</v>
      </c>
      <c r="C1037" s="15"/>
      <c r="D1037" s="69"/>
      <c r="E1037" s="76">
        <v>0</v>
      </c>
      <c r="F1037" s="69" t="s">
        <v>2960</v>
      </c>
      <c r="G1037" s="132" t="s">
        <v>2961</v>
      </c>
      <c r="H1037" s="15">
        <v>9013000078</v>
      </c>
      <c r="I1037" s="92" t="s">
        <v>593</v>
      </c>
      <c r="J1037" s="92">
        <v>1202020101</v>
      </c>
      <c r="K1037" s="35" t="s">
        <v>3235</v>
      </c>
      <c r="L1037" s="95" t="s">
        <v>3236</v>
      </c>
      <c r="M1037" s="69" t="s">
        <v>3237</v>
      </c>
      <c r="N1037" s="69"/>
      <c r="O1037" s="94">
        <v>1</v>
      </c>
      <c r="P1037" s="69" t="s">
        <v>50</v>
      </c>
      <c r="Q1037" s="69" t="s">
        <v>51</v>
      </c>
      <c r="R1037" s="69"/>
      <c r="S1037" s="46">
        <v>40912</v>
      </c>
      <c r="T1037" s="48">
        <v>43191</v>
      </c>
      <c r="U1037" s="69"/>
      <c r="V1037" s="69"/>
      <c r="W1037" s="69"/>
      <c r="X1037" s="69"/>
      <c r="Y1037" s="69" t="s">
        <v>4125</v>
      </c>
      <c r="Z1037" s="43">
        <v>12000</v>
      </c>
      <c r="AA1037" s="43" t="s">
        <v>52</v>
      </c>
      <c r="AB1037" s="43" t="s">
        <v>53</v>
      </c>
      <c r="AC1037" s="43">
        <v>183</v>
      </c>
      <c r="AD1037" s="141">
        <v>0</v>
      </c>
      <c r="AE1037" s="142">
        <v>6</v>
      </c>
      <c r="AF1037" s="142"/>
      <c r="AG1037" s="69" t="str">
        <f t="shared" si="520"/>
        <v>0 years 183 days</v>
      </c>
      <c r="AH1037" s="69">
        <v>0</v>
      </c>
      <c r="AI1037" s="69">
        <v>183</v>
      </c>
      <c r="AJ1037" s="69">
        <v>0</v>
      </c>
      <c r="AK1037" s="69">
        <v>0</v>
      </c>
      <c r="AL1037" s="60">
        <v>12000</v>
      </c>
      <c r="AM1037" s="60">
        <f t="shared" si="521"/>
        <v>12000</v>
      </c>
      <c r="AN1037" s="59">
        <v>12000</v>
      </c>
      <c r="AO1037" s="148">
        <f t="shared" si="522"/>
        <v>-12000</v>
      </c>
      <c r="AP1037" s="58">
        <v>0</v>
      </c>
      <c r="AQ1037" s="143">
        <f t="shared" si="523"/>
        <v>0</v>
      </c>
    </row>
    <row r="1038" spans="1:43" x14ac:dyDescent="0.35">
      <c r="A1038" s="69" t="s">
        <v>43</v>
      </c>
      <c r="B1038" s="15" t="s">
        <v>3238</v>
      </c>
      <c r="C1038" s="15"/>
      <c r="D1038" s="69"/>
      <c r="E1038" s="76">
        <v>0</v>
      </c>
      <c r="F1038" s="69" t="s">
        <v>2960</v>
      </c>
      <c r="G1038" s="132" t="s">
        <v>2961</v>
      </c>
      <c r="H1038" s="15">
        <v>9013000079</v>
      </c>
      <c r="I1038" s="92" t="s">
        <v>593</v>
      </c>
      <c r="J1038" s="92">
        <v>1202020101</v>
      </c>
      <c r="K1038" s="35" t="s">
        <v>3239</v>
      </c>
      <c r="L1038" s="95" t="s">
        <v>3240</v>
      </c>
      <c r="M1038" s="69" t="s">
        <v>3241</v>
      </c>
      <c r="N1038" s="69"/>
      <c r="O1038" s="94">
        <v>1</v>
      </c>
      <c r="P1038" s="69" t="s">
        <v>50</v>
      </c>
      <c r="Q1038" s="69" t="s">
        <v>51</v>
      </c>
      <c r="R1038" s="69"/>
      <c r="S1038" s="46">
        <v>42343</v>
      </c>
      <c r="T1038" s="48">
        <v>43191</v>
      </c>
      <c r="U1038" s="69"/>
      <c r="V1038" s="69"/>
      <c r="W1038" s="69"/>
      <c r="X1038" s="69"/>
      <c r="Y1038" s="69" t="s">
        <v>4125</v>
      </c>
      <c r="Z1038" s="43">
        <v>105000</v>
      </c>
      <c r="AA1038" s="43" t="s">
        <v>52</v>
      </c>
      <c r="AB1038" s="43" t="s">
        <v>53</v>
      </c>
      <c r="AC1038" s="43">
        <v>949</v>
      </c>
      <c r="AD1038" s="141">
        <v>2</v>
      </c>
      <c r="AE1038" s="142">
        <v>7</v>
      </c>
      <c r="AF1038" s="142"/>
      <c r="AG1038" s="69" t="str">
        <f t="shared" si="520"/>
        <v>2 years 219 days</v>
      </c>
      <c r="AH1038" s="69">
        <v>2</v>
      </c>
      <c r="AI1038" s="69">
        <v>219</v>
      </c>
      <c r="AJ1038" s="69">
        <v>0</v>
      </c>
      <c r="AK1038" s="69">
        <v>0</v>
      </c>
      <c r="AL1038" s="60">
        <v>105000</v>
      </c>
      <c r="AM1038" s="60">
        <f t="shared" si="521"/>
        <v>105000</v>
      </c>
      <c r="AN1038" s="59">
        <v>105000</v>
      </c>
      <c r="AO1038" s="148">
        <f t="shared" si="522"/>
        <v>-105000</v>
      </c>
      <c r="AP1038" s="58">
        <v>0</v>
      </c>
      <c r="AQ1038" s="143">
        <f t="shared" si="523"/>
        <v>0</v>
      </c>
    </row>
    <row r="1039" spans="1:43" x14ac:dyDescent="0.35">
      <c r="A1039" s="69" t="s">
        <v>43</v>
      </c>
      <c r="B1039" s="15" t="s">
        <v>3242</v>
      </c>
      <c r="C1039" s="15"/>
      <c r="D1039" s="69"/>
      <c r="E1039" s="76">
        <v>0</v>
      </c>
      <c r="F1039" s="69" t="s">
        <v>2960</v>
      </c>
      <c r="G1039" s="132" t="s">
        <v>2961</v>
      </c>
      <c r="H1039" s="15">
        <v>9013000080</v>
      </c>
      <c r="I1039" s="92" t="s">
        <v>593</v>
      </c>
      <c r="J1039" s="92">
        <v>1202020101</v>
      </c>
      <c r="K1039" s="35" t="s">
        <v>3243</v>
      </c>
      <c r="L1039" s="95" t="s">
        <v>3244</v>
      </c>
      <c r="M1039" s="69" t="s">
        <v>3245</v>
      </c>
      <c r="N1039" s="69"/>
      <c r="O1039" s="94">
        <v>1</v>
      </c>
      <c r="P1039" s="69" t="s">
        <v>50</v>
      </c>
      <c r="Q1039" s="69" t="s">
        <v>51</v>
      </c>
      <c r="R1039" s="69"/>
      <c r="S1039" s="46">
        <v>41903</v>
      </c>
      <c r="T1039" s="48">
        <v>43191</v>
      </c>
      <c r="U1039" s="69"/>
      <c r="V1039" s="69"/>
      <c r="W1039" s="69"/>
      <c r="X1039" s="69"/>
      <c r="Y1039" s="69" t="s">
        <v>4125</v>
      </c>
      <c r="Z1039" s="43">
        <v>410000</v>
      </c>
      <c r="AA1039" s="43" t="s">
        <v>52</v>
      </c>
      <c r="AB1039" s="43" t="s">
        <v>53</v>
      </c>
      <c r="AC1039" s="43">
        <v>548</v>
      </c>
      <c r="AD1039" s="141">
        <v>1</v>
      </c>
      <c r="AE1039" s="142">
        <v>6</v>
      </c>
      <c r="AF1039" s="142"/>
      <c r="AG1039" s="69" t="str">
        <f t="shared" ref="AG1039:AG1040" si="524">_xlfn.CONCAT(AH1039," years ",AI1039," days")</f>
        <v>1 years 183 days</v>
      </c>
      <c r="AH1039" s="69">
        <v>1</v>
      </c>
      <c r="AI1039" s="69">
        <v>183</v>
      </c>
      <c r="AJ1039" s="69">
        <v>0</v>
      </c>
      <c r="AK1039" s="69">
        <v>0</v>
      </c>
      <c r="AL1039" s="60">
        <v>410000</v>
      </c>
      <c r="AM1039" s="60">
        <f t="shared" ref="AM1039:AM1040" si="525">ROUND(AL1039,2)</f>
        <v>410000</v>
      </c>
      <c r="AN1039" s="59">
        <v>410000</v>
      </c>
      <c r="AO1039" s="148">
        <f t="shared" ref="AO1039:AO1040" si="526">ROUND(AN1039,2)*-1</f>
        <v>-410000</v>
      </c>
      <c r="AP1039" s="58">
        <v>0</v>
      </c>
      <c r="AQ1039" s="143">
        <f t="shared" ref="AQ1039:AQ1040" si="527">ROUND(AP1039,2)*-1</f>
        <v>0</v>
      </c>
    </row>
    <row r="1040" spans="1:43" x14ac:dyDescent="0.35">
      <c r="A1040" s="69" t="s">
        <v>43</v>
      </c>
      <c r="B1040" s="15" t="s">
        <v>3246</v>
      </c>
      <c r="C1040" s="15"/>
      <c r="D1040" s="69"/>
      <c r="E1040" s="76">
        <v>0</v>
      </c>
      <c r="F1040" s="69" t="s">
        <v>2960</v>
      </c>
      <c r="G1040" s="132" t="s">
        <v>2961</v>
      </c>
      <c r="H1040" s="15">
        <v>9013000081</v>
      </c>
      <c r="I1040" s="92" t="s">
        <v>593</v>
      </c>
      <c r="J1040" s="92">
        <v>1202020101</v>
      </c>
      <c r="K1040" s="35" t="s">
        <v>3247</v>
      </c>
      <c r="L1040" s="95" t="s">
        <v>3248</v>
      </c>
      <c r="M1040" s="69" t="s">
        <v>3249</v>
      </c>
      <c r="N1040" s="69"/>
      <c r="O1040" s="94">
        <v>1</v>
      </c>
      <c r="P1040" s="69" t="s">
        <v>50</v>
      </c>
      <c r="Q1040" s="69" t="s">
        <v>51</v>
      </c>
      <c r="R1040" s="69"/>
      <c r="S1040" s="46">
        <v>41093</v>
      </c>
      <c r="T1040" s="48">
        <v>43191</v>
      </c>
      <c r="U1040" s="69"/>
      <c r="V1040" s="69"/>
      <c r="W1040" s="69"/>
      <c r="X1040" s="69"/>
      <c r="Y1040" s="69" t="s">
        <v>4125</v>
      </c>
      <c r="Z1040" s="43">
        <v>12500</v>
      </c>
      <c r="AA1040" s="43" t="s">
        <v>52</v>
      </c>
      <c r="AB1040" s="43" t="s">
        <v>53</v>
      </c>
      <c r="AC1040" s="43">
        <v>183</v>
      </c>
      <c r="AD1040" s="141">
        <v>0</v>
      </c>
      <c r="AE1040" s="142">
        <v>6</v>
      </c>
      <c r="AF1040" s="142"/>
      <c r="AG1040" s="69" t="str">
        <f t="shared" si="524"/>
        <v>0 years 183 days</v>
      </c>
      <c r="AH1040" s="69">
        <v>0</v>
      </c>
      <c r="AI1040" s="69">
        <v>183</v>
      </c>
      <c r="AJ1040" s="69">
        <v>0</v>
      </c>
      <c r="AK1040" s="69">
        <v>0</v>
      </c>
      <c r="AL1040" s="60">
        <v>12500</v>
      </c>
      <c r="AM1040" s="60">
        <f t="shared" si="525"/>
        <v>12500</v>
      </c>
      <c r="AN1040" s="59">
        <v>12500</v>
      </c>
      <c r="AO1040" s="148">
        <f t="shared" si="526"/>
        <v>-12500</v>
      </c>
      <c r="AP1040" s="58">
        <v>0</v>
      </c>
      <c r="AQ1040" s="143">
        <f t="shared" si="527"/>
        <v>0</v>
      </c>
    </row>
    <row r="1041" spans="1:43" x14ac:dyDescent="0.35">
      <c r="A1041" s="69" t="s">
        <v>43</v>
      </c>
      <c r="B1041" s="15" t="s">
        <v>3250</v>
      </c>
      <c r="C1041" s="15"/>
      <c r="D1041" s="69"/>
      <c r="E1041" s="76">
        <v>0</v>
      </c>
      <c r="F1041" s="69" t="s">
        <v>2960</v>
      </c>
      <c r="G1041" s="132" t="s">
        <v>2961</v>
      </c>
      <c r="H1041" s="15">
        <v>9013000082</v>
      </c>
      <c r="I1041" s="92" t="s">
        <v>593</v>
      </c>
      <c r="J1041" s="92">
        <v>1202020101</v>
      </c>
      <c r="K1041" s="35" t="s">
        <v>3251</v>
      </c>
      <c r="L1041" s="95" t="s">
        <v>3252</v>
      </c>
      <c r="M1041" s="69" t="s">
        <v>49</v>
      </c>
      <c r="N1041" s="69"/>
      <c r="O1041" s="94">
        <v>1</v>
      </c>
      <c r="P1041" s="69" t="s">
        <v>50</v>
      </c>
      <c r="Q1041" s="69" t="s">
        <v>51</v>
      </c>
      <c r="R1041" s="69"/>
      <c r="S1041" s="46">
        <v>40327</v>
      </c>
      <c r="T1041" s="48">
        <v>43191</v>
      </c>
      <c r="U1041" s="69"/>
      <c r="V1041" s="69"/>
      <c r="W1041" s="69"/>
      <c r="X1041" s="69"/>
      <c r="Y1041" s="69" t="s">
        <v>4125</v>
      </c>
      <c r="Z1041" s="43">
        <v>145000</v>
      </c>
      <c r="AA1041" s="43" t="s">
        <v>52</v>
      </c>
      <c r="AB1041" s="43" t="s">
        <v>53</v>
      </c>
      <c r="AC1041" s="43">
        <v>183</v>
      </c>
      <c r="AD1041" s="141">
        <v>0</v>
      </c>
      <c r="AE1041" s="142">
        <v>6</v>
      </c>
      <c r="AF1041" s="142"/>
      <c r="AG1041" s="69" t="str">
        <f t="shared" ref="AG1041:AG1044" si="528">_xlfn.CONCAT(AH1041," years ",AI1041," days")</f>
        <v>0 years 183 days</v>
      </c>
      <c r="AH1041" s="69">
        <v>0</v>
      </c>
      <c r="AI1041" s="69">
        <v>183</v>
      </c>
      <c r="AJ1041" s="69">
        <v>0</v>
      </c>
      <c r="AK1041" s="69">
        <v>0</v>
      </c>
      <c r="AL1041" s="60">
        <v>145000</v>
      </c>
      <c r="AM1041" s="60">
        <f t="shared" ref="AM1041:AM1044" si="529">ROUND(AL1041,2)</f>
        <v>145000</v>
      </c>
      <c r="AN1041" s="59">
        <v>145000</v>
      </c>
      <c r="AO1041" s="148">
        <f t="shared" ref="AO1041:AO1044" si="530">ROUND(AN1041,2)*-1</f>
        <v>-145000</v>
      </c>
      <c r="AP1041" s="58">
        <v>0</v>
      </c>
      <c r="AQ1041" s="143">
        <f t="shared" ref="AQ1041:AQ1044" si="531">ROUND(AP1041,2)*-1</f>
        <v>0</v>
      </c>
    </row>
    <row r="1042" spans="1:43" x14ac:dyDescent="0.35">
      <c r="A1042" s="69" t="s">
        <v>43</v>
      </c>
      <c r="B1042" s="15" t="s">
        <v>3253</v>
      </c>
      <c r="C1042" s="15"/>
      <c r="D1042" s="69"/>
      <c r="E1042" s="76">
        <v>0</v>
      </c>
      <c r="F1042" s="69" t="s">
        <v>2960</v>
      </c>
      <c r="G1042" s="132" t="s">
        <v>2961</v>
      </c>
      <c r="H1042" s="15">
        <v>9013000083</v>
      </c>
      <c r="I1042" s="92" t="s">
        <v>593</v>
      </c>
      <c r="J1042" s="92">
        <v>1202020101</v>
      </c>
      <c r="K1042" s="35" t="s">
        <v>3254</v>
      </c>
      <c r="L1042" s="95" t="s">
        <v>3255</v>
      </c>
      <c r="M1042" s="69" t="s">
        <v>3256</v>
      </c>
      <c r="N1042" s="69"/>
      <c r="O1042" s="94">
        <v>1</v>
      </c>
      <c r="P1042" s="69" t="s">
        <v>50</v>
      </c>
      <c r="Q1042" s="69" t="s">
        <v>51</v>
      </c>
      <c r="R1042" s="69"/>
      <c r="S1042" s="46">
        <v>44086</v>
      </c>
      <c r="T1042" s="48">
        <v>44086</v>
      </c>
      <c r="U1042" s="69"/>
      <c r="V1042" s="69"/>
      <c r="W1042" s="69"/>
      <c r="X1042" s="69"/>
      <c r="Y1042" s="69" t="s">
        <v>4127</v>
      </c>
      <c r="Z1042" s="43">
        <v>135000</v>
      </c>
      <c r="AA1042" s="43" t="s">
        <v>52</v>
      </c>
      <c r="AB1042" s="43" t="s">
        <v>53</v>
      </c>
      <c r="AC1042" s="43">
        <v>1460</v>
      </c>
      <c r="AD1042" s="141">
        <v>4</v>
      </c>
      <c r="AE1042" s="142">
        <v>0</v>
      </c>
      <c r="AF1042" s="142"/>
      <c r="AG1042" s="69" t="str">
        <f t="shared" si="528"/>
        <v>4 years 0 days</v>
      </c>
      <c r="AH1042" s="69">
        <v>4</v>
      </c>
      <c r="AI1042" s="69">
        <v>0</v>
      </c>
      <c r="AJ1042" s="69">
        <v>0</v>
      </c>
      <c r="AK1042" s="69">
        <v>0</v>
      </c>
      <c r="AL1042" s="60">
        <v>135000</v>
      </c>
      <c r="AM1042" s="60">
        <f t="shared" si="529"/>
        <v>135000</v>
      </c>
      <c r="AN1042" s="59">
        <v>135000</v>
      </c>
      <c r="AO1042" s="148">
        <f t="shared" si="530"/>
        <v>-135000</v>
      </c>
      <c r="AP1042" s="58">
        <v>0</v>
      </c>
      <c r="AQ1042" s="143">
        <f t="shared" si="531"/>
        <v>0</v>
      </c>
    </row>
    <row r="1043" spans="1:43" x14ac:dyDescent="0.35">
      <c r="A1043" s="69" t="s">
        <v>43</v>
      </c>
      <c r="B1043" s="15" t="s">
        <v>3257</v>
      </c>
      <c r="C1043" s="15"/>
      <c r="D1043" s="69"/>
      <c r="E1043" s="76">
        <v>0</v>
      </c>
      <c r="F1043" s="69" t="s">
        <v>2960</v>
      </c>
      <c r="G1043" s="132" t="s">
        <v>2961</v>
      </c>
      <c r="H1043" s="15">
        <v>9013000084</v>
      </c>
      <c r="I1043" s="92" t="s">
        <v>593</v>
      </c>
      <c r="J1043" s="92">
        <v>1202020101</v>
      </c>
      <c r="K1043" s="35" t="s">
        <v>3258</v>
      </c>
      <c r="L1043" s="95" t="s">
        <v>3259</v>
      </c>
      <c r="M1043" s="69" t="s">
        <v>3260</v>
      </c>
      <c r="N1043" s="69"/>
      <c r="O1043" s="94">
        <v>1</v>
      </c>
      <c r="P1043" s="69" t="s">
        <v>50</v>
      </c>
      <c r="Q1043" s="69" t="s">
        <v>51</v>
      </c>
      <c r="R1043" s="69"/>
      <c r="S1043" s="46">
        <v>44331</v>
      </c>
      <c r="T1043" s="48">
        <v>44331</v>
      </c>
      <c r="U1043" s="69"/>
      <c r="V1043" s="69"/>
      <c r="W1043" s="69"/>
      <c r="X1043" s="69"/>
      <c r="Y1043" s="69" t="s">
        <v>4128</v>
      </c>
      <c r="Z1043" s="43">
        <v>135000</v>
      </c>
      <c r="AA1043" s="43" t="s">
        <v>52</v>
      </c>
      <c r="AB1043" s="43" t="s">
        <v>53</v>
      </c>
      <c r="AC1043" s="43">
        <v>1460</v>
      </c>
      <c r="AD1043" s="141">
        <v>4</v>
      </c>
      <c r="AE1043" s="142">
        <v>0</v>
      </c>
      <c r="AF1043" s="142"/>
      <c r="AG1043" s="69" t="str">
        <f t="shared" si="528"/>
        <v>3 years 232 days</v>
      </c>
      <c r="AH1043" s="69">
        <v>3</v>
      </c>
      <c r="AI1043" s="69">
        <v>232</v>
      </c>
      <c r="AJ1043" s="69">
        <v>0</v>
      </c>
      <c r="AK1043" s="69">
        <v>0</v>
      </c>
      <c r="AL1043" s="60">
        <v>135000</v>
      </c>
      <c r="AM1043" s="60">
        <f t="shared" si="529"/>
        <v>135000</v>
      </c>
      <c r="AN1043" s="59">
        <v>122702</v>
      </c>
      <c r="AO1043" s="148">
        <f t="shared" si="530"/>
        <v>-122702</v>
      </c>
      <c r="AP1043" s="58">
        <v>12298</v>
      </c>
      <c r="AQ1043" s="143">
        <f t="shared" si="531"/>
        <v>-12298</v>
      </c>
    </row>
    <row r="1044" spans="1:43" x14ac:dyDescent="0.35">
      <c r="A1044" s="69" t="s">
        <v>43</v>
      </c>
      <c r="B1044" s="15" t="s">
        <v>3261</v>
      </c>
      <c r="C1044" s="15"/>
      <c r="D1044" s="69"/>
      <c r="E1044" s="76">
        <v>0</v>
      </c>
      <c r="F1044" s="69" t="s">
        <v>2960</v>
      </c>
      <c r="G1044" s="132" t="s">
        <v>2961</v>
      </c>
      <c r="H1044" s="15">
        <v>9013000085</v>
      </c>
      <c r="I1044" s="92" t="s">
        <v>593</v>
      </c>
      <c r="J1044" s="92">
        <v>1202020101</v>
      </c>
      <c r="K1044" s="35" t="s">
        <v>3262</v>
      </c>
      <c r="L1044" s="95" t="s">
        <v>3263</v>
      </c>
      <c r="M1044" s="69" t="s">
        <v>3264</v>
      </c>
      <c r="N1044" s="69"/>
      <c r="O1044" s="94">
        <v>2</v>
      </c>
      <c r="P1044" s="69" t="s">
        <v>50</v>
      </c>
      <c r="Q1044" s="69" t="s">
        <v>51</v>
      </c>
      <c r="R1044" s="69"/>
      <c r="S1044" s="46">
        <v>44896</v>
      </c>
      <c r="T1044" s="48">
        <v>44896</v>
      </c>
      <c r="U1044" s="69"/>
      <c r="V1044" s="69"/>
      <c r="W1044" s="69"/>
      <c r="X1044" s="69"/>
      <c r="Y1044" s="69" t="s">
        <v>4131</v>
      </c>
      <c r="Z1044" s="43">
        <v>310000</v>
      </c>
      <c r="AA1044" s="43" t="s">
        <v>52</v>
      </c>
      <c r="AB1044" s="43" t="s">
        <v>53</v>
      </c>
      <c r="AC1044" s="43">
        <v>1460</v>
      </c>
      <c r="AD1044" s="141">
        <v>4</v>
      </c>
      <c r="AE1044" s="142">
        <v>0</v>
      </c>
      <c r="AF1044" s="142"/>
      <c r="AG1044" s="69" t="str">
        <f t="shared" si="528"/>
        <v>2 years 32 days</v>
      </c>
      <c r="AH1044" s="69">
        <v>2</v>
      </c>
      <c r="AI1044" s="69">
        <v>32</v>
      </c>
      <c r="AJ1044" s="69">
        <v>0</v>
      </c>
      <c r="AK1044" s="69">
        <v>0</v>
      </c>
      <c r="AL1044" s="60">
        <v>310000</v>
      </c>
      <c r="AM1044" s="60">
        <f t="shared" si="529"/>
        <v>310000</v>
      </c>
      <c r="AN1044" s="59">
        <v>161795</v>
      </c>
      <c r="AO1044" s="148">
        <f t="shared" si="530"/>
        <v>-161795</v>
      </c>
      <c r="AP1044" s="58">
        <v>38431.027397260274</v>
      </c>
      <c r="AQ1044" s="143">
        <f t="shared" si="531"/>
        <v>-38431.03</v>
      </c>
    </row>
    <row r="1045" spans="1:43" x14ac:dyDescent="0.35">
      <c r="A1045" s="69" t="s">
        <v>43</v>
      </c>
      <c r="B1045" s="15" t="s">
        <v>3265</v>
      </c>
      <c r="C1045" s="15"/>
      <c r="D1045" s="69"/>
      <c r="E1045" s="76">
        <v>0</v>
      </c>
      <c r="F1045" s="69" t="s">
        <v>2960</v>
      </c>
      <c r="G1045" s="132" t="s">
        <v>2961</v>
      </c>
      <c r="H1045" s="15">
        <v>9013000086</v>
      </c>
      <c r="I1045" s="92" t="s">
        <v>593</v>
      </c>
      <c r="J1045" s="92">
        <v>1202020101</v>
      </c>
      <c r="K1045" s="35" t="s">
        <v>3266</v>
      </c>
      <c r="L1045" s="95" t="s">
        <v>3267</v>
      </c>
      <c r="M1045" s="69" t="s">
        <v>49</v>
      </c>
      <c r="N1045" s="69"/>
      <c r="O1045" s="94">
        <v>1</v>
      </c>
      <c r="P1045" s="69" t="s">
        <v>50</v>
      </c>
      <c r="Q1045" s="69" t="s">
        <v>51</v>
      </c>
      <c r="R1045" s="69"/>
      <c r="S1045" s="46">
        <v>40761</v>
      </c>
      <c r="T1045" s="48">
        <v>43191</v>
      </c>
      <c r="U1045" s="69"/>
      <c r="V1045" s="69"/>
      <c r="W1045" s="69"/>
      <c r="X1045" s="69"/>
      <c r="Y1045" s="69" t="s">
        <v>4125</v>
      </c>
      <c r="Z1045" s="43">
        <v>67500</v>
      </c>
      <c r="AA1045" s="43" t="s">
        <v>52</v>
      </c>
      <c r="AB1045" s="43" t="s">
        <v>53</v>
      </c>
      <c r="AC1045" s="43">
        <v>183</v>
      </c>
      <c r="AD1045" s="141">
        <v>0</v>
      </c>
      <c r="AE1045" s="142">
        <v>6</v>
      </c>
      <c r="AF1045" s="142"/>
      <c r="AG1045" s="69" t="str">
        <f t="shared" ref="AG1045:AG1049" si="532">_xlfn.CONCAT(AH1045," years ",AI1045," days")</f>
        <v>0 years 183 days</v>
      </c>
      <c r="AH1045" s="69">
        <v>0</v>
      </c>
      <c r="AI1045" s="69">
        <v>183</v>
      </c>
      <c r="AJ1045" s="69">
        <v>0</v>
      </c>
      <c r="AK1045" s="69">
        <v>0</v>
      </c>
      <c r="AL1045" s="60">
        <v>67500</v>
      </c>
      <c r="AM1045" s="60">
        <f t="shared" ref="AM1045:AM1049" si="533">ROUND(AL1045,2)</f>
        <v>67500</v>
      </c>
      <c r="AN1045" s="59">
        <v>67500</v>
      </c>
      <c r="AO1045" s="148">
        <f t="shared" ref="AO1045:AO1049" si="534">ROUND(AN1045,2)*-1</f>
        <v>-67500</v>
      </c>
      <c r="AP1045" s="58">
        <v>0</v>
      </c>
      <c r="AQ1045" s="143">
        <f t="shared" ref="AQ1045:AQ1049" si="535">ROUND(AP1045,2)*-1</f>
        <v>0</v>
      </c>
    </row>
    <row r="1046" spans="1:43" x14ac:dyDescent="0.35">
      <c r="A1046" s="69" t="s">
        <v>43</v>
      </c>
      <c r="B1046" s="15" t="s">
        <v>3268</v>
      </c>
      <c r="C1046" s="15"/>
      <c r="D1046" s="69"/>
      <c r="E1046" s="76">
        <v>0</v>
      </c>
      <c r="F1046" s="69" t="s">
        <v>2960</v>
      </c>
      <c r="G1046" s="132" t="s">
        <v>2961</v>
      </c>
      <c r="H1046" s="15">
        <v>9013000087</v>
      </c>
      <c r="I1046" s="92" t="s">
        <v>593</v>
      </c>
      <c r="J1046" s="92">
        <v>1202020101</v>
      </c>
      <c r="K1046" s="35" t="s">
        <v>3269</v>
      </c>
      <c r="L1046" s="95" t="s">
        <v>3270</v>
      </c>
      <c r="M1046" s="69" t="s">
        <v>3271</v>
      </c>
      <c r="N1046" s="69"/>
      <c r="O1046" s="94">
        <v>1</v>
      </c>
      <c r="P1046" s="69" t="s">
        <v>50</v>
      </c>
      <c r="Q1046" s="69" t="s">
        <v>51</v>
      </c>
      <c r="R1046" s="69"/>
      <c r="S1046" s="46">
        <v>40931</v>
      </c>
      <c r="T1046" s="48">
        <v>43191</v>
      </c>
      <c r="U1046" s="69"/>
      <c r="V1046" s="69"/>
      <c r="W1046" s="69"/>
      <c r="X1046" s="69"/>
      <c r="Y1046" s="69" t="s">
        <v>4125</v>
      </c>
      <c r="Z1046" s="43">
        <v>12000</v>
      </c>
      <c r="AA1046" s="43" t="s">
        <v>52</v>
      </c>
      <c r="AB1046" s="43" t="s">
        <v>53</v>
      </c>
      <c r="AC1046" s="43">
        <v>183</v>
      </c>
      <c r="AD1046" s="141">
        <v>0</v>
      </c>
      <c r="AE1046" s="142">
        <v>6</v>
      </c>
      <c r="AF1046" s="142"/>
      <c r="AG1046" s="69" t="str">
        <f t="shared" si="532"/>
        <v>0 years 183 days</v>
      </c>
      <c r="AH1046" s="69">
        <v>0</v>
      </c>
      <c r="AI1046" s="69">
        <v>183</v>
      </c>
      <c r="AJ1046" s="69">
        <v>0</v>
      </c>
      <c r="AK1046" s="69">
        <v>0</v>
      </c>
      <c r="AL1046" s="60">
        <v>12000</v>
      </c>
      <c r="AM1046" s="60">
        <f t="shared" si="533"/>
        <v>12000</v>
      </c>
      <c r="AN1046" s="59">
        <v>12000</v>
      </c>
      <c r="AO1046" s="148">
        <f t="shared" si="534"/>
        <v>-12000</v>
      </c>
      <c r="AP1046" s="58">
        <v>0</v>
      </c>
      <c r="AQ1046" s="143">
        <f t="shared" si="535"/>
        <v>0</v>
      </c>
    </row>
    <row r="1047" spans="1:43" x14ac:dyDescent="0.35">
      <c r="A1047" s="69" t="s">
        <v>43</v>
      </c>
      <c r="B1047" s="15" t="s">
        <v>3272</v>
      </c>
      <c r="C1047" s="15"/>
      <c r="D1047" s="69"/>
      <c r="E1047" s="76">
        <v>0</v>
      </c>
      <c r="F1047" s="69" t="s">
        <v>2960</v>
      </c>
      <c r="G1047" s="132" t="s">
        <v>2961</v>
      </c>
      <c r="H1047" s="15">
        <v>9013000088</v>
      </c>
      <c r="I1047" s="92" t="s">
        <v>593</v>
      </c>
      <c r="J1047" s="92">
        <v>1202020101</v>
      </c>
      <c r="K1047" s="35" t="s">
        <v>3273</v>
      </c>
      <c r="L1047" s="95" t="s">
        <v>3274</v>
      </c>
      <c r="M1047" s="69" t="s">
        <v>3275</v>
      </c>
      <c r="N1047" s="69"/>
      <c r="O1047" s="94">
        <v>1</v>
      </c>
      <c r="P1047" s="69" t="s">
        <v>50</v>
      </c>
      <c r="Q1047" s="69" t="s">
        <v>51</v>
      </c>
      <c r="R1047" s="69"/>
      <c r="S1047" s="46">
        <v>41191</v>
      </c>
      <c r="T1047" s="48">
        <v>43191</v>
      </c>
      <c r="U1047" s="69"/>
      <c r="V1047" s="69"/>
      <c r="W1047" s="69"/>
      <c r="X1047" s="69"/>
      <c r="Y1047" s="69" t="s">
        <v>4125</v>
      </c>
      <c r="Z1047" s="43">
        <v>13000</v>
      </c>
      <c r="AA1047" s="43" t="s">
        <v>52</v>
      </c>
      <c r="AB1047" s="43" t="s">
        <v>53</v>
      </c>
      <c r="AC1047" s="43">
        <v>183</v>
      </c>
      <c r="AD1047" s="141">
        <v>0</v>
      </c>
      <c r="AE1047" s="142">
        <v>6</v>
      </c>
      <c r="AF1047" s="142"/>
      <c r="AG1047" s="69" t="str">
        <f t="shared" si="532"/>
        <v>0 years 183 days</v>
      </c>
      <c r="AH1047" s="69">
        <v>0</v>
      </c>
      <c r="AI1047" s="69">
        <v>183</v>
      </c>
      <c r="AJ1047" s="69">
        <v>0</v>
      </c>
      <c r="AK1047" s="69">
        <v>0</v>
      </c>
      <c r="AL1047" s="60">
        <v>13000</v>
      </c>
      <c r="AM1047" s="60">
        <f t="shared" si="533"/>
        <v>13000</v>
      </c>
      <c r="AN1047" s="59">
        <v>13000</v>
      </c>
      <c r="AO1047" s="148">
        <f t="shared" si="534"/>
        <v>-13000</v>
      </c>
      <c r="AP1047" s="58">
        <v>0</v>
      </c>
      <c r="AQ1047" s="143">
        <f t="shared" si="535"/>
        <v>0</v>
      </c>
    </row>
    <row r="1048" spans="1:43" x14ac:dyDescent="0.35">
      <c r="A1048" s="69" t="s">
        <v>43</v>
      </c>
      <c r="B1048" s="15" t="s">
        <v>3276</v>
      </c>
      <c r="C1048" s="15"/>
      <c r="D1048" s="69"/>
      <c r="E1048" s="76">
        <v>0</v>
      </c>
      <c r="F1048" s="69" t="s">
        <v>2960</v>
      </c>
      <c r="G1048" s="132" t="s">
        <v>2961</v>
      </c>
      <c r="H1048" s="15">
        <v>9013000089</v>
      </c>
      <c r="I1048" s="92" t="s">
        <v>593</v>
      </c>
      <c r="J1048" s="92">
        <v>1202020101</v>
      </c>
      <c r="K1048" s="35" t="s">
        <v>3277</v>
      </c>
      <c r="L1048" s="95" t="s">
        <v>3278</v>
      </c>
      <c r="M1048" s="69" t="s">
        <v>49</v>
      </c>
      <c r="N1048" s="69"/>
      <c r="O1048" s="94">
        <v>1</v>
      </c>
      <c r="P1048" s="69" t="s">
        <v>50</v>
      </c>
      <c r="Q1048" s="69" t="s">
        <v>51</v>
      </c>
      <c r="R1048" s="69"/>
      <c r="S1048" s="46">
        <v>43071</v>
      </c>
      <c r="T1048" s="48">
        <v>43191</v>
      </c>
      <c r="U1048" s="69"/>
      <c r="V1048" s="69"/>
      <c r="W1048" s="69"/>
      <c r="X1048" s="69"/>
      <c r="Y1048" s="69" t="s">
        <v>4125</v>
      </c>
      <c r="Z1048" s="43">
        <v>38000</v>
      </c>
      <c r="AA1048" s="43" t="s">
        <v>52</v>
      </c>
      <c r="AB1048" s="43" t="s">
        <v>53</v>
      </c>
      <c r="AC1048" s="43">
        <v>1716</v>
      </c>
      <c r="AD1048" s="141">
        <v>4</v>
      </c>
      <c r="AE1048" s="142">
        <v>9</v>
      </c>
      <c r="AF1048" s="142"/>
      <c r="AG1048" s="69" t="str">
        <f t="shared" si="532"/>
        <v>4 years 256 days</v>
      </c>
      <c r="AH1048" s="69">
        <v>4</v>
      </c>
      <c r="AI1048" s="69">
        <v>256</v>
      </c>
      <c r="AJ1048" s="69">
        <v>0</v>
      </c>
      <c r="AK1048" s="69">
        <v>0</v>
      </c>
      <c r="AL1048" s="60">
        <v>38000</v>
      </c>
      <c r="AM1048" s="60">
        <f t="shared" si="533"/>
        <v>38000</v>
      </c>
      <c r="AN1048" s="59">
        <v>38000</v>
      </c>
      <c r="AO1048" s="148">
        <f t="shared" si="534"/>
        <v>-38000</v>
      </c>
      <c r="AP1048" s="58">
        <v>0</v>
      </c>
      <c r="AQ1048" s="143">
        <f t="shared" si="535"/>
        <v>0</v>
      </c>
    </row>
    <row r="1049" spans="1:43" x14ac:dyDescent="0.35">
      <c r="A1049" s="69" t="s">
        <v>43</v>
      </c>
      <c r="B1049" s="15" t="s">
        <v>3279</v>
      </c>
      <c r="C1049" s="15"/>
      <c r="D1049" s="69"/>
      <c r="E1049" s="76">
        <v>0</v>
      </c>
      <c r="F1049" s="69" t="s">
        <v>2960</v>
      </c>
      <c r="G1049" s="132" t="s">
        <v>2961</v>
      </c>
      <c r="H1049" s="15">
        <v>9013000090</v>
      </c>
      <c r="I1049" s="92" t="s">
        <v>593</v>
      </c>
      <c r="J1049" s="92">
        <v>1202020101</v>
      </c>
      <c r="K1049" s="35" t="s">
        <v>3280</v>
      </c>
      <c r="L1049" s="95" t="s">
        <v>3281</v>
      </c>
      <c r="M1049" s="69" t="s">
        <v>3122</v>
      </c>
      <c r="N1049" s="69"/>
      <c r="O1049" s="94">
        <v>1</v>
      </c>
      <c r="P1049" s="69" t="s">
        <v>50</v>
      </c>
      <c r="Q1049" s="69" t="s">
        <v>51</v>
      </c>
      <c r="R1049" s="69"/>
      <c r="S1049" s="46">
        <v>44371</v>
      </c>
      <c r="T1049" s="48">
        <v>44371</v>
      </c>
      <c r="U1049" s="69"/>
      <c r="V1049" s="69"/>
      <c r="W1049" s="69"/>
      <c r="X1049" s="69"/>
      <c r="Y1049" s="69" t="s">
        <v>4128</v>
      </c>
      <c r="Z1049" s="43">
        <v>135000</v>
      </c>
      <c r="AA1049" s="43" t="s">
        <v>52</v>
      </c>
      <c r="AB1049" s="43" t="s">
        <v>53</v>
      </c>
      <c r="AC1049" s="43">
        <v>1460</v>
      </c>
      <c r="AD1049" s="141">
        <v>4</v>
      </c>
      <c r="AE1049" s="142">
        <v>0</v>
      </c>
      <c r="AF1049" s="142"/>
      <c r="AG1049" s="69" t="str">
        <f t="shared" si="532"/>
        <v>3 years 192 days</v>
      </c>
      <c r="AH1049" s="69">
        <v>3</v>
      </c>
      <c r="AI1049" s="69">
        <v>192</v>
      </c>
      <c r="AJ1049" s="69">
        <v>0</v>
      </c>
      <c r="AK1049" s="69">
        <v>0</v>
      </c>
      <c r="AL1049" s="60">
        <v>135000</v>
      </c>
      <c r="AM1049" s="60">
        <f t="shared" si="533"/>
        <v>135000</v>
      </c>
      <c r="AN1049" s="59">
        <v>119003</v>
      </c>
      <c r="AO1049" s="148">
        <f t="shared" si="534"/>
        <v>-119003</v>
      </c>
      <c r="AP1049" s="58">
        <v>15997</v>
      </c>
      <c r="AQ1049" s="143">
        <f t="shared" si="535"/>
        <v>-15997</v>
      </c>
    </row>
    <row r="1050" spans="1:43" x14ac:dyDescent="0.35">
      <c r="A1050" s="69" t="s">
        <v>43</v>
      </c>
      <c r="B1050" s="15" t="s">
        <v>3282</v>
      </c>
      <c r="C1050" s="15"/>
      <c r="D1050" s="69"/>
      <c r="E1050" s="76">
        <v>0</v>
      </c>
      <c r="F1050" s="69" t="s">
        <v>2960</v>
      </c>
      <c r="G1050" s="132" t="s">
        <v>2961</v>
      </c>
      <c r="H1050" s="15">
        <v>9013000091</v>
      </c>
      <c r="I1050" s="92" t="s">
        <v>593</v>
      </c>
      <c r="J1050" s="92">
        <v>1202020101</v>
      </c>
      <c r="K1050" s="35" t="s">
        <v>3283</v>
      </c>
      <c r="L1050" s="95" t="s">
        <v>3284</v>
      </c>
      <c r="M1050" s="69" t="s">
        <v>49</v>
      </c>
      <c r="N1050" s="69"/>
      <c r="O1050" s="94">
        <v>1</v>
      </c>
      <c r="P1050" s="69" t="s">
        <v>50</v>
      </c>
      <c r="Q1050" s="69" t="s">
        <v>51</v>
      </c>
      <c r="R1050" s="69"/>
      <c r="S1050" s="46">
        <v>40898</v>
      </c>
      <c r="T1050" s="48">
        <v>43191</v>
      </c>
      <c r="U1050" s="69"/>
      <c r="V1050" s="69"/>
      <c r="W1050" s="69"/>
      <c r="X1050" s="69"/>
      <c r="Y1050" s="69" t="s">
        <v>4125</v>
      </c>
      <c r="Z1050" s="43">
        <v>140000</v>
      </c>
      <c r="AA1050" s="43" t="s">
        <v>52</v>
      </c>
      <c r="AB1050" s="43" t="s">
        <v>53</v>
      </c>
      <c r="AC1050" s="43">
        <v>183</v>
      </c>
      <c r="AD1050" s="141">
        <v>0</v>
      </c>
      <c r="AE1050" s="142">
        <v>6</v>
      </c>
      <c r="AF1050" s="142"/>
      <c r="AG1050" s="69" t="str">
        <f t="shared" ref="AG1050:AG1052" si="536">_xlfn.CONCAT(AH1050," years ",AI1050," days")</f>
        <v>0 years 183 days</v>
      </c>
      <c r="AH1050" s="69">
        <v>0</v>
      </c>
      <c r="AI1050" s="69">
        <v>183</v>
      </c>
      <c r="AJ1050" s="69">
        <v>0</v>
      </c>
      <c r="AK1050" s="69">
        <v>0</v>
      </c>
      <c r="AL1050" s="60">
        <v>140000</v>
      </c>
      <c r="AM1050" s="60">
        <f t="shared" ref="AM1050:AM1052" si="537">ROUND(AL1050,2)</f>
        <v>140000</v>
      </c>
      <c r="AN1050" s="59">
        <v>140000</v>
      </c>
      <c r="AO1050" s="148">
        <f t="shared" ref="AO1050:AO1052" si="538">ROUND(AN1050,2)*-1</f>
        <v>-140000</v>
      </c>
      <c r="AP1050" s="58">
        <v>0</v>
      </c>
      <c r="AQ1050" s="143">
        <f t="shared" ref="AQ1050:AQ1052" si="539">ROUND(AP1050,2)*-1</f>
        <v>0</v>
      </c>
    </row>
    <row r="1051" spans="1:43" x14ac:dyDescent="0.35">
      <c r="A1051" s="69" t="s">
        <v>43</v>
      </c>
      <c r="B1051" s="15" t="s">
        <v>3285</v>
      </c>
      <c r="C1051" s="15"/>
      <c r="D1051" s="69"/>
      <c r="E1051" s="76">
        <v>0</v>
      </c>
      <c r="F1051" s="69" t="s">
        <v>2960</v>
      </c>
      <c r="G1051" s="132" t="s">
        <v>2961</v>
      </c>
      <c r="H1051" s="15">
        <v>9013000092</v>
      </c>
      <c r="I1051" s="92" t="s">
        <v>593</v>
      </c>
      <c r="J1051" s="92">
        <v>1202020101</v>
      </c>
      <c r="K1051" s="35" t="s">
        <v>3286</v>
      </c>
      <c r="L1051" s="95" t="s">
        <v>3287</v>
      </c>
      <c r="M1051" s="69" t="s">
        <v>3288</v>
      </c>
      <c r="N1051" s="69"/>
      <c r="O1051" s="94">
        <v>1</v>
      </c>
      <c r="P1051" s="69" t="s">
        <v>50</v>
      </c>
      <c r="Q1051" s="69" t="s">
        <v>51</v>
      </c>
      <c r="R1051" s="69"/>
      <c r="S1051" s="46">
        <v>41000</v>
      </c>
      <c r="T1051" s="48">
        <v>43191</v>
      </c>
      <c r="U1051" s="69"/>
      <c r="V1051" s="69"/>
      <c r="W1051" s="69"/>
      <c r="X1051" s="69"/>
      <c r="Y1051" s="69" t="s">
        <v>4125</v>
      </c>
      <c r="Z1051" s="43">
        <v>12500</v>
      </c>
      <c r="AA1051" s="43" t="s">
        <v>52</v>
      </c>
      <c r="AB1051" s="43" t="s">
        <v>53</v>
      </c>
      <c r="AC1051" s="43">
        <v>183</v>
      </c>
      <c r="AD1051" s="141">
        <v>0</v>
      </c>
      <c r="AE1051" s="142">
        <v>6</v>
      </c>
      <c r="AF1051" s="142"/>
      <c r="AG1051" s="69" t="str">
        <f t="shared" si="536"/>
        <v>0 years 183 days</v>
      </c>
      <c r="AH1051" s="69">
        <v>0</v>
      </c>
      <c r="AI1051" s="69">
        <v>183</v>
      </c>
      <c r="AJ1051" s="69">
        <v>0</v>
      </c>
      <c r="AK1051" s="69">
        <v>0</v>
      </c>
      <c r="AL1051" s="60">
        <v>12500</v>
      </c>
      <c r="AM1051" s="60">
        <f t="shared" si="537"/>
        <v>12500</v>
      </c>
      <c r="AN1051" s="59">
        <v>12500</v>
      </c>
      <c r="AO1051" s="148">
        <f t="shared" si="538"/>
        <v>-12500</v>
      </c>
      <c r="AP1051" s="58">
        <v>0</v>
      </c>
      <c r="AQ1051" s="143">
        <f t="shared" si="539"/>
        <v>0</v>
      </c>
    </row>
    <row r="1052" spans="1:43" x14ac:dyDescent="0.35">
      <c r="A1052" s="69" t="s">
        <v>43</v>
      </c>
      <c r="B1052" s="15" t="s">
        <v>3289</v>
      </c>
      <c r="C1052" s="15"/>
      <c r="D1052" s="69"/>
      <c r="E1052" s="76">
        <v>0</v>
      </c>
      <c r="F1052" s="69" t="s">
        <v>2960</v>
      </c>
      <c r="G1052" s="132" t="s">
        <v>2961</v>
      </c>
      <c r="H1052" s="15">
        <v>9013000093</v>
      </c>
      <c r="I1052" s="92" t="s">
        <v>593</v>
      </c>
      <c r="J1052" s="92">
        <v>1202020101</v>
      </c>
      <c r="K1052" s="35" t="s">
        <v>3290</v>
      </c>
      <c r="L1052" s="95" t="s">
        <v>3291</v>
      </c>
      <c r="M1052" s="69" t="s">
        <v>3292</v>
      </c>
      <c r="N1052" s="69"/>
      <c r="O1052" s="94">
        <v>2</v>
      </c>
      <c r="P1052" s="69" t="s">
        <v>50</v>
      </c>
      <c r="Q1052" s="69" t="s">
        <v>51</v>
      </c>
      <c r="R1052" s="69"/>
      <c r="S1052" s="46">
        <v>45355</v>
      </c>
      <c r="T1052" s="48">
        <v>45355</v>
      </c>
      <c r="U1052" s="69"/>
      <c r="V1052" s="69"/>
      <c r="W1052" s="69"/>
      <c r="X1052" s="69"/>
      <c r="Y1052" s="69" t="s">
        <v>4130</v>
      </c>
      <c r="Z1052" s="43">
        <v>306180</v>
      </c>
      <c r="AA1052" s="43" t="s">
        <v>52</v>
      </c>
      <c r="AB1052" s="43" t="s">
        <v>53</v>
      </c>
      <c r="AC1052" s="43">
        <v>1460</v>
      </c>
      <c r="AD1052" s="141">
        <v>4</v>
      </c>
      <c r="AE1052" s="142">
        <v>0</v>
      </c>
      <c r="AF1052" s="142"/>
      <c r="AG1052" s="69" t="str">
        <f t="shared" si="536"/>
        <v>0 years 303 days</v>
      </c>
      <c r="AH1052" s="69">
        <v>0</v>
      </c>
      <c r="AI1052" s="69">
        <v>303</v>
      </c>
      <c r="AJ1052" s="69">
        <v>0</v>
      </c>
      <c r="AK1052" s="69">
        <v>0</v>
      </c>
      <c r="AL1052" s="60">
        <v>306180</v>
      </c>
      <c r="AM1052" s="60">
        <f t="shared" si="537"/>
        <v>306180</v>
      </c>
      <c r="AN1052" s="59">
        <v>63543</v>
      </c>
      <c r="AO1052" s="148">
        <f t="shared" si="538"/>
        <v>-63543</v>
      </c>
      <c r="AP1052" s="58">
        <v>37957.767123287675</v>
      </c>
      <c r="AQ1052" s="143">
        <f t="shared" si="539"/>
        <v>-37957.769999999997</v>
      </c>
    </row>
    <row r="1053" spans="1:43" x14ac:dyDescent="0.35">
      <c r="A1053" s="69" t="s">
        <v>43</v>
      </c>
      <c r="B1053" s="15" t="s">
        <v>3293</v>
      </c>
      <c r="C1053" s="15"/>
      <c r="D1053" s="69"/>
      <c r="E1053" s="76">
        <v>0</v>
      </c>
      <c r="F1053" s="69" t="s">
        <v>2960</v>
      </c>
      <c r="G1053" s="132" t="s">
        <v>2961</v>
      </c>
      <c r="H1053" s="15">
        <v>9013000094</v>
      </c>
      <c r="I1053" s="92" t="s">
        <v>593</v>
      </c>
      <c r="J1053" s="92">
        <v>1202020101</v>
      </c>
      <c r="K1053" s="35" t="s">
        <v>3294</v>
      </c>
      <c r="L1053" s="95" t="s">
        <v>3295</v>
      </c>
      <c r="M1053" s="69" t="s">
        <v>49</v>
      </c>
      <c r="N1053" s="69"/>
      <c r="O1053" s="94">
        <v>1</v>
      </c>
      <c r="P1053" s="69" t="s">
        <v>50</v>
      </c>
      <c r="Q1053" s="69" t="s">
        <v>51</v>
      </c>
      <c r="R1053" s="69"/>
      <c r="S1053" s="46">
        <v>44342</v>
      </c>
      <c r="T1053" s="48">
        <v>44342</v>
      </c>
      <c r="U1053" s="69"/>
      <c r="V1053" s="69"/>
      <c r="W1053" s="69"/>
      <c r="X1053" s="69"/>
      <c r="Y1053" s="69" t="s">
        <v>4128</v>
      </c>
      <c r="Z1053" s="43">
        <v>580000</v>
      </c>
      <c r="AA1053" s="43" t="s">
        <v>52</v>
      </c>
      <c r="AB1053" s="43" t="s">
        <v>53</v>
      </c>
      <c r="AC1053" s="43">
        <v>1460</v>
      </c>
      <c r="AD1053" s="141">
        <v>4</v>
      </c>
      <c r="AE1053" s="142">
        <v>0</v>
      </c>
      <c r="AF1053" s="142"/>
      <c r="AG1053" s="69" t="str">
        <f t="shared" ref="AG1053:AG1055" si="540">_xlfn.CONCAT(AH1053," years ",AI1053," days")</f>
        <v>3 years 221 days</v>
      </c>
      <c r="AH1053" s="69">
        <v>3</v>
      </c>
      <c r="AI1053" s="69">
        <v>221</v>
      </c>
      <c r="AJ1053" s="69">
        <v>0</v>
      </c>
      <c r="AK1053" s="69">
        <v>0</v>
      </c>
      <c r="AL1053" s="60">
        <v>580000</v>
      </c>
      <c r="AM1053" s="60">
        <f t="shared" ref="AM1053:AM1055" si="541">ROUND(AL1053,2)</f>
        <v>580000</v>
      </c>
      <c r="AN1053" s="59">
        <v>580000</v>
      </c>
      <c r="AO1053" s="148">
        <f t="shared" ref="AO1053:AO1055" si="542">ROUND(AN1053,2)*-1</f>
        <v>-580000</v>
      </c>
      <c r="AP1053" s="58">
        <v>0</v>
      </c>
      <c r="AQ1053" s="143">
        <f t="shared" ref="AQ1053:AQ1055" si="543">ROUND(AP1053,2)*-1</f>
        <v>0</v>
      </c>
    </row>
    <row r="1054" spans="1:43" x14ac:dyDescent="0.35">
      <c r="A1054" s="69" t="s">
        <v>43</v>
      </c>
      <c r="B1054" s="15" t="s">
        <v>3296</v>
      </c>
      <c r="C1054" s="15"/>
      <c r="D1054" s="69"/>
      <c r="E1054" s="76">
        <v>0</v>
      </c>
      <c r="F1054" s="69" t="s">
        <v>2960</v>
      </c>
      <c r="G1054" s="132" t="s">
        <v>2961</v>
      </c>
      <c r="H1054" s="15">
        <v>9013000095</v>
      </c>
      <c r="I1054" s="92" t="s">
        <v>593</v>
      </c>
      <c r="J1054" s="92">
        <v>1202020101</v>
      </c>
      <c r="K1054" s="35" t="s">
        <v>3297</v>
      </c>
      <c r="L1054" s="95" t="s">
        <v>3298</v>
      </c>
      <c r="M1054" s="69" t="s">
        <v>3299</v>
      </c>
      <c r="N1054" s="69"/>
      <c r="O1054" s="94">
        <v>1</v>
      </c>
      <c r="P1054" s="69" t="s">
        <v>50</v>
      </c>
      <c r="Q1054" s="69" t="s">
        <v>51</v>
      </c>
      <c r="R1054" s="69"/>
      <c r="S1054" s="46">
        <v>43877</v>
      </c>
      <c r="T1054" s="48">
        <v>43877</v>
      </c>
      <c r="U1054" s="69"/>
      <c r="V1054" s="69"/>
      <c r="W1054" s="69"/>
      <c r="X1054" s="69"/>
      <c r="Y1054" s="69" t="s">
        <v>4127</v>
      </c>
      <c r="Z1054" s="43">
        <v>135000</v>
      </c>
      <c r="AA1054" s="43" t="s">
        <v>52</v>
      </c>
      <c r="AB1054" s="43" t="s">
        <v>53</v>
      </c>
      <c r="AC1054" s="43">
        <v>1460</v>
      </c>
      <c r="AD1054" s="141">
        <v>4</v>
      </c>
      <c r="AE1054" s="142">
        <v>0</v>
      </c>
      <c r="AF1054" s="142"/>
      <c r="AG1054" s="69" t="str">
        <f t="shared" si="540"/>
        <v>4 years 0 days</v>
      </c>
      <c r="AH1054" s="69">
        <v>4</v>
      </c>
      <c r="AI1054" s="69">
        <v>0</v>
      </c>
      <c r="AJ1054" s="69">
        <v>0</v>
      </c>
      <c r="AK1054" s="69">
        <v>0</v>
      </c>
      <c r="AL1054" s="60">
        <v>135000</v>
      </c>
      <c r="AM1054" s="60">
        <f t="shared" si="541"/>
        <v>135000</v>
      </c>
      <c r="AN1054" s="59">
        <v>135000</v>
      </c>
      <c r="AO1054" s="148">
        <f t="shared" si="542"/>
        <v>-135000</v>
      </c>
      <c r="AP1054" s="58">
        <v>0</v>
      </c>
      <c r="AQ1054" s="143">
        <f t="shared" si="543"/>
        <v>0</v>
      </c>
    </row>
    <row r="1055" spans="1:43" x14ac:dyDescent="0.35">
      <c r="A1055" s="69" t="s">
        <v>43</v>
      </c>
      <c r="B1055" s="15" t="s">
        <v>3300</v>
      </c>
      <c r="C1055" s="15"/>
      <c r="D1055" s="69"/>
      <c r="E1055" s="76">
        <v>0</v>
      </c>
      <c r="F1055" s="69" t="s">
        <v>2960</v>
      </c>
      <c r="G1055" s="132" t="s">
        <v>2961</v>
      </c>
      <c r="H1055" s="15">
        <v>9013000096</v>
      </c>
      <c r="I1055" s="92" t="s">
        <v>593</v>
      </c>
      <c r="J1055" s="92">
        <v>1202020101</v>
      </c>
      <c r="K1055" s="35" t="s">
        <v>3301</v>
      </c>
      <c r="L1055" s="95" t="s">
        <v>3302</v>
      </c>
      <c r="M1055" s="69" t="s">
        <v>3303</v>
      </c>
      <c r="N1055" s="69"/>
      <c r="O1055" s="94">
        <v>1</v>
      </c>
      <c r="P1055" s="69" t="s">
        <v>50</v>
      </c>
      <c r="Q1055" s="69" t="s">
        <v>51</v>
      </c>
      <c r="R1055" s="69"/>
      <c r="S1055" s="46">
        <v>41703</v>
      </c>
      <c r="T1055" s="48">
        <v>43191</v>
      </c>
      <c r="U1055" s="69"/>
      <c r="V1055" s="69"/>
      <c r="W1055" s="69"/>
      <c r="X1055" s="69"/>
      <c r="Y1055" s="69" t="s">
        <v>4125</v>
      </c>
      <c r="Z1055" s="43">
        <v>280000</v>
      </c>
      <c r="AA1055" s="43" t="s">
        <v>52</v>
      </c>
      <c r="AB1055" s="43" t="s">
        <v>53</v>
      </c>
      <c r="AC1055" s="43">
        <v>329</v>
      </c>
      <c r="AD1055" s="141">
        <v>0</v>
      </c>
      <c r="AE1055" s="142">
        <v>11</v>
      </c>
      <c r="AF1055" s="142"/>
      <c r="AG1055" s="69" t="str">
        <f t="shared" si="540"/>
        <v>0 years 329 days</v>
      </c>
      <c r="AH1055" s="69">
        <v>0</v>
      </c>
      <c r="AI1055" s="69">
        <v>329</v>
      </c>
      <c r="AJ1055" s="69">
        <v>0</v>
      </c>
      <c r="AK1055" s="69">
        <v>0</v>
      </c>
      <c r="AL1055" s="60">
        <v>280000</v>
      </c>
      <c r="AM1055" s="60">
        <f t="shared" si="541"/>
        <v>280000</v>
      </c>
      <c r="AN1055" s="59">
        <v>280000</v>
      </c>
      <c r="AO1055" s="148">
        <f t="shared" si="542"/>
        <v>-280000</v>
      </c>
      <c r="AP1055" s="58">
        <v>0</v>
      </c>
      <c r="AQ1055" s="143">
        <f t="shared" si="543"/>
        <v>0</v>
      </c>
    </row>
    <row r="1056" spans="1:43" x14ac:dyDescent="0.35">
      <c r="A1056" s="69" t="s">
        <v>43</v>
      </c>
      <c r="B1056" s="15" t="s">
        <v>3304</v>
      </c>
      <c r="C1056" s="15"/>
      <c r="D1056" s="69"/>
      <c r="E1056" s="76">
        <v>0</v>
      </c>
      <c r="F1056" s="69" t="s">
        <v>2960</v>
      </c>
      <c r="G1056" s="132" t="s">
        <v>2961</v>
      </c>
      <c r="H1056" s="15">
        <v>9013000097</v>
      </c>
      <c r="I1056" s="92" t="s">
        <v>593</v>
      </c>
      <c r="J1056" s="92">
        <v>1202020101</v>
      </c>
      <c r="K1056" s="35" t="s">
        <v>3305</v>
      </c>
      <c r="L1056" s="95" t="s">
        <v>3306</v>
      </c>
      <c r="M1056" s="69" t="s">
        <v>3307</v>
      </c>
      <c r="N1056" s="69"/>
      <c r="O1056" s="94">
        <v>1</v>
      </c>
      <c r="P1056" s="69" t="s">
        <v>50</v>
      </c>
      <c r="Q1056" s="69" t="s">
        <v>51</v>
      </c>
      <c r="R1056" s="69"/>
      <c r="S1056" s="46">
        <v>41928</v>
      </c>
      <c r="T1056" s="48">
        <v>43191</v>
      </c>
      <c r="U1056" s="69"/>
      <c r="V1056" s="69"/>
      <c r="W1056" s="69"/>
      <c r="X1056" s="69"/>
      <c r="Y1056" s="69" t="s">
        <v>4125</v>
      </c>
      <c r="Z1056" s="43">
        <v>400000</v>
      </c>
      <c r="AA1056" s="43" t="s">
        <v>52</v>
      </c>
      <c r="AB1056" s="43" t="s">
        <v>53</v>
      </c>
      <c r="AC1056" s="43">
        <v>548</v>
      </c>
      <c r="AD1056" s="141">
        <v>1</v>
      </c>
      <c r="AE1056" s="142">
        <v>6</v>
      </c>
      <c r="AF1056" s="142"/>
      <c r="AG1056" s="69" t="str">
        <f t="shared" ref="AG1056:AG1057" si="544">_xlfn.CONCAT(AH1056," years ",AI1056," days")</f>
        <v>1 years 183 days</v>
      </c>
      <c r="AH1056" s="69">
        <v>1</v>
      </c>
      <c r="AI1056" s="69">
        <v>183</v>
      </c>
      <c r="AJ1056" s="69">
        <v>0</v>
      </c>
      <c r="AK1056" s="69">
        <v>0</v>
      </c>
      <c r="AL1056" s="60">
        <v>400000</v>
      </c>
      <c r="AM1056" s="60">
        <f t="shared" ref="AM1056:AM1057" si="545">ROUND(AL1056,2)</f>
        <v>400000</v>
      </c>
      <c r="AN1056" s="59">
        <v>400000</v>
      </c>
      <c r="AO1056" s="148">
        <f t="shared" ref="AO1056:AO1057" si="546">ROUND(AN1056,2)*-1</f>
        <v>-400000</v>
      </c>
      <c r="AP1056" s="58">
        <v>0</v>
      </c>
      <c r="AQ1056" s="143">
        <f t="shared" ref="AQ1056:AQ1057" si="547">ROUND(AP1056,2)*-1</f>
        <v>0</v>
      </c>
    </row>
    <row r="1057" spans="1:43" x14ac:dyDescent="0.35">
      <c r="A1057" s="69" t="s">
        <v>43</v>
      </c>
      <c r="B1057" s="15" t="s">
        <v>3308</v>
      </c>
      <c r="C1057" s="15"/>
      <c r="D1057" s="69"/>
      <c r="E1057" s="76">
        <v>0</v>
      </c>
      <c r="F1057" s="69" t="s">
        <v>2960</v>
      </c>
      <c r="G1057" s="132" t="s">
        <v>2961</v>
      </c>
      <c r="H1057" s="15">
        <v>9013000098</v>
      </c>
      <c r="I1057" s="92" t="s">
        <v>593</v>
      </c>
      <c r="J1057" s="92">
        <v>1202020101</v>
      </c>
      <c r="K1057" s="35" t="s">
        <v>3309</v>
      </c>
      <c r="L1057" s="95" t="s">
        <v>3310</v>
      </c>
      <c r="M1057" s="69" t="s">
        <v>3311</v>
      </c>
      <c r="N1057" s="69"/>
      <c r="O1057" s="94">
        <v>1</v>
      </c>
      <c r="P1057" s="69" t="s">
        <v>50</v>
      </c>
      <c r="Q1057" s="69" t="s">
        <v>51</v>
      </c>
      <c r="R1057" s="69"/>
      <c r="S1057" s="46">
        <v>45678</v>
      </c>
      <c r="T1057" s="48">
        <v>45678</v>
      </c>
      <c r="U1057" s="69"/>
      <c r="V1057" s="69"/>
      <c r="W1057" s="69"/>
      <c r="X1057" s="69"/>
      <c r="Y1057" s="69" t="s">
        <v>4132</v>
      </c>
      <c r="Z1057" s="43">
        <v>131130</v>
      </c>
      <c r="AA1057" s="43" t="s">
        <v>52</v>
      </c>
      <c r="AB1057" s="43" t="s">
        <v>53</v>
      </c>
      <c r="AC1057" s="43">
        <v>1460</v>
      </c>
      <c r="AD1057" s="141">
        <v>4</v>
      </c>
      <c r="AE1057" s="142">
        <v>0</v>
      </c>
      <c r="AF1057" s="142"/>
      <c r="AG1057" s="69" t="str">
        <f t="shared" si="544"/>
        <v>0 years 0 days</v>
      </c>
      <c r="AH1057" s="69">
        <v>0</v>
      </c>
      <c r="AI1057" s="69">
        <v>0</v>
      </c>
      <c r="AJ1057" s="69">
        <v>0</v>
      </c>
      <c r="AK1057" s="69">
        <v>0</v>
      </c>
      <c r="AL1057" s="60">
        <v>131130</v>
      </c>
      <c r="AM1057" s="60">
        <f t="shared" si="545"/>
        <v>131130</v>
      </c>
      <c r="AN1057" s="59">
        <v>0</v>
      </c>
      <c r="AO1057" s="148">
        <f t="shared" si="546"/>
        <v>0</v>
      </c>
      <c r="AP1057" s="58">
        <v>14460.226027397261</v>
      </c>
      <c r="AQ1057" s="143">
        <f t="shared" si="547"/>
        <v>-14460.23</v>
      </c>
    </row>
    <row r="1058" spans="1:43" x14ac:dyDescent="0.35">
      <c r="A1058" s="69" t="s">
        <v>43</v>
      </c>
      <c r="B1058" s="15" t="s">
        <v>3312</v>
      </c>
      <c r="C1058" s="15"/>
      <c r="D1058" s="69"/>
      <c r="E1058" s="76">
        <v>0</v>
      </c>
      <c r="F1058" s="69" t="s">
        <v>2960</v>
      </c>
      <c r="G1058" s="132" t="s">
        <v>2961</v>
      </c>
      <c r="H1058" s="15">
        <v>9013000099</v>
      </c>
      <c r="I1058" s="92" t="s">
        <v>593</v>
      </c>
      <c r="J1058" s="92">
        <v>1202020101</v>
      </c>
      <c r="K1058" s="35" t="s">
        <v>3313</v>
      </c>
      <c r="L1058" s="95" t="s">
        <v>3314</v>
      </c>
      <c r="M1058" s="69" t="s">
        <v>49</v>
      </c>
      <c r="N1058" s="69"/>
      <c r="O1058" s="94">
        <v>1</v>
      </c>
      <c r="P1058" s="69" t="s">
        <v>50</v>
      </c>
      <c r="Q1058" s="69" t="s">
        <v>51</v>
      </c>
      <c r="R1058" s="69"/>
      <c r="S1058" s="46">
        <v>40894</v>
      </c>
      <c r="T1058" s="48">
        <v>43191</v>
      </c>
      <c r="U1058" s="69"/>
      <c r="V1058" s="69"/>
      <c r="W1058" s="69"/>
      <c r="X1058" s="69"/>
      <c r="Y1058" s="69" t="s">
        <v>4125</v>
      </c>
      <c r="Z1058" s="43">
        <v>140000</v>
      </c>
      <c r="AA1058" s="43" t="s">
        <v>52</v>
      </c>
      <c r="AB1058" s="43" t="s">
        <v>53</v>
      </c>
      <c r="AC1058" s="43">
        <v>183</v>
      </c>
      <c r="AD1058" s="141">
        <v>0</v>
      </c>
      <c r="AE1058" s="142">
        <v>6</v>
      </c>
      <c r="AF1058" s="142"/>
      <c r="AG1058" s="69" t="str">
        <f t="shared" ref="AG1058:AG1059" si="548">_xlfn.CONCAT(AH1058," years ",AI1058," days")</f>
        <v>0 years 183 days</v>
      </c>
      <c r="AH1058" s="69">
        <v>0</v>
      </c>
      <c r="AI1058" s="69">
        <v>183</v>
      </c>
      <c r="AJ1058" s="69">
        <v>0</v>
      </c>
      <c r="AK1058" s="69">
        <v>0</v>
      </c>
      <c r="AL1058" s="60">
        <v>140000</v>
      </c>
      <c r="AM1058" s="60">
        <f t="shared" ref="AM1058:AM1059" si="549">ROUND(AL1058,2)</f>
        <v>140000</v>
      </c>
      <c r="AN1058" s="59">
        <v>140000</v>
      </c>
      <c r="AO1058" s="148">
        <f t="shared" ref="AO1058:AO1059" si="550">ROUND(AN1058,2)*-1</f>
        <v>-140000</v>
      </c>
      <c r="AP1058" s="58">
        <v>0</v>
      </c>
      <c r="AQ1058" s="143">
        <f t="shared" ref="AQ1058:AQ1059" si="551">ROUND(AP1058,2)*-1</f>
        <v>0</v>
      </c>
    </row>
    <row r="1059" spans="1:43" x14ac:dyDescent="0.35">
      <c r="A1059" s="69" t="s">
        <v>43</v>
      </c>
      <c r="B1059" s="15" t="s">
        <v>3315</v>
      </c>
      <c r="C1059" s="15"/>
      <c r="D1059" s="69"/>
      <c r="E1059" s="76">
        <v>0</v>
      </c>
      <c r="F1059" s="69" t="s">
        <v>2960</v>
      </c>
      <c r="G1059" s="132" t="s">
        <v>2961</v>
      </c>
      <c r="H1059" s="15">
        <v>9013000100</v>
      </c>
      <c r="I1059" s="92" t="s">
        <v>593</v>
      </c>
      <c r="J1059" s="92">
        <v>1202020101</v>
      </c>
      <c r="K1059" s="35" t="s">
        <v>3316</v>
      </c>
      <c r="L1059" s="95" t="s">
        <v>3317</v>
      </c>
      <c r="M1059" s="69" t="s">
        <v>3318</v>
      </c>
      <c r="N1059" s="69"/>
      <c r="O1059" s="94">
        <v>1</v>
      </c>
      <c r="P1059" s="69" t="s">
        <v>50</v>
      </c>
      <c r="Q1059" s="69" t="s">
        <v>51</v>
      </c>
      <c r="R1059" s="69"/>
      <c r="S1059" s="46">
        <v>45231</v>
      </c>
      <c r="T1059" s="48">
        <v>45231</v>
      </c>
      <c r="U1059" s="69"/>
      <c r="V1059" s="69"/>
      <c r="W1059" s="69"/>
      <c r="X1059" s="69"/>
      <c r="Y1059" s="69" t="s">
        <v>4129</v>
      </c>
      <c r="Z1059" s="43">
        <v>120700</v>
      </c>
      <c r="AA1059" s="43" t="s">
        <v>52</v>
      </c>
      <c r="AB1059" s="43" t="s">
        <v>53</v>
      </c>
      <c r="AC1059" s="43">
        <v>1460</v>
      </c>
      <c r="AD1059" s="141">
        <v>4</v>
      </c>
      <c r="AE1059" s="142">
        <v>0</v>
      </c>
      <c r="AF1059" s="142"/>
      <c r="AG1059" s="69" t="str">
        <f t="shared" si="548"/>
        <v>1 years 62 days</v>
      </c>
      <c r="AH1059" s="69">
        <v>1</v>
      </c>
      <c r="AI1059" s="69">
        <v>62</v>
      </c>
      <c r="AJ1059" s="69">
        <v>0</v>
      </c>
      <c r="AK1059" s="69">
        <v>0</v>
      </c>
      <c r="AL1059" s="60">
        <v>120700</v>
      </c>
      <c r="AM1059" s="60">
        <f t="shared" si="549"/>
        <v>120700</v>
      </c>
      <c r="AN1059" s="59">
        <v>35301</v>
      </c>
      <c r="AO1059" s="148">
        <f t="shared" si="550"/>
        <v>-35301</v>
      </c>
      <c r="AP1059" s="58">
        <v>14963.109589041094</v>
      </c>
      <c r="AQ1059" s="143">
        <f t="shared" si="551"/>
        <v>-14963.11</v>
      </c>
    </row>
    <row r="1060" spans="1:43" x14ac:dyDescent="0.35">
      <c r="A1060" s="69" t="s">
        <v>43</v>
      </c>
      <c r="B1060" s="15" t="s">
        <v>3319</v>
      </c>
      <c r="C1060" s="15"/>
      <c r="D1060" s="69"/>
      <c r="E1060" s="76">
        <v>0</v>
      </c>
      <c r="F1060" s="69" t="s">
        <v>2960</v>
      </c>
      <c r="G1060" s="132" t="s">
        <v>2961</v>
      </c>
      <c r="H1060" s="15">
        <v>9013000101</v>
      </c>
      <c r="I1060" s="92" t="s">
        <v>593</v>
      </c>
      <c r="J1060" s="92">
        <v>1202020101</v>
      </c>
      <c r="K1060" s="35" t="s">
        <v>3320</v>
      </c>
      <c r="L1060" s="95" t="s">
        <v>3321</v>
      </c>
      <c r="M1060" s="69" t="s">
        <v>49</v>
      </c>
      <c r="N1060" s="69"/>
      <c r="O1060" s="94">
        <v>1</v>
      </c>
      <c r="P1060" s="69" t="s">
        <v>50</v>
      </c>
      <c r="Q1060" s="69" t="s">
        <v>51</v>
      </c>
      <c r="R1060" s="69"/>
      <c r="S1060" s="46">
        <v>42842</v>
      </c>
      <c r="T1060" s="48">
        <v>43191</v>
      </c>
      <c r="U1060" s="69"/>
      <c r="V1060" s="69"/>
      <c r="W1060" s="69"/>
      <c r="X1060" s="69"/>
      <c r="Y1060" s="69" t="s">
        <v>4125</v>
      </c>
      <c r="Z1060" s="43">
        <v>1000000</v>
      </c>
      <c r="AA1060" s="43" t="s">
        <v>52</v>
      </c>
      <c r="AB1060" s="43" t="s">
        <v>53</v>
      </c>
      <c r="AC1060" s="43">
        <v>1460</v>
      </c>
      <c r="AD1060" s="141">
        <v>4</v>
      </c>
      <c r="AE1060" s="142">
        <v>0</v>
      </c>
      <c r="AF1060" s="142"/>
      <c r="AG1060" s="69" t="str">
        <f t="shared" ref="AG1060:AG1062" si="552">_xlfn.CONCAT(AH1060," years ",AI1060," days")</f>
        <v>4 years 0 days</v>
      </c>
      <c r="AH1060" s="69">
        <v>4</v>
      </c>
      <c r="AI1060" s="69">
        <v>0</v>
      </c>
      <c r="AJ1060" s="69">
        <v>0</v>
      </c>
      <c r="AK1060" s="69">
        <v>0</v>
      </c>
      <c r="AL1060" s="60">
        <v>1000000</v>
      </c>
      <c r="AM1060" s="60">
        <f t="shared" ref="AM1060:AM1062" si="553">ROUND(AL1060,2)</f>
        <v>1000000</v>
      </c>
      <c r="AN1060" s="59">
        <v>1000000</v>
      </c>
      <c r="AO1060" s="148">
        <f t="shared" ref="AO1060:AO1062" si="554">ROUND(AN1060,2)*-1</f>
        <v>-1000000</v>
      </c>
      <c r="AP1060" s="58">
        <v>0</v>
      </c>
      <c r="AQ1060" s="143">
        <f t="shared" ref="AQ1060:AQ1062" si="555">ROUND(AP1060,2)*-1</f>
        <v>0</v>
      </c>
    </row>
    <row r="1061" spans="1:43" x14ac:dyDescent="0.35">
      <c r="A1061" s="69" t="s">
        <v>43</v>
      </c>
      <c r="B1061" s="15" t="s">
        <v>3322</v>
      </c>
      <c r="C1061" s="15"/>
      <c r="D1061" s="69"/>
      <c r="E1061" s="76">
        <v>0</v>
      </c>
      <c r="F1061" s="69" t="s">
        <v>2960</v>
      </c>
      <c r="G1061" s="132" t="s">
        <v>2961</v>
      </c>
      <c r="H1061" s="15">
        <v>9013000102</v>
      </c>
      <c r="I1061" s="92" t="s">
        <v>593</v>
      </c>
      <c r="J1061" s="92">
        <v>1202020101</v>
      </c>
      <c r="K1061" s="35" t="s">
        <v>3323</v>
      </c>
      <c r="L1061" s="95" t="s">
        <v>3324</v>
      </c>
      <c r="M1061" s="69" t="s">
        <v>3325</v>
      </c>
      <c r="N1061" s="69"/>
      <c r="O1061" s="94">
        <v>1</v>
      </c>
      <c r="P1061" s="69" t="s">
        <v>50</v>
      </c>
      <c r="Q1061" s="69" t="s">
        <v>51</v>
      </c>
      <c r="R1061" s="69"/>
      <c r="S1061" s="46">
        <v>44621</v>
      </c>
      <c r="T1061" s="48">
        <v>44621</v>
      </c>
      <c r="U1061" s="69"/>
      <c r="V1061" s="69"/>
      <c r="W1061" s="69"/>
      <c r="X1061" s="69"/>
      <c r="Y1061" s="69" t="s">
        <v>4131</v>
      </c>
      <c r="Z1061" s="43">
        <v>135000</v>
      </c>
      <c r="AA1061" s="43" t="s">
        <v>52</v>
      </c>
      <c r="AB1061" s="43" t="s">
        <v>53</v>
      </c>
      <c r="AC1061" s="43">
        <v>1460</v>
      </c>
      <c r="AD1061" s="141">
        <v>4</v>
      </c>
      <c r="AE1061" s="142">
        <v>0</v>
      </c>
      <c r="AF1061" s="142"/>
      <c r="AG1061" s="69" t="str">
        <f t="shared" si="552"/>
        <v>2 years 307 days</v>
      </c>
      <c r="AH1061" s="69">
        <v>2</v>
      </c>
      <c r="AI1061" s="69">
        <v>307</v>
      </c>
      <c r="AJ1061" s="69">
        <v>0</v>
      </c>
      <c r="AK1061" s="69">
        <v>0</v>
      </c>
      <c r="AL1061" s="60">
        <v>135000</v>
      </c>
      <c r="AM1061" s="60">
        <f t="shared" si="553"/>
        <v>135000</v>
      </c>
      <c r="AN1061" s="59">
        <v>94167</v>
      </c>
      <c r="AO1061" s="148">
        <f t="shared" si="554"/>
        <v>-94167</v>
      </c>
      <c r="AP1061" s="58">
        <v>16736.42465753424</v>
      </c>
      <c r="AQ1061" s="143">
        <f t="shared" si="555"/>
        <v>-16736.419999999998</v>
      </c>
    </row>
    <row r="1062" spans="1:43" x14ac:dyDescent="0.35">
      <c r="A1062" s="69" t="s">
        <v>43</v>
      </c>
      <c r="B1062" s="15" t="s">
        <v>3326</v>
      </c>
      <c r="C1062" s="15"/>
      <c r="D1062" s="69"/>
      <c r="E1062" s="76">
        <v>0</v>
      </c>
      <c r="F1062" s="69" t="s">
        <v>2960</v>
      </c>
      <c r="G1062" s="132" t="s">
        <v>2961</v>
      </c>
      <c r="H1062" s="15">
        <v>9013000103</v>
      </c>
      <c r="I1062" s="92" t="s">
        <v>593</v>
      </c>
      <c r="J1062" s="92">
        <v>1202020101</v>
      </c>
      <c r="K1062" s="35" t="s">
        <v>3327</v>
      </c>
      <c r="L1062" s="95" t="s">
        <v>3328</v>
      </c>
      <c r="M1062" s="69" t="s">
        <v>3329</v>
      </c>
      <c r="N1062" s="69"/>
      <c r="O1062" s="94">
        <v>1</v>
      </c>
      <c r="P1062" s="69" t="s">
        <v>50</v>
      </c>
      <c r="Q1062" s="69" t="s">
        <v>51</v>
      </c>
      <c r="R1062" s="69"/>
      <c r="S1062" s="46">
        <v>43769</v>
      </c>
      <c r="T1062" s="48">
        <v>43769</v>
      </c>
      <c r="U1062" s="69"/>
      <c r="V1062" s="69"/>
      <c r="W1062" s="69"/>
      <c r="X1062" s="69"/>
      <c r="Y1062" s="69" t="s">
        <v>4126</v>
      </c>
      <c r="Z1062" s="43">
        <v>135000</v>
      </c>
      <c r="AA1062" s="43" t="s">
        <v>52</v>
      </c>
      <c r="AB1062" s="43" t="s">
        <v>53</v>
      </c>
      <c r="AC1062" s="43">
        <v>1460</v>
      </c>
      <c r="AD1062" s="141">
        <v>4</v>
      </c>
      <c r="AE1062" s="142">
        <v>0</v>
      </c>
      <c r="AF1062" s="142"/>
      <c r="AG1062" s="69" t="str">
        <f t="shared" si="552"/>
        <v>4 years 0 days</v>
      </c>
      <c r="AH1062" s="69">
        <v>4</v>
      </c>
      <c r="AI1062" s="69">
        <v>0</v>
      </c>
      <c r="AJ1062" s="69">
        <v>0</v>
      </c>
      <c r="AK1062" s="69">
        <v>0</v>
      </c>
      <c r="AL1062" s="60">
        <v>135000</v>
      </c>
      <c r="AM1062" s="60">
        <f t="shared" si="553"/>
        <v>135000</v>
      </c>
      <c r="AN1062" s="59">
        <v>135000</v>
      </c>
      <c r="AO1062" s="148">
        <f t="shared" si="554"/>
        <v>-135000</v>
      </c>
      <c r="AP1062" s="58">
        <v>0</v>
      </c>
      <c r="AQ1062" s="143">
        <f t="shared" si="555"/>
        <v>0</v>
      </c>
    </row>
    <row r="1063" spans="1:43" x14ac:dyDescent="0.35">
      <c r="A1063" s="69" t="s">
        <v>43</v>
      </c>
      <c r="B1063" s="15" t="s">
        <v>3330</v>
      </c>
      <c r="C1063" s="15"/>
      <c r="D1063" s="69"/>
      <c r="E1063" s="76">
        <v>0</v>
      </c>
      <c r="F1063" s="69" t="s">
        <v>2960</v>
      </c>
      <c r="G1063" s="132" t="s">
        <v>2961</v>
      </c>
      <c r="H1063" s="15">
        <v>9013000104</v>
      </c>
      <c r="I1063" s="92" t="s">
        <v>593</v>
      </c>
      <c r="J1063" s="92">
        <v>1202020101</v>
      </c>
      <c r="K1063" s="35" t="s">
        <v>3331</v>
      </c>
      <c r="L1063" s="95" t="s">
        <v>3332</v>
      </c>
      <c r="M1063" s="69" t="s">
        <v>3303</v>
      </c>
      <c r="N1063" s="69"/>
      <c r="O1063" s="94">
        <v>1</v>
      </c>
      <c r="P1063" s="69" t="s">
        <v>50</v>
      </c>
      <c r="Q1063" s="69" t="s">
        <v>51</v>
      </c>
      <c r="R1063" s="69"/>
      <c r="S1063" s="46">
        <v>43275</v>
      </c>
      <c r="T1063" s="48">
        <v>43275</v>
      </c>
      <c r="U1063" s="69"/>
      <c r="V1063" s="69"/>
      <c r="W1063" s="69"/>
      <c r="X1063" s="69"/>
      <c r="Y1063" s="69" t="s">
        <v>4125</v>
      </c>
      <c r="Z1063" s="43">
        <v>1306025</v>
      </c>
      <c r="AA1063" s="43" t="s">
        <v>52</v>
      </c>
      <c r="AB1063" s="43" t="s">
        <v>53</v>
      </c>
      <c r="AC1063" s="43">
        <v>1460</v>
      </c>
      <c r="AD1063" s="141">
        <v>4</v>
      </c>
      <c r="AE1063" s="142">
        <v>0</v>
      </c>
      <c r="AF1063" s="142"/>
      <c r="AG1063" s="69" t="str">
        <f t="shared" ref="AG1063:AG1066" si="556">_xlfn.CONCAT(AH1063," years ",AI1063," days")</f>
        <v>4 years 0 days</v>
      </c>
      <c r="AH1063" s="69">
        <v>4</v>
      </c>
      <c r="AI1063" s="69">
        <v>0</v>
      </c>
      <c r="AJ1063" s="69">
        <v>0</v>
      </c>
      <c r="AK1063" s="69">
        <v>0</v>
      </c>
      <c r="AL1063" s="60">
        <v>1306025</v>
      </c>
      <c r="AM1063" s="60">
        <f t="shared" ref="AM1063:AM1066" si="557">ROUND(AL1063,2)</f>
        <v>1306025</v>
      </c>
      <c r="AN1063" s="59">
        <v>1306025</v>
      </c>
      <c r="AO1063" s="148">
        <f t="shared" ref="AO1063:AO1066" si="558">ROUND(AN1063,2)*-1</f>
        <v>-1306025</v>
      </c>
      <c r="AP1063" s="58">
        <v>0</v>
      </c>
      <c r="AQ1063" s="143">
        <f t="shared" ref="AQ1063:AQ1066" si="559">ROUND(AP1063,2)*-1</f>
        <v>0</v>
      </c>
    </row>
    <row r="1064" spans="1:43" x14ac:dyDescent="0.35">
      <c r="A1064" s="69" t="s">
        <v>43</v>
      </c>
      <c r="B1064" s="15" t="s">
        <v>3333</v>
      </c>
      <c r="C1064" s="15"/>
      <c r="D1064" s="69"/>
      <c r="E1064" s="76">
        <v>0</v>
      </c>
      <c r="F1064" s="69" t="s">
        <v>2960</v>
      </c>
      <c r="G1064" s="132" t="s">
        <v>2961</v>
      </c>
      <c r="H1064" s="15">
        <v>9013000105</v>
      </c>
      <c r="I1064" s="92" t="s">
        <v>593</v>
      </c>
      <c r="J1064" s="92">
        <v>1202020101</v>
      </c>
      <c r="K1064" s="35" t="s">
        <v>3334</v>
      </c>
      <c r="L1064" s="95" t="s">
        <v>3335</v>
      </c>
      <c r="M1064" s="69" t="s">
        <v>3336</v>
      </c>
      <c r="N1064" s="69"/>
      <c r="O1064" s="94">
        <v>1</v>
      </c>
      <c r="P1064" s="69" t="s">
        <v>50</v>
      </c>
      <c r="Q1064" s="69" t="s">
        <v>51</v>
      </c>
      <c r="R1064" s="69"/>
      <c r="S1064" s="46">
        <v>43913</v>
      </c>
      <c r="T1064" s="48">
        <v>43913</v>
      </c>
      <c r="U1064" s="69"/>
      <c r="V1064" s="69"/>
      <c r="W1064" s="69"/>
      <c r="X1064" s="69"/>
      <c r="Y1064" s="69" t="s">
        <v>4127</v>
      </c>
      <c r="Z1064" s="43">
        <v>135000</v>
      </c>
      <c r="AA1064" s="43" t="s">
        <v>52</v>
      </c>
      <c r="AB1064" s="43" t="s">
        <v>53</v>
      </c>
      <c r="AC1064" s="43">
        <v>1460</v>
      </c>
      <c r="AD1064" s="141">
        <v>4</v>
      </c>
      <c r="AE1064" s="142">
        <v>0</v>
      </c>
      <c r="AF1064" s="142"/>
      <c r="AG1064" s="69" t="str">
        <f t="shared" si="556"/>
        <v>4 years 0 days</v>
      </c>
      <c r="AH1064" s="69">
        <v>4</v>
      </c>
      <c r="AI1064" s="69">
        <v>0</v>
      </c>
      <c r="AJ1064" s="69">
        <v>0</v>
      </c>
      <c r="AK1064" s="69">
        <v>0</v>
      </c>
      <c r="AL1064" s="60">
        <v>135000</v>
      </c>
      <c r="AM1064" s="60">
        <f t="shared" si="557"/>
        <v>135000</v>
      </c>
      <c r="AN1064" s="59">
        <v>135000</v>
      </c>
      <c r="AO1064" s="148">
        <f t="shared" si="558"/>
        <v>-135000</v>
      </c>
      <c r="AP1064" s="58">
        <v>0</v>
      </c>
      <c r="AQ1064" s="143">
        <f t="shared" si="559"/>
        <v>0</v>
      </c>
    </row>
    <row r="1065" spans="1:43" x14ac:dyDescent="0.35">
      <c r="A1065" s="69" t="s">
        <v>43</v>
      </c>
      <c r="B1065" s="15" t="s">
        <v>3337</v>
      </c>
      <c r="C1065" s="15"/>
      <c r="D1065" s="69"/>
      <c r="E1065" s="76">
        <v>0</v>
      </c>
      <c r="F1065" s="69" t="s">
        <v>2960</v>
      </c>
      <c r="G1065" s="132" t="s">
        <v>2961</v>
      </c>
      <c r="H1065" s="15">
        <v>9013000106</v>
      </c>
      <c r="I1065" s="92" t="s">
        <v>593</v>
      </c>
      <c r="J1065" s="92">
        <v>1202020101</v>
      </c>
      <c r="K1065" s="35" t="s">
        <v>3338</v>
      </c>
      <c r="L1065" s="95" t="s">
        <v>3339</v>
      </c>
      <c r="M1065" s="69" t="s">
        <v>3340</v>
      </c>
      <c r="N1065" s="69"/>
      <c r="O1065" s="94">
        <v>1</v>
      </c>
      <c r="P1065" s="69" t="s">
        <v>50</v>
      </c>
      <c r="Q1065" s="69" t="s">
        <v>51</v>
      </c>
      <c r="R1065" s="69"/>
      <c r="S1065" s="46">
        <v>45051</v>
      </c>
      <c r="T1065" s="48">
        <v>45051</v>
      </c>
      <c r="U1065" s="69"/>
      <c r="V1065" s="69"/>
      <c r="W1065" s="69"/>
      <c r="X1065" s="69"/>
      <c r="Y1065" s="69" t="s">
        <v>4129</v>
      </c>
      <c r="Z1065" s="43">
        <v>143000</v>
      </c>
      <c r="AA1065" s="43" t="s">
        <v>52</v>
      </c>
      <c r="AB1065" s="43" t="s">
        <v>53</v>
      </c>
      <c r="AC1065" s="43">
        <v>1460</v>
      </c>
      <c r="AD1065" s="141">
        <v>4</v>
      </c>
      <c r="AE1065" s="142">
        <v>0</v>
      </c>
      <c r="AF1065" s="142"/>
      <c r="AG1065" s="69" t="str">
        <f t="shared" si="556"/>
        <v>1 years 242 days</v>
      </c>
      <c r="AH1065" s="69">
        <v>1</v>
      </c>
      <c r="AI1065" s="69">
        <v>242</v>
      </c>
      <c r="AJ1065" s="69">
        <v>0</v>
      </c>
      <c r="AK1065" s="69">
        <v>0</v>
      </c>
      <c r="AL1065" s="60">
        <v>143000</v>
      </c>
      <c r="AM1065" s="60">
        <f t="shared" si="557"/>
        <v>143000</v>
      </c>
      <c r="AN1065" s="59">
        <v>59453</v>
      </c>
      <c r="AO1065" s="148">
        <f t="shared" si="558"/>
        <v>-59453</v>
      </c>
      <c r="AP1065" s="58">
        <v>17727.821917808222</v>
      </c>
      <c r="AQ1065" s="143">
        <f t="shared" si="559"/>
        <v>-17727.82</v>
      </c>
    </row>
    <row r="1066" spans="1:43" x14ac:dyDescent="0.35">
      <c r="A1066" s="69" t="s">
        <v>43</v>
      </c>
      <c r="B1066" s="15" t="s">
        <v>3341</v>
      </c>
      <c r="C1066" s="15"/>
      <c r="D1066" s="69"/>
      <c r="E1066" s="76">
        <v>0</v>
      </c>
      <c r="F1066" s="69" t="s">
        <v>2960</v>
      </c>
      <c r="G1066" s="132" t="s">
        <v>2961</v>
      </c>
      <c r="H1066" s="15">
        <v>9013000107</v>
      </c>
      <c r="I1066" s="92" t="s">
        <v>593</v>
      </c>
      <c r="J1066" s="92">
        <v>1202020101</v>
      </c>
      <c r="K1066" s="35" t="s">
        <v>3342</v>
      </c>
      <c r="L1066" s="95" t="s">
        <v>3343</v>
      </c>
      <c r="M1066" s="69" t="s">
        <v>3036</v>
      </c>
      <c r="N1066" s="69"/>
      <c r="O1066" s="94">
        <v>1</v>
      </c>
      <c r="P1066" s="69" t="s">
        <v>50</v>
      </c>
      <c r="Q1066" s="69" t="s">
        <v>51</v>
      </c>
      <c r="R1066" s="69"/>
      <c r="S1066" s="46">
        <v>43825</v>
      </c>
      <c r="T1066" s="48">
        <v>43825</v>
      </c>
      <c r="U1066" s="69"/>
      <c r="V1066" s="69"/>
      <c r="W1066" s="69"/>
      <c r="X1066" s="69"/>
      <c r="Y1066" s="69" t="s">
        <v>4126</v>
      </c>
      <c r="Z1066" s="43">
        <v>135000</v>
      </c>
      <c r="AA1066" s="43" t="s">
        <v>52</v>
      </c>
      <c r="AB1066" s="43" t="s">
        <v>53</v>
      </c>
      <c r="AC1066" s="43">
        <v>1460</v>
      </c>
      <c r="AD1066" s="141">
        <v>4</v>
      </c>
      <c r="AE1066" s="142">
        <v>0</v>
      </c>
      <c r="AF1066" s="142"/>
      <c r="AG1066" s="69" t="str">
        <f t="shared" si="556"/>
        <v>4 years 0 days</v>
      </c>
      <c r="AH1066" s="69">
        <v>4</v>
      </c>
      <c r="AI1066" s="69">
        <v>0</v>
      </c>
      <c r="AJ1066" s="69">
        <v>0</v>
      </c>
      <c r="AK1066" s="69">
        <v>0</v>
      </c>
      <c r="AL1066" s="60">
        <v>135000</v>
      </c>
      <c r="AM1066" s="60">
        <f t="shared" si="557"/>
        <v>135000</v>
      </c>
      <c r="AN1066" s="59">
        <v>135000</v>
      </c>
      <c r="AO1066" s="148">
        <f t="shared" si="558"/>
        <v>-135000</v>
      </c>
      <c r="AP1066" s="58">
        <v>0</v>
      </c>
      <c r="AQ1066" s="143">
        <f t="shared" si="559"/>
        <v>0</v>
      </c>
    </row>
    <row r="1067" spans="1:43" x14ac:dyDescent="0.35">
      <c r="A1067" s="69" t="s">
        <v>43</v>
      </c>
      <c r="B1067" s="15" t="s">
        <v>3344</v>
      </c>
      <c r="C1067" s="15"/>
      <c r="D1067" s="69"/>
      <c r="E1067" s="76">
        <v>0</v>
      </c>
      <c r="F1067" s="69" t="s">
        <v>2960</v>
      </c>
      <c r="G1067" s="132" t="s">
        <v>2961</v>
      </c>
      <c r="H1067" s="15">
        <v>9013000108</v>
      </c>
      <c r="I1067" s="92" t="s">
        <v>593</v>
      </c>
      <c r="J1067" s="92">
        <v>1202020101</v>
      </c>
      <c r="K1067" s="35" t="s">
        <v>3345</v>
      </c>
      <c r="L1067" s="95" t="s">
        <v>3346</v>
      </c>
      <c r="M1067" s="69" t="s">
        <v>3347</v>
      </c>
      <c r="N1067" s="69"/>
      <c r="O1067" s="94">
        <v>1</v>
      </c>
      <c r="P1067" s="69" t="s">
        <v>50</v>
      </c>
      <c r="Q1067" s="69" t="s">
        <v>51</v>
      </c>
      <c r="R1067" s="69"/>
      <c r="S1067" s="46">
        <v>43161</v>
      </c>
      <c r="T1067" s="48">
        <v>43191</v>
      </c>
      <c r="U1067" s="69"/>
      <c r="V1067" s="69"/>
      <c r="W1067" s="69"/>
      <c r="X1067" s="69"/>
      <c r="Y1067" s="69" t="s">
        <v>4125</v>
      </c>
      <c r="Z1067" s="43">
        <v>1600000</v>
      </c>
      <c r="AA1067" s="43" t="s">
        <v>52</v>
      </c>
      <c r="AB1067" s="43" t="s">
        <v>53</v>
      </c>
      <c r="AC1067" s="43">
        <v>1789</v>
      </c>
      <c r="AD1067" s="141">
        <v>4</v>
      </c>
      <c r="AE1067" s="142">
        <v>11</v>
      </c>
      <c r="AF1067" s="142"/>
      <c r="AG1067" s="69" t="str">
        <f t="shared" ref="AG1067:AG1070" si="560">_xlfn.CONCAT(AH1067," years ",AI1067," days")</f>
        <v>4 years 329 days</v>
      </c>
      <c r="AH1067" s="69">
        <v>4</v>
      </c>
      <c r="AI1067" s="69">
        <v>329</v>
      </c>
      <c r="AJ1067" s="69">
        <v>0</v>
      </c>
      <c r="AK1067" s="69">
        <v>0</v>
      </c>
      <c r="AL1067" s="60">
        <v>1600000</v>
      </c>
      <c r="AM1067" s="60">
        <f t="shared" ref="AM1067:AM1070" si="561">ROUND(AL1067,2)</f>
        <v>1600000</v>
      </c>
      <c r="AN1067" s="59">
        <v>1600000</v>
      </c>
      <c r="AO1067" s="148">
        <f t="shared" ref="AO1067:AO1070" si="562">ROUND(AN1067,2)*-1</f>
        <v>-1600000</v>
      </c>
      <c r="AP1067" s="58">
        <v>0</v>
      </c>
      <c r="AQ1067" s="143">
        <f t="shared" ref="AQ1067:AQ1070" si="563">ROUND(AP1067,2)*-1</f>
        <v>0</v>
      </c>
    </row>
    <row r="1068" spans="1:43" x14ac:dyDescent="0.35">
      <c r="A1068" s="69" t="s">
        <v>43</v>
      </c>
      <c r="B1068" s="15" t="s">
        <v>3348</v>
      </c>
      <c r="C1068" s="15"/>
      <c r="D1068" s="69"/>
      <c r="E1068" s="76">
        <v>0</v>
      </c>
      <c r="F1068" s="69" t="s">
        <v>2960</v>
      </c>
      <c r="G1068" s="132" t="s">
        <v>2961</v>
      </c>
      <c r="H1068" s="15">
        <v>9013000109</v>
      </c>
      <c r="I1068" s="92" t="s">
        <v>593</v>
      </c>
      <c r="J1068" s="92">
        <v>1202020101</v>
      </c>
      <c r="K1068" s="35" t="s">
        <v>3349</v>
      </c>
      <c r="L1068" s="95" t="s">
        <v>3350</v>
      </c>
      <c r="M1068" s="69" t="s">
        <v>3351</v>
      </c>
      <c r="N1068" s="69"/>
      <c r="O1068" s="94">
        <v>1</v>
      </c>
      <c r="P1068" s="69" t="s">
        <v>50</v>
      </c>
      <c r="Q1068" s="69" t="s">
        <v>51</v>
      </c>
      <c r="R1068" s="69"/>
      <c r="S1068" s="46">
        <v>43650</v>
      </c>
      <c r="T1068" s="48">
        <v>43650</v>
      </c>
      <c r="U1068" s="69"/>
      <c r="V1068" s="69"/>
      <c r="W1068" s="69"/>
      <c r="X1068" s="69"/>
      <c r="Y1068" s="69" t="s">
        <v>4126</v>
      </c>
      <c r="Z1068" s="43">
        <v>135000</v>
      </c>
      <c r="AA1068" s="43" t="s">
        <v>52</v>
      </c>
      <c r="AB1068" s="43" t="s">
        <v>53</v>
      </c>
      <c r="AC1068" s="43">
        <v>1460</v>
      </c>
      <c r="AD1068" s="141">
        <v>4</v>
      </c>
      <c r="AE1068" s="142">
        <v>0</v>
      </c>
      <c r="AF1068" s="142"/>
      <c r="AG1068" s="69" t="str">
        <f t="shared" si="560"/>
        <v>4 years 0 days</v>
      </c>
      <c r="AH1068" s="69">
        <v>4</v>
      </c>
      <c r="AI1068" s="69">
        <v>0</v>
      </c>
      <c r="AJ1068" s="69">
        <v>0</v>
      </c>
      <c r="AK1068" s="69">
        <v>0</v>
      </c>
      <c r="AL1068" s="60">
        <v>135000</v>
      </c>
      <c r="AM1068" s="60">
        <f t="shared" si="561"/>
        <v>135000</v>
      </c>
      <c r="AN1068" s="59">
        <v>135000</v>
      </c>
      <c r="AO1068" s="148">
        <f t="shared" si="562"/>
        <v>-135000</v>
      </c>
      <c r="AP1068" s="58">
        <v>0</v>
      </c>
      <c r="AQ1068" s="143">
        <f t="shared" si="563"/>
        <v>0</v>
      </c>
    </row>
    <row r="1069" spans="1:43" x14ac:dyDescent="0.35">
      <c r="A1069" s="69" t="s">
        <v>43</v>
      </c>
      <c r="B1069" s="15" t="s">
        <v>3352</v>
      </c>
      <c r="C1069" s="15"/>
      <c r="D1069" s="69"/>
      <c r="E1069" s="76">
        <v>0</v>
      </c>
      <c r="F1069" s="69" t="s">
        <v>2960</v>
      </c>
      <c r="G1069" s="132" t="s">
        <v>2961</v>
      </c>
      <c r="H1069" s="15">
        <v>9013000110</v>
      </c>
      <c r="I1069" s="92" t="s">
        <v>593</v>
      </c>
      <c r="J1069" s="92">
        <v>1202020101</v>
      </c>
      <c r="K1069" s="35" t="s">
        <v>3353</v>
      </c>
      <c r="L1069" s="95" t="s">
        <v>3354</v>
      </c>
      <c r="M1069" s="69" t="s">
        <v>3355</v>
      </c>
      <c r="N1069" s="69"/>
      <c r="O1069" s="94">
        <v>1</v>
      </c>
      <c r="P1069" s="69" t="s">
        <v>50</v>
      </c>
      <c r="Q1069" s="69" t="s">
        <v>51</v>
      </c>
      <c r="R1069" s="69"/>
      <c r="S1069" s="46">
        <v>43799</v>
      </c>
      <c r="T1069" s="48">
        <v>43799</v>
      </c>
      <c r="U1069" s="69"/>
      <c r="V1069" s="69"/>
      <c r="W1069" s="69"/>
      <c r="X1069" s="69"/>
      <c r="Y1069" s="69" t="s">
        <v>4126</v>
      </c>
      <c r="Z1069" s="43">
        <v>135000</v>
      </c>
      <c r="AA1069" s="43" t="s">
        <v>52</v>
      </c>
      <c r="AB1069" s="43" t="s">
        <v>53</v>
      </c>
      <c r="AC1069" s="43">
        <v>1460</v>
      </c>
      <c r="AD1069" s="141">
        <v>4</v>
      </c>
      <c r="AE1069" s="142">
        <v>0</v>
      </c>
      <c r="AF1069" s="142"/>
      <c r="AG1069" s="69" t="str">
        <f t="shared" si="560"/>
        <v>4 years 0 days</v>
      </c>
      <c r="AH1069" s="69">
        <v>4</v>
      </c>
      <c r="AI1069" s="69">
        <v>0</v>
      </c>
      <c r="AJ1069" s="69">
        <v>0</v>
      </c>
      <c r="AK1069" s="69">
        <v>0</v>
      </c>
      <c r="AL1069" s="60">
        <v>135000</v>
      </c>
      <c r="AM1069" s="60">
        <f t="shared" si="561"/>
        <v>135000</v>
      </c>
      <c r="AN1069" s="59">
        <v>135000</v>
      </c>
      <c r="AO1069" s="148">
        <f t="shared" si="562"/>
        <v>-135000</v>
      </c>
      <c r="AP1069" s="58">
        <v>0</v>
      </c>
      <c r="AQ1069" s="143">
        <f t="shared" si="563"/>
        <v>0</v>
      </c>
    </row>
    <row r="1070" spans="1:43" x14ac:dyDescent="0.35">
      <c r="A1070" s="69" t="s">
        <v>43</v>
      </c>
      <c r="B1070" s="15" t="s">
        <v>3356</v>
      </c>
      <c r="C1070" s="15"/>
      <c r="D1070" s="69"/>
      <c r="E1070" s="76">
        <v>0</v>
      </c>
      <c r="F1070" s="69" t="s">
        <v>2960</v>
      </c>
      <c r="G1070" s="132" t="s">
        <v>2961</v>
      </c>
      <c r="H1070" s="15">
        <v>9013000111</v>
      </c>
      <c r="I1070" s="92" t="s">
        <v>593</v>
      </c>
      <c r="J1070" s="92">
        <v>1202020101</v>
      </c>
      <c r="K1070" s="35" t="s">
        <v>3357</v>
      </c>
      <c r="L1070" s="95" t="s">
        <v>3358</v>
      </c>
      <c r="M1070" s="69" t="s">
        <v>3359</v>
      </c>
      <c r="N1070" s="69"/>
      <c r="O1070" s="94">
        <v>1</v>
      </c>
      <c r="P1070" s="69" t="s">
        <v>50</v>
      </c>
      <c r="Q1070" s="69" t="s">
        <v>51</v>
      </c>
      <c r="R1070" s="69"/>
      <c r="S1070" s="46">
        <v>44663</v>
      </c>
      <c r="T1070" s="48">
        <v>44663</v>
      </c>
      <c r="U1070" s="69"/>
      <c r="V1070" s="69"/>
      <c r="W1070" s="69"/>
      <c r="X1070" s="69"/>
      <c r="Y1070" s="69" t="s">
        <v>4131</v>
      </c>
      <c r="Z1070" s="43">
        <v>135000</v>
      </c>
      <c r="AA1070" s="43" t="s">
        <v>52</v>
      </c>
      <c r="AB1070" s="43" t="s">
        <v>53</v>
      </c>
      <c r="AC1070" s="43">
        <v>1460</v>
      </c>
      <c r="AD1070" s="141">
        <v>4</v>
      </c>
      <c r="AE1070" s="142">
        <v>0</v>
      </c>
      <c r="AF1070" s="142"/>
      <c r="AG1070" s="69" t="str">
        <f t="shared" si="560"/>
        <v>2 years 265 days</v>
      </c>
      <c r="AH1070" s="69">
        <v>2</v>
      </c>
      <c r="AI1070" s="69">
        <v>265</v>
      </c>
      <c r="AJ1070" s="69">
        <v>0</v>
      </c>
      <c r="AK1070" s="69">
        <v>0</v>
      </c>
      <c r="AL1070" s="60">
        <v>135000</v>
      </c>
      <c r="AM1070" s="60">
        <f t="shared" si="561"/>
        <v>135000</v>
      </c>
      <c r="AN1070" s="59">
        <v>135000</v>
      </c>
      <c r="AO1070" s="148">
        <f t="shared" si="562"/>
        <v>-135000</v>
      </c>
      <c r="AP1070" s="58">
        <v>0</v>
      </c>
      <c r="AQ1070" s="143">
        <f t="shared" si="563"/>
        <v>0</v>
      </c>
    </row>
    <row r="1071" spans="1:43" x14ac:dyDescent="0.35">
      <c r="A1071" s="69" t="s">
        <v>43</v>
      </c>
      <c r="B1071" s="15" t="s">
        <v>3360</v>
      </c>
      <c r="C1071" s="15"/>
      <c r="D1071" s="69"/>
      <c r="E1071" s="76">
        <v>0</v>
      </c>
      <c r="F1071" s="69" t="s">
        <v>2960</v>
      </c>
      <c r="G1071" s="132" t="s">
        <v>2961</v>
      </c>
      <c r="H1071" s="15">
        <v>9013000112</v>
      </c>
      <c r="I1071" s="92" t="s">
        <v>593</v>
      </c>
      <c r="J1071" s="92">
        <v>1202020101</v>
      </c>
      <c r="K1071" s="35" t="s">
        <v>3361</v>
      </c>
      <c r="L1071" s="95" t="s">
        <v>3362</v>
      </c>
      <c r="M1071" s="69" t="s">
        <v>49</v>
      </c>
      <c r="N1071" s="69"/>
      <c r="O1071" s="94">
        <v>1</v>
      </c>
      <c r="P1071" s="69" t="s">
        <v>50</v>
      </c>
      <c r="Q1071" s="69" t="s">
        <v>51</v>
      </c>
      <c r="R1071" s="69"/>
      <c r="S1071" s="46">
        <v>43064</v>
      </c>
      <c r="T1071" s="48">
        <v>43191</v>
      </c>
      <c r="U1071" s="69"/>
      <c r="V1071" s="69"/>
      <c r="W1071" s="69"/>
      <c r="X1071" s="69"/>
      <c r="Y1071" s="69" t="s">
        <v>4125</v>
      </c>
      <c r="Z1071" s="43">
        <v>1525000</v>
      </c>
      <c r="AA1071" s="43" t="s">
        <v>52</v>
      </c>
      <c r="AB1071" s="43" t="s">
        <v>53</v>
      </c>
      <c r="AC1071" s="43">
        <v>1679</v>
      </c>
      <c r="AD1071" s="141">
        <v>4</v>
      </c>
      <c r="AE1071" s="142">
        <v>7</v>
      </c>
      <c r="AF1071" s="142"/>
      <c r="AG1071" s="69" t="str">
        <f t="shared" ref="AG1071:AG1074" si="564">_xlfn.CONCAT(AH1071," years ",AI1071," days")</f>
        <v>4 years 219 days</v>
      </c>
      <c r="AH1071" s="69">
        <v>4</v>
      </c>
      <c r="AI1071" s="69">
        <v>219</v>
      </c>
      <c r="AJ1071" s="69">
        <v>0</v>
      </c>
      <c r="AK1071" s="69">
        <v>0</v>
      </c>
      <c r="AL1071" s="60">
        <v>1525000</v>
      </c>
      <c r="AM1071" s="60">
        <f t="shared" ref="AM1071:AM1074" si="565">ROUND(AL1071,2)</f>
        <v>1525000</v>
      </c>
      <c r="AN1071" s="59">
        <v>1525000</v>
      </c>
      <c r="AO1071" s="148">
        <f t="shared" ref="AO1071:AO1074" si="566">ROUND(AN1071,2)*-1</f>
        <v>-1525000</v>
      </c>
      <c r="AP1071" s="58">
        <v>0</v>
      </c>
      <c r="AQ1071" s="143">
        <f t="shared" ref="AQ1071:AQ1074" si="567">ROUND(AP1071,2)*-1</f>
        <v>0</v>
      </c>
    </row>
    <row r="1072" spans="1:43" x14ac:dyDescent="0.35">
      <c r="A1072" s="69" t="s">
        <v>43</v>
      </c>
      <c r="B1072" s="15" t="s">
        <v>3363</v>
      </c>
      <c r="C1072" s="15"/>
      <c r="D1072" s="69"/>
      <c r="E1072" s="76">
        <v>0</v>
      </c>
      <c r="F1072" s="69" t="s">
        <v>2960</v>
      </c>
      <c r="G1072" s="132" t="s">
        <v>2961</v>
      </c>
      <c r="H1072" s="15">
        <v>9013000113</v>
      </c>
      <c r="I1072" s="92" t="s">
        <v>593</v>
      </c>
      <c r="J1072" s="92">
        <v>1202020101</v>
      </c>
      <c r="K1072" s="35" t="s">
        <v>3364</v>
      </c>
      <c r="L1072" s="95" t="s">
        <v>3365</v>
      </c>
      <c r="M1072" s="69" t="s">
        <v>49</v>
      </c>
      <c r="N1072" s="69"/>
      <c r="O1072" s="94">
        <v>1</v>
      </c>
      <c r="P1072" s="69" t="s">
        <v>50</v>
      </c>
      <c r="Q1072" s="69" t="s">
        <v>51</v>
      </c>
      <c r="R1072" s="69"/>
      <c r="S1072" s="46">
        <v>42714</v>
      </c>
      <c r="T1072" s="48">
        <v>43191</v>
      </c>
      <c r="U1072" s="69"/>
      <c r="V1072" s="69"/>
      <c r="W1072" s="69"/>
      <c r="X1072" s="69"/>
      <c r="Y1072" s="69" t="s">
        <v>4125</v>
      </c>
      <c r="Z1072" s="43">
        <v>82500</v>
      </c>
      <c r="AA1072" s="43" t="s">
        <v>52</v>
      </c>
      <c r="AB1072" s="43" t="s">
        <v>53</v>
      </c>
      <c r="AC1072" s="43">
        <v>1351</v>
      </c>
      <c r="AD1072" s="141">
        <v>3</v>
      </c>
      <c r="AE1072" s="142">
        <v>9</v>
      </c>
      <c r="AF1072" s="142"/>
      <c r="AG1072" s="69" t="str">
        <f t="shared" si="564"/>
        <v>3 years 256 days</v>
      </c>
      <c r="AH1072" s="69">
        <v>3</v>
      </c>
      <c r="AI1072" s="69">
        <v>256</v>
      </c>
      <c r="AJ1072" s="69">
        <v>0</v>
      </c>
      <c r="AK1072" s="69">
        <v>0</v>
      </c>
      <c r="AL1072" s="60">
        <v>82500</v>
      </c>
      <c r="AM1072" s="60">
        <f t="shared" si="565"/>
        <v>82500</v>
      </c>
      <c r="AN1072" s="59">
        <v>82500</v>
      </c>
      <c r="AO1072" s="148">
        <f t="shared" si="566"/>
        <v>-82500</v>
      </c>
      <c r="AP1072" s="58">
        <v>0</v>
      </c>
      <c r="AQ1072" s="143">
        <f t="shared" si="567"/>
        <v>0</v>
      </c>
    </row>
    <row r="1073" spans="1:43" x14ac:dyDescent="0.35">
      <c r="A1073" s="69" t="s">
        <v>43</v>
      </c>
      <c r="B1073" s="15" t="s">
        <v>3366</v>
      </c>
      <c r="C1073" s="15"/>
      <c r="D1073" s="69"/>
      <c r="E1073" s="76">
        <v>0</v>
      </c>
      <c r="F1073" s="69" t="s">
        <v>2960</v>
      </c>
      <c r="G1073" s="132" t="s">
        <v>2961</v>
      </c>
      <c r="H1073" s="15">
        <v>9013000114</v>
      </c>
      <c r="I1073" s="92" t="s">
        <v>593</v>
      </c>
      <c r="J1073" s="92">
        <v>1202020101</v>
      </c>
      <c r="K1073" s="35" t="s">
        <v>3367</v>
      </c>
      <c r="L1073" s="95" t="s">
        <v>3368</v>
      </c>
      <c r="M1073" s="69" t="s">
        <v>49</v>
      </c>
      <c r="N1073" s="69"/>
      <c r="O1073" s="94">
        <v>1</v>
      </c>
      <c r="P1073" s="69" t="s">
        <v>50</v>
      </c>
      <c r="Q1073" s="69" t="s">
        <v>51</v>
      </c>
      <c r="R1073" s="69"/>
      <c r="S1073" s="46">
        <v>42794</v>
      </c>
      <c r="T1073" s="48">
        <v>43191</v>
      </c>
      <c r="U1073" s="69"/>
      <c r="V1073" s="69"/>
      <c r="W1073" s="69"/>
      <c r="X1073" s="69"/>
      <c r="Y1073" s="69" t="s">
        <v>4125</v>
      </c>
      <c r="Z1073" s="43">
        <v>85000</v>
      </c>
      <c r="AA1073" s="43" t="s">
        <v>52</v>
      </c>
      <c r="AB1073" s="43" t="s">
        <v>53</v>
      </c>
      <c r="AC1073" s="43">
        <v>1424</v>
      </c>
      <c r="AD1073" s="141">
        <v>3</v>
      </c>
      <c r="AE1073" s="142">
        <v>11</v>
      </c>
      <c r="AF1073" s="142"/>
      <c r="AG1073" s="69" t="str">
        <f t="shared" si="564"/>
        <v>3 years 329 days</v>
      </c>
      <c r="AH1073" s="69">
        <v>3</v>
      </c>
      <c r="AI1073" s="69">
        <v>329</v>
      </c>
      <c r="AJ1073" s="69">
        <v>0</v>
      </c>
      <c r="AK1073" s="69">
        <v>0</v>
      </c>
      <c r="AL1073" s="60">
        <v>85000</v>
      </c>
      <c r="AM1073" s="60">
        <f t="shared" si="565"/>
        <v>85000</v>
      </c>
      <c r="AN1073" s="59">
        <v>85000</v>
      </c>
      <c r="AO1073" s="148">
        <f t="shared" si="566"/>
        <v>-85000</v>
      </c>
      <c r="AP1073" s="58">
        <v>0</v>
      </c>
      <c r="AQ1073" s="143">
        <f t="shared" si="567"/>
        <v>0</v>
      </c>
    </row>
    <row r="1074" spans="1:43" x14ac:dyDescent="0.35">
      <c r="A1074" s="69" t="s">
        <v>43</v>
      </c>
      <c r="B1074" s="15" t="s">
        <v>3369</v>
      </c>
      <c r="C1074" s="15"/>
      <c r="D1074" s="69"/>
      <c r="E1074" s="76">
        <v>0</v>
      </c>
      <c r="F1074" s="69" t="s">
        <v>2960</v>
      </c>
      <c r="G1074" s="132" t="s">
        <v>2961</v>
      </c>
      <c r="H1074" s="15">
        <v>9013000115</v>
      </c>
      <c r="I1074" s="92" t="s">
        <v>593</v>
      </c>
      <c r="J1074" s="92">
        <v>1202020101</v>
      </c>
      <c r="K1074" s="35" t="s">
        <v>3370</v>
      </c>
      <c r="L1074" s="95" t="s">
        <v>3371</v>
      </c>
      <c r="M1074" s="69" t="s">
        <v>3372</v>
      </c>
      <c r="N1074" s="69"/>
      <c r="O1074" s="94">
        <v>1</v>
      </c>
      <c r="P1074" s="69" t="s">
        <v>50</v>
      </c>
      <c r="Q1074" s="69" t="s">
        <v>51</v>
      </c>
      <c r="R1074" s="69"/>
      <c r="S1074" s="46">
        <v>43503</v>
      </c>
      <c r="T1074" s="48">
        <v>43503</v>
      </c>
      <c r="U1074" s="69"/>
      <c r="V1074" s="69"/>
      <c r="W1074" s="69"/>
      <c r="X1074" s="69"/>
      <c r="Y1074" s="69" t="s">
        <v>4126</v>
      </c>
      <c r="Z1074" s="43">
        <v>106000</v>
      </c>
      <c r="AA1074" s="43" t="s">
        <v>52</v>
      </c>
      <c r="AB1074" s="43" t="s">
        <v>53</v>
      </c>
      <c r="AC1074" s="43">
        <v>1460</v>
      </c>
      <c r="AD1074" s="141">
        <v>4</v>
      </c>
      <c r="AE1074" s="142">
        <v>0</v>
      </c>
      <c r="AF1074" s="142"/>
      <c r="AG1074" s="69" t="str">
        <f t="shared" si="564"/>
        <v>4 years 0 days</v>
      </c>
      <c r="AH1074" s="69">
        <v>4</v>
      </c>
      <c r="AI1074" s="69">
        <v>0</v>
      </c>
      <c r="AJ1074" s="69">
        <v>0</v>
      </c>
      <c r="AK1074" s="69">
        <v>0</v>
      </c>
      <c r="AL1074" s="60">
        <v>106000</v>
      </c>
      <c r="AM1074" s="60">
        <f t="shared" si="565"/>
        <v>106000</v>
      </c>
      <c r="AN1074" s="59">
        <v>106000</v>
      </c>
      <c r="AO1074" s="148">
        <f t="shared" si="566"/>
        <v>-106000</v>
      </c>
      <c r="AP1074" s="58">
        <v>0</v>
      </c>
      <c r="AQ1074" s="143">
        <f t="shared" si="567"/>
        <v>0</v>
      </c>
    </row>
    <row r="1075" spans="1:43" x14ac:dyDescent="0.35">
      <c r="A1075" s="69" t="s">
        <v>43</v>
      </c>
      <c r="B1075" s="15" t="s">
        <v>3373</v>
      </c>
      <c r="C1075" s="15"/>
      <c r="D1075" s="69"/>
      <c r="E1075" s="76">
        <v>0</v>
      </c>
      <c r="F1075" s="69" t="s">
        <v>2960</v>
      </c>
      <c r="G1075" s="132" t="s">
        <v>2961</v>
      </c>
      <c r="H1075" s="15">
        <v>9013000116</v>
      </c>
      <c r="I1075" s="92" t="s">
        <v>593</v>
      </c>
      <c r="J1075" s="92">
        <v>1202020101</v>
      </c>
      <c r="K1075" s="35" t="s">
        <v>3374</v>
      </c>
      <c r="L1075" s="95" t="s">
        <v>3375</v>
      </c>
      <c r="M1075" s="69" t="s">
        <v>3376</v>
      </c>
      <c r="N1075" s="69"/>
      <c r="O1075" s="94">
        <v>1</v>
      </c>
      <c r="P1075" s="69" t="s">
        <v>50</v>
      </c>
      <c r="Q1075" s="69" t="s">
        <v>51</v>
      </c>
      <c r="R1075" s="69"/>
      <c r="S1075" s="46">
        <v>41969</v>
      </c>
      <c r="T1075" s="48">
        <v>43191</v>
      </c>
      <c r="U1075" s="69"/>
      <c r="V1075" s="69"/>
      <c r="W1075" s="69"/>
      <c r="X1075" s="69"/>
      <c r="Y1075" s="69" t="s">
        <v>4125</v>
      </c>
      <c r="Z1075" s="43">
        <v>290000</v>
      </c>
      <c r="AA1075" s="43" t="s">
        <v>52</v>
      </c>
      <c r="AB1075" s="43" t="s">
        <v>53</v>
      </c>
      <c r="AC1075" s="43">
        <v>584</v>
      </c>
      <c r="AD1075" s="141">
        <v>1</v>
      </c>
      <c r="AE1075" s="142">
        <v>7</v>
      </c>
      <c r="AF1075" s="142"/>
      <c r="AG1075" s="69" t="str">
        <f>_xlfn.CONCAT(AH1075," years ",AI1075," days")</f>
        <v>1 years 219 days</v>
      </c>
      <c r="AH1075" s="69">
        <v>1</v>
      </c>
      <c r="AI1075" s="69">
        <v>219</v>
      </c>
      <c r="AJ1075" s="69">
        <v>0</v>
      </c>
      <c r="AK1075" s="69">
        <v>0</v>
      </c>
      <c r="AL1075" s="60">
        <v>290000</v>
      </c>
      <c r="AM1075" s="60">
        <f>ROUND(AL1075,2)</f>
        <v>290000</v>
      </c>
      <c r="AN1075" s="59">
        <v>290000</v>
      </c>
      <c r="AO1075" s="148">
        <f>ROUND(AN1075,2)*-1</f>
        <v>-290000</v>
      </c>
      <c r="AP1075" s="58">
        <v>0</v>
      </c>
      <c r="AQ1075" s="143">
        <f>ROUND(AP1075,2)*-1</f>
        <v>0</v>
      </c>
    </row>
    <row r="1076" spans="1:43" x14ac:dyDescent="0.35">
      <c r="A1076" s="69" t="s">
        <v>43</v>
      </c>
      <c r="B1076" s="15" t="s">
        <v>3377</v>
      </c>
      <c r="C1076" s="15"/>
      <c r="D1076" s="69"/>
      <c r="E1076" s="76">
        <v>0</v>
      </c>
      <c r="F1076" s="69" t="s">
        <v>2960</v>
      </c>
      <c r="G1076" s="132" t="s">
        <v>2961</v>
      </c>
      <c r="H1076" s="15">
        <v>9013000117</v>
      </c>
      <c r="I1076" s="92" t="s">
        <v>593</v>
      </c>
      <c r="J1076" s="92">
        <v>1202020101</v>
      </c>
      <c r="K1076" s="35" t="s">
        <v>3378</v>
      </c>
      <c r="L1076" s="95" t="s">
        <v>3379</v>
      </c>
      <c r="M1076" s="69" t="s">
        <v>49</v>
      </c>
      <c r="N1076" s="69"/>
      <c r="O1076" s="94">
        <v>1</v>
      </c>
      <c r="P1076" s="69" t="s">
        <v>50</v>
      </c>
      <c r="Q1076" s="69" t="s">
        <v>51</v>
      </c>
      <c r="R1076" s="69"/>
      <c r="S1076" s="46">
        <v>43265</v>
      </c>
      <c r="T1076" s="48">
        <v>43265</v>
      </c>
      <c r="U1076" s="69"/>
      <c r="V1076" s="69"/>
      <c r="W1076" s="69"/>
      <c r="X1076" s="69"/>
      <c r="Y1076" s="69" t="s">
        <v>4125</v>
      </c>
      <c r="Z1076" s="43">
        <v>1188300</v>
      </c>
      <c r="AA1076" s="43" t="s">
        <v>52</v>
      </c>
      <c r="AB1076" s="43" t="s">
        <v>53</v>
      </c>
      <c r="AC1076" s="43">
        <v>1460</v>
      </c>
      <c r="AD1076" s="141">
        <v>4</v>
      </c>
      <c r="AE1076" s="142">
        <v>0</v>
      </c>
      <c r="AF1076" s="142"/>
      <c r="AG1076" s="69" t="str">
        <f>_xlfn.CONCAT(AH1076," years ",AI1076," days")</f>
        <v>4 years 0 days</v>
      </c>
      <c r="AH1076" s="69">
        <v>4</v>
      </c>
      <c r="AI1076" s="69">
        <v>0</v>
      </c>
      <c r="AJ1076" s="69">
        <v>0</v>
      </c>
      <c r="AK1076" s="69">
        <v>0</v>
      </c>
      <c r="AL1076" s="60">
        <v>1188300</v>
      </c>
      <c r="AM1076" s="60">
        <f>ROUND(AL1076,2)</f>
        <v>1188300</v>
      </c>
      <c r="AN1076" s="59">
        <v>1188300</v>
      </c>
      <c r="AO1076" s="148">
        <f>ROUND(AN1076,2)*-1</f>
        <v>-1188300</v>
      </c>
      <c r="AP1076" s="58">
        <v>0</v>
      </c>
      <c r="AQ1076" s="143">
        <f>ROUND(AP1076,2)*-1</f>
        <v>0</v>
      </c>
    </row>
    <row r="1077" spans="1:43" x14ac:dyDescent="0.35">
      <c r="A1077" s="69" t="s">
        <v>43</v>
      </c>
      <c r="B1077" s="15" t="s">
        <v>3380</v>
      </c>
      <c r="C1077" s="15"/>
      <c r="D1077" s="69"/>
      <c r="E1077" s="76">
        <v>0</v>
      </c>
      <c r="F1077" s="69" t="s">
        <v>2960</v>
      </c>
      <c r="G1077" s="132" t="s">
        <v>2961</v>
      </c>
      <c r="H1077" s="15">
        <v>9013000118</v>
      </c>
      <c r="I1077" s="92" t="s">
        <v>593</v>
      </c>
      <c r="J1077" s="92">
        <v>1202020101</v>
      </c>
      <c r="K1077" s="35" t="s">
        <v>3381</v>
      </c>
      <c r="L1077" s="95" t="s">
        <v>3382</v>
      </c>
      <c r="M1077" s="69" t="s">
        <v>3383</v>
      </c>
      <c r="N1077" s="69"/>
      <c r="O1077" s="94">
        <v>1</v>
      </c>
      <c r="P1077" s="69" t="s">
        <v>50</v>
      </c>
      <c r="Q1077" s="69" t="s">
        <v>51</v>
      </c>
      <c r="R1077" s="69"/>
      <c r="S1077" s="46">
        <v>44660</v>
      </c>
      <c r="T1077" s="48">
        <v>44660</v>
      </c>
      <c r="U1077" s="69"/>
      <c r="V1077" s="69"/>
      <c r="W1077" s="69"/>
      <c r="X1077" s="69"/>
      <c r="Y1077" s="69" t="s">
        <v>4131</v>
      </c>
      <c r="Z1077" s="43">
        <v>1621025</v>
      </c>
      <c r="AA1077" s="43" t="s">
        <v>52</v>
      </c>
      <c r="AB1077" s="43" t="s">
        <v>53</v>
      </c>
      <c r="AC1077" s="43">
        <v>1460</v>
      </c>
      <c r="AD1077" s="141">
        <v>4</v>
      </c>
      <c r="AE1077" s="142">
        <v>0</v>
      </c>
      <c r="AF1077" s="142"/>
      <c r="AG1077" s="69" t="str">
        <f t="shared" ref="AG1077:AG1079" si="568">_xlfn.CONCAT(AH1077," years ",AI1077," days")</f>
        <v>2 years 268 days</v>
      </c>
      <c r="AH1077" s="69">
        <v>2</v>
      </c>
      <c r="AI1077" s="69">
        <v>268</v>
      </c>
      <c r="AJ1077" s="69">
        <v>0</v>
      </c>
      <c r="AK1077" s="69">
        <v>0</v>
      </c>
      <c r="AL1077" s="60">
        <v>1621025</v>
      </c>
      <c r="AM1077" s="60">
        <f t="shared" ref="AM1077:AM1079" si="569">ROUND(AL1077,2)</f>
        <v>1621025</v>
      </c>
      <c r="AN1077" s="59">
        <v>1621025</v>
      </c>
      <c r="AO1077" s="148">
        <f t="shared" ref="AO1077:AO1079" si="570">ROUND(AN1077,2)*-1</f>
        <v>-1621025</v>
      </c>
      <c r="AP1077" s="58">
        <v>0</v>
      </c>
      <c r="AQ1077" s="143">
        <f t="shared" ref="AQ1077:AQ1079" si="571">ROUND(AP1077,2)*-1</f>
        <v>0</v>
      </c>
    </row>
    <row r="1078" spans="1:43" x14ac:dyDescent="0.35">
      <c r="A1078" s="69" t="s">
        <v>43</v>
      </c>
      <c r="B1078" s="15" t="s">
        <v>3384</v>
      </c>
      <c r="C1078" s="15"/>
      <c r="D1078" s="69"/>
      <c r="E1078" s="76">
        <v>0</v>
      </c>
      <c r="F1078" s="69" t="s">
        <v>2960</v>
      </c>
      <c r="G1078" s="132" t="s">
        <v>2961</v>
      </c>
      <c r="H1078" s="15">
        <v>9013000119</v>
      </c>
      <c r="I1078" s="92" t="s">
        <v>593</v>
      </c>
      <c r="J1078" s="92">
        <v>1202020101</v>
      </c>
      <c r="K1078" s="35" t="s">
        <v>3385</v>
      </c>
      <c r="L1078" s="95" t="s">
        <v>3386</v>
      </c>
      <c r="M1078" s="69" t="s">
        <v>3387</v>
      </c>
      <c r="N1078" s="69"/>
      <c r="O1078" s="94">
        <v>1</v>
      </c>
      <c r="P1078" s="69" t="s">
        <v>50</v>
      </c>
      <c r="Q1078" s="69" t="s">
        <v>51</v>
      </c>
      <c r="R1078" s="69"/>
      <c r="S1078" s="46">
        <v>43298</v>
      </c>
      <c r="T1078" s="48">
        <v>43298</v>
      </c>
      <c r="U1078" s="69"/>
      <c r="V1078" s="69"/>
      <c r="W1078" s="69"/>
      <c r="X1078" s="69"/>
      <c r="Y1078" s="69" t="s">
        <v>4125</v>
      </c>
      <c r="Z1078" s="43">
        <v>126000</v>
      </c>
      <c r="AA1078" s="43" t="s">
        <v>52</v>
      </c>
      <c r="AB1078" s="43" t="s">
        <v>53</v>
      </c>
      <c r="AC1078" s="43">
        <v>1460</v>
      </c>
      <c r="AD1078" s="141">
        <v>4</v>
      </c>
      <c r="AE1078" s="142">
        <v>0</v>
      </c>
      <c r="AF1078" s="142"/>
      <c r="AG1078" s="69" t="str">
        <f t="shared" si="568"/>
        <v>4 years 0 days</v>
      </c>
      <c r="AH1078" s="69">
        <v>4</v>
      </c>
      <c r="AI1078" s="69">
        <v>0</v>
      </c>
      <c r="AJ1078" s="69">
        <v>0</v>
      </c>
      <c r="AK1078" s="69">
        <v>0</v>
      </c>
      <c r="AL1078" s="60">
        <v>126000</v>
      </c>
      <c r="AM1078" s="60">
        <f t="shared" si="569"/>
        <v>126000</v>
      </c>
      <c r="AN1078" s="59">
        <v>126000</v>
      </c>
      <c r="AO1078" s="148">
        <f t="shared" si="570"/>
        <v>-126000</v>
      </c>
      <c r="AP1078" s="58">
        <v>0</v>
      </c>
      <c r="AQ1078" s="143">
        <f t="shared" si="571"/>
        <v>0</v>
      </c>
    </row>
    <row r="1079" spans="1:43" x14ac:dyDescent="0.35">
      <c r="A1079" s="69" t="s">
        <v>43</v>
      </c>
      <c r="B1079" s="15" t="s">
        <v>3388</v>
      </c>
      <c r="C1079" s="15"/>
      <c r="D1079" s="69"/>
      <c r="E1079" s="76">
        <v>0</v>
      </c>
      <c r="F1079" s="69" t="s">
        <v>2960</v>
      </c>
      <c r="G1079" s="132" t="s">
        <v>2961</v>
      </c>
      <c r="H1079" s="15">
        <v>9013000120</v>
      </c>
      <c r="I1079" s="92" t="s">
        <v>593</v>
      </c>
      <c r="J1079" s="92">
        <v>1202020101</v>
      </c>
      <c r="K1079" s="35" t="s">
        <v>3389</v>
      </c>
      <c r="L1079" s="95" t="s">
        <v>3390</v>
      </c>
      <c r="M1079" s="69" t="s">
        <v>3391</v>
      </c>
      <c r="N1079" s="69"/>
      <c r="O1079" s="94">
        <v>2</v>
      </c>
      <c r="P1079" s="69" t="s">
        <v>50</v>
      </c>
      <c r="Q1079" s="69" t="s">
        <v>51</v>
      </c>
      <c r="R1079" s="69"/>
      <c r="S1079" s="46">
        <v>45557</v>
      </c>
      <c r="T1079" s="48">
        <v>45557</v>
      </c>
      <c r="U1079" s="69"/>
      <c r="V1079" s="69"/>
      <c r="W1079" s="69"/>
      <c r="X1079" s="69"/>
      <c r="Y1079" s="69" t="s">
        <v>4130</v>
      </c>
      <c r="Z1079" s="43">
        <v>140000</v>
      </c>
      <c r="AA1079" s="43" t="s">
        <v>52</v>
      </c>
      <c r="AB1079" s="43" t="s">
        <v>53</v>
      </c>
      <c r="AC1079" s="43">
        <v>1460</v>
      </c>
      <c r="AD1079" s="141">
        <v>4</v>
      </c>
      <c r="AE1079" s="142">
        <v>0</v>
      </c>
      <c r="AF1079" s="142"/>
      <c r="AG1079" s="69" t="str">
        <f t="shared" si="568"/>
        <v>0 years 101 days</v>
      </c>
      <c r="AH1079" s="69">
        <v>0</v>
      </c>
      <c r="AI1079" s="69">
        <v>101</v>
      </c>
      <c r="AJ1079" s="69">
        <v>0</v>
      </c>
      <c r="AK1079" s="69">
        <v>0</v>
      </c>
      <c r="AL1079" s="60">
        <v>140000</v>
      </c>
      <c r="AM1079" s="60">
        <f t="shared" si="569"/>
        <v>140000</v>
      </c>
      <c r="AN1079" s="59">
        <v>9685</v>
      </c>
      <c r="AO1079" s="148">
        <f t="shared" si="570"/>
        <v>-9685</v>
      </c>
      <c r="AP1079" s="58">
        <v>17356.095890410958</v>
      </c>
      <c r="AQ1079" s="143">
        <f t="shared" si="571"/>
        <v>-17356.099999999999</v>
      </c>
    </row>
    <row r="1080" spans="1:43" x14ac:dyDescent="0.35">
      <c r="A1080" s="69" t="s">
        <v>43</v>
      </c>
      <c r="B1080" s="134" t="s">
        <v>3392</v>
      </c>
      <c r="C1080" s="134"/>
      <c r="D1080" s="69"/>
      <c r="E1080" s="76">
        <v>0</v>
      </c>
      <c r="F1080" s="69" t="s">
        <v>2960</v>
      </c>
      <c r="G1080" s="132" t="s">
        <v>2961</v>
      </c>
      <c r="H1080" s="15">
        <v>9013000121</v>
      </c>
      <c r="I1080" s="92" t="s">
        <v>593</v>
      </c>
      <c r="J1080" s="92">
        <v>1202020101</v>
      </c>
      <c r="K1080" s="35" t="s">
        <v>3393</v>
      </c>
      <c r="L1080" s="95" t="s">
        <v>3394</v>
      </c>
      <c r="M1080" s="69" t="s">
        <v>49</v>
      </c>
      <c r="N1080" s="69"/>
      <c r="O1080" s="94">
        <v>1</v>
      </c>
      <c r="P1080" s="69" t="s">
        <v>50</v>
      </c>
      <c r="Q1080" s="69" t="s">
        <v>51</v>
      </c>
      <c r="R1080" s="69"/>
      <c r="S1080" s="46">
        <v>44790</v>
      </c>
      <c r="T1080" s="48">
        <v>44790</v>
      </c>
      <c r="U1080" s="69"/>
      <c r="V1080" s="69"/>
      <c r="W1080" s="69"/>
      <c r="X1080" s="69"/>
      <c r="Y1080" s="69" t="s">
        <v>4131</v>
      </c>
      <c r="Z1080" s="55">
        <v>1621600</v>
      </c>
      <c r="AA1080" s="43" t="s">
        <v>52</v>
      </c>
      <c r="AB1080" s="43" t="s">
        <v>53</v>
      </c>
      <c r="AC1080" s="43">
        <v>1460</v>
      </c>
      <c r="AD1080" s="141">
        <v>4</v>
      </c>
      <c r="AE1080" s="142">
        <v>0</v>
      </c>
      <c r="AF1080" s="142"/>
      <c r="AG1080" s="69" t="str">
        <f t="shared" ref="AG1080:AG1081" si="572">_xlfn.CONCAT(AH1080," years ",AI1080," days")</f>
        <v>2 years 138 days</v>
      </c>
      <c r="AH1080" s="69">
        <v>2</v>
      </c>
      <c r="AI1080" s="69">
        <v>138</v>
      </c>
      <c r="AJ1080" s="69">
        <v>0</v>
      </c>
      <c r="AK1080" s="69">
        <v>0</v>
      </c>
      <c r="AL1080" s="63">
        <v>1621600</v>
      </c>
      <c r="AM1080" s="60">
        <f t="shared" ref="AM1080:AM1081" si="573">ROUND(AL1080,2)</f>
        <v>1621600</v>
      </c>
      <c r="AN1080" s="59">
        <v>1621600</v>
      </c>
      <c r="AO1080" s="148">
        <f t="shared" ref="AO1080:AO1081" si="574">ROUND(AN1080,2)*-1</f>
        <v>-1621600</v>
      </c>
      <c r="AP1080" s="58">
        <v>0</v>
      </c>
      <c r="AQ1080" s="143">
        <f t="shared" ref="AQ1080:AQ1081" si="575">ROUND(AP1080,2)*-1</f>
        <v>0</v>
      </c>
    </row>
    <row r="1081" spans="1:43" x14ac:dyDescent="0.35">
      <c r="A1081" s="69" t="s">
        <v>43</v>
      </c>
      <c r="B1081" s="15" t="s">
        <v>3395</v>
      </c>
      <c r="C1081" s="15"/>
      <c r="D1081" s="69"/>
      <c r="E1081" s="76">
        <v>0</v>
      </c>
      <c r="F1081" s="69" t="s">
        <v>2960</v>
      </c>
      <c r="G1081" s="132" t="s">
        <v>2961</v>
      </c>
      <c r="H1081" s="15">
        <v>9013000122</v>
      </c>
      <c r="I1081" s="92" t="s">
        <v>593</v>
      </c>
      <c r="J1081" s="92">
        <v>1202020101</v>
      </c>
      <c r="K1081" s="35" t="s">
        <v>3396</v>
      </c>
      <c r="L1081" s="95" t="s">
        <v>3397</v>
      </c>
      <c r="M1081" s="69" t="s">
        <v>3391</v>
      </c>
      <c r="N1081" s="69"/>
      <c r="O1081" s="94">
        <v>2</v>
      </c>
      <c r="P1081" s="69" t="s">
        <v>50</v>
      </c>
      <c r="Q1081" s="69" t="s">
        <v>51</v>
      </c>
      <c r="R1081" s="69"/>
      <c r="S1081" s="46">
        <v>45557</v>
      </c>
      <c r="T1081" s="48">
        <v>45557</v>
      </c>
      <c r="U1081" s="69"/>
      <c r="V1081" s="69"/>
      <c r="W1081" s="69"/>
      <c r="X1081" s="69"/>
      <c r="Y1081" s="69" t="s">
        <v>4130</v>
      </c>
      <c r="Z1081" s="43">
        <v>140000</v>
      </c>
      <c r="AA1081" s="43" t="s">
        <v>52</v>
      </c>
      <c r="AB1081" s="43" t="s">
        <v>53</v>
      </c>
      <c r="AC1081" s="43">
        <v>1460</v>
      </c>
      <c r="AD1081" s="141">
        <v>4</v>
      </c>
      <c r="AE1081" s="142">
        <v>0</v>
      </c>
      <c r="AF1081" s="142"/>
      <c r="AG1081" s="69" t="str">
        <f t="shared" si="572"/>
        <v>0 years 101 days</v>
      </c>
      <c r="AH1081" s="69">
        <v>0</v>
      </c>
      <c r="AI1081" s="69">
        <v>101</v>
      </c>
      <c r="AJ1081" s="69">
        <v>0</v>
      </c>
      <c r="AK1081" s="69">
        <v>0</v>
      </c>
      <c r="AL1081" s="60">
        <v>140000</v>
      </c>
      <c r="AM1081" s="60">
        <f t="shared" si="573"/>
        <v>140000</v>
      </c>
      <c r="AN1081" s="59">
        <v>9685</v>
      </c>
      <c r="AO1081" s="148">
        <f t="shared" si="574"/>
        <v>-9685</v>
      </c>
      <c r="AP1081" s="58">
        <v>17356.095890410958</v>
      </c>
      <c r="AQ1081" s="143">
        <f t="shared" si="575"/>
        <v>-17356.099999999999</v>
      </c>
    </row>
    <row r="1082" spans="1:43" x14ac:dyDescent="0.35">
      <c r="A1082" s="69" t="s">
        <v>43</v>
      </c>
      <c r="B1082" s="15" t="s">
        <v>3398</v>
      </c>
      <c r="C1082" s="15"/>
      <c r="D1082" s="69"/>
      <c r="E1082" s="76">
        <v>0</v>
      </c>
      <c r="F1082" s="69" t="s">
        <v>2960</v>
      </c>
      <c r="G1082" s="132" t="s">
        <v>2961</v>
      </c>
      <c r="H1082" s="15">
        <v>9013000123</v>
      </c>
      <c r="I1082" s="92" t="s">
        <v>593</v>
      </c>
      <c r="J1082" s="92">
        <v>1202020101</v>
      </c>
      <c r="K1082" s="35" t="s">
        <v>3399</v>
      </c>
      <c r="L1082" s="95" t="s">
        <v>3400</v>
      </c>
      <c r="M1082" s="69" t="s">
        <v>49</v>
      </c>
      <c r="N1082" s="69"/>
      <c r="O1082" s="94">
        <v>1</v>
      </c>
      <c r="P1082" s="69" t="s">
        <v>50</v>
      </c>
      <c r="Q1082" s="69" t="s">
        <v>51</v>
      </c>
      <c r="R1082" s="69"/>
      <c r="S1082" s="46">
        <v>45107</v>
      </c>
      <c r="T1082" s="48">
        <v>45107</v>
      </c>
      <c r="U1082" s="69"/>
      <c r="V1082" s="69"/>
      <c r="W1082" s="69"/>
      <c r="X1082" s="69"/>
      <c r="Y1082" s="69" t="s">
        <v>4129</v>
      </c>
      <c r="Z1082" s="43">
        <v>1621600</v>
      </c>
      <c r="AA1082" s="43" t="s">
        <v>52</v>
      </c>
      <c r="AB1082" s="43" t="s">
        <v>53</v>
      </c>
      <c r="AC1082" s="43">
        <v>1460</v>
      </c>
      <c r="AD1082" s="141">
        <v>4</v>
      </c>
      <c r="AE1082" s="142">
        <v>0</v>
      </c>
      <c r="AF1082" s="142"/>
      <c r="AG1082" s="69" t="str">
        <f t="shared" ref="AG1082:AG1085" si="576">_xlfn.CONCAT(AH1082," years ",AI1082," days")</f>
        <v>1 years 186 days</v>
      </c>
      <c r="AH1082" s="69">
        <v>1</v>
      </c>
      <c r="AI1082" s="69">
        <v>186</v>
      </c>
      <c r="AJ1082" s="69">
        <v>0</v>
      </c>
      <c r="AK1082" s="69">
        <v>0</v>
      </c>
      <c r="AL1082" s="60">
        <v>1621600</v>
      </c>
      <c r="AM1082" s="60">
        <f t="shared" ref="AM1082:AM1085" si="577">ROUND(AL1082,2)</f>
        <v>1621600</v>
      </c>
      <c r="AN1082" s="59">
        <v>1621600</v>
      </c>
      <c r="AO1082" s="148">
        <f t="shared" ref="AO1082:AO1085" si="578">ROUND(AN1082,2)*-1</f>
        <v>-1621600</v>
      </c>
      <c r="AP1082" s="58">
        <v>0</v>
      </c>
      <c r="AQ1082" s="143">
        <f t="shared" ref="AQ1082:AQ1085" si="579">ROUND(AP1082,2)*-1</f>
        <v>0</v>
      </c>
    </row>
    <row r="1083" spans="1:43" x14ac:dyDescent="0.35">
      <c r="A1083" s="69" t="s">
        <v>43</v>
      </c>
      <c r="B1083" s="15" t="s">
        <v>3401</v>
      </c>
      <c r="C1083" s="15"/>
      <c r="D1083" s="69"/>
      <c r="E1083" s="76">
        <v>0</v>
      </c>
      <c r="F1083" s="69" t="s">
        <v>2960</v>
      </c>
      <c r="G1083" s="132" t="s">
        <v>2961</v>
      </c>
      <c r="H1083" s="15">
        <v>9013000124</v>
      </c>
      <c r="I1083" s="92" t="s">
        <v>593</v>
      </c>
      <c r="J1083" s="92">
        <v>1202020101</v>
      </c>
      <c r="K1083" s="35" t="s">
        <v>3402</v>
      </c>
      <c r="L1083" s="95" t="s">
        <v>3403</v>
      </c>
      <c r="M1083" s="69" t="s">
        <v>3404</v>
      </c>
      <c r="N1083" s="69"/>
      <c r="O1083" s="94">
        <v>1</v>
      </c>
      <c r="P1083" s="69" t="s">
        <v>50</v>
      </c>
      <c r="Q1083" s="69" t="s">
        <v>51</v>
      </c>
      <c r="R1083" s="69"/>
      <c r="S1083" s="46">
        <v>43873</v>
      </c>
      <c r="T1083" s="48">
        <v>43873</v>
      </c>
      <c r="U1083" s="69"/>
      <c r="V1083" s="69"/>
      <c r="W1083" s="69"/>
      <c r="X1083" s="69"/>
      <c r="Y1083" s="69" t="s">
        <v>4127</v>
      </c>
      <c r="Z1083" s="43">
        <v>135000</v>
      </c>
      <c r="AA1083" s="43" t="s">
        <v>52</v>
      </c>
      <c r="AB1083" s="43" t="s">
        <v>53</v>
      </c>
      <c r="AC1083" s="43">
        <v>1460</v>
      </c>
      <c r="AD1083" s="141">
        <v>4</v>
      </c>
      <c r="AE1083" s="142">
        <v>0</v>
      </c>
      <c r="AF1083" s="142"/>
      <c r="AG1083" s="69" t="str">
        <f t="shared" si="576"/>
        <v>4 years 0 days</v>
      </c>
      <c r="AH1083" s="69">
        <v>4</v>
      </c>
      <c r="AI1083" s="69">
        <v>0</v>
      </c>
      <c r="AJ1083" s="69">
        <v>0</v>
      </c>
      <c r="AK1083" s="69">
        <v>0</v>
      </c>
      <c r="AL1083" s="60">
        <v>135000</v>
      </c>
      <c r="AM1083" s="60">
        <f t="shared" si="577"/>
        <v>135000</v>
      </c>
      <c r="AN1083" s="59">
        <v>135000</v>
      </c>
      <c r="AO1083" s="148">
        <f t="shared" si="578"/>
        <v>-135000</v>
      </c>
      <c r="AP1083" s="58">
        <v>0</v>
      </c>
      <c r="AQ1083" s="143">
        <f t="shared" si="579"/>
        <v>0</v>
      </c>
    </row>
    <row r="1084" spans="1:43" x14ac:dyDescent="0.35">
      <c r="A1084" s="69" t="s">
        <v>43</v>
      </c>
      <c r="B1084" s="15" t="s">
        <v>3405</v>
      </c>
      <c r="C1084" s="15"/>
      <c r="D1084" s="69"/>
      <c r="E1084" s="76">
        <v>0</v>
      </c>
      <c r="F1084" s="69" t="s">
        <v>2960</v>
      </c>
      <c r="G1084" s="132" t="s">
        <v>2961</v>
      </c>
      <c r="H1084" s="15">
        <v>9013000125</v>
      </c>
      <c r="I1084" s="92" t="s">
        <v>593</v>
      </c>
      <c r="J1084" s="92">
        <v>1202020101</v>
      </c>
      <c r="K1084" s="35" t="s">
        <v>3406</v>
      </c>
      <c r="L1084" s="95" t="s">
        <v>3407</v>
      </c>
      <c r="M1084" s="69" t="s">
        <v>3408</v>
      </c>
      <c r="N1084" s="69"/>
      <c r="O1084" s="94">
        <v>1</v>
      </c>
      <c r="P1084" s="69" t="s">
        <v>50</v>
      </c>
      <c r="Q1084" s="69" t="s">
        <v>51</v>
      </c>
      <c r="R1084" s="69"/>
      <c r="S1084" s="46">
        <v>45672</v>
      </c>
      <c r="T1084" s="48">
        <v>45672</v>
      </c>
      <c r="U1084" s="69"/>
      <c r="V1084" s="69"/>
      <c r="W1084" s="69"/>
      <c r="X1084" s="69"/>
      <c r="Y1084" s="69" t="s">
        <v>4132</v>
      </c>
      <c r="Z1084" s="43">
        <v>115000</v>
      </c>
      <c r="AA1084" s="43" t="s">
        <v>52</v>
      </c>
      <c r="AB1084" s="43" t="s">
        <v>53</v>
      </c>
      <c r="AC1084" s="43">
        <v>1460</v>
      </c>
      <c r="AD1084" s="141">
        <v>4</v>
      </c>
      <c r="AE1084" s="142">
        <v>0</v>
      </c>
      <c r="AF1084" s="142"/>
      <c r="AG1084" s="69" t="str">
        <f t="shared" si="576"/>
        <v>0 years 0 days</v>
      </c>
      <c r="AH1084" s="69">
        <v>0</v>
      </c>
      <c r="AI1084" s="69">
        <v>0</v>
      </c>
      <c r="AJ1084" s="69">
        <v>0</v>
      </c>
      <c r="AK1084" s="69">
        <v>0</v>
      </c>
      <c r="AL1084" s="60">
        <v>115000</v>
      </c>
      <c r="AM1084" s="60">
        <f t="shared" si="577"/>
        <v>115000</v>
      </c>
      <c r="AN1084" s="59">
        <v>0</v>
      </c>
      <c r="AO1084" s="148">
        <f t="shared" si="578"/>
        <v>0</v>
      </c>
      <c r="AP1084" s="58">
        <v>13154.109589041096</v>
      </c>
      <c r="AQ1084" s="143">
        <f t="shared" si="579"/>
        <v>-13154.11</v>
      </c>
    </row>
    <row r="1085" spans="1:43" x14ac:dyDescent="0.35">
      <c r="A1085" s="69" t="s">
        <v>43</v>
      </c>
      <c r="B1085" s="15" t="s">
        <v>3409</v>
      </c>
      <c r="C1085" s="15"/>
      <c r="D1085" s="69"/>
      <c r="E1085" s="76">
        <v>0</v>
      </c>
      <c r="F1085" s="69" t="s">
        <v>2960</v>
      </c>
      <c r="G1085" s="132" t="s">
        <v>2961</v>
      </c>
      <c r="H1085" s="15">
        <v>9013000126</v>
      </c>
      <c r="I1085" s="92" t="s">
        <v>593</v>
      </c>
      <c r="J1085" s="92">
        <v>1202020101</v>
      </c>
      <c r="K1085" s="35" t="s">
        <v>3410</v>
      </c>
      <c r="L1085" s="95" t="s">
        <v>3411</v>
      </c>
      <c r="M1085" s="69" t="s">
        <v>3412</v>
      </c>
      <c r="N1085" s="69"/>
      <c r="O1085" s="94">
        <v>1</v>
      </c>
      <c r="P1085" s="69" t="s">
        <v>50</v>
      </c>
      <c r="Q1085" s="69" t="s">
        <v>51</v>
      </c>
      <c r="R1085" s="69"/>
      <c r="S1085" s="46">
        <v>45536</v>
      </c>
      <c r="T1085" s="48">
        <v>45536</v>
      </c>
      <c r="U1085" s="69"/>
      <c r="V1085" s="69"/>
      <c r="W1085" s="69"/>
      <c r="X1085" s="69"/>
      <c r="Y1085" s="69" t="s">
        <v>4130</v>
      </c>
      <c r="Z1085" s="43">
        <v>120500</v>
      </c>
      <c r="AA1085" s="43" t="s">
        <v>52</v>
      </c>
      <c r="AB1085" s="43" t="s">
        <v>53</v>
      </c>
      <c r="AC1085" s="43">
        <v>1460</v>
      </c>
      <c r="AD1085" s="141">
        <v>4</v>
      </c>
      <c r="AE1085" s="142">
        <v>0</v>
      </c>
      <c r="AF1085" s="142"/>
      <c r="AG1085" s="69" t="str">
        <f t="shared" si="576"/>
        <v>0 years 122 days</v>
      </c>
      <c r="AH1085" s="69">
        <v>0</v>
      </c>
      <c r="AI1085" s="69">
        <v>122</v>
      </c>
      <c r="AJ1085" s="69">
        <v>0</v>
      </c>
      <c r="AK1085" s="69">
        <v>0</v>
      </c>
      <c r="AL1085" s="60">
        <v>120500</v>
      </c>
      <c r="AM1085" s="60">
        <f t="shared" si="577"/>
        <v>120500</v>
      </c>
      <c r="AN1085" s="59">
        <v>10069</v>
      </c>
      <c r="AO1085" s="148">
        <f t="shared" si="578"/>
        <v>-10069</v>
      </c>
      <c r="AP1085" s="58">
        <v>14938.876712328769</v>
      </c>
      <c r="AQ1085" s="143">
        <f t="shared" si="579"/>
        <v>-14938.88</v>
      </c>
    </row>
    <row r="1086" spans="1:43" x14ac:dyDescent="0.35">
      <c r="A1086" s="69" t="s">
        <v>43</v>
      </c>
      <c r="B1086" s="15" t="s">
        <v>3413</v>
      </c>
      <c r="C1086" s="15"/>
      <c r="D1086" s="69"/>
      <c r="E1086" s="76">
        <v>0</v>
      </c>
      <c r="F1086" s="69" t="s">
        <v>2960</v>
      </c>
      <c r="G1086" s="132" t="s">
        <v>2961</v>
      </c>
      <c r="H1086" s="15">
        <v>9013000127</v>
      </c>
      <c r="I1086" s="92" t="s">
        <v>593</v>
      </c>
      <c r="J1086" s="92">
        <v>1202020101</v>
      </c>
      <c r="K1086" s="35" t="s">
        <v>3414</v>
      </c>
      <c r="L1086" s="95" t="s">
        <v>3415</v>
      </c>
      <c r="M1086" s="69" t="s">
        <v>3416</v>
      </c>
      <c r="N1086" s="69"/>
      <c r="O1086" s="94">
        <v>1</v>
      </c>
      <c r="P1086" s="69" t="s">
        <v>50</v>
      </c>
      <c r="Q1086" s="69" t="s">
        <v>51</v>
      </c>
      <c r="R1086" s="69"/>
      <c r="S1086" s="46">
        <v>45107</v>
      </c>
      <c r="T1086" s="48">
        <v>45107</v>
      </c>
      <c r="U1086" s="69"/>
      <c r="V1086" s="69"/>
      <c r="W1086" s="69"/>
      <c r="X1086" s="69"/>
      <c r="Y1086" s="69" t="s">
        <v>4129</v>
      </c>
      <c r="Z1086" s="43">
        <v>1618800</v>
      </c>
      <c r="AA1086" s="43" t="s">
        <v>52</v>
      </c>
      <c r="AB1086" s="43" t="s">
        <v>53</v>
      </c>
      <c r="AC1086" s="43">
        <v>1460</v>
      </c>
      <c r="AD1086" s="141">
        <v>4</v>
      </c>
      <c r="AE1086" s="142">
        <v>0</v>
      </c>
      <c r="AF1086" s="142"/>
      <c r="AG1086" s="69" t="str">
        <f t="shared" ref="AG1086:AG1087" si="580">_xlfn.CONCAT(AH1086," years ",AI1086," days")</f>
        <v>1 years 186 days</v>
      </c>
      <c r="AH1086" s="69">
        <v>1</v>
      </c>
      <c r="AI1086" s="69">
        <v>186</v>
      </c>
      <c r="AJ1086" s="69">
        <v>0</v>
      </c>
      <c r="AK1086" s="69">
        <v>0</v>
      </c>
      <c r="AL1086" s="60">
        <v>1618800</v>
      </c>
      <c r="AM1086" s="60">
        <f t="shared" ref="AM1086:AM1087" si="581">ROUND(AL1086,2)</f>
        <v>1618800</v>
      </c>
      <c r="AN1086" s="59">
        <v>1618800</v>
      </c>
      <c r="AO1086" s="148">
        <f t="shared" ref="AO1086:AO1087" si="582">ROUND(AN1086,2)*-1</f>
        <v>-1618800</v>
      </c>
      <c r="AP1086" s="58">
        <v>0</v>
      </c>
      <c r="AQ1086" s="143">
        <f t="shared" ref="AQ1086:AQ1087" si="583">ROUND(AP1086,2)*-1</f>
        <v>0</v>
      </c>
    </row>
    <row r="1087" spans="1:43" x14ac:dyDescent="0.35">
      <c r="A1087" s="69" t="s">
        <v>43</v>
      </c>
      <c r="B1087" s="15" t="s">
        <v>3417</v>
      </c>
      <c r="C1087" s="15"/>
      <c r="D1087" s="69"/>
      <c r="E1087" s="76">
        <v>0</v>
      </c>
      <c r="F1087" s="69" t="s">
        <v>2960</v>
      </c>
      <c r="G1087" s="132" t="s">
        <v>2961</v>
      </c>
      <c r="H1087" s="15">
        <v>9013000128</v>
      </c>
      <c r="I1087" s="92" t="s">
        <v>593</v>
      </c>
      <c r="J1087" s="92">
        <v>1202020101</v>
      </c>
      <c r="K1087" s="35" t="s">
        <v>3418</v>
      </c>
      <c r="L1087" s="95" t="s">
        <v>3419</v>
      </c>
      <c r="M1087" s="69" t="s">
        <v>3420</v>
      </c>
      <c r="N1087" s="69"/>
      <c r="O1087" s="94">
        <v>1</v>
      </c>
      <c r="P1087" s="69" t="s">
        <v>50</v>
      </c>
      <c r="Q1087" s="69" t="s">
        <v>51</v>
      </c>
      <c r="R1087" s="69"/>
      <c r="S1087" s="46">
        <v>45597</v>
      </c>
      <c r="T1087" s="48">
        <v>45597</v>
      </c>
      <c r="U1087" s="69"/>
      <c r="V1087" s="69"/>
      <c r="W1087" s="69"/>
      <c r="X1087" s="69"/>
      <c r="Y1087" s="69" t="s">
        <v>4130</v>
      </c>
      <c r="Z1087" s="43">
        <v>140000</v>
      </c>
      <c r="AA1087" s="43" t="s">
        <v>52</v>
      </c>
      <c r="AB1087" s="43" t="s">
        <v>53</v>
      </c>
      <c r="AC1087" s="43">
        <v>1460</v>
      </c>
      <c r="AD1087" s="141">
        <v>4</v>
      </c>
      <c r="AE1087" s="142">
        <v>0</v>
      </c>
      <c r="AF1087" s="142"/>
      <c r="AG1087" s="69" t="str">
        <f t="shared" si="580"/>
        <v>0 years 61 days</v>
      </c>
      <c r="AH1087" s="69">
        <v>0</v>
      </c>
      <c r="AI1087" s="69">
        <v>61</v>
      </c>
      <c r="AJ1087" s="69">
        <v>0</v>
      </c>
      <c r="AK1087" s="69">
        <v>0</v>
      </c>
      <c r="AL1087" s="60">
        <v>140000</v>
      </c>
      <c r="AM1087" s="60">
        <f t="shared" si="581"/>
        <v>140000</v>
      </c>
      <c r="AN1087" s="59">
        <v>5849</v>
      </c>
      <c r="AO1087" s="148">
        <f t="shared" si="582"/>
        <v>-5849</v>
      </c>
      <c r="AP1087" s="58">
        <v>17356.479452054795</v>
      </c>
      <c r="AQ1087" s="143">
        <f t="shared" si="583"/>
        <v>-17356.48</v>
      </c>
    </row>
    <row r="1088" spans="1:43" x14ac:dyDescent="0.35">
      <c r="A1088" s="69" t="s">
        <v>43</v>
      </c>
      <c r="B1088" s="15" t="s">
        <v>3421</v>
      </c>
      <c r="C1088" s="15"/>
      <c r="D1088" s="69"/>
      <c r="E1088" s="76">
        <v>0</v>
      </c>
      <c r="F1088" s="69" t="s">
        <v>2960</v>
      </c>
      <c r="G1088" s="132" t="s">
        <v>2961</v>
      </c>
      <c r="H1088" s="15">
        <v>9013000129</v>
      </c>
      <c r="I1088" s="92" t="s">
        <v>593</v>
      </c>
      <c r="J1088" s="92">
        <v>1202020101</v>
      </c>
      <c r="K1088" s="35" t="s">
        <v>3422</v>
      </c>
      <c r="L1088" s="95" t="s">
        <v>3423</v>
      </c>
      <c r="M1088" s="69" t="s">
        <v>49</v>
      </c>
      <c r="N1088" s="69"/>
      <c r="O1088" s="94">
        <v>1</v>
      </c>
      <c r="P1088" s="69" t="s">
        <v>50</v>
      </c>
      <c r="Q1088" s="69" t="s">
        <v>51</v>
      </c>
      <c r="R1088" s="69"/>
      <c r="S1088" s="46">
        <v>43316</v>
      </c>
      <c r="T1088" s="48">
        <v>43316</v>
      </c>
      <c r="U1088" s="69"/>
      <c r="V1088" s="69"/>
      <c r="W1088" s="69"/>
      <c r="X1088" s="69"/>
      <c r="Y1088" s="69" t="s">
        <v>4125</v>
      </c>
      <c r="Z1088" s="43">
        <v>1621600</v>
      </c>
      <c r="AA1088" s="43" t="s">
        <v>52</v>
      </c>
      <c r="AB1088" s="43" t="s">
        <v>53</v>
      </c>
      <c r="AC1088" s="43">
        <v>1460</v>
      </c>
      <c r="AD1088" s="141">
        <v>4</v>
      </c>
      <c r="AE1088" s="142">
        <v>0</v>
      </c>
      <c r="AF1088" s="142"/>
      <c r="AG1088" s="69" t="str">
        <f t="shared" ref="AG1088:AG1089" si="584">_xlfn.CONCAT(AH1088," years ",AI1088," days")</f>
        <v>4 years 0 days</v>
      </c>
      <c r="AH1088" s="69">
        <v>4</v>
      </c>
      <c r="AI1088" s="69">
        <v>0</v>
      </c>
      <c r="AJ1088" s="69">
        <v>0</v>
      </c>
      <c r="AK1088" s="69">
        <v>0</v>
      </c>
      <c r="AL1088" s="60">
        <v>1621600</v>
      </c>
      <c r="AM1088" s="60">
        <f t="shared" ref="AM1088:AM1089" si="585">ROUND(AL1088,2)</f>
        <v>1621600</v>
      </c>
      <c r="AN1088" s="59">
        <v>1621600</v>
      </c>
      <c r="AO1088" s="148">
        <f t="shared" ref="AO1088:AO1089" si="586">ROUND(AN1088,2)*-1</f>
        <v>-1621600</v>
      </c>
      <c r="AP1088" s="58">
        <v>0</v>
      </c>
      <c r="AQ1088" s="143">
        <f t="shared" ref="AQ1088:AQ1089" si="587">ROUND(AP1088,2)*-1</f>
        <v>0</v>
      </c>
    </row>
    <row r="1089" spans="1:43" x14ac:dyDescent="0.35">
      <c r="A1089" s="69" t="s">
        <v>43</v>
      </c>
      <c r="B1089" s="15" t="s">
        <v>3424</v>
      </c>
      <c r="C1089" s="15"/>
      <c r="D1089" s="69"/>
      <c r="E1089" s="76">
        <v>0</v>
      </c>
      <c r="F1089" s="69" t="s">
        <v>2960</v>
      </c>
      <c r="G1089" s="132" t="s">
        <v>2961</v>
      </c>
      <c r="H1089" s="15">
        <v>9013000130</v>
      </c>
      <c r="I1089" s="92" t="s">
        <v>593</v>
      </c>
      <c r="J1089" s="92">
        <v>1202020101</v>
      </c>
      <c r="K1089" s="35" t="s">
        <v>3422</v>
      </c>
      <c r="L1089" s="95" t="s">
        <v>3425</v>
      </c>
      <c r="M1089" s="69" t="s">
        <v>3420</v>
      </c>
      <c r="N1089" s="69"/>
      <c r="O1089" s="94">
        <v>1</v>
      </c>
      <c r="P1089" s="69" t="s">
        <v>50</v>
      </c>
      <c r="Q1089" s="69" t="s">
        <v>51</v>
      </c>
      <c r="R1089" s="69"/>
      <c r="S1089" s="46">
        <v>45597</v>
      </c>
      <c r="T1089" s="48">
        <v>45597</v>
      </c>
      <c r="U1089" s="69"/>
      <c r="V1089" s="69"/>
      <c r="W1089" s="69"/>
      <c r="X1089" s="69"/>
      <c r="Y1089" s="69" t="s">
        <v>4130</v>
      </c>
      <c r="Z1089" s="43">
        <v>140000</v>
      </c>
      <c r="AA1089" s="43" t="s">
        <v>52</v>
      </c>
      <c r="AB1089" s="43" t="s">
        <v>53</v>
      </c>
      <c r="AC1089" s="43">
        <v>1460</v>
      </c>
      <c r="AD1089" s="141">
        <v>4</v>
      </c>
      <c r="AE1089" s="142">
        <v>0</v>
      </c>
      <c r="AF1089" s="142"/>
      <c r="AG1089" s="69" t="str">
        <f t="shared" si="584"/>
        <v>0 years 61 days</v>
      </c>
      <c r="AH1089" s="69">
        <v>0</v>
      </c>
      <c r="AI1089" s="69">
        <v>61</v>
      </c>
      <c r="AJ1089" s="69">
        <v>0</v>
      </c>
      <c r="AK1089" s="69">
        <v>0</v>
      </c>
      <c r="AL1089" s="60">
        <v>140000</v>
      </c>
      <c r="AM1089" s="60">
        <f t="shared" si="585"/>
        <v>140000</v>
      </c>
      <c r="AN1089" s="59">
        <v>5849</v>
      </c>
      <c r="AO1089" s="148">
        <f t="shared" si="586"/>
        <v>-5849</v>
      </c>
      <c r="AP1089" s="58">
        <v>17356.479452054795</v>
      </c>
      <c r="AQ1089" s="143">
        <f t="shared" si="587"/>
        <v>-17356.48</v>
      </c>
    </row>
    <row r="1090" spans="1:43" x14ac:dyDescent="0.35">
      <c r="A1090" s="69" t="s">
        <v>43</v>
      </c>
      <c r="B1090" s="15" t="s">
        <v>3426</v>
      </c>
      <c r="C1090" s="15"/>
      <c r="D1090" s="69"/>
      <c r="E1090" s="76">
        <v>0</v>
      </c>
      <c r="F1090" s="69" t="s">
        <v>2960</v>
      </c>
      <c r="G1090" s="132" t="s">
        <v>2961</v>
      </c>
      <c r="H1090" s="15">
        <v>9013000131</v>
      </c>
      <c r="I1090" s="92" t="s">
        <v>593</v>
      </c>
      <c r="J1090" s="92">
        <v>1202020101</v>
      </c>
      <c r="K1090" s="35" t="s">
        <v>3427</v>
      </c>
      <c r="L1090" s="95" t="s">
        <v>3428</v>
      </c>
      <c r="M1090" s="69" t="s">
        <v>3429</v>
      </c>
      <c r="N1090" s="69"/>
      <c r="O1090" s="94">
        <v>1</v>
      </c>
      <c r="P1090" s="69" t="s">
        <v>50</v>
      </c>
      <c r="Q1090" s="69" t="s">
        <v>51</v>
      </c>
      <c r="R1090" s="69"/>
      <c r="S1090" s="46">
        <v>44790</v>
      </c>
      <c r="T1090" s="48">
        <v>44790</v>
      </c>
      <c r="U1090" s="69"/>
      <c r="V1090" s="69"/>
      <c r="W1090" s="69"/>
      <c r="X1090" s="69"/>
      <c r="Y1090" s="69" t="s">
        <v>4131</v>
      </c>
      <c r="Z1090" s="43">
        <v>1618800</v>
      </c>
      <c r="AA1090" s="43" t="s">
        <v>52</v>
      </c>
      <c r="AB1090" s="43" t="s">
        <v>53</v>
      </c>
      <c r="AC1090" s="43">
        <v>1460</v>
      </c>
      <c r="AD1090" s="141">
        <v>4</v>
      </c>
      <c r="AE1090" s="142">
        <v>0</v>
      </c>
      <c r="AF1090" s="142"/>
      <c r="AG1090" s="69" t="str">
        <f t="shared" ref="AG1090:AG1091" si="588">_xlfn.CONCAT(AH1090," years ",AI1090," days")</f>
        <v>2 years 138 days</v>
      </c>
      <c r="AH1090" s="69">
        <v>2</v>
      </c>
      <c r="AI1090" s="69">
        <v>138</v>
      </c>
      <c r="AJ1090" s="69">
        <v>0</v>
      </c>
      <c r="AK1090" s="69">
        <v>0</v>
      </c>
      <c r="AL1090" s="60">
        <v>1618800</v>
      </c>
      <c r="AM1090" s="60">
        <f t="shared" ref="AM1090:AM1091" si="589">ROUND(AL1090,2)</f>
        <v>1618800</v>
      </c>
      <c r="AN1090" s="59">
        <v>1618800</v>
      </c>
      <c r="AO1090" s="148">
        <f t="shared" ref="AO1090:AO1091" si="590">ROUND(AN1090,2)*-1</f>
        <v>-1618800</v>
      </c>
      <c r="AP1090" s="58">
        <v>0</v>
      </c>
      <c r="AQ1090" s="143">
        <f t="shared" ref="AQ1090:AQ1091" si="591">ROUND(AP1090,2)*-1</f>
        <v>0</v>
      </c>
    </row>
    <row r="1091" spans="1:43" x14ac:dyDescent="0.35">
      <c r="A1091" s="69" t="s">
        <v>43</v>
      </c>
      <c r="B1091" s="15" t="s">
        <v>3430</v>
      </c>
      <c r="C1091" s="15"/>
      <c r="D1091" s="69"/>
      <c r="E1091" s="76">
        <v>0</v>
      </c>
      <c r="F1091" s="69" t="s">
        <v>2960</v>
      </c>
      <c r="G1091" s="132" t="s">
        <v>2961</v>
      </c>
      <c r="H1091" s="15">
        <v>9013000132</v>
      </c>
      <c r="I1091" s="92" t="s">
        <v>593</v>
      </c>
      <c r="J1091" s="92">
        <v>1202020101</v>
      </c>
      <c r="K1091" s="35" t="s">
        <v>3431</v>
      </c>
      <c r="L1091" s="95" t="s">
        <v>3432</v>
      </c>
      <c r="M1091" s="69" t="s">
        <v>3433</v>
      </c>
      <c r="N1091" s="69"/>
      <c r="O1091" s="94">
        <v>1</v>
      </c>
      <c r="P1091" s="69" t="s">
        <v>50</v>
      </c>
      <c r="Q1091" s="69" t="s">
        <v>51</v>
      </c>
      <c r="R1091" s="69"/>
      <c r="S1091" s="46">
        <v>45645</v>
      </c>
      <c r="T1091" s="48">
        <v>45645</v>
      </c>
      <c r="U1091" s="69"/>
      <c r="V1091" s="69"/>
      <c r="W1091" s="69"/>
      <c r="X1091" s="69"/>
      <c r="Y1091" s="69" t="s">
        <v>4130</v>
      </c>
      <c r="Z1091" s="43">
        <v>165000</v>
      </c>
      <c r="AA1091" s="43" t="s">
        <v>52</v>
      </c>
      <c r="AB1091" s="43" t="s">
        <v>53</v>
      </c>
      <c r="AC1091" s="43">
        <v>1460</v>
      </c>
      <c r="AD1091" s="141">
        <v>4</v>
      </c>
      <c r="AE1091" s="142">
        <v>0</v>
      </c>
      <c r="AF1091" s="142"/>
      <c r="AG1091" s="69" t="str">
        <f t="shared" si="588"/>
        <v>0 years 13 days</v>
      </c>
      <c r="AH1091" s="69">
        <v>0</v>
      </c>
      <c r="AI1091" s="69">
        <v>13</v>
      </c>
      <c r="AJ1091" s="69">
        <v>0</v>
      </c>
      <c r="AK1091" s="69">
        <v>0</v>
      </c>
      <c r="AL1091" s="60">
        <v>165000</v>
      </c>
      <c r="AM1091" s="60">
        <f t="shared" si="589"/>
        <v>165000</v>
      </c>
      <c r="AN1091" s="59">
        <v>1469</v>
      </c>
      <c r="AO1091" s="148">
        <f t="shared" si="590"/>
        <v>-1469</v>
      </c>
      <c r="AP1091" s="58">
        <v>20455.657534246573</v>
      </c>
      <c r="AQ1091" s="143">
        <f t="shared" si="591"/>
        <v>-20455.66</v>
      </c>
    </row>
    <row r="1092" spans="1:43" x14ac:dyDescent="0.35">
      <c r="A1092" s="69" t="s">
        <v>43</v>
      </c>
      <c r="B1092" s="15" t="s">
        <v>3434</v>
      </c>
      <c r="C1092" s="15"/>
      <c r="D1092" s="69"/>
      <c r="E1092" s="76">
        <v>0</v>
      </c>
      <c r="F1092" s="69" t="s">
        <v>2960</v>
      </c>
      <c r="G1092" s="132" t="s">
        <v>2961</v>
      </c>
      <c r="H1092" s="15">
        <v>9013000133</v>
      </c>
      <c r="I1092" s="92" t="s">
        <v>593</v>
      </c>
      <c r="J1092" s="92">
        <v>1202020101</v>
      </c>
      <c r="K1092" s="35" t="s">
        <v>3435</v>
      </c>
      <c r="L1092" s="95" t="s">
        <v>3436</v>
      </c>
      <c r="M1092" s="69" t="s">
        <v>3437</v>
      </c>
      <c r="N1092" s="69"/>
      <c r="O1092" s="94">
        <v>1</v>
      </c>
      <c r="P1092" s="69" t="s">
        <v>50</v>
      </c>
      <c r="Q1092" s="69" t="s">
        <v>51</v>
      </c>
      <c r="R1092" s="69"/>
      <c r="S1092" s="46">
        <v>43502</v>
      </c>
      <c r="T1092" s="48">
        <v>43502</v>
      </c>
      <c r="U1092" s="69"/>
      <c r="V1092" s="69"/>
      <c r="W1092" s="69"/>
      <c r="X1092" s="69"/>
      <c r="Y1092" s="69" t="s">
        <v>4126</v>
      </c>
      <c r="Z1092" s="43">
        <v>1050000</v>
      </c>
      <c r="AA1092" s="43" t="s">
        <v>52</v>
      </c>
      <c r="AB1092" s="43" t="s">
        <v>53</v>
      </c>
      <c r="AC1092" s="43">
        <v>1460</v>
      </c>
      <c r="AD1092" s="141">
        <v>4</v>
      </c>
      <c r="AE1092" s="142">
        <v>0</v>
      </c>
      <c r="AF1092" s="142"/>
      <c r="AG1092" s="69" t="str">
        <f t="shared" ref="AG1092:AG1093" si="592">_xlfn.CONCAT(AH1092," years ",AI1092," days")</f>
        <v>4 years 0 days</v>
      </c>
      <c r="AH1092" s="69">
        <v>4</v>
      </c>
      <c r="AI1092" s="69">
        <v>0</v>
      </c>
      <c r="AJ1092" s="69">
        <v>0</v>
      </c>
      <c r="AK1092" s="69">
        <v>0</v>
      </c>
      <c r="AL1092" s="60">
        <v>1050000</v>
      </c>
      <c r="AM1092" s="60">
        <f t="shared" ref="AM1092:AM1093" si="593">ROUND(AL1092,2)</f>
        <v>1050000</v>
      </c>
      <c r="AN1092" s="59">
        <v>1050000</v>
      </c>
      <c r="AO1092" s="148">
        <f t="shared" ref="AO1092:AO1093" si="594">ROUND(AN1092,2)*-1</f>
        <v>-1050000</v>
      </c>
      <c r="AP1092" s="58">
        <v>0</v>
      </c>
      <c r="AQ1092" s="143">
        <f t="shared" ref="AQ1092:AQ1093" si="595">ROUND(AP1092,2)*-1</f>
        <v>0</v>
      </c>
    </row>
    <row r="1093" spans="1:43" x14ac:dyDescent="0.35">
      <c r="A1093" s="69" t="s">
        <v>43</v>
      </c>
      <c r="B1093" s="15" t="s">
        <v>3438</v>
      </c>
      <c r="C1093" s="15"/>
      <c r="D1093" s="69"/>
      <c r="E1093" s="76">
        <v>0</v>
      </c>
      <c r="F1093" s="69" t="s">
        <v>2960</v>
      </c>
      <c r="G1093" s="132" t="s">
        <v>2961</v>
      </c>
      <c r="H1093" s="15">
        <v>9013000134</v>
      </c>
      <c r="I1093" s="92" t="s">
        <v>593</v>
      </c>
      <c r="J1093" s="92">
        <v>1202020101</v>
      </c>
      <c r="K1093" s="35" t="s">
        <v>3439</v>
      </c>
      <c r="L1093" s="95" t="s">
        <v>3440</v>
      </c>
      <c r="M1093" s="69" t="s">
        <v>3441</v>
      </c>
      <c r="N1093" s="69"/>
      <c r="O1093" s="94">
        <v>1</v>
      </c>
      <c r="P1093" s="69" t="s">
        <v>50</v>
      </c>
      <c r="Q1093" s="69" t="s">
        <v>51</v>
      </c>
      <c r="R1093" s="69"/>
      <c r="S1093" s="46">
        <v>44014</v>
      </c>
      <c r="T1093" s="48">
        <v>44014</v>
      </c>
      <c r="U1093" s="69"/>
      <c r="V1093" s="69"/>
      <c r="W1093" s="69"/>
      <c r="X1093" s="69"/>
      <c r="Y1093" s="69" t="s">
        <v>4127</v>
      </c>
      <c r="Z1093" s="43">
        <v>135000</v>
      </c>
      <c r="AA1093" s="43" t="s">
        <v>52</v>
      </c>
      <c r="AB1093" s="43" t="s">
        <v>53</v>
      </c>
      <c r="AC1093" s="43">
        <v>1460</v>
      </c>
      <c r="AD1093" s="141">
        <v>4</v>
      </c>
      <c r="AE1093" s="142">
        <v>0</v>
      </c>
      <c r="AF1093" s="142"/>
      <c r="AG1093" s="69" t="str">
        <f t="shared" si="592"/>
        <v>4 years 0 days</v>
      </c>
      <c r="AH1093" s="69">
        <v>4</v>
      </c>
      <c r="AI1093" s="69">
        <v>0</v>
      </c>
      <c r="AJ1093" s="69">
        <v>0</v>
      </c>
      <c r="AK1093" s="69">
        <v>0</v>
      </c>
      <c r="AL1093" s="60">
        <v>135000</v>
      </c>
      <c r="AM1093" s="60">
        <f t="shared" si="593"/>
        <v>135000</v>
      </c>
      <c r="AN1093" s="59">
        <v>135000</v>
      </c>
      <c r="AO1093" s="148">
        <f t="shared" si="594"/>
        <v>-135000</v>
      </c>
      <c r="AP1093" s="58">
        <v>0</v>
      </c>
      <c r="AQ1093" s="143">
        <f t="shared" si="595"/>
        <v>0</v>
      </c>
    </row>
    <row r="1094" spans="1:43" x14ac:dyDescent="0.35">
      <c r="A1094" s="69" t="s">
        <v>43</v>
      </c>
      <c r="B1094" s="15" t="s">
        <v>3442</v>
      </c>
      <c r="C1094" s="15"/>
      <c r="D1094" s="69"/>
      <c r="E1094" s="76">
        <v>0</v>
      </c>
      <c r="F1094" s="69" t="s">
        <v>2960</v>
      </c>
      <c r="G1094" s="132" t="s">
        <v>2961</v>
      </c>
      <c r="H1094" s="15">
        <v>9013000135</v>
      </c>
      <c r="I1094" s="92" t="s">
        <v>593</v>
      </c>
      <c r="J1094" s="92">
        <v>1202020101</v>
      </c>
      <c r="K1094" s="35" t="s">
        <v>3443</v>
      </c>
      <c r="L1094" s="95" t="s">
        <v>3444</v>
      </c>
      <c r="M1094" s="69" t="s">
        <v>3445</v>
      </c>
      <c r="N1094" s="69"/>
      <c r="O1094" s="94">
        <v>1</v>
      </c>
      <c r="P1094" s="69" t="s">
        <v>50</v>
      </c>
      <c r="Q1094" s="69" t="s">
        <v>51</v>
      </c>
      <c r="R1094" s="69"/>
      <c r="S1094" s="46">
        <v>44869</v>
      </c>
      <c r="T1094" s="48">
        <v>44869</v>
      </c>
      <c r="U1094" s="69"/>
      <c r="V1094" s="69"/>
      <c r="W1094" s="69"/>
      <c r="X1094" s="69"/>
      <c r="Y1094" s="69" t="s">
        <v>4131</v>
      </c>
      <c r="Z1094" s="43">
        <v>980000</v>
      </c>
      <c r="AA1094" s="43" t="s">
        <v>52</v>
      </c>
      <c r="AB1094" s="43" t="s">
        <v>53</v>
      </c>
      <c r="AC1094" s="43">
        <v>1460</v>
      </c>
      <c r="AD1094" s="141">
        <v>4</v>
      </c>
      <c r="AE1094" s="142">
        <v>0</v>
      </c>
      <c r="AF1094" s="142"/>
      <c r="AG1094" s="69" t="str">
        <f t="shared" ref="AG1094:AG1095" si="596">_xlfn.CONCAT(AH1094," years ",AI1094," days")</f>
        <v>2 years 59 days</v>
      </c>
      <c r="AH1094" s="69">
        <v>2</v>
      </c>
      <c r="AI1094" s="69">
        <v>59</v>
      </c>
      <c r="AJ1094" s="69">
        <v>0</v>
      </c>
      <c r="AK1094" s="69">
        <v>0</v>
      </c>
      <c r="AL1094" s="60">
        <v>980000</v>
      </c>
      <c r="AM1094" s="60">
        <f t="shared" ref="AM1094:AM1095" si="597">ROUND(AL1094,2)</f>
        <v>980000</v>
      </c>
      <c r="AN1094" s="59">
        <v>980000</v>
      </c>
      <c r="AO1094" s="148">
        <f t="shared" ref="AO1094:AO1095" si="598">ROUND(AN1094,2)*-1</f>
        <v>-980000</v>
      </c>
      <c r="AP1094" s="58">
        <v>0</v>
      </c>
      <c r="AQ1094" s="143">
        <f t="shared" ref="AQ1094:AQ1095" si="599">ROUND(AP1094,2)*-1</f>
        <v>0</v>
      </c>
    </row>
    <row r="1095" spans="1:43" x14ac:dyDescent="0.35">
      <c r="A1095" s="69" t="s">
        <v>43</v>
      </c>
      <c r="B1095" s="15" t="s">
        <v>3446</v>
      </c>
      <c r="C1095" s="15"/>
      <c r="D1095" s="69"/>
      <c r="E1095" s="76">
        <v>0</v>
      </c>
      <c r="F1095" s="69" t="s">
        <v>2960</v>
      </c>
      <c r="G1095" s="132" t="s">
        <v>2961</v>
      </c>
      <c r="H1095" s="15">
        <v>9013000136</v>
      </c>
      <c r="I1095" s="92" t="s">
        <v>593</v>
      </c>
      <c r="J1095" s="92">
        <v>1202020101</v>
      </c>
      <c r="K1095" s="35" t="s">
        <v>3447</v>
      </c>
      <c r="L1095" s="95" t="s">
        <v>3448</v>
      </c>
      <c r="M1095" s="69" t="s">
        <v>3449</v>
      </c>
      <c r="N1095" s="69"/>
      <c r="O1095" s="94">
        <v>1</v>
      </c>
      <c r="P1095" s="69" t="s">
        <v>50</v>
      </c>
      <c r="Q1095" s="69" t="s">
        <v>51</v>
      </c>
      <c r="R1095" s="69"/>
      <c r="S1095" s="46">
        <v>45809</v>
      </c>
      <c r="T1095" s="48">
        <v>45809</v>
      </c>
      <c r="U1095" s="69"/>
      <c r="V1095" s="69"/>
      <c r="W1095" s="69"/>
      <c r="X1095" s="69"/>
      <c r="Y1095" s="69" t="s">
        <v>4132</v>
      </c>
      <c r="Z1095" s="43">
        <v>0</v>
      </c>
      <c r="AA1095" s="43" t="s">
        <v>52</v>
      </c>
      <c r="AB1095" s="43" t="s">
        <v>53</v>
      </c>
      <c r="AC1095" s="43">
        <v>1460</v>
      </c>
      <c r="AD1095" s="141">
        <v>4</v>
      </c>
      <c r="AE1095" s="142">
        <v>0</v>
      </c>
      <c r="AF1095" s="142"/>
      <c r="AG1095" s="69" t="str">
        <f t="shared" si="596"/>
        <v>0 years 0 days</v>
      </c>
      <c r="AH1095" s="69">
        <v>0</v>
      </c>
      <c r="AI1095" s="69">
        <v>0</v>
      </c>
      <c r="AJ1095" s="69">
        <v>0</v>
      </c>
      <c r="AK1095" s="69">
        <v>0</v>
      </c>
      <c r="AL1095" s="60">
        <v>141000</v>
      </c>
      <c r="AM1095" s="60">
        <f t="shared" si="597"/>
        <v>141000</v>
      </c>
      <c r="AN1095" s="59">
        <v>0</v>
      </c>
      <c r="AO1095" s="148">
        <f t="shared" si="598"/>
        <v>0</v>
      </c>
      <c r="AP1095" s="58">
        <v>2897.2602739726026</v>
      </c>
      <c r="AQ1095" s="143">
        <f t="shared" si="599"/>
        <v>-2897.26</v>
      </c>
    </row>
    <row r="1096" spans="1:43" x14ac:dyDescent="0.35">
      <c r="A1096" s="69" t="s">
        <v>43</v>
      </c>
      <c r="B1096" s="15" t="s">
        <v>3450</v>
      </c>
      <c r="C1096" s="15"/>
      <c r="D1096" s="69"/>
      <c r="E1096" s="76">
        <v>0</v>
      </c>
      <c r="F1096" s="69" t="s">
        <v>2960</v>
      </c>
      <c r="G1096" s="132" t="s">
        <v>2961</v>
      </c>
      <c r="H1096" s="15">
        <v>9013000137</v>
      </c>
      <c r="I1096" s="92" t="s">
        <v>593</v>
      </c>
      <c r="J1096" s="92">
        <v>1202020101</v>
      </c>
      <c r="K1096" s="35" t="s">
        <v>3451</v>
      </c>
      <c r="L1096" s="95" t="s">
        <v>3452</v>
      </c>
      <c r="M1096" s="69" t="s">
        <v>3453</v>
      </c>
      <c r="N1096" s="69"/>
      <c r="O1096" s="94">
        <v>1</v>
      </c>
      <c r="P1096" s="69" t="s">
        <v>50</v>
      </c>
      <c r="Q1096" s="69" t="s">
        <v>51</v>
      </c>
      <c r="R1096" s="69"/>
      <c r="S1096" s="46">
        <v>44869</v>
      </c>
      <c r="T1096" s="48">
        <v>44869</v>
      </c>
      <c r="U1096" s="69"/>
      <c r="V1096" s="69"/>
      <c r="W1096" s="69"/>
      <c r="X1096" s="69"/>
      <c r="Y1096" s="69" t="s">
        <v>4131</v>
      </c>
      <c r="Z1096" s="43">
        <v>1050000</v>
      </c>
      <c r="AA1096" s="43" t="s">
        <v>52</v>
      </c>
      <c r="AB1096" s="43" t="s">
        <v>53</v>
      </c>
      <c r="AC1096" s="43">
        <v>1460</v>
      </c>
      <c r="AD1096" s="141">
        <v>4</v>
      </c>
      <c r="AE1096" s="142">
        <v>0</v>
      </c>
      <c r="AF1096" s="142"/>
      <c r="AG1096" s="69" t="str">
        <f t="shared" ref="AG1096:AG1100" si="600">_xlfn.CONCAT(AH1096," years ",AI1096," days")</f>
        <v>2 years 59 days</v>
      </c>
      <c r="AH1096" s="69">
        <v>2</v>
      </c>
      <c r="AI1096" s="69">
        <v>59</v>
      </c>
      <c r="AJ1096" s="69">
        <v>0</v>
      </c>
      <c r="AK1096" s="69">
        <v>0</v>
      </c>
      <c r="AL1096" s="60">
        <v>1050000</v>
      </c>
      <c r="AM1096" s="60">
        <f t="shared" ref="AM1096:AM1100" si="601">ROUND(AL1096,2)</f>
        <v>1050000</v>
      </c>
      <c r="AN1096" s="59">
        <v>1050000</v>
      </c>
      <c r="AO1096" s="148">
        <f t="shared" ref="AO1096:AO1100" si="602">ROUND(AN1096,2)*-1</f>
        <v>-1050000</v>
      </c>
      <c r="AP1096" s="58">
        <v>0</v>
      </c>
      <c r="AQ1096" s="143">
        <f t="shared" ref="AQ1096:AQ1100" si="603">ROUND(AP1096,2)*-1</f>
        <v>0</v>
      </c>
    </row>
    <row r="1097" spans="1:43" x14ac:dyDescent="0.35">
      <c r="A1097" s="69" t="s">
        <v>43</v>
      </c>
      <c r="B1097" s="15" t="s">
        <v>3454</v>
      </c>
      <c r="C1097" s="15"/>
      <c r="D1097" s="69"/>
      <c r="E1097" s="76">
        <v>0</v>
      </c>
      <c r="F1097" s="69" t="s">
        <v>2960</v>
      </c>
      <c r="G1097" s="132" t="s">
        <v>2961</v>
      </c>
      <c r="H1097" s="15">
        <v>9013000138</v>
      </c>
      <c r="I1097" s="92" t="s">
        <v>593</v>
      </c>
      <c r="J1097" s="92">
        <v>1202020101</v>
      </c>
      <c r="K1097" s="35" t="s">
        <v>3455</v>
      </c>
      <c r="L1097" s="95" t="s">
        <v>3456</v>
      </c>
      <c r="M1097" s="69" t="s">
        <v>3457</v>
      </c>
      <c r="N1097" s="69"/>
      <c r="O1097" s="94">
        <v>1</v>
      </c>
      <c r="P1097" s="69" t="s">
        <v>50</v>
      </c>
      <c r="Q1097" s="69" t="s">
        <v>51</v>
      </c>
      <c r="R1097" s="69"/>
      <c r="S1097" s="46">
        <v>44198</v>
      </c>
      <c r="T1097" s="48">
        <v>44198</v>
      </c>
      <c r="U1097" s="69"/>
      <c r="V1097" s="69"/>
      <c r="W1097" s="69"/>
      <c r="X1097" s="69"/>
      <c r="Y1097" s="69" t="s">
        <v>4128</v>
      </c>
      <c r="Z1097" s="43">
        <v>397200</v>
      </c>
      <c r="AA1097" s="43" t="s">
        <v>52</v>
      </c>
      <c r="AB1097" s="43" t="s">
        <v>53</v>
      </c>
      <c r="AC1097" s="43">
        <v>1460</v>
      </c>
      <c r="AD1097" s="141">
        <v>4</v>
      </c>
      <c r="AE1097" s="142">
        <v>0</v>
      </c>
      <c r="AF1097" s="142"/>
      <c r="AG1097" s="69" t="str">
        <f t="shared" si="600"/>
        <v>4 years 0 days</v>
      </c>
      <c r="AH1097" s="69">
        <v>4</v>
      </c>
      <c r="AI1097" s="69">
        <v>0</v>
      </c>
      <c r="AJ1097" s="69">
        <v>0</v>
      </c>
      <c r="AK1097" s="69">
        <v>0</v>
      </c>
      <c r="AL1097" s="60">
        <v>397200</v>
      </c>
      <c r="AM1097" s="60">
        <f t="shared" si="601"/>
        <v>397200</v>
      </c>
      <c r="AN1097" s="59">
        <v>397200</v>
      </c>
      <c r="AO1097" s="148">
        <f t="shared" si="602"/>
        <v>-397200</v>
      </c>
      <c r="AP1097" s="58">
        <v>0</v>
      </c>
      <c r="AQ1097" s="143">
        <f t="shared" si="603"/>
        <v>0</v>
      </c>
    </row>
    <row r="1098" spans="1:43" x14ac:dyDescent="0.35">
      <c r="A1098" s="69" t="s">
        <v>43</v>
      </c>
      <c r="B1098" s="15" t="s">
        <v>3458</v>
      </c>
      <c r="C1098" s="15"/>
      <c r="D1098" s="69"/>
      <c r="E1098" s="76">
        <v>0</v>
      </c>
      <c r="F1098" s="69" t="s">
        <v>2960</v>
      </c>
      <c r="G1098" s="132" t="s">
        <v>2961</v>
      </c>
      <c r="H1098" s="15">
        <v>9013000139</v>
      </c>
      <c r="I1098" s="92" t="s">
        <v>593</v>
      </c>
      <c r="J1098" s="92">
        <v>1202020101</v>
      </c>
      <c r="K1098" s="35" t="s">
        <v>3459</v>
      </c>
      <c r="L1098" s="95" t="s">
        <v>3460</v>
      </c>
      <c r="M1098" s="69" t="s">
        <v>3461</v>
      </c>
      <c r="N1098" s="69"/>
      <c r="O1098" s="94">
        <v>1</v>
      </c>
      <c r="P1098" s="69" t="s">
        <v>50</v>
      </c>
      <c r="Q1098" s="69" t="s">
        <v>51</v>
      </c>
      <c r="R1098" s="69"/>
      <c r="S1098" s="46">
        <v>44198</v>
      </c>
      <c r="T1098" s="48">
        <v>44198</v>
      </c>
      <c r="U1098" s="69"/>
      <c r="V1098" s="69"/>
      <c r="W1098" s="69"/>
      <c r="X1098" s="69"/>
      <c r="Y1098" s="69" t="s">
        <v>4128</v>
      </c>
      <c r="Z1098" s="43">
        <v>135000</v>
      </c>
      <c r="AA1098" s="43" t="s">
        <v>52</v>
      </c>
      <c r="AB1098" s="43" t="s">
        <v>53</v>
      </c>
      <c r="AC1098" s="43">
        <v>1460</v>
      </c>
      <c r="AD1098" s="141">
        <v>4</v>
      </c>
      <c r="AE1098" s="142">
        <v>0</v>
      </c>
      <c r="AF1098" s="142"/>
      <c r="AG1098" s="69" t="str">
        <f t="shared" si="600"/>
        <v>4 years 0 days</v>
      </c>
      <c r="AH1098" s="69">
        <v>4</v>
      </c>
      <c r="AI1098" s="69">
        <v>0</v>
      </c>
      <c r="AJ1098" s="69">
        <v>0</v>
      </c>
      <c r="AK1098" s="69">
        <v>0</v>
      </c>
      <c r="AL1098" s="60">
        <v>135000</v>
      </c>
      <c r="AM1098" s="60">
        <f t="shared" si="601"/>
        <v>135000</v>
      </c>
      <c r="AN1098" s="59">
        <v>135000</v>
      </c>
      <c r="AO1098" s="148">
        <f t="shared" si="602"/>
        <v>-135000</v>
      </c>
      <c r="AP1098" s="58">
        <v>0</v>
      </c>
      <c r="AQ1098" s="143">
        <f t="shared" si="603"/>
        <v>0</v>
      </c>
    </row>
    <row r="1099" spans="1:43" x14ac:dyDescent="0.35">
      <c r="A1099" s="69" t="s">
        <v>43</v>
      </c>
      <c r="B1099" s="15" t="s">
        <v>3462</v>
      </c>
      <c r="C1099" s="15"/>
      <c r="D1099" s="69"/>
      <c r="E1099" s="76">
        <v>0</v>
      </c>
      <c r="F1099" s="69" t="s">
        <v>2960</v>
      </c>
      <c r="G1099" s="132" t="s">
        <v>2961</v>
      </c>
      <c r="H1099" s="15">
        <v>9013000140</v>
      </c>
      <c r="I1099" s="92" t="s">
        <v>593</v>
      </c>
      <c r="J1099" s="92">
        <v>1202020101</v>
      </c>
      <c r="K1099" s="35" t="s">
        <v>3463</v>
      </c>
      <c r="L1099" s="95" t="s">
        <v>3464</v>
      </c>
      <c r="M1099" s="69" t="s">
        <v>3465</v>
      </c>
      <c r="N1099" s="69"/>
      <c r="O1099" s="94">
        <v>1</v>
      </c>
      <c r="P1099" s="69" t="s">
        <v>50</v>
      </c>
      <c r="Q1099" s="69" t="s">
        <v>51</v>
      </c>
      <c r="R1099" s="69"/>
      <c r="S1099" s="46">
        <v>45597</v>
      </c>
      <c r="T1099" s="48">
        <v>45597</v>
      </c>
      <c r="U1099" s="69"/>
      <c r="V1099" s="69"/>
      <c r="W1099" s="69"/>
      <c r="X1099" s="69"/>
      <c r="Y1099" s="69" t="s">
        <v>4130</v>
      </c>
      <c r="Z1099" s="43">
        <v>87400</v>
      </c>
      <c r="AA1099" s="43" t="s">
        <v>52</v>
      </c>
      <c r="AB1099" s="43" t="s">
        <v>53</v>
      </c>
      <c r="AC1099" s="43">
        <v>1460</v>
      </c>
      <c r="AD1099" s="141">
        <v>4</v>
      </c>
      <c r="AE1099" s="142">
        <v>0</v>
      </c>
      <c r="AF1099" s="142"/>
      <c r="AG1099" s="69" t="str">
        <f t="shared" si="600"/>
        <v>0 years 61 days</v>
      </c>
      <c r="AH1099" s="69">
        <v>0</v>
      </c>
      <c r="AI1099" s="69">
        <v>61</v>
      </c>
      <c r="AJ1099" s="69">
        <v>0</v>
      </c>
      <c r="AK1099" s="69">
        <v>0</v>
      </c>
      <c r="AL1099" s="60">
        <v>87400</v>
      </c>
      <c r="AM1099" s="60">
        <f t="shared" si="601"/>
        <v>87400</v>
      </c>
      <c r="AN1099" s="59">
        <v>3652</v>
      </c>
      <c r="AO1099" s="148">
        <f t="shared" si="602"/>
        <v>-3652</v>
      </c>
      <c r="AP1099" s="58">
        <v>10834.849315068495</v>
      </c>
      <c r="AQ1099" s="143">
        <f t="shared" si="603"/>
        <v>-10834.85</v>
      </c>
    </row>
    <row r="1100" spans="1:43" x14ac:dyDescent="0.35">
      <c r="A1100" s="69" t="s">
        <v>43</v>
      </c>
      <c r="B1100" s="15" t="s">
        <v>3466</v>
      </c>
      <c r="C1100" s="15"/>
      <c r="D1100" s="69"/>
      <c r="E1100" s="76">
        <v>0</v>
      </c>
      <c r="F1100" s="69" t="s">
        <v>2960</v>
      </c>
      <c r="G1100" s="132" t="s">
        <v>2961</v>
      </c>
      <c r="H1100" s="15">
        <v>9013000141</v>
      </c>
      <c r="I1100" s="92" t="s">
        <v>593</v>
      </c>
      <c r="J1100" s="92">
        <v>1202020101</v>
      </c>
      <c r="K1100" s="35" t="s">
        <v>3467</v>
      </c>
      <c r="L1100" s="95" t="s">
        <v>3468</v>
      </c>
      <c r="M1100" s="69" t="s">
        <v>3469</v>
      </c>
      <c r="N1100" s="69"/>
      <c r="O1100" s="94">
        <v>1</v>
      </c>
      <c r="P1100" s="69" t="s">
        <v>50</v>
      </c>
      <c r="Q1100" s="69" t="s">
        <v>51</v>
      </c>
      <c r="R1100" s="69"/>
      <c r="S1100" s="46">
        <v>45231</v>
      </c>
      <c r="T1100" s="48">
        <v>45231</v>
      </c>
      <c r="U1100" s="69"/>
      <c r="V1100" s="69"/>
      <c r="W1100" s="69"/>
      <c r="X1100" s="69"/>
      <c r="Y1100" s="69" t="s">
        <v>4129</v>
      </c>
      <c r="Z1100" s="43">
        <v>110000</v>
      </c>
      <c r="AA1100" s="43" t="s">
        <v>52</v>
      </c>
      <c r="AB1100" s="43" t="s">
        <v>53</v>
      </c>
      <c r="AC1100" s="43">
        <v>1460</v>
      </c>
      <c r="AD1100" s="141">
        <v>4</v>
      </c>
      <c r="AE1100" s="142">
        <v>0</v>
      </c>
      <c r="AF1100" s="142"/>
      <c r="AG1100" s="69" t="str">
        <f t="shared" si="600"/>
        <v>1 years 62 days</v>
      </c>
      <c r="AH1100" s="69">
        <v>1</v>
      </c>
      <c r="AI1100" s="69">
        <v>62</v>
      </c>
      <c r="AJ1100" s="69">
        <v>0</v>
      </c>
      <c r="AK1100" s="69">
        <v>0</v>
      </c>
      <c r="AL1100" s="60">
        <v>110000</v>
      </c>
      <c r="AM1100" s="60">
        <f t="shared" si="601"/>
        <v>110000</v>
      </c>
      <c r="AN1100" s="59">
        <v>32171</v>
      </c>
      <c r="AO1100" s="148">
        <f t="shared" si="602"/>
        <v>-32171</v>
      </c>
      <c r="AP1100" s="58">
        <v>13637.219178082189</v>
      </c>
      <c r="AQ1100" s="143">
        <f t="shared" si="603"/>
        <v>-13637.22</v>
      </c>
    </row>
    <row r="1101" spans="1:43" x14ac:dyDescent="0.35">
      <c r="A1101" s="69" t="s">
        <v>43</v>
      </c>
      <c r="B1101" s="15" t="s">
        <v>3470</v>
      </c>
      <c r="C1101" s="15"/>
      <c r="D1101" s="69"/>
      <c r="E1101" s="76">
        <v>0</v>
      </c>
      <c r="F1101" s="69" t="s">
        <v>2960</v>
      </c>
      <c r="G1101" s="132" t="s">
        <v>2961</v>
      </c>
      <c r="H1101" s="15">
        <v>9013000142</v>
      </c>
      <c r="I1101" s="92" t="s">
        <v>593</v>
      </c>
      <c r="J1101" s="92">
        <v>1202020101</v>
      </c>
      <c r="K1101" s="35" t="s">
        <v>3471</v>
      </c>
      <c r="L1101" s="95" t="s">
        <v>3472</v>
      </c>
      <c r="M1101" s="69" t="s">
        <v>3473</v>
      </c>
      <c r="N1101" s="69"/>
      <c r="O1101" s="94">
        <v>1</v>
      </c>
      <c r="P1101" s="69" t="s">
        <v>50</v>
      </c>
      <c r="Q1101" s="69" t="s">
        <v>51</v>
      </c>
      <c r="R1101" s="69"/>
      <c r="S1101" s="46">
        <v>44177</v>
      </c>
      <c r="T1101" s="48">
        <v>44177</v>
      </c>
      <c r="U1101" s="69"/>
      <c r="V1101" s="69"/>
      <c r="W1101" s="69"/>
      <c r="X1101" s="69"/>
      <c r="Y1101" s="69" t="s">
        <v>4127</v>
      </c>
      <c r="Z1101" s="43">
        <v>135000</v>
      </c>
      <c r="AA1101" s="43" t="s">
        <v>52</v>
      </c>
      <c r="AB1101" s="43" t="s">
        <v>53</v>
      </c>
      <c r="AC1101" s="43">
        <v>1460</v>
      </c>
      <c r="AD1101" s="141">
        <v>4</v>
      </c>
      <c r="AE1101" s="142">
        <v>0</v>
      </c>
      <c r="AF1101" s="142"/>
      <c r="AG1101" s="69" t="str">
        <f t="shared" ref="AG1101:AG1102" si="604">_xlfn.CONCAT(AH1101," years ",AI1101," days")</f>
        <v>4 years 0 days</v>
      </c>
      <c r="AH1101" s="69">
        <v>4</v>
      </c>
      <c r="AI1101" s="69">
        <v>0</v>
      </c>
      <c r="AJ1101" s="69">
        <v>0</v>
      </c>
      <c r="AK1101" s="69">
        <v>0</v>
      </c>
      <c r="AL1101" s="60">
        <v>135000</v>
      </c>
      <c r="AM1101" s="60">
        <f t="shared" ref="AM1101:AM1102" si="605">ROUND(AL1101,2)</f>
        <v>135000</v>
      </c>
      <c r="AN1101" s="59">
        <v>135000</v>
      </c>
      <c r="AO1101" s="148">
        <f t="shared" ref="AO1101:AO1102" si="606">ROUND(AN1101,2)*-1</f>
        <v>-135000</v>
      </c>
      <c r="AP1101" s="58">
        <v>0</v>
      </c>
      <c r="AQ1101" s="143">
        <f t="shared" ref="AQ1101:AQ1102" si="607">ROUND(AP1101,2)*-1</f>
        <v>0</v>
      </c>
    </row>
    <row r="1102" spans="1:43" x14ac:dyDescent="0.35">
      <c r="A1102" s="69" t="s">
        <v>43</v>
      </c>
      <c r="B1102" s="15" t="s">
        <v>3474</v>
      </c>
      <c r="C1102" s="15"/>
      <c r="D1102" s="69"/>
      <c r="E1102" s="76">
        <v>0</v>
      </c>
      <c r="F1102" s="69" t="s">
        <v>2960</v>
      </c>
      <c r="G1102" s="132" t="s">
        <v>2961</v>
      </c>
      <c r="H1102" s="15">
        <v>9013000143</v>
      </c>
      <c r="I1102" s="92" t="s">
        <v>593</v>
      </c>
      <c r="J1102" s="92">
        <v>1202020101</v>
      </c>
      <c r="K1102" s="35" t="s">
        <v>3475</v>
      </c>
      <c r="L1102" s="95" t="s">
        <v>3476</v>
      </c>
      <c r="M1102" s="69" t="s">
        <v>3477</v>
      </c>
      <c r="N1102" s="69"/>
      <c r="O1102" s="94">
        <v>1</v>
      </c>
      <c r="P1102" s="69" t="s">
        <v>50</v>
      </c>
      <c r="Q1102" s="69" t="s">
        <v>51</v>
      </c>
      <c r="R1102" s="69"/>
      <c r="S1102" s="46">
        <v>43650</v>
      </c>
      <c r="T1102" s="48">
        <v>43650</v>
      </c>
      <c r="U1102" s="69"/>
      <c r="V1102" s="69"/>
      <c r="W1102" s="69"/>
      <c r="X1102" s="69"/>
      <c r="Y1102" s="69" t="s">
        <v>4126</v>
      </c>
      <c r="Z1102" s="43">
        <v>135000</v>
      </c>
      <c r="AA1102" s="43" t="s">
        <v>52</v>
      </c>
      <c r="AB1102" s="43" t="s">
        <v>53</v>
      </c>
      <c r="AC1102" s="43">
        <v>1460</v>
      </c>
      <c r="AD1102" s="141">
        <v>4</v>
      </c>
      <c r="AE1102" s="142">
        <v>0</v>
      </c>
      <c r="AF1102" s="142"/>
      <c r="AG1102" s="69" t="str">
        <f t="shared" si="604"/>
        <v>4 years 0 days</v>
      </c>
      <c r="AH1102" s="69">
        <v>4</v>
      </c>
      <c r="AI1102" s="69">
        <v>0</v>
      </c>
      <c r="AJ1102" s="69">
        <v>0</v>
      </c>
      <c r="AK1102" s="69">
        <v>0</v>
      </c>
      <c r="AL1102" s="60">
        <v>135000</v>
      </c>
      <c r="AM1102" s="60">
        <f t="shared" si="605"/>
        <v>135000</v>
      </c>
      <c r="AN1102" s="59">
        <v>135000</v>
      </c>
      <c r="AO1102" s="148">
        <f t="shared" si="606"/>
        <v>-135000</v>
      </c>
      <c r="AP1102" s="58">
        <v>0</v>
      </c>
      <c r="AQ1102" s="143">
        <f t="shared" si="607"/>
        <v>0</v>
      </c>
    </row>
    <row r="1103" spans="1:43" x14ac:dyDescent="0.35">
      <c r="A1103" s="69" t="s">
        <v>43</v>
      </c>
      <c r="B1103" s="15" t="s">
        <v>3478</v>
      </c>
      <c r="C1103" s="15"/>
      <c r="D1103" s="69"/>
      <c r="E1103" s="76">
        <v>0</v>
      </c>
      <c r="F1103" s="69" t="s">
        <v>2960</v>
      </c>
      <c r="G1103" s="132" t="s">
        <v>2961</v>
      </c>
      <c r="H1103" s="15">
        <v>9013000144</v>
      </c>
      <c r="I1103" s="92" t="s">
        <v>593</v>
      </c>
      <c r="J1103" s="92">
        <v>1202020101</v>
      </c>
      <c r="K1103" s="34" t="s">
        <v>3479</v>
      </c>
      <c r="L1103" s="95" t="s">
        <v>3480</v>
      </c>
      <c r="M1103" s="69" t="s">
        <v>3481</v>
      </c>
      <c r="N1103" s="69"/>
      <c r="O1103" s="94">
        <v>1</v>
      </c>
      <c r="P1103" s="69" t="s">
        <v>50</v>
      </c>
      <c r="Q1103" s="69" t="s">
        <v>51</v>
      </c>
      <c r="R1103" s="69"/>
      <c r="S1103" s="46">
        <v>44261</v>
      </c>
      <c r="T1103" s="48">
        <v>44261</v>
      </c>
      <c r="U1103" s="69"/>
      <c r="V1103" s="69"/>
      <c r="W1103" s="69"/>
      <c r="X1103" s="69"/>
      <c r="Y1103" s="69" t="s">
        <v>4128</v>
      </c>
      <c r="Z1103" s="43">
        <v>1790000</v>
      </c>
      <c r="AA1103" s="43" t="s">
        <v>52</v>
      </c>
      <c r="AB1103" s="43" t="s">
        <v>53</v>
      </c>
      <c r="AC1103" s="43">
        <v>1460</v>
      </c>
      <c r="AD1103" s="141">
        <v>4</v>
      </c>
      <c r="AE1103" s="142">
        <v>0</v>
      </c>
      <c r="AF1103" s="142"/>
      <c r="AG1103" s="69" t="str">
        <f t="shared" ref="AG1103:AG1105" si="608">_xlfn.CONCAT(AH1103," years ",AI1103," days")</f>
        <v>3 years 302 days</v>
      </c>
      <c r="AH1103" s="69">
        <v>3</v>
      </c>
      <c r="AI1103" s="69">
        <v>302</v>
      </c>
      <c r="AJ1103" s="69">
        <v>0</v>
      </c>
      <c r="AK1103" s="69">
        <v>0</v>
      </c>
      <c r="AL1103" s="60">
        <v>1790000</v>
      </c>
      <c r="AM1103" s="60">
        <f t="shared" ref="AM1103:AM1105" si="609">ROUND(AL1103,2)</f>
        <v>1790000</v>
      </c>
      <c r="AN1103" s="59">
        <v>1712760</v>
      </c>
      <c r="AO1103" s="148">
        <f t="shared" ref="AO1103:AO1105" si="610">ROUND(AN1103,2)*-1</f>
        <v>-1712760</v>
      </c>
      <c r="AP1103" s="58">
        <v>77240</v>
      </c>
      <c r="AQ1103" s="143">
        <f t="shared" ref="AQ1103:AQ1105" si="611">ROUND(AP1103,2)*-1</f>
        <v>-77240</v>
      </c>
    </row>
    <row r="1104" spans="1:43" x14ac:dyDescent="0.35">
      <c r="A1104" s="69" t="s">
        <v>43</v>
      </c>
      <c r="B1104" s="15" t="s">
        <v>3482</v>
      </c>
      <c r="C1104" s="15"/>
      <c r="D1104" s="69"/>
      <c r="E1104" s="76">
        <v>0</v>
      </c>
      <c r="F1104" s="69" t="s">
        <v>2960</v>
      </c>
      <c r="G1104" s="132" t="s">
        <v>2961</v>
      </c>
      <c r="H1104" s="15">
        <v>9013000145</v>
      </c>
      <c r="I1104" s="92" t="s">
        <v>593</v>
      </c>
      <c r="J1104" s="92">
        <v>1202020101</v>
      </c>
      <c r="K1104" s="35" t="s">
        <v>3483</v>
      </c>
      <c r="L1104" s="95" t="s">
        <v>3484</v>
      </c>
      <c r="M1104" s="69" t="s">
        <v>3485</v>
      </c>
      <c r="N1104" s="69"/>
      <c r="O1104" s="94">
        <v>1</v>
      </c>
      <c r="P1104" s="69" t="s">
        <v>50</v>
      </c>
      <c r="Q1104" s="69" t="s">
        <v>51</v>
      </c>
      <c r="R1104" s="69"/>
      <c r="S1104" s="46">
        <v>44332</v>
      </c>
      <c r="T1104" s="48">
        <v>44332</v>
      </c>
      <c r="U1104" s="69"/>
      <c r="V1104" s="69"/>
      <c r="W1104" s="69"/>
      <c r="X1104" s="69"/>
      <c r="Y1104" s="69" t="s">
        <v>4128</v>
      </c>
      <c r="Z1104" s="43">
        <v>135000</v>
      </c>
      <c r="AA1104" s="43" t="s">
        <v>52</v>
      </c>
      <c r="AB1104" s="43" t="s">
        <v>53</v>
      </c>
      <c r="AC1104" s="43">
        <v>1460</v>
      </c>
      <c r="AD1104" s="141">
        <v>4</v>
      </c>
      <c r="AE1104" s="142">
        <v>0</v>
      </c>
      <c r="AF1104" s="142"/>
      <c r="AG1104" s="69" t="str">
        <f t="shared" si="608"/>
        <v>3 years 231 days</v>
      </c>
      <c r="AH1104" s="69">
        <v>3</v>
      </c>
      <c r="AI1104" s="69">
        <v>231</v>
      </c>
      <c r="AJ1104" s="69">
        <v>0</v>
      </c>
      <c r="AK1104" s="69">
        <v>0</v>
      </c>
      <c r="AL1104" s="60">
        <v>135000</v>
      </c>
      <c r="AM1104" s="60">
        <f t="shared" si="609"/>
        <v>135000</v>
      </c>
      <c r="AN1104" s="59">
        <v>122610</v>
      </c>
      <c r="AO1104" s="148">
        <f t="shared" si="610"/>
        <v>-122610</v>
      </c>
      <c r="AP1104" s="58">
        <v>12390</v>
      </c>
      <c r="AQ1104" s="143">
        <f t="shared" si="611"/>
        <v>-12390</v>
      </c>
    </row>
    <row r="1105" spans="1:43" x14ac:dyDescent="0.35">
      <c r="A1105" s="69" t="s">
        <v>43</v>
      </c>
      <c r="B1105" s="15" t="s">
        <v>3486</v>
      </c>
      <c r="C1105" s="15"/>
      <c r="D1105" s="69"/>
      <c r="E1105" s="76">
        <v>0</v>
      </c>
      <c r="F1105" s="69" t="s">
        <v>2960</v>
      </c>
      <c r="G1105" s="132" t="s">
        <v>2961</v>
      </c>
      <c r="H1105" s="15">
        <v>9013000146</v>
      </c>
      <c r="I1105" s="92" t="s">
        <v>593</v>
      </c>
      <c r="J1105" s="92">
        <v>1202020101</v>
      </c>
      <c r="K1105" s="35" t="s">
        <v>3487</v>
      </c>
      <c r="L1105" s="95" t="s">
        <v>3488</v>
      </c>
      <c r="M1105" s="69" t="s">
        <v>3489</v>
      </c>
      <c r="N1105" s="69"/>
      <c r="O1105" s="94">
        <v>1</v>
      </c>
      <c r="P1105" s="69" t="s">
        <v>50</v>
      </c>
      <c r="Q1105" s="69" t="s">
        <v>51</v>
      </c>
      <c r="R1105" s="69"/>
      <c r="S1105" s="46">
        <v>44336</v>
      </c>
      <c r="T1105" s="48">
        <v>44336</v>
      </c>
      <c r="U1105" s="69"/>
      <c r="V1105" s="69"/>
      <c r="W1105" s="69"/>
      <c r="X1105" s="69"/>
      <c r="Y1105" s="69" t="s">
        <v>4128</v>
      </c>
      <c r="Z1105" s="43">
        <v>135000</v>
      </c>
      <c r="AA1105" s="43" t="s">
        <v>52</v>
      </c>
      <c r="AB1105" s="43" t="s">
        <v>53</v>
      </c>
      <c r="AC1105" s="43">
        <v>1460</v>
      </c>
      <c r="AD1105" s="141">
        <v>4</v>
      </c>
      <c r="AE1105" s="142">
        <v>0</v>
      </c>
      <c r="AF1105" s="142"/>
      <c r="AG1105" s="69" t="str">
        <f t="shared" si="608"/>
        <v>3 years 227 days</v>
      </c>
      <c r="AH1105" s="69">
        <v>3</v>
      </c>
      <c r="AI1105" s="69">
        <v>227</v>
      </c>
      <c r="AJ1105" s="69">
        <v>0</v>
      </c>
      <c r="AK1105" s="69">
        <v>0</v>
      </c>
      <c r="AL1105" s="60">
        <v>135000</v>
      </c>
      <c r="AM1105" s="60">
        <f t="shared" si="609"/>
        <v>135000</v>
      </c>
      <c r="AN1105" s="59">
        <v>122240</v>
      </c>
      <c r="AO1105" s="148">
        <f t="shared" si="610"/>
        <v>-122240</v>
      </c>
      <c r="AP1105" s="58">
        <v>12760</v>
      </c>
      <c r="AQ1105" s="143">
        <f t="shared" si="611"/>
        <v>-12760</v>
      </c>
    </row>
    <row r="1106" spans="1:43" x14ac:dyDescent="0.35">
      <c r="A1106" s="69" t="s">
        <v>43</v>
      </c>
      <c r="B1106" s="15" t="s">
        <v>3490</v>
      </c>
      <c r="C1106" s="15"/>
      <c r="D1106" s="69"/>
      <c r="E1106" s="76">
        <v>0</v>
      </c>
      <c r="F1106" s="69" t="s">
        <v>2960</v>
      </c>
      <c r="G1106" s="132" t="s">
        <v>2961</v>
      </c>
      <c r="H1106" s="15">
        <v>9013000147</v>
      </c>
      <c r="I1106" s="92" t="s">
        <v>593</v>
      </c>
      <c r="J1106" s="92">
        <v>1202020101</v>
      </c>
      <c r="K1106" s="35" t="s">
        <v>3491</v>
      </c>
      <c r="L1106" s="95" t="s">
        <v>3492</v>
      </c>
      <c r="M1106" s="69" t="s">
        <v>3493</v>
      </c>
      <c r="N1106" s="69"/>
      <c r="O1106" s="94">
        <v>1</v>
      </c>
      <c r="P1106" s="69" t="s">
        <v>50</v>
      </c>
      <c r="Q1106" s="69" t="s">
        <v>51</v>
      </c>
      <c r="R1106" s="69"/>
      <c r="S1106" s="46">
        <v>44283</v>
      </c>
      <c r="T1106" s="48">
        <v>44283</v>
      </c>
      <c r="U1106" s="69"/>
      <c r="V1106" s="69"/>
      <c r="W1106" s="69"/>
      <c r="X1106" s="69"/>
      <c r="Y1106" s="69" t="s">
        <v>4128</v>
      </c>
      <c r="Z1106" s="43">
        <v>650000</v>
      </c>
      <c r="AA1106" s="43" t="s">
        <v>52</v>
      </c>
      <c r="AB1106" s="43" t="s">
        <v>53</v>
      </c>
      <c r="AC1106" s="43">
        <v>1460</v>
      </c>
      <c r="AD1106" s="141">
        <v>4</v>
      </c>
      <c r="AE1106" s="142">
        <v>0</v>
      </c>
      <c r="AF1106" s="142"/>
      <c r="AG1106" s="69" t="str">
        <f t="shared" ref="AG1106:AG1111" si="612">_xlfn.CONCAT(AH1106," years ",AI1106," days")</f>
        <v>3 years 280 days</v>
      </c>
      <c r="AH1106" s="69">
        <v>3</v>
      </c>
      <c r="AI1106" s="69">
        <v>280</v>
      </c>
      <c r="AJ1106" s="69">
        <v>0</v>
      </c>
      <c r="AK1106" s="69">
        <v>0</v>
      </c>
      <c r="AL1106" s="60">
        <v>650000</v>
      </c>
      <c r="AM1106" s="60">
        <f t="shared" ref="AM1106:AM1111" si="613">ROUND(AL1106,2)</f>
        <v>650000</v>
      </c>
      <c r="AN1106" s="59">
        <v>612158</v>
      </c>
      <c r="AO1106" s="148">
        <f t="shared" ref="AO1106:AO1111" si="614">ROUND(AN1106,2)*-1</f>
        <v>-612158</v>
      </c>
      <c r="AP1106" s="58">
        <v>37842</v>
      </c>
      <c r="AQ1106" s="143">
        <f t="shared" ref="AQ1106:AQ1111" si="615">ROUND(AP1106,2)*-1</f>
        <v>-37842</v>
      </c>
    </row>
    <row r="1107" spans="1:43" x14ac:dyDescent="0.35">
      <c r="A1107" s="69" t="s">
        <v>43</v>
      </c>
      <c r="B1107" s="15" t="s">
        <v>3494</v>
      </c>
      <c r="C1107" s="15"/>
      <c r="D1107" s="69"/>
      <c r="E1107" s="76">
        <v>0</v>
      </c>
      <c r="F1107" s="69" t="s">
        <v>2960</v>
      </c>
      <c r="G1107" s="132" t="s">
        <v>2961</v>
      </c>
      <c r="H1107" s="15">
        <v>9013000148</v>
      </c>
      <c r="I1107" s="92" t="s">
        <v>593</v>
      </c>
      <c r="J1107" s="92">
        <v>1202020101</v>
      </c>
      <c r="K1107" s="35" t="s">
        <v>3495</v>
      </c>
      <c r="L1107" s="95" t="s">
        <v>3496</v>
      </c>
      <c r="M1107" s="69" t="s">
        <v>3497</v>
      </c>
      <c r="N1107" s="69"/>
      <c r="O1107" s="94">
        <v>1</v>
      </c>
      <c r="P1107" s="69" t="s">
        <v>50</v>
      </c>
      <c r="Q1107" s="69" t="s">
        <v>51</v>
      </c>
      <c r="R1107" s="69"/>
      <c r="S1107" s="46">
        <v>44336</v>
      </c>
      <c r="T1107" s="48">
        <v>44336</v>
      </c>
      <c r="U1107" s="69"/>
      <c r="V1107" s="69"/>
      <c r="W1107" s="69"/>
      <c r="X1107" s="69"/>
      <c r="Y1107" s="69" t="s">
        <v>4128</v>
      </c>
      <c r="Z1107" s="43">
        <v>110000</v>
      </c>
      <c r="AA1107" s="43" t="s">
        <v>52</v>
      </c>
      <c r="AB1107" s="43" t="s">
        <v>53</v>
      </c>
      <c r="AC1107" s="43">
        <v>1460</v>
      </c>
      <c r="AD1107" s="141">
        <v>4</v>
      </c>
      <c r="AE1107" s="142">
        <v>0</v>
      </c>
      <c r="AF1107" s="142"/>
      <c r="AG1107" s="69" t="str">
        <f t="shared" si="612"/>
        <v>3 years 227 days</v>
      </c>
      <c r="AH1107" s="69">
        <v>3</v>
      </c>
      <c r="AI1107" s="69">
        <v>227</v>
      </c>
      <c r="AJ1107" s="69">
        <v>0</v>
      </c>
      <c r="AK1107" s="69">
        <v>0</v>
      </c>
      <c r="AL1107" s="60">
        <v>110000</v>
      </c>
      <c r="AM1107" s="60">
        <f t="shared" si="613"/>
        <v>110000</v>
      </c>
      <c r="AN1107" s="59">
        <v>99603</v>
      </c>
      <c r="AO1107" s="148">
        <f t="shared" si="614"/>
        <v>-99603</v>
      </c>
      <c r="AP1107" s="58">
        <v>10396.999999999985</v>
      </c>
      <c r="AQ1107" s="143">
        <f t="shared" si="615"/>
        <v>-10397</v>
      </c>
    </row>
    <row r="1108" spans="1:43" x14ac:dyDescent="0.35">
      <c r="A1108" s="69" t="s">
        <v>43</v>
      </c>
      <c r="B1108" s="15" t="s">
        <v>3498</v>
      </c>
      <c r="C1108" s="15"/>
      <c r="D1108" s="69"/>
      <c r="E1108" s="76">
        <v>0</v>
      </c>
      <c r="F1108" s="69" t="s">
        <v>2960</v>
      </c>
      <c r="G1108" s="132" t="s">
        <v>2961</v>
      </c>
      <c r="H1108" s="15">
        <v>9013000149</v>
      </c>
      <c r="I1108" s="92" t="s">
        <v>593</v>
      </c>
      <c r="J1108" s="92">
        <v>1202020101</v>
      </c>
      <c r="K1108" s="35" t="s">
        <v>3499</v>
      </c>
      <c r="L1108" s="95" t="s">
        <v>3500</v>
      </c>
      <c r="M1108" s="69" t="s">
        <v>3501</v>
      </c>
      <c r="N1108" s="69"/>
      <c r="O1108" s="94">
        <v>1</v>
      </c>
      <c r="P1108" s="69" t="s">
        <v>50</v>
      </c>
      <c r="Q1108" s="69" t="s">
        <v>51</v>
      </c>
      <c r="R1108" s="69"/>
      <c r="S1108" s="46">
        <v>43974</v>
      </c>
      <c r="T1108" s="48">
        <v>43974</v>
      </c>
      <c r="U1108" s="69"/>
      <c r="V1108" s="69"/>
      <c r="W1108" s="69"/>
      <c r="X1108" s="69"/>
      <c r="Y1108" s="69" t="s">
        <v>4127</v>
      </c>
      <c r="Z1108" s="43">
        <v>135000</v>
      </c>
      <c r="AA1108" s="43" t="s">
        <v>52</v>
      </c>
      <c r="AB1108" s="43" t="s">
        <v>53</v>
      </c>
      <c r="AC1108" s="43">
        <v>1460</v>
      </c>
      <c r="AD1108" s="141">
        <v>4</v>
      </c>
      <c r="AE1108" s="142">
        <v>0</v>
      </c>
      <c r="AF1108" s="142"/>
      <c r="AG1108" s="69" t="str">
        <f t="shared" si="612"/>
        <v>4 years 0 days</v>
      </c>
      <c r="AH1108" s="69">
        <v>4</v>
      </c>
      <c r="AI1108" s="69">
        <v>0</v>
      </c>
      <c r="AJ1108" s="69">
        <v>0</v>
      </c>
      <c r="AK1108" s="69">
        <v>0</v>
      </c>
      <c r="AL1108" s="60">
        <v>135000</v>
      </c>
      <c r="AM1108" s="60">
        <f t="shared" si="613"/>
        <v>135000</v>
      </c>
      <c r="AN1108" s="59">
        <v>135000</v>
      </c>
      <c r="AO1108" s="148">
        <f t="shared" si="614"/>
        <v>-135000</v>
      </c>
      <c r="AP1108" s="58">
        <v>0</v>
      </c>
      <c r="AQ1108" s="143">
        <f t="shared" si="615"/>
        <v>0</v>
      </c>
    </row>
    <row r="1109" spans="1:43" x14ac:dyDescent="0.35">
      <c r="A1109" s="69" t="s">
        <v>43</v>
      </c>
      <c r="B1109" s="15" t="s">
        <v>3502</v>
      </c>
      <c r="C1109" s="15"/>
      <c r="D1109" s="69"/>
      <c r="E1109" s="76">
        <v>0</v>
      </c>
      <c r="F1109" s="69" t="s">
        <v>2960</v>
      </c>
      <c r="G1109" s="132" t="s">
        <v>2961</v>
      </c>
      <c r="H1109" s="15">
        <v>9013000150</v>
      </c>
      <c r="I1109" s="92" t="s">
        <v>593</v>
      </c>
      <c r="J1109" s="92">
        <v>1202020101</v>
      </c>
      <c r="K1109" s="35" t="s">
        <v>3503</v>
      </c>
      <c r="L1109" s="95" t="s">
        <v>3504</v>
      </c>
      <c r="M1109" s="69" t="s">
        <v>3505</v>
      </c>
      <c r="N1109" s="69"/>
      <c r="O1109" s="94">
        <v>1</v>
      </c>
      <c r="P1109" s="69" t="s">
        <v>50</v>
      </c>
      <c r="Q1109" s="69" t="s">
        <v>51</v>
      </c>
      <c r="R1109" s="69"/>
      <c r="S1109" s="46">
        <v>44150</v>
      </c>
      <c r="T1109" s="48">
        <v>44150</v>
      </c>
      <c r="U1109" s="69"/>
      <c r="V1109" s="69"/>
      <c r="W1109" s="69"/>
      <c r="X1109" s="69"/>
      <c r="Y1109" s="69" t="s">
        <v>4127</v>
      </c>
      <c r="Z1109" s="43">
        <v>135000</v>
      </c>
      <c r="AA1109" s="43" t="s">
        <v>52</v>
      </c>
      <c r="AB1109" s="43" t="s">
        <v>53</v>
      </c>
      <c r="AC1109" s="43">
        <v>1460</v>
      </c>
      <c r="AD1109" s="141">
        <v>4</v>
      </c>
      <c r="AE1109" s="142">
        <v>0</v>
      </c>
      <c r="AF1109" s="142"/>
      <c r="AG1109" s="69" t="str">
        <f t="shared" si="612"/>
        <v>4 years 0 days</v>
      </c>
      <c r="AH1109" s="69">
        <v>4</v>
      </c>
      <c r="AI1109" s="69">
        <v>0</v>
      </c>
      <c r="AJ1109" s="69">
        <v>0</v>
      </c>
      <c r="AK1109" s="69">
        <v>0</v>
      </c>
      <c r="AL1109" s="60">
        <v>135000</v>
      </c>
      <c r="AM1109" s="60">
        <f t="shared" si="613"/>
        <v>135000</v>
      </c>
      <c r="AN1109" s="59">
        <v>135000</v>
      </c>
      <c r="AO1109" s="148">
        <f t="shared" si="614"/>
        <v>-135000</v>
      </c>
      <c r="AP1109" s="58">
        <v>0</v>
      </c>
      <c r="AQ1109" s="143">
        <f t="shared" si="615"/>
        <v>0</v>
      </c>
    </row>
    <row r="1110" spans="1:43" x14ac:dyDescent="0.35">
      <c r="A1110" s="69" t="s">
        <v>43</v>
      </c>
      <c r="B1110" s="15" t="s">
        <v>3506</v>
      </c>
      <c r="C1110" s="15"/>
      <c r="D1110" s="69"/>
      <c r="E1110" s="76">
        <v>0</v>
      </c>
      <c r="F1110" s="69" t="s">
        <v>2960</v>
      </c>
      <c r="G1110" s="132" t="s">
        <v>2961</v>
      </c>
      <c r="H1110" s="15">
        <v>9013000151</v>
      </c>
      <c r="I1110" s="92" t="s">
        <v>593</v>
      </c>
      <c r="J1110" s="92">
        <v>1202020101</v>
      </c>
      <c r="K1110" s="35" t="s">
        <v>3507</v>
      </c>
      <c r="L1110" s="95" t="s">
        <v>3508</v>
      </c>
      <c r="M1110" s="69" t="s">
        <v>49</v>
      </c>
      <c r="N1110" s="69"/>
      <c r="O1110" s="94">
        <v>1</v>
      </c>
      <c r="P1110" s="69" t="s">
        <v>50</v>
      </c>
      <c r="Q1110" s="69" t="s">
        <v>51</v>
      </c>
      <c r="R1110" s="69"/>
      <c r="S1110" s="46">
        <v>43302</v>
      </c>
      <c r="T1110" s="48">
        <v>43302</v>
      </c>
      <c r="U1110" s="69"/>
      <c r="V1110" s="69"/>
      <c r="W1110" s="69"/>
      <c r="X1110" s="69"/>
      <c r="Y1110" s="69" t="s">
        <v>4125</v>
      </c>
      <c r="Z1110" s="43">
        <v>106000</v>
      </c>
      <c r="AA1110" s="43" t="s">
        <v>52</v>
      </c>
      <c r="AB1110" s="43" t="s">
        <v>53</v>
      </c>
      <c r="AC1110" s="43">
        <v>1460</v>
      </c>
      <c r="AD1110" s="141">
        <v>4</v>
      </c>
      <c r="AE1110" s="142">
        <v>0</v>
      </c>
      <c r="AF1110" s="142"/>
      <c r="AG1110" s="69" t="str">
        <f t="shared" si="612"/>
        <v>4 years 0 days</v>
      </c>
      <c r="AH1110" s="69">
        <v>4</v>
      </c>
      <c r="AI1110" s="69">
        <v>0</v>
      </c>
      <c r="AJ1110" s="69">
        <v>0</v>
      </c>
      <c r="AK1110" s="69">
        <v>0</v>
      </c>
      <c r="AL1110" s="60">
        <v>106000</v>
      </c>
      <c r="AM1110" s="60">
        <f t="shared" si="613"/>
        <v>106000</v>
      </c>
      <c r="AN1110" s="59">
        <v>106000</v>
      </c>
      <c r="AO1110" s="148">
        <f t="shared" si="614"/>
        <v>-106000</v>
      </c>
      <c r="AP1110" s="58">
        <v>0</v>
      </c>
      <c r="AQ1110" s="143">
        <f t="shared" si="615"/>
        <v>0</v>
      </c>
    </row>
    <row r="1111" spans="1:43" x14ac:dyDescent="0.35">
      <c r="A1111" s="69" t="s">
        <v>43</v>
      </c>
      <c r="B1111" s="15" t="s">
        <v>3509</v>
      </c>
      <c r="C1111" s="15"/>
      <c r="D1111" s="69"/>
      <c r="E1111" s="76">
        <v>0</v>
      </c>
      <c r="F1111" s="69" t="s">
        <v>2960</v>
      </c>
      <c r="G1111" s="132" t="s">
        <v>2961</v>
      </c>
      <c r="H1111" s="15">
        <v>9013000152</v>
      </c>
      <c r="I1111" s="92" t="s">
        <v>593</v>
      </c>
      <c r="J1111" s="92">
        <v>1202020101</v>
      </c>
      <c r="K1111" s="35" t="s">
        <v>3510</v>
      </c>
      <c r="L1111" s="95" t="s">
        <v>3511</v>
      </c>
      <c r="M1111" s="69" t="s">
        <v>49</v>
      </c>
      <c r="N1111" s="69"/>
      <c r="O1111" s="94">
        <v>1</v>
      </c>
      <c r="P1111" s="69" t="s">
        <v>50</v>
      </c>
      <c r="Q1111" s="69" t="s">
        <v>51</v>
      </c>
      <c r="R1111" s="69"/>
      <c r="S1111" s="46">
        <v>43328</v>
      </c>
      <c r="T1111" s="48">
        <v>43328</v>
      </c>
      <c r="U1111" s="69"/>
      <c r="V1111" s="69"/>
      <c r="W1111" s="69"/>
      <c r="X1111" s="69"/>
      <c r="Y1111" s="69" t="s">
        <v>4125</v>
      </c>
      <c r="Z1111" s="43">
        <v>106000</v>
      </c>
      <c r="AA1111" s="43" t="s">
        <v>52</v>
      </c>
      <c r="AB1111" s="43" t="s">
        <v>53</v>
      </c>
      <c r="AC1111" s="43">
        <v>1460</v>
      </c>
      <c r="AD1111" s="141">
        <v>4</v>
      </c>
      <c r="AE1111" s="142">
        <v>0</v>
      </c>
      <c r="AF1111" s="142"/>
      <c r="AG1111" s="69" t="str">
        <f t="shared" si="612"/>
        <v>4 years 0 days</v>
      </c>
      <c r="AH1111" s="69">
        <v>4</v>
      </c>
      <c r="AI1111" s="69">
        <v>0</v>
      </c>
      <c r="AJ1111" s="69">
        <v>0</v>
      </c>
      <c r="AK1111" s="69">
        <v>0</v>
      </c>
      <c r="AL1111" s="60">
        <v>106000</v>
      </c>
      <c r="AM1111" s="60">
        <f t="shared" si="613"/>
        <v>106000</v>
      </c>
      <c r="AN1111" s="59">
        <v>106000</v>
      </c>
      <c r="AO1111" s="148">
        <f t="shared" si="614"/>
        <v>-106000</v>
      </c>
      <c r="AP1111" s="58">
        <v>0</v>
      </c>
      <c r="AQ1111" s="143">
        <f t="shared" si="615"/>
        <v>0</v>
      </c>
    </row>
    <row r="1112" spans="1:43" x14ac:dyDescent="0.35">
      <c r="A1112" s="69" t="s">
        <v>43</v>
      </c>
      <c r="B1112" s="15" t="s">
        <v>3512</v>
      </c>
      <c r="C1112" s="15"/>
      <c r="D1112" s="69"/>
      <c r="E1112" s="76">
        <v>0</v>
      </c>
      <c r="F1112" s="69" t="s">
        <v>2960</v>
      </c>
      <c r="G1112" s="132" t="s">
        <v>2961</v>
      </c>
      <c r="H1112" s="15">
        <v>9013000153</v>
      </c>
      <c r="I1112" s="92" t="s">
        <v>593</v>
      </c>
      <c r="J1112" s="92">
        <v>1202020101</v>
      </c>
      <c r="K1112" s="34" t="s">
        <v>3513</v>
      </c>
      <c r="L1112" s="95" t="s">
        <v>3514</v>
      </c>
      <c r="M1112" s="69" t="s">
        <v>3515</v>
      </c>
      <c r="N1112" s="69"/>
      <c r="O1112" s="94">
        <v>1</v>
      </c>
      <c r="P1112" s="69" t="s">
        <v>50</v>
      </c>
      <c r="Q1112" s="69" t="s">
        <v>51</v>
      </c>
      <c r="R1112" s="69"/>
      <c r="S1112" s="46">
        <v>44340</v>
      </c>
      <c r="T1112" s="48">
        <v>44340</v>
      </c>
      <c r="U1112" s="69"/>
      <c r="V1112" s="69"/>
      <c r="W1112" s="69"/>
      <c r="X1112" s="69"/>
      <c r="Y1112" s="69" t="s">
        <v>4128</v>
      </c>
      <c r="Z1112" s="43">
        <v>2050000</v>
      </c>
      <c r="AA1112" s="43" t="s">
        <v>52</v>
      </c>
      <c r="AB1112" s="43" t="s">
        <v>53</v>
      </c>
      <c r="AC1112" s="43">
        <v>1460</v>
      </c>
      <c r="AD1112" s="141">
        <v>4</v>
      </c>
      <c r="AE1112" s="142">
        <v>0</v>
      </c>
      <c r="AF1112" s="142"/>
      <c r="AG1112" s="69" t="str">
        <f t="shared" ref="AG1112:AG1113" si="616">_xlfn.CONCAT(AH1112," years ",AI1112," days")</f>
        <v>3 years 223 days</v>
      </c>
      <c r="AH1112" s="69">
        <v>3</v>
      </c>
      <c r="AI1112" s="69">
        <v>223</v>
      </c>
      <c r="AJ1112" s="69">
        <v>0</v>
      </c>
      <c r="AK1112" s="69">
        <v>0</v>
      </c>
      <c r="AL1112" s="60">
        <v>2050000</v>
      </c>
      <c r="AM1112" s="60">
        <f t="shared" ref="AM1112:AM1113" si="617">ROUND(AL1112,2)</f>
        <v>2050000</v>
      </c>
      <c r="AN1112" s="59">
        <v>1850616</v>
      </c>
      <c r="AO1112" s="148">
        <f t="shared" ref="AO1112:AO1113" si="618">ROUND(AN1112,2)*-1</f>
        <v>-1850616</v>
      </c>
      <c r="AP1112" s="58">
        <v>199384</v>
      </c>
      <c r="AQ1112" s="143">
        <f t="shared" ref="AQ1112:AQ1113" si="619">ROUND(AP1112,2)*-1</f>
        <v>-199384</v>
      </c>
    </row>
    <row r="1113" spans="1:43" x14ac:dyDescent="0.35">
      <c r="A1113" s="69" t="s">
        <v>43</v>
      </c>
      <c r="B1113" s="15" t="s">
        <v>3516</v>
      </c>
      <c r="C1113" s="15"/>
      <c r="D1113" s="69"/>
      <c r="E1113" s="76">
        <v>0</v>
      </c>
      <c r="F1113" s="69" t="s">
        <v>2960</v>
      </c>
      <c r="G1113" s="132" t="s">
        <v>2961</v>
      </c>
      <c r="H1113" s="15">
        <v>9013000154</v>
      </c>
      <c r="I1113" s="92" t="s">
        <v>593</v>
      </c>
      <c r="J1113" s="92">
        <v>1202020101</v>
      </c>
      <c r="K1113" s="35" t="s">
        <v>3517</v>
      </c>
      <c r="L1113" s="95" t="s">
        <v>3518</v>
      </c>
      <c r="M1113" s="69" t="s">
        <v>49</v>
      </c>
      <c r="N1113" s="69"/>
      <c r="O1113" s="94">
        <v>1</v>
      </c>
      <c r="P1113" s="69" t="s">
        <v>50</v>
      </c>
      <c r="Q1113" s="69" t="s">
        <v>51</v>
      </c>
      <c r="R1113" s="69"/>
      <c r="S1113" s="46">
        <v>43357</v>
      </c>
      <c r="T1113" s="48">
        <v>43357</v>
      </c>
      <c r="U1113" s="69"/>
      <c r="V1113" s="69"/>
      <c r="W1113" s="69"/>
      <c r="X1113" s="69"/>
      <c r="Y1113" s="69" t="s">
        <v>4125</v>
      </c>
      <c r="Z1113" s="43">
        <v>106000</v>
      </c>
      <c r="AA1113" s="43" t="s">
        <v>52</v>
      </c>
      <c r="AB1113" s="43" t="s">
        <v>53</v>
      </c>
      <c r="AC1113" s="43">
        <v>1460</v>
      </c>
      <c r="AD1113" s="141">
        <v>4</v>
      </c>
      <c r="AE1113" s="142">
        <v>0</v>
      </c>
      <c r="AF1113" s="142"/>
      <c r="AG1113" s="69" t="str">
        <f t="shared" si="616"/>
        <v>4 years 0 days</v>
      </c>
      <c r="AH1113" s="69">
        <v>4</v>
      </c>
      <c r="AI1113" s="69">
        <v>0</v>
      </c>
      <c r="AJ1113" s="69">
        <v>0</v>
      </c>
      <c r="AK1113" s="69">
        <v>0</v>
      </c>
      <c r="AL1113" s="60">
        <v>106000</v>
      </c>
      <c r="AM1113" s="60">
        <f t="shared" si="617"/>
        <v>106000</v>
      </c>
      <c r="AN1113" s="59">
        <v>106000</v>
      </c>
      <c r="AO1113" s="148">
        <f t="shared" si="618"/>
        <v>-106000</v>
      </c>
      <c r="AP1113" s="58">
        <v>0</v>
      </c>
      <c r="AQ1113" s="143">
        <f t="shared" si="619"/>
        <v>0</v>
      </c>
    </row>
    <row r="1114" spans="1:43" x14ac:dyDescent="0.35">
      <c r="A1114" s="69" t="s">
        <v>43</v>
      </c>
      <c r="B1114" s="15" t="s">
        <v>3519</v>
      </c>
      <c r="C1114" s="15"/>
      <c r="D1114" s="69"/>
      <c r="E1114" s="76">
        <v>0</v>
      </c>
      <c r="F1114" s="69" t="s">
        <v>2960</v>
      </c>
      <c r="G1114" s="132" t="s">
        <v>2961</v>
      </c>
      <c r="H1114" s="15">
        <v>9013000155</v>
      </c>
      <c r="I1114" s="92" t="s">
        <v>593</v>
      </c>
      <c r="J1114" s="92">
        <v>1202020101</v>
      </c>
      <c r="K1114" s="35" t="s">
        <v>3520</v>
      </c>
      <c r="L1114" s="95" t="s">
        <v>3521</v>
      </c>
      <c r="M1114" s="69" t="s">
        <v>3522</v>
      </c>
      <c r="N1114" s="69"/>
      <c r="O1114" s="94">
        <v>2</v>
      </c>
      <c r="P1114" s="69" t="s">
        <v>50</v>
      </c>
      <c r="Q1114" s="69" t="s">
        <v>51</v>
      </c>
      <c r="R1114" s="69"/>
      <c r="S1114" s="46">
        <v>44437</v>
      </c>
      <c r="T1114" s="48">
        <v>44437</v>
      </c>
      <c r="U1114" s="69"/>
      <c r="V1114" s="69"/>
      <c r="W1114" s="69"/>
      <c r="X1114" s="69"/>
      <c r="Y1114" s="69" t="s">
        <v>4128</v>
      </c>
      <c r="Z1114" s="43">
        <v>1794830</v>
      </c>
      <c r="AA1114" s="43" t="s">
        <v>52</v>
      </c>
      <c r="AB1114" s="43" t="s">
        <v>53</v>
      </c>
      <c r="AC1114" s="43">
        <v>1460</v>
      </c>
      <c r="AD1114" s="141">
        <v>4</v>
      </c>
      <c r="AE1114" s="142">
        <v>0</v>
      </c>
      <c r="AF1114" s="142"/>
      <c r="AG1114" s="69" t="str">
        <f t="shared" ref="AG1114:AG1115" si="620">_xlfn.CONCAT(AH1114," years ",AI1114," days")</f>
        <v>3 years 126 days</v>
      </c>
      <c r="AH1114" s="69">
        <v>3</v>
      </c>
      <c r="AI1114" s="69">
        <v>126</v>
      </c>
      <c r="AJ1114" s="69">
        <v>0</v>
      </c>
      <c r="AK1114" s="69">
        <v>0</v>
      </c>
      <c r="AL1114" s="60">
        <v>1794830</v>
      </c>
      <c r="AM1114" s="60">
        <f t="shared" ref="AM1114:AM1115" si="621">ROUND(AL1114,2)</f>
        <v>1794830</v>
      </c>
      <c r="AN1114" s="59">
        <v>1419883</v>
      </c>
      <c r="AO1114" s="148">
        <f t="shared" ref="AO1114:AO1115" si="622">ROUND(AN1114,2)*-1</f>
        <v>-1419883</v>
      </c>
      <c r="AP1114" s="58">
        <v>222509.54109589034</v>
      </c>
      <c r="AQ1114" s="143">
        <f t="shared" ref="AQ1114:AQ1115" si="623">ROUND(AP1114,2)*-1</f>
        <v>-222509.54</v>
      </c>
    </row>
    <row r="1115" spans="1:43" x14ac:dyDescent="0.35">
      <c r="A1115" s="69" t="s">
        <v>43</v>
      </c>
      <c r="B1115" s="15" t="s">
        <v>3523</v>
      </c>
      <c r="C1115" s="15"/>
      <c r="D1115" s="69"/>
      <c r="E1115" s="76">
        <v>0</v>
      </c>
      <c r="F1115" s="69" t="s">
        <v>2960</v>
      </c>
      <c r="G1115" s="132" t="s">
        <v>2961</v>
      </c>
      <c r="H1115" s="15">
        <v>9013000156</v>
      </c>
      <c r="I1115" s="92" t="s">
        <v>593</v>
      </c>
      <c r="J1115" s="92">
        <v>1202020101</v>
      </c>
      <c r="K1115" s="35" t="s">
        <v>3524</v>
      </c>
      <c r="L1115" s="95" t="s">
        <v>3525</v>
      </c>
      <c r="M1115" s="69" t="s">
        <v>3526</v>
      </c>
      <c r="N1115" s="69"/>
      <c r="O1115" s="94">
        <v>1</v>
      </c>
      <c r="P1115" s="69" t="s">
        <v>50</v>
      </c>
      <c r="Q1115" s="69" t="s">
        <v>51</v>
      </c>
      <c r="R1115" s="69"/>
      <c r="S1115" s="46">
        <v>45108</v>
      </c>
      <c r="T1115" s="48">
        <v>45108</v>
      </c>
      <c r="U1115" s="69"/>
      <c r="V1115" s="69"/>
      <c r="W1115" s="69"/>
      <c r="X1115" s="69"/>
      <c r="Y1115" s="69" t="s">
        <v>4129</v>
      </c>
      <c r="Z1115" s="43">
        <v>150000</v>
      </c>
      <c r="AA1115" s="43" t="s">
        <v>52</v>
      </c>
      <c r="AB1115" s="43" t="s">
        <v>53</v>
      </c>
      <c r="AC1115" s="43">
        <v>1460</v>
      </c>
      <c r="AD1115" s="141">
        <v>4</v>
      </c>
      <c r="AE1115" s="142">
        <v>0</v>
      </c>
      <c r="AF1115" s="142"/>
      <c r="AG1115" s="69" t="str">
        <f t="shared" si="620"/>
        <v>1 years 185 days</v>
      </c>
      <c r="AH1115" s="69">
        <v>1</v>
      </c>
      <c r="AI1115" s="69">
        <v>185</v>
      </c>
      <c r="AJ1115" s="69">
        <v>0</v>
      </c>
      <c r="AK1115" s="69">
        <v>0</v>
      </c>
      <c r="AL1115" s="60">
        <v>150000</v>
      </c>
      <c r="AM1115" s="60">
        <f t="shared" si="621"/>
        <v>150000</v>
      </c>
      <c r="AN1115" s="59">
        <v>56507</v>
      </c>
      <c r="AO1115" s="148">
        <f t="shared" si="622"/>
        <v>-56507</v>
      </c>
      <c r="AP1115" s="58">
        <v>18595.739726027401</v>
      </c>
      <c r="AQ1115" s="143">
        <f t="shared" si="623"/>
        <v>-18595.740000000002</v>
      </c>
    </row>
    <row r="1116" spans="1:43" x14ac:dyDescent="0.35">
      <c r="A1116" s="69" t="s">
        <v>43</v>
      </c>
      <c r="B1116" s="15" t="s">
        <v>3527</v>
      </c>
      <c r="C1116" s="15"/>
      <c r="D1116" s="69"/>
      <c r="E1116" s="76">
        <v>0</v>
      </c>
      <c r="F1116" s="69" t="s">
        <v>2960</v>
      </c>
      <c r="G1116" s="132" t="s">
        <v>2961</v>
      </c>
      <c r="H1116" s="15">
        <v>9013000157</v>
      </c>
      <c r="I1116" s="92" t="s">
        <v>593</v>
      </c>
      <c r="J1116" s="92">
        <v>1202020101</v>
      </c>
      <c r="K1116" s="35" t="s">
        <v>3528</v>
      </c>
      <c r="L1116" s="95" t="s">
        <v>3529</v>
      </c>
      <c r="M1116" s="69" t="s">
        <v>3530</v>
      </c>
      <c r="N1116" s="69"/>
      <c r="O1116" s="94">
        <v>1</v>
      </c>
      <c r="P1116" s="69" t="s">
        <v>50</v>
      </c>
      <c r="Q1116" s="69" t="s">
        <v>51</v>
      </c>
      <c r="R1116" s="69"/>
      <c r="S1116" s="46">
        <v>44531</v>
      </c>
      <c r="T1116" s="48">
        <v>44531</v>
      </c>
      <c r="U1116" s="69"/>
      <c r="V1116" s="69"/>
      <c r="W1116" s="69"/>
      <c r="X1116" s="69"/>
      <c r="Y1116" s="69" t="s">
        <v>4128</v>
      </c>
      <c r="Z1116" s="43">
        <v>578740</v>
      </c>
      <c r="AA1116" s="43" t="s">
        <v>52</v>
      </c>
      <c r="AB1116" s="43" t="s">
        <v>53</v>
      </c>
      <c r="AC1116" s="43">
        <v>1460</v>
      </c>
      <c r="AD1116" s="141">
        <v>4</v>
      </c>
      <c r="AE1116" s="142">
        <v>0</v>
      </c>
      <c r="AF1116" s="142"/>
      <c r="AG1116" s="69" t="str">
        <f>_xlfn.CONCAT(AH1116," years ",AI1116," days")</f>
        <v>3 years 32 days</v>
      </c>
      <c r="AH1116" s="69">
        <v>3</v>
      </c>
      <c r="AI1116" s="69">
        <v>32</v>
      </c>
      <c r="AJ1116" s="69">
        <v>0</v>
      </c>
      <c r="AK1116" s="69">
        <v>0</v>
      </c>
      <c r="AL1116" s="60">
        <v>578740</v>
      </c>
      <c r="AM1116" s="60">
        <f>ROUND(AL1116,2)</f>
        <v>578740</v>
      </c>
      <c r="AN1116" s="59">
        <v>446740</v>
      </c>
      <c r="AO1116" s="148">
        <f>ROUND(AN1116,2)*-1</f>
        <v>-446740</v>
      </c>
      <c r="AP1116" s="58">
        <v>71747.61643835617</v>
      </c>
      <c r="AQ1116" s="143">
        <f>ROUND(AP1116,2)*-1</f>
        <v>-71747.62</v>
      </c>
    </row>
    <row r="1117" spans="1:43" x14ac:dyDescent="0.35">
      <c r="A1117" s="69" t="s">
        <v>43</v>
      </c>
      <c r="B1117" s="15" t="s">
        <v>3531</v>
      </c>
      <c r="C1117" s="15"/>
      <c r="D1117" s="69"/>
      <c r="E1117" s="76">
        <v>0</v>
      </c>
      <c r="F1117" s="69" t="s">
        <v>2960</v>
      </c>
      <c r="G1117" s="132" t="s">
        <v>2961</v>
      </c>
      <c r="H1117" s="15">
        <v>9013000158</v>
      </c>
      <c r="I1117" s="92" t="s">
        <v>593</v>
      </c>
      <c r="J1117" s="92">
        <v>1202020101</v>
      </c>
      <c r="K1117" s="1" t="s">
        <v>3532</v>
      </c>
      <c r="L1117" s="95" t="s">
        <v>3533</v>
      </c>
      <c r="M1117" s="69" t="s">
        <v>3534</v>
      </c>
      <c r="N1117" s="69"/>
      <c r="O1117" s="94">
        <v>2</v>
      </c>
      <c r="P1117" s="69" t="s">
        <v>50</v>
      </c>
      <c r="Q1117" s="69" t="s">
        <v>51</v>
      </c>
      <c r="R1117" s="69"/>
      <c r="S1117" s="46">
        <v>44621</v>
      </c>
      <c r="T1117" s="48">
        <v>44621</v>
      </c>
      <c r="U1117" s="69"/>
      <c r="V1117" s="69"/>
      <c r="W1117" s="69"/>
      <c r="X1117" s="69"/>
      <c r="Y1117" s="69" t="s">
        <v>4131</v>
      </c>
      <c r="Z1117" s="43">
        <v>565228</v>
      </c>
      <c r="AA1117" s="43" t="s">
        <v>52</v>
      </c>
      <c r="AB1117" s="43" t="s">
        <v>53</v>
      </c>
      <c r="AC1117" s="43">
        <v>1460</v>
      </c>
      <c r="AD1117" s="141">
        <v>4</v>
      </c>
      <c r="AE1117" s="142">
        <v>0</v>
      </c>
      <c r="AF1117" s="142"/>
      <c r="AG1117" s="69" t="str">
        <f>_xlfn.CONCAT(AH1117," years ",AI1117," days")</f>
        <v>2 years 307 days</v>
      </c>
      <c r="AH1117" s="69">
        <v>2</v>
      </c>
      <c r="AI1117" s="69">
        <v>307</v>
      </c>
      <c r="AJ1117" s="69">
        <v>0</v>
      </c>
      <c r="AK1117" s="69">
        <v>0</v>
      </c>
      <c r="AL1117" s="60">
        <v>565228</v>
      </c>
      <c r="AM1117" s="60">
        <f>ROUND(AL1117,2)</f>
        <v>565228</v>
      </c>
      <c r="AN1117" s="59">
        <v>394266</v>
      </c>
      <c r="AO1117" s="148">
        <f>ROUND(AN1117,2)*-1</f>
        <v>-394266</v>
      </c>
      <c r="AP1117" s="58">
        <v>70072.673424657551</v>
      </c>
      <c r="AQ1117" s="143">
        <f>ROUND(AP1117,2)*-1</f>
        <v>-70072.67</v>
      </c>
    </row>
    <row r="1118" spans="1:43" x14ac:dyDescent="0.35">
      <c r="A1118" s="69" t="s">
        <v>43</v>
      </c>
      <c r="B1118" s="134" t="s">
        <v>3535</v>
      </c>
      <c r="C1118" s="134"/>
      <c r="D1118" s="69"/>
      <c r="E1118" s="76">
        <v>0</v>
      </c>
      <c r="F1118" s="69" t="s">
        <v>2960</v>
      </c>
      <c r="G1118" s="132" t="s">
        <v>2961</v>
      </c>
      <c r="H1118" s="15">
        <v>9013000159</v>
      </c>
      <c r="I1118" s="92" t="s">
        <v>593</v>
      </c>
      <c r="J1118" s="92">
        <v>1202020101</v>
      </c>
      <c r="K1118" s="35" t="s">
        <v>3536</v>
      </c>
      <c r="L1118" s="95" t="s">
        <v>3537</v>
      </c>
      <c r="M1118" s="69" t="s">
        <v>3538</v>
      </c>
      <c r="N1118" s="69"/>
      <c r="O1118" s="94">
        <v>1</v>
      </c>
      <c r="P1118" s="69" t="s">
        <v>50</v>
      </c>
      <c r="Q1118" s="69" t="s">
        <v>51</v>
      </c>
      <c r="R1118" s="69"/>
      <c r="S1118" s="46">
        <v>44195</v>
      </c>
      <c r="T1118" s="48">
        <v>44195</v>
      </c>
      <c r="U1118" s="69"/>
      <c r="V1118" s="69"/>
      <c r="W1118" s="69"/>
      <c r="X1118" s="69"/>
      <c r="Y1118" s="69" t="s">
        <v>4127</v>
      </c>
      <c r="Z1118" s="55">
        <v>1501600</v>
      </c>
      <c r="AA1118" s="43" t="s">
        <v>52</v>
      </c>
      <c r="AB1118" s="43" t="s">
        <v>53</v>
      </c>
      <c r="AC1118" s="43">
        <v>1460</v>
      </c>
      <c r="AD1118" s="141">
        <v>4</v>
      </c>
      <c r="AE1118" s="142">
        <v>0</v>
      </c>
      <c r="AF1118" s="142"/>
      <c r="AG1118" s="69" t="str">
        <f>_xlfn.CONCAT(AH1118," years ",AI1118," days")</f>
        <v>4 years 0 days</v>
      </c>
      <c r="AH1118" s="69">
        <v>4</v>
      </c>
      <c r="AI1118" s="69">
        <v>0</v>
      </c>
      <c r="AJ1118" s="69">
        <v>0</v>
      </c>
      <c r="AK1118" s="69">
        <v>0</v>
      </c>
      <c r="AL1118" s="63">
        <v>1501600</v>
      </c>
      <c r="AM1118" s="60">
        <f>ROUND(AL1118,2)</f>
        <v>1501600</v>
      </c>
      <c r="AN1118" s="59">
        <v>1501600</v>
      </c>
      <c r="AO1118" s="148">
        <f>ROUND(AN1118,2)*-1</f>
        <v>-1501600</v>
      </c>
      <c r="AP1118" s="58">
        <v>0</v>
      </c>
      <c r="AQ1118" s="143">
        <f>ROUND(AP1118,2)*-1</f>
        <v>0</v>
      </c>
    </row>
    <row r="1119" spans="1:43" x14ac:dyDescent="0.35">
      <c r="A1119" s="69" t="s">
        <v>43</v>
      </c>
      <c r="B1119" s="15" t="s">
        <v>3539</v>
      </c>
      <c r="C1119" s="15"/>
      <c r="D1119" s="69"/>
      <c r="E1119" s="76">
        <v>0</v>
      </c>
      <c r="F1119" s="69" t="s">
        <v>2960</v>
      </c>
      <c r="G1119" s="132" t="s">
        <v>2961</v>
      </c>
      <c r="H1119" s="15">
        <v>9013000160</v>
      </c>
      <c r="I1119" s="92" t="s">
        <v>1416</v>
      </c>
      <c r="J1119" s="92">
        <v>1202020104</v>
      </c>
      <c r="K1119" s="38" t="s">
        <v>3540</v>
      </c>
      <c r="L1119" s="95" t="s">
        <v>3541</v>
      </c>
      <c r="M1119" s="69" t="s">
        <v>49</v>
      </c>
      <c r="N1119" s="69"/>
      <c r="O1119" s="94">
        <v>1</v>
      </c>
      <c r="P1119" s="69" t="s">
        <v>50</v>
      </c>
      <c r="Q1119" s="69" t="s">
        <v>51</v>
      </c>
      <c r="R1119" s="69"/>
      <c r="S1119" s="46">
        <v>40258</v>
      </c>
      <c r="T1119" s="48">
        <v>43191</v>
      </c>
      <c r="U1119" s="69"/>
      <c r="V1119" s="69"/>
      <c r="W1119" s="69"/>
      <c r="X1119" s="69"/>
      <c r="Y1119" s="69" t="s">
        <v>4125</v>
      </c>
      <c r="Z1119" s="43">
        <v>205000</v>
      </c>
      <c r="AA1119" s="43" t="s">
        <v>52</v>
      </c>
      <c r="AB1119" s="43" t="s">
        <v>53</v>
      </c>
      <c r="AC1119" s="43">
        <v>183</v>
      </c>
      <c r="AD1119" s="141">
        <v>0</v>
      </c>
      <c r="AE1119" s="142">
        <v>6</v>
      </c>
      <c r="AF1119" s="142"/>
      <c r="AG1119" s="69" t="str">
        <f>_xlfn.CONCAT(AH1119," years ",AI1119," days")</f>
        <v>0 years 183 days</v>
      </c>
      <c r="AH1119" s="69">
        <v>0</v>
      </c>
      <c r="AI1119" s="69">
        <v>183</v>
      </c>
      <c r="AJ1119" s="69">
        <v>0</v>
      </c>
      <c r="AK1119" s="69">
        <v>0</v>
      </c>
      <c r="AL1119" s="60">
        <v>205000</v>
      </c>
      <c r="AM1119" s="60">
        <f>ROUND(AL1119,2)</f>
        <v>205000</v>
      </c>
      <c r="AN1119" s="59">
        <v>205000</v>
      </c>
      <c r="AO1119" s="148">
        <f>ROUND(AN1119,2)*-1</f>
        <v>-205000</v>
      </c>
      <c r="AP1119" s="58">
        <v>0</v>
      </c>
      <c r="AQ1119" s="143">
        <f>ROUND(AP1119,2)*-1</f>
        <v>0</v>
      </c>
    </row>
    <row r="1120" spans="1:43" x14ac:dyDescent="0.35">
      <c r="A1120" s="69" t="s">
        <v>43</v>
      </c>
      <c r="B1120" s="15" t="s">
        <v>3542</v>
      </c>
      <c r="C1120" s="15"/>
      <c r="D1120" s="69"/>
      <c r="E1120" s="76">
        <v>0</v>
      </c>
      <c r="F1120" s="69" t="s">
        <v>2960</v>
      </c>
      <c r="G1120" s="132" t="s">
        <v>2961</v>
      </c>
      <c r="H1120" s="15">
        <v>9013000161</v>
      </c>
      <c r="I1120" s="92" t="s">
        <v>1416</v>
      </c>
      <c r="J1120" s="92">
        <v>1202020104</v>
      </c>
      <c r="K1120" s="38" t="s">
        <v>3543</v>
      </c>
      <c r="L1120" s="95" t="s">
        <v>3544</v>
      </c>
      <c r="M1120" s="69" t="s">
        <v>3545</v>
      </c>
      <c r="N1120" s="69"/>
      <c r="O1120" s="94">
        <v>1</v>
      </c>
      <c r="P1120" s="69" t="s">
        <v>50</v>
      </c>
      <c r="Q1120" s="69" t="s">
        <v>51</v>
      </c>
      <c r="R1120" s="69"/>
      <c r="S1120" s="46">
        <v>44865</v>
      </c>
      <c r="T1120" s="48">
        <v>44865</v>
      </c>
      <c r="U1120" s="69"/>
      <c r="V1120" s="69"/>
      <c r="W1120" s="69"/>
      <c r="X1120" s="69"/>
      <c r="Y1120" s="69" t="s">
        <v>4131</v>
      </c>
      <c r="Z1120" s="43">
        <v>4156600</v>
      </c>
      <c r="AA1120" s="43" t="s">
        <v>52</v>
      </c>
      <c r="AB1120" s="43" t="s">
        <v>53</v>
      </c>
      <c r="AC1120" s="43">
        <v>1460</v>
      </c>
      <c r="AD1120" s="141">
        <v>4</v>
      </c>
      <c r="AE1120" s="142">
        <v>0</v>
      </c>
      <c r="AF1120" s="142"/>
      <c r="AG1120" s="69" t="str">
        <f t="shared" ref="AG1120:AG1122" si="624">_xlfn.CONCAT(AH1120," years ",AI1120," days")</f>
        <v>2 years 63 days</v>
      </c>
      <c r="AH1120" s="69">
        <v>2</v>
      </c>
      <c r="AI1120" s="69">
        <v>63</v>
      </c>
      <c r="AJ1120" s="69">
        <v>0</v>
      </c>
      <c r="AK1120" s="69">
        <v>0</v>
      </c>
      <c r="AL1120" s="60">
        <v>4156600</v>
      </c>
      <c r="AM1120" s="60">
        <f t="shared" ref="AM1120:AM1122" si="625">ROUND(AL1120,2)</f>
        <v>4156600</v>
      </c>
      <c r="AN1120" s="59">
        <v>4156600</v>
      </c>
      <c r="AO1120" s="148">
        <f t="shared" ref="AO1120:AO1122" si="626">ROUND(AN1120,2)*-1</f>
        <v>-4156600</v>
      </c>
      <c r="AP1120" s="58">
        <v>0</v>
      </c>
      <c r="AQ1120" s="143">
        <f t="shared" ref="AQ1120:AQ1122" si="627">ROUND(AP1120,2)*-1</f>
        <v>0</v>
      </c>
    </row>
    <row r="1121" spans="1:43" x14ac:dyDescent="0.35">
      <c r="A1121" s="69" t="s">
        <v>43</v>
      </c>
      <c r="B1121" s="15" t="s">
        <v>3546</v>
      </c>
      <c r="C1121" s="15"/>
      <c r="D1121" s="69"/>
      <c r="E1121" s="76">
        <v>0</v>
      </c>
      <c r="F1121" s="69" t="s">
        <v>2960</v>
      </c>
      <c r="G1121" s="132" t="s">
        <v>2961</v>
      </c>
      <c r="H1121" s="15">
        <v>9013000162</v>
      </c>
      <c r="I1121" s="92" t="s">
        <v>1416</v>
      </c>
      <c r="J1121" s="92">
        <v>1202020104</v>
      </c>
      <c r="K1121" s="38" t="s">
        <v>3547</v>
      </c>
      <c r="L1121" s="95" t="s">
        <v>3548</v>
      </c>
      <c r="M1121" s="69" t="s">
        <v>3549</v>
      </c>
      <c r="N1121" s="69"/>
      <c r="O1121" s="94">
        <v>1</v>
      </c>
      <c r="P1121" s="69" t="s">
        <v>50</v>
      </c>
      <c r="Q1121" s="69" t="s">
        <v>51</v>
      </c>
      <c r="R1121" s="69"/>
      <c r="S1121" s="46">
        <v>44869</v>
      </c>
      <c r="T1121" s="48">
        <v>44869</v>
      </c>
      <c r="U1121" s="69"/>
      <c r="V1121" s="69"/>
      <c r="W1121" s="69"/>
      <c r="X1121" s="69"/>
      <c r="Y1121" s="69" t="s">
        <v>4131</v>
      </c>
      <c r="Z1121" s="43">
        <v>135000</v>
      </c>
      <c r="AA1121" s="43" t="s">
        <v>52</v>
      </c>
      <c r="AB1121" s="43" t="s">
        <v>53</v>
      </c>
      <c r="AC1121" s="43">
        <v>1460</v>
      </c>
      <c r="AD1121" s="141">
        <v>4</v>
      </c>
      <c r="AE1121" s="142">
        <v>0</v>
      </c>
      <c r="AF1121" s="142"/>
      <c r="AG1121" s="69" t="str">
        <f t="shared" si="624"/>
        <v>2 years 59 days</v>
      </c>
      <c r="AH1121" s="69">
        <v>2</v>
      </c>
      <c r="AI1121" s="69">
        <v>59</v>
      </c>
      <c r="AJ1121" s="69">
        <v>0</v>
      </c>
      <c r="AK1121" s="69">
        <v>0</v>
      </c>
      <c r="AL1121" s="60">
        <v>135000</v>
      </c>
      <c r="AM1121" s="60">
        <f t="shared" si="625"/>
        <v>135000</v>
      </c>
      <c r="AN1121" s="59">
        <v>135000</v>
      </c>
      <c r="AO1121" s="148">
        <f t="shared" si="626"/>
        <v>-135000</v>
      </c>
      <c r="AP1121" s="58">
        <v>0</v>
      </c>
      <c r="AQ1121" s="143">
        <f t="shared" si="627"/>
        <v>0</v>
      </c>
    </row>
    <row r="1122" spans="1:43" x14ac:dyDescent="0.35">
      <c r="A1122" s="69" t="s">
        <v>43</v>
      </c>
      <c r="B1122" s="15" t="s">
        <v>3550</v>
      </c>
      <c r="C1122" s="15"/>
      <c r="D1122" s="69"/>
      <c r="E1122" s="76">
        <v>0</v>
      </c>
      <c r="F1122" s="69" t="s">
        <v>2960</v>
      </c>
      <c r="G1122" s="132" t="s">
        <v>2961</v>
      </c>
      <c r="H1122" s="15">
        <v>9013000163</v>
      </c>
      <c r="I1122" s="92" t="s">
        <v>1416</v>
      </c>
      <c r="J1122" s="92">
        <v>1202020104</v>
      </c>
      <c r="K1122" s="38" t="s">
        <v>3551</v>
      </c>
      <c r="L1122" s="95" t="s">
        <v>3552</v>
      </c>
      <c r="M1122" s="69" t="s">
        <v>49</v>
      </c>
      <c r="N1122" s="69"/>
      <c r="O1122" s="94">
        <v>1</v>
      </c>
      <c r="P1122" s="69" t="s">
        <v>50</v>
      </c>
      <c r="Q1122" s="69" t="s">
        <v>51</v>
      </c>
      <c r="R1122" s="69"/>
      <c r="S1122" s="46">
        <v>44865</v>
      </c>
      <c r="T1122" s="48">
        <v>44865</v>
      </c>
      <c r="U1122" s="69"/>
      <c r="V1122" s="69"/>
      <c r="W1122" s="69"/>
      <c r="X1122" s="69"/>
      <c r="Y1122" s="69" t="s">
        <v>4131</v>
      </c>
      <c r="Z1122" s="43">
        <v>494522</v>
      </c>
      <c r="AA1122" s="43" t="s">
        <v>52</v>
      </c>
      <c r="AB1122" s="43" t="s">
        <v>53</v>
      </c>
      <c r="AC1122" s="43">
        <v>1460</v>
      </c>
      <c r="AD1122" s="141">
        <v>4</v>
      </c>
      <c r="AE1122" s="142">
        <v>0</v>
      </c>
      <c r="AF1122" s="142"/>
      <c r="AG1122" s="69" t="str">
        <f t="shared" si="624"/>
        <v>2 years 63 days</v>
      </c>
      <c r="AH1122" s="69">
        <v>2</v>
      </c>
      <c r="AI1122" s="69">
        <v>63</v>
      </c>
      <c r="AJ1122" s="69">
        <v>0</v>
      </c>
      <c r="AK1122" s="69">
        <v>0</v>
      </c>
      <c r="AL1122" s="60">
        <v>494522</v>
      </c>
      <c r="AM1122" s="60">
        <f t="shared" si="625"/>
        <v>494522</v>
      </c>
      <c r="AN1122" s="59">
        <v>494522</v>
      </c>
      <c r="AO1122" s="148">
        <f t="shared" si="626"/>
        <v>-494522</v>
      </c>
      <c r="AP1122" s="58">
        <v>0</v>
      </c>
      <c r="AQ1122" s="143">
        <f t="shared" si="627"/>
        <v>0</v>
      </c>
    </row>
    <row r="1123" spans="1:43" x14ac:dyDescent="0.35">
      <c r="A1123" s="69" t="s">
        <v>43</v>
      </c>
      <c r="B1123" s="15" t="s">
        <v>3553</v>
      </c>
      <c r="C1123" s="15"/>
      <c r="D1123" s="69"/>
      <c r="E1123" s="76">
        <v>0</v>
      </c>
      <c r="F1123" s="69" t="s">
        <v>2960</v>
      </c>
      <c r="G1123" s="132" t="s">
        <v>2961</v>
      </c>
      <c r="H1123" s="15">
        <v>9013000164</v>
      </c>
      <c r="I1123" s="92" t="s">
        <v>1416</v>
      </c>
      <c r="J1123" s="92">
        <v>1202020104</v>
      </c>
      <c r="K1123" s="38" t="s">
        <v>3554</v>
      </c>
      <c r="L1123" s="95" t="s">
        <v>3555</v>
      </c>
      <c r="M1123" s="69" t="s">
        <v>3556</v>
      </c>
      <c r="N1123" s="69"/>
      <c r="O1123" s="94">
        <v>1</v>
      </c>
      <c r="P1123" s="69" t="s">
        <v>50</v>
      </c>
      <c r="Q1123" s="69" t="s">
        <v>51</v>
      </c>
      <c r="R1123" s="69"/>
      <c r="S1123" s="46">
        <v>44849</v>
      </c>
      <c r="T1123" s="48">
        <v>44849</v>
      </c>
      <c r="U1123" s="69"/>
      <c r="V1123" s="69"/>
      <c r="W1123" s="69"/>
      <c r="X1123" s="69"/>
      <c r="Y1123" s="69" t="s">
        <v>4131</v>
      </c>
      <c r="Z1123" s="43">
        <v>1882470</v>
      </c>
      <c r="AA1123" s="43" t="s">
        <v>52</v>
      </c>
      <c r="AB1123" s="43" t="s">
        <v>53</v>
      </c>
      <c r="AC1123" s="43">
        <v>1460</v>
      </c>
      <c r="AD1123" s="141">
        <v>4</v>
      </c>
      <c r="AE1123" s="142">
        <v>0</v>
      </c>
      <c r="AF1123" s="142"/>
      <c r="AG1123" s="69" t="str">
        <f>_xlfn.CONCAT(AH1123," years ",AI1123," days")</f>
        <v>2 years 79 days</v>
      </c>
      <c r="AH1123" s="69">
        <v>2</v>
      </c>
      <c r="AI1123" s="69">
        <v>79</v>
      </c>
      <c r="AJ1123" s="69">
        <v>0</v>
      </c>
      <c r="AK1123" s="69">
        <v>0</v>
      </c>
      <c r="AL1123" s="60">
        <v>1882470</v>
      </c>
      <c r="AM1123" s="60">
        <f>ROUND(AL1123,2)</f>
        <v>1882470</v>
      </c>
      <c r="AN1123" s="59">
        <v>1882470</v>
      </c>
      <c r="AO1123" s="148">
        <f>ROUND(AN1123,2)*-1</f>
        <v>-1882470</v>
      </c>
      <c r="AP1123" s="58">
        <v>0</v>
      </c>
      <c r="AQ1123" s="143">
        <f>ROUND(AP1123,2)*-1</f>
        <v>0</v>
      </c>
    </row>
    <row r="1124" spans="1:43" x14ac:dyDescent="0.35">
      <c r="A1124" s="69" t="s">
        <v>43</v>
      </c>
      <c r="B1124" s="15" t="s">
        <v>3557</v>
      </c>
      <c r="C1124" s="15"/>
      <c r="D1124" s="69"/>
      <c r="E1124" s="76">
        <v>0</v>
      </c>
      <c r="F1124" s="69" t="s">
        <v>2960</v>
      </c>
      <c r="G1124" s="132" t="s">
        <v>2961</v>
      </c>
      <c r="H1124" s="15">
        <v>9013000165</v>
      </c>
      <c r="I1124" s="92" t="s">
        <v>1416</v>
      </c>
      <c r="J1124" s="92">
        <v>1202020104</v>
      </c>
      <c r="K1124" s="38" t="s">
        <v>3558</v>
      </c>
      <c r="L1124" s="95" t="s">
        <v>3559</v>
      </c>
      <c r="M1124" s="69" t="s">
        <v>3560</v>
      </c>
      <c r="N1124" s="69"/>
      <c r="O1124" s="94">
        <v>1</v>
      </c>
      <c r="P1124" s="69" t="s">
        <v>50</v>
      </c>
      <c r="Q1124" s="69" t="s">
        <v>51</v>
      </c>
      <c r="R1124" s="69"/>
      <c r="S1124" s="46">
        <v>44849</v>
      </c>
      <c r="T1124" s="48">
        <v>44849</v>
      </c>
      <c r="U1124" s="69"/>
      <c r="V1124" s="69"/>
      <c r="W1124" s="69"/>
      <c r="X1124" s="69"/>
      <c r="Y1124" s="69" t="s">
        <v>4131</v>
      </c>
      <c r="Z1124" s="43">
        <v>320000</v>
      </c>
      <c r="AA1124" s="43" t="s">
        <v>52</v>
      </c>
      <c r="AB1124" s="43" t="s">
        <v>53</v>
      </c>
      <c r="AC1124" s="43">
        <v>1460</v>
      </c>
      <c r="AD1124" s="141">
        <v>4</v>
      </c>
      <c r="AE1124" s="142">
        <v>0</v>
      </c>
      <c r="AF1124" s="142"/>
      <c r="AG1124" s="69" t="str">
        <f>_xlfn.CONCAT(AH1124," years ",AI1124," days")</f>
        <v>2 years 79 days</v>
      </c>
      <c r="AH1124" s="69">
        <v>2</v>
      </c>
      <c r="AI1124" s="69">
        <v>79</v>
      </c>
      <c r="AJ1124" s="69">
        <v>0</v>
      </c>
      <c r="AK1124" s="69">
        <v>0</v>
      </c>
      <c r="AL1124" s="60">
        <v>320000</v>
      </c>
      <c r="AM1124" s="60">
        <f>ROUND(AL1124,2)</f>
        <v>320000</v>
      </c>
      <c r="AN1124" s="59">
        <v>262137</v>
      </c>
      <c r="AO1124" s="148">
        <f>ROUND(AN1124,2)*-1</f>
        <v>-262137</v>
      </c>
      <c r="AP1124" s="58">
        <v>39671.219178082189</v>
      </c>
      <c r="AQ1124" s="143">
        <f>ROUND(AP1124,2)*-1</f>
        <v>-39671.22</v>
      </c>
    </row>
    <row r="1125" spans="1:43" x14ac:dyDescent="0.35">
      <c r="A1125" s="69" t="s">
        <v>43</v>
      </c>
      <c r="B1125" s="15" t="s">
        <v>3561</v>
      </c>
      <c r="C1125" s="15"/>
      <c r="D1125" s="69"/>
      <c r="E1125" s="76">
        <v>0</v>
      </c>
      <c r="F1125" s="69" t="s">
        <v>2960</v>
      </c>
      <c r="G1125" s="132" t="s">
        <v>2961</v>
      </c>
      <c r="H1125" s="15">
        <v>9013000166</v>
      </c>
      <c r="I1125" s="92" t="s">
        <v>1416</v>
      </c>
      <c r="J1125" s="92">
        <v>1202020104</v>
      </c>
      <c r="K1125" s="38" t="s">
        <v>3562</v>
      </c>
      <c r="L1125" s="95" t="s">
        <v>3563</v>
      </c>
      <c r="M1125" s="69" t="s">
        <v>49</v>
      </c>
      <c r="N1125" s="69"/>
      <c r="O1125" s="94">
        <v>1</v>
      </c>
      <c r="P1125" s="69" t="s">
        <v>50</v>
      </c>
      <c r="Q1125" s="69" t="s">
        <v>51</v>
      </c>
      <c r="R1125" s="69"/>
      <c r="S1125" s="46">
        <v>44865</v>
      </c>
      <c r="T1125" s="48">
        <v>44865</v>
      </c>
      <c r="U1125" s="69"/>
      <c r="V1125" s="69"/>
      <c r="W1125" s="69"/>
      <c r="X1125" s="69"/>
      <c r="Y1125" s="69" t="s">
        <v>4131</v>
      </c>
      <c r="Z1125" s="43">
        <v>210000</v>
      </c>
      <c r="AA1125" s="43" t="s">
        <v>52</v>
      </c>
      <c r="AB1125" s="43" t="s">
        <v>53</v>
      </c>
      <c r="AC1125" s="43">
        <v>1460</v>
      </c>
      <c r="AD1125" s="141">
        <v>4</v>
      </c>
      <c r="AE1125" s="142">
        <v>0</v>
      </c>
      <c r="AF1125" s="142"/>
      <c r="AG1125" s="69" t="str">
        <f t="shared" ref="AG1125:AG1126" si="628">_xlfn.CONCAT(AH1125," years ",AI1125," days")</f>
        <v>2 years 63 days</v>
      </c>
      <c r="AH1125" s="69">
        <v>2</v>
      </c>
      <c r="AI1125" s="69">
        <v>63</v>
      </c>
      <c r="AJ1125" s="69">
        <v>0</v>
      </c>
      <c r="AK1125" s="69">
        <v>0</v>
      </c>
      <c r="AL1125" s="60">
        <v>210000</v>
      </c>
      <c r="AM1125" s="60">
        <f t="shared" ref="AM1125:AM1126" si="629">ROUND(AL1125,2)</f>
        <v>210000</v>
      </c>
      <c r="AN1125" s="59">
        <v>210000</v>
      </c>
      <c r="AO1125" s="148">
        <f t="shared" ref="AO1125:AO1126" si="630">ROUND(AN1125,2)*-1</f>
        <v>-210000</v>
      </c>
      <c r="AP1125" s="58">
        <v>0</v>
      </c>
      <c r="AQ1125" s="143">
        <f t="shared" ref="AQ1125:AQ1126" si="631">ROUND(AP1125,2)*-1</f>
        <v>0</v>
      </c>
    </row>
    <row r="1126" spans="1:43" x14ac:dyDescent="0.35">
      <c r="A1126" s="69" t="s">
        <v>43</v>
      </c>
      <c r="B1126" s="15" t="s">
        <v>3564</v>
      </c>
      <c r="C1126" s="15"/>
      <c r="D1126" s="69"/>
      <c r="E1126" s="76">
        <v>0</v>
      </c>
      <c r="F1126" s="69" t="s">
        <v>2960</v>
      </c>
      <c r="G1126" s="132" t="s">
        <v>2961</v>
      </c>
      <c r="H1126" s="15">
        <v>9013000167</v>
      </c>
      <c r="I1126" s="92" t="s">
        <v>1416</v>
      </c>
      <c r="J1126" s="92">
        <v>1202020104</v>
      </c>
      <c r="K1126" s="38" t="s">
        <v>3565</v>
      </c>
      <c r="L1126" s="95" t="s">
        <v>3566</v>
      </c>
      <c r="M1126" s="69" t="s">
        <v>3567</v>
      </c>
      <c r="N1126" s="69"/>
      <c r="O1126" s="94">
        <v>1</v>
      </c>
      <c r="P1126" s="69" t="s">
        <v>50</v>
      </c>
      <c r="Q1126" s="69" t="s">
        <v>51</v>
      </c>
      <c r="R1126" s="69"/>
      <c r="S1126" s="46">
        <v>44865</v>
      </c>
      <c r="T1126" s="48">
        <v>44865</v>
      </c>
      <c r="U1126" s="69"/>
      <c r="V1126" s="69"/>
      <c r="W1126" s="69"/>
      <c r="X1126" s="69"/>
      <c r="Y1126" s="69" t="s">
        <v>4131</v>
      </c>
      <c r="Z1126" s="43">
        <v>1825000</v>
      </c>
      <c r="AA1126" s="43" t="s">
        <v>52</v>
      </c>
      <c r="AB1126" s="43" t="s">
        <v>53</v>
      </c>
      <c r="AC1126" s="43">
        <v>1460</v>
      </c>
      <c r="AD1126" s="141">
        <v>4</v>
      </c>
      <c r="AE1126" s="142">
        <v>0</v>
      </c>
      <c r="AF1126" s="142"/>
      <c r="AG1126" s="69" t="str">
        <f t="shared" si="628"/>
        <v>2 years 63 days</v>
      </c>
      <c r="AH1126" s="69">
        <v>2</v>
      </c>
      <c r="AI1126" s="69">
        <v>63</v>
      </c>
      <c r="AJ1126" s="69">
        <v>0</v>
      </c>
      <c r="AK1126" s="69">
        <v>0</v>
      </c>
      <c r="AL1126" s="60">
        <v>1825000</v>
      </c>
      <c r="AM1126" s="60">
        <f t="shared" si="629"/>
        <v>1825000</v>
      </c>
      <c r="AN1126" s="59">
        <v>1825000</v>
      </c>
      <c r="AO1126" s="148">
        <f t="shared" si="630"/>
        <v>-1825000</v>
      </c>
      <c r="AP1126" s="58">
        <v>0</v>
      </c>
      <c r="AQ1126" s="143">
        <f t="shared" si="631"/>
        <v>0</v>
      </c>
    </row>
    <row r="1127" spans="1:43" x14ac:dyDescent="0.35">
      <c r="A1127" s="69" t="s">
        <v>43</v>
      </c>
      <c r="B1127" s="15" t="s">
        <v>3568</v>
      </c>
      <c r="C1127" s="15"/>
      <c r="D1127" s="69"/>
      <c r="E1127" s="76">
        <v>0</v>
      </c>
      <c r="F1127" s="69" t="s">
        <v>2960</v>
      </c>
      <c r="G1127" s="132" t="s">
        <v>2961</v>
      </c>
      <c r="H1127" s="15">
        <v>9013000168</v>
      </c>
      <c r="I1127" s="92" t="s">
        <v>1416</v>
      </c>
      <c r="J1127" s="92">
        <v>1202020104</v>
      </c>
      <c r="K1127" s="38" t="s">
        <v>3569</v>
      </c>
      <c r="L1127" s="95" t="s">
        <v>3570</v>
      </c>
      <c r="M1127" s="69" t="s">
        <v>49</v>
      </c>
      <c r="N1127" s="69"/>
      <c r="O1127" s="94">
        <v>1</v>
      </c>
      <c r="P1127" s="69" t="s">
        <v>50</v>
      </c>
      <c r="Q1127" s="69" t="s">
        <v>51</v>
      </c>
      <c r="R1127" s="69"/>
      <c r="S1127" s="46">
        <v>44849</v>
      </c>
      <c r="T1127" s="48">
        <v>44849</v>
      </c>
      <c r="U1127" s="69"/>
      <c r="V1127" s="69"/>
      <c r="W1127" s="69"/>
      <c r="X1127" s="69"/>
      <c r="Y1127" s="69" t="s">
        <v>4131</v>
      </c>
      <c r="Z1127" s="43">
        <v>2500000</v>
      </c>
      <c r="AA1127" s="43" t="s">
        <v>52</v>
      </c>
      <c r="AB1127" s="43" t="s">
        <v>53</v>
      </c>
      <c r="AC1127" s="43">
        <v>1460</v>
      </c>
      <c r="AD1127" s="141">
        <v>4</v>
      </c>
      <c r="AE1127" s="142">
        <v>0</v>
      </c>
      <c r="AF1127" s="142"/>
      <c r="AG1127" s="69" t="str">
        <f t="shared" ref="AG1127:AG1128" si="632">_xlfn.CONCAT(AH1127," years ",AI1127," days")</f>
        <v>2 years 79 days</v>
      </c>
      <c r="AH1127" s="69">
        <v>2</v>
      </c>
      <c r="AI1127" s="69">
        <v>79</v>
      </c>
      <c r="AJ1127" s="69">
        <v>0</v>
      </c>
      <c r="AK1127" s="69">
        <v>0</v>
      </c>
      <c r="AL1127" s="60">
        <v>2500000</v>
      </c>
      <c r="AM1127" s="60">
        <f t="shared" ref="AM1127:AM1128" si="633">ROUND(AL1127,2)</f>
        <v>2500000</v>
      </c>
      <c r="AN1127" s="59">
        <v>2500000</v>
      </c>
      <c r="AO1127" s="148">
        <f t="shared" ref="AO1127:AO1128" si="634">ROUND(AN1127,2)*-1</f>
        <v>-2500000</v>
      </c>
      <c r="AP1127" s="58">
        <v>0</v>
      </c>
      <c r="AQ1127" s="143">
        <f t="shared" ref="AQ1127:AQ1128" si="635">ROUND(AP1127,2)*-1</f>
        <v>0</v>
      </c>
    </row>
    <row r="1128" spans="1:43" x14ac:dyDescent="0.35">
      <c r="A1128" s="69" t="s">
        <v>43</v>
      </c>
      <c r="B1128" s="15" t="s">
        <v>3571</v>
      </c>
      <c r="C1128" s="15"/>
      <c r="D1128" s="69"/>
      <c r="E1128" s="76">
        <v>0</v>
      </c>
      <c r="F1128" s="69" t="s">
        <v>2960</v>
      </c>
      <c r="G1128" s="132" t="s">
        <v>2961</v>
      </c>
      <c r="H1128" s="15">
        <v>9013000169</v>
      </c>
      <c r="I1128" s="92" t="s">
        <v>1416</v>
      </c>
      <c r="J1128" s="92">
        <v>1202020104</v>
      </c>
      <c r="K1128" s="38" t="s">
        <v>3572</v>
      </c>
      <c r="L1128" s="95" t="s">
        <v>3573</v>
      </c>
      <c r="M1128" s="69" t="s">
        <v>3574</v>
      </c>
      <c r="N1128" s="69"/>
      <c r="O1128" s="94">
        <v>1</v>
      </c>
      <c r="P1128" s="69" t="s">
        <v>50</v>
      </c>
      <c r="Q1128" s="69" t="s">
        <v>51</v>
      </c>
      <c r="R1128" s="69"/>
      <c r="S1128" s="46">
        <v>44849</v>
      </c>
      <c r="T1128" s="48">
        <v>44849</v>
      </c>
      <c r="U1128" s="69"/>
      <c r="V1128" s="69"/>
      <c r="W1128" s="69"/>
      <c r="X1128" s="69"/>
      <c r="Y1128" s="69" t="s">
        <v>4131</v>
      </c>
      <c r="Z1128" s="43">
        <v>330000</v>
      </c>
      <c r="AA1128" s="43" t="s">
        <v>52</v>
      </c>
      <c r="AB1128" s="43" t="s">
        <v>53</v>
      </c>
      <c r="AC1128" s="43">
        <v>1460</v>
      </c>
      <c r="AD1128" s="141">
        <v>4</v>
      </c>
      <c r="AE1128" s="142">
        <v>0</v>
      </c>
      <c r="AF1128" s="142"/>
      <c r="AG1128" s="69" t="str">
        <f t="shared" si="632"/>
        <v>2 years 79 days</v>
      </c>
      <c r="AH1128" s="69">
        <v>2</v>
      </c>
      <c r="AI1128" s="69">
        <v>79</v>
      </c>
      <c r="AJ1128" s="69">
        <v>0</v>
      </c>
      <c r="AK1128" s="69">
        <v>0</v>
      </c>
      <c r="AL1128" s="60">
        <v>330000</v>
      </c>
      <c r="AM1128" s="60">
        <f t="shared" si="633"/>
        <v>330000</v>
      </c>
      <c r="AN1128" s="59">
        <v>330000</v>
      </c>
      <c r="AO1128" s="148">
        <f t="shared" si="634"/>
        <v>-330000</v>
      </c>
      <c r="AP1128" s="58">
        <v>0</v>
      </c>
      <c r="AQ1128" s="143">
        <f t="shared" si="635"/>
        <v>0</v>
      </c>
    </row>
    <row r="1129" spans="1:43" x14ac:dyDescent="0.35">
      <c r="A1129" s="69" t="s">
        <v>43</v>
      </c>
      <c r="B1129" s="15" t="s">
        <v>3575</v>
      </c>
      <c r="C1129" s="15"/>
      <c r="D1129" s="69"/>
      <c r="E1129" s="76">
        <v>0</v>
      </c>
      <c r="F1129" s="69" t="s">
        <v>2960</v>
      </c>
      <c r="G1129" s="132" t="s">
        <v>2961</v>
      </c>
      <c r="H1129" s="15">
        <v>9013000170</v>
      </c>
      <c r="I1129" s="92" t="s">
        <v>1416</v>
      </c>
      <c r="J1129" s="92">
        <v>1202020104</v>
      </c>
      <c r="K1129" s="38" t="s">
        <v>3576</v>
      </c>
      <c r="L1129" s="95" t="s">
        <v>3577</v>
      </c>
      <c r="M1129" s="69" t="s">
        <v>49</v>
      </c>
      <c r="N1129" s="69"/>
      <c r="O1129" s="94">
        <v>1</v>
      </c>
      <c r="P1129" s="69" t="s">
        <v>50</v>
      </c>
      <c r="Q1129" s="69" t="s">
        <v>51</v>
      </c>
      <c r="R1129" s="69"/>
      <c r="S1129" s="46">
        <v>44862</v>
      </c>
      <c r="T1129" s="48">
        <v>44862</v>
      </c>
      <c r="U1129" s="69"/>
      <c r="V1129" s="69"/>
      <c r="W1129" s="69"/>
      <c r="X1129" s="69"/>
      <c r="Y1129" s="69" t="s">
        <v>4131</v>
      </c>
      <c r="Z1129" s="43">
        <v>790000</v>
      </c>
      <c r="AA1129" s="43" t="s">
        <v>52</v>
      </c>
      <c r="AB1129" s="43" t="s">
        <v>53</v>
      </c>
      <c r="AC1129" s="43">
        <v>1460</v>
      </c>
      <c r="AD1129" s="141">
        <v>4</v>
      </c>
      <c r="AE1129" s="142">
        <v>0</v>
      </c>
      <c r="AF1129" s="142"/>
      <c r="AG1129" s="69" t="str">
        <f t="shared" ref="AG1129:AG1130" si="636">_xlfn.CONCAT(AH1129," years ",AI1129," days")</f>
        <v>2 years 66 days</v>
      </c>
      <c r="AH1129" s="69">
        <v>2</v>
      </c>
      <c r="AI1129" s="69">
        <v>66</v>
      </c>
      <c r="AJ1129" s="69">
        <v>0</v>
      </c>
      <c r="AK1129" s="69">
        <v>0</v>
      </c>
      <c r="AL1129" s="60">
        <v>790000</v>
      </c>
      <c r="AM1129" s="60">
        <f t="shared" ref="AM1129:AM1130" si="637">ROUND(AL1129,2)</f>
        <v>790000</v>
      </c>
      <c r="AN1129" s="59">
        <v>790000</v>
      </c>
      <c r="AO1129" s="148">
        <f t="shared" ref="AO1129:AO1130" si="638">ROUND(AN1129,2)*-1</f>
        <v>-790000</v>
      </c>
      <c r="AP1129" s="58">
        <v>0</v>
      </c>
      <c r="AQ1129" s="143">
        <f t="shared" ref="AQ1129:AQ1130" si="639">ROUND(AP1129,2)*-1</f>
        <v>0</v>
      </c>
    </row>
    <row r="1130" spans="1:43" x14ac:dyDescent="0.35">
      <c r="A1130" s="69" t="s">
        <v>43</v>
      </c>
      <c r="B1130" s="15" t="s">
        <v>3578</v>
      </c>
      <c r="C1130" s="15"/>
      <c r="D1130" s="69"/>
      <c r="E1130" s="76">
        <v>0</v>
      </c>
      <c r="F1130" s="69" t="s">
        <v>2960</v>
      </c>
      <c r="G1130" s="132" t="s">
        <v>2961</v>
      </c>
      <c r="H1130" s="15">
        <v>9013000171</v>
      </c>
      <c r="I1130" s="92" t="s">
        <v>1416</v>
      </c>
      <c r="J1130" s="92">
        <v>1202020104</v>
      </c>
      <c r="K1130" s="38" t="s">
        <v>3579</v>
      </c>
      <c r="L1130" s="95" t="s">
        <v>3580</v>
      </c>
      <c r="M1130" s="69" t="s">
        <v>3581</v>
      </c>
      <c r="N1130" s="69"/>
      <c r="O1130" s="94">
        <v>1</v>
      </c>
      <c r="P1130" s="69" t="s">
        <v>50</v>
      </c>
      <c r="Q1130" s="69" t="s">
        <v>51</v>
      </c>
      <c r="R1130" s="69"/>
      <c r="S1130" s="46">
        <v>44865</v>
      </c>
      <c r="T1130" s="48">
        <v>44865</v>
      </c>
      <c r="U1130" s="69"/>
      <c r="V1130" s="69"/>
      <c r="W1130" s="69"/>
      <c r="X1130" s="69"/>
      <c r="Y1130" s="69" t="s">
        <v>4131</v>
      </c>
      <c r="Z1130" s="43">
        <v>510000</v>
      </c>
      <c r="AA1130" s="43" t="s">
        <v>52</v>
      </c>
      <c r="AB1130" s="43" t="s">
        <v>53</v>
      </c>
      <c r="AC1130" s="43">
        <v>1460</v>
      </c>
      <c r="AD1130" s="141">
        <v>4</v>
      </c>
      <c r="AE1130" s="142">
        <v>0</v>
      </c>
      <c r="AF1130" s="142"/>
      <c r="AG1130" s="69" t="str">
        <f t="shared" si="636"/>
        <v>2 years 63 days</v>
      </c>
      <c r="AH1130" s="69">
        <v>2</v>
      </c>
      <c r="AI1130" s="69">
        <v>63</v>
      </c>
      <c r="AJ1130" s="69">
        <v>0</v>
      </c>
      <c r="AK1130" s="69">
        <v>0</v>
      </c>
      <c r="AL1130" s="60">
        <v>510000</v>
      </c>
      <c r="AM1130" s="60">
        <f t="shared" si="637"/>
        <v>510000</v>
      </c>
      <c r="AN1130" s="59">
        <v>510000</v>
      </c>
      <c r="AO1130" s="148">
        <f t="shared" si="638"/>
        <v>-510000</v>
      </c>
      <c r="AP1130" s="58">
        <v>0</v>
      </c>
      <c r="AQ1130" s="143">
        <f t="shared" si="639"/>
        <v>0</v>
      </c>
    </row>
    <row r="1131" spans="1:43" x14ac:dyDescent="0.35">
      <c r="A1131" s="69" t="s">
        <v>43</v>
      </c>
      <c r="B1131" s="15" t="s">
        <v>3582</v>
      </c>
      <c r="C1131" s="15"/>
      <c r="D1131" s="69"/>
      <c r="E1131" s="76">
        <v>0</v>
      </c>
      <c r="F1131" s="69" t="s">
        <v>2960</v>
      </c>
      <c r="G1131" s="132" t="s">
        <v>2961</v>
      </c>
      <c r="H1131" s="15">
        <v>9013000172</v>
      </c>
      <c r="I1131" s="92" t="s">
        <v>1416</v>
      </c>
      <c r="J1131" s="92">
        <v>1202020104</v>
      </c>
      <c r="K1131" s="38" t="s">
        <v>3583</v>
      </c>
      <c r="L1131" s="95" t="s">
        <v>3584</v>
      </c>
      <c r="M1131" s="69" t="s">
        <v>3585</v>
      </c>
      <c r="N1131" s="69"/>
      <c r="O1131" s="94">
        <v>1</v>
      </c>
      <c r="P1131" s="69" t="s">
        <v>50</v>
      </c>
      <c r="Q1131" s="69" t="s">
        <v>51</v>
      </c>
      <c r="R1131" s="69"/>
      <c r="S1131" s="46">
        <v>44865</v>
      </c>
      <c r="T1131" s="48">
        <v>44865</v>
      </c>
      <c r="U1131" s="69"/>
      <c r="V1131" s="69"/>
      <c r="W1131" s="69"/>
      <c r="X1131" s="69"/>
      <c r="Y1131" s="69" t="s">
        <v>4131</v>
      </c>
      <c r="Z1131" s="43">
        <v>600000</v>
      </c>
      <c r="AA1131" s="43" t="s">
        <v>52</v>
      </c>
      <c r="AB1131" s="43" t="s">
        <v>53</v>
      </c>
      <c r="AC1131" s="43">
        <v>1460</v>
      </c>
      <c r="AD1131" s="141">
        <v>4</v>
      </c>
      <c r="AE1131" s="142">
        <v>0</v>
      </c>
      <c r="AF1131" s="142"/>
      <c r="AG1131" s="69" t="str">
        <f t="shared" ref="AG1131:AG1134" si="640">_xlfn.CONCAT(AH1131," years ",AI1131," days")</f>
        <v>2 years 63 days</v>
      </c>
      <c r="AH1131" s="69">
        <v>2</v>
      </c>
      <c r="AI1131" s="69">
        <v>63</v>
      </c>
      <c r="AJ1131" s="69">
        <v>0</v>
      </c>
      <c r="AK1131" s="69">
        <v>0</v>
      </c>
      <c r="AL1131" s="60">
        <v>600000</v>
      </c>
      <c r="AM1131" s="60">
        <f t="shared" ref="AM1131:AM1134" si="641">ROUND(AL1131,2)</f>
        <v>600000</v>
      </c>
      <c r="AN1131" s="59">
        <v>600000</v>
      </c>
      <c r="AO1131" s="148">
        <f t="shared" ref="AO1131:AO1134" si="642">ROUND(AN1131,2)*-1</f>
        <v>-600000</v>
      </c>
      <c r="AP1131" s="58">
        <v>0</v>
      </c>
      <c r="AQ1131" s="143">
        <f t="shared" ref="AQ1131:AQ1134" si="643">ROUND(AP1131,2)*-1</f>
        <v>0</v>
      </c>
    </row>
    <row r="1132" spans="1:43" x14ac:dyDescent="0.35">
      <c r="A1132" s="69" t="s">
        <v>43</v>
      </c>
      <c r="B1132" s="15" t="s">
        <v>3586</v>
      </c>
      <c r="C1132" s="15"/>
      <c r="D1132" s="69"/>
      <c r="E1132" s="76">
        <v>0</v>
      </c>
      <c r="F1132" s="69" t="s">
        <v>2960</v>
      </c>
      <c r="G1132" s="132" t="s">
        <v>2961</v>
      </c>
      <c r="H1132" s="15">
        <v>9013000173</v>
      </c>
      <c r="I1132" s="92" t="s">
        <v>1416</v>
      </c>
      <c r="J1132" s="92">
        <v>1202020104</v>
      </c>
      <c r="K1132" s="1" t="s">
        <v>3587</v>
      </c>
      <c r="L1132" s="95" t="s">
        <v>3588</v>
      </c>
      <c r="M1132" s="69" t="s">
        <v>3589</v>
      </c>
      <c r="N1132" s="69"/>
      <c r="O1132" s="94">
        <v>1</v>
      </c>
      <c r="P1132" s="69" t="s">
        <v>50</v>
      </c>
      <c r="Q1132" s="69" t="s">
        <v>51</v>
      </c>
      <c r="R1132" s="69"/>
      <c r="S1132" s="46">
        <v>45672</v>
      </c>
      <c r="T1132" s="48">
        <v>45672</v>
      </c>
      <c r="U1132" s="69"/>
      <c r="V1132" s="69"/>
      <c r="W1132" s="69"/>
      <c r="X1132" s="69"/>
      <c r="Y1132" s="69" t="s">
        <v>4132</v>
      </c>
      <c r="Z1132" s="43">
        <v>480000</v>
      </c>
      <c r="AA1132" s="43" t="s">
        <v>52</v>
      </c>
      <c r="AB1132" s="43" t="s">
        <v>53</v>
      </c>
      <c r="AC1132" s="43">
        <v>1460</v>
      </c>
      <c r="AD1132" s="141">
        <v>4</v>
      </c>
      <c r="AE1132" s="142">
        <v>0</v>
      </c>
      <c r="AF1132" s="142"/>
      <c r="AG1132" s="69" t="str">
        <f t="shared" si="640"/>
        <v>0 years 0 days</v>
      </c>
      <c r="AH1132" s="69">
        <v>0</v>
      </c>
      <c r="AI1132" s="69">
        <v>0</v>
      </c>
      <c r="AJ1132" s="69">
        <v>0</v>
      </c>
      <c r="AK1132" s="69">
        <v>0</v>
      </c>
      <c r="AL1132" s="60">
        <v>480000</v>
      </c>
      <c r="AM1132" s="60">
        <f t="shared" si="641"/>
        <v>480000</v>
      </c>
      <c r="AN1132" s="59">
        <v>0</v>
      </c>
      <c r="AO1132" s="148">
        <f t="shared" si="642"/>
        <v>0</v>
      </c>
      <c r="AP1132" s="58">
        <v>54904.109589041094</v>
      </c>
      <c r="AQ1132" s="143">
        <f t="shared" si="643"/>
        <v>-54904.11</v>
      </c>
    </row>
    <row r="1133" spans="1:43" x14ac:dyDescent="0.35">
      <c r="A1133" s="69" t="s">
        <v>43</v>
      </c>
      <c r="B1133" s="15" t="s">
        <v>3590</v>
      </c>
      <c r="C1133" s="15"/>
      <c r="D1133" s="69"/>
      <c r="E1133" s="76">
        <v>0</v>
      </c>
      <c r="F1133" s="69" t="s">
        <v>2960</v>
      </c>
      <c r="G1133" s="132" t="s">
        <v>2961</v>
      </c>
      <c r="H1133" s="15">
        <v>9013000174</v>
      </c>
      <c r="I1133" s="92" t="s">
        <v>1416</v>
      </c>
      <c r="J1133" s="92">
        <v>1202020104</v>
      </c>
      <c r="K1133" s="38" t="s">
        <v>3591</v>
      </c>
      <c r="L1133" s="95" t="s">
        <v>3592</v>
      </c>
      <c r="M1133" s="69" t="s">
        <v>49</v>
      </c>
      <c r="N1133" s="69"/>
      <c r="O1133" s="94">
        <v>1</v>
      </c>
      <c r="P1133" s="69" t="s">
        <v>50</v>
      </c>
      <c r="Q1133" s="69" t="s">
        <v>51</v>
      </c>
      <c r="R1133" s="69"/>
      <c r="S1133" s="46">
        <v>44865</v>
      </c>
      <c r="T1133" s="48">
        <v>44865</v>
      </c>
      <c r="U1133" s="69"/>
      <c r="V1133" s="69"/>
      <c r="W1133" s="69"/>
      <c r="X1133" s="69"/>
      <c r="Y1133" s="69" t="s">
        <v>4131</v>
      </c>
      <c r="Z1133" s="43">
        <v>155000</v>
      </c>
      <c r="AA1133" s="43" t="s">
        <v>52</v>
      </c>
      <c r="AB1133" s="43" t="s">
        <v>53</v>
      </c>
      <c r="AC1133" s="43">
        <v>1460</v>
      </c>
      <c r="AD1133" s="141">
        <v>4</v>
      </c>
      <c r="AE1133" s="142">
        <v>0</v>
      </c>
      <c r="AF1133" s="142"/>
      <c r="AG1133" s="69" t="str">
        <f t="shared" si="640"/>
        <v>2 years 63 days</v>
      </c>
      <c r="AH1133" s="69">
        <v>2</v>
      </c>
      <c r="AI1133" s="69">
        <v>63</v>
      </c>
      <c r="AJ1133" s="69">
        <v>0</v>
      </c>
      <c r="AK1133" s="69">
        <v>0</v>
      </c>
      <c r="AL1133" s="60">
        <v>155000</v>
      </c>
      <c r="AM1133" s="60">
        <f t="shared" si="641"/>
        <v>155000</v>
      </c>
      <c r="AN1133" s="59">
        <v>155000</v>
      </c>
      <c r="AO1133" s="148">
        <f t="shared" si="642"/>
        <v>-155000</v>
      </c>
      <c r="AP1133" s="58">
        <v>0</v>
      </c>
      <c r="AQ1133" s="143">
        <f t="shared" si="643"/>
        <v>0</v>
      </c>
    </row>
    <row r="1134" spans="1:43" x14ac:dyDescent="0.35">
      <c r="A1134" s="69" t="s">
        <v>43</v>
      </c>
      <c r="B1134" s="15" t="s">
        <v>3593</v>
      </c>
      <c r="C1134" s="15"/>
      <c r="D1134" s="69"/>
      <c r="E1134" s="76">
        <v>0</v>
      </c>
      <c r="F1134" s="69" t="s">
        <v>2960</v>
      </c>
      <c r="G1134" s="132" t="s">
        <v>2961</v>
      </c>
      <c r="H1134" s="15">
        <v>9013000175</v>
      </c>
      <c r="I1134" s="92" t="s">
        <v>1416</v>
      </c>
      <c r="J1134" s="92">
        <v>1202020104</v>
      </c>
      <c r="K1134" s="38" t="s">
        <v>3594</v>
      </c>
      <c r="L1134" s="95" t="s">
        <v>3595</v>
      </c>
      <c r="M1134" s="69" t="s">
        <v>3596</v>
      </c>
      <c r="N1134" s="69"/>
      <c r="O1134" s="94">
        <v>1</v>
      </c>
      <c r="P1134" s="69" t="s">
        <v>50</v>
      </c>
      <c r="Q1134" s="69" t="s">
        <v>51</v>
      </c>
      <c r="R1134" s="69"/>
      <c r="S1134" s="46">
        <v>44869</v>
      </c>
      <c r="T1134" s="48">
        <v>44869</v>
      </c>
      <c r="U1134" s="69"/>
      <c r="V1134" s="69"/>
      <c r="W1134" s="69"/>
      <c r="X1134" s="69"/>
      <c r="Y1134" s="69" t="s">
        <v>4131</v>
      </c>
      <c r="Z1134" s="43">
        <v>62500</v>
      </c>
      <c r="AA1134" s="43" t="s">
        <v>52</v>
      </c>
      <c r="AB1134" s="43" t="s">
        <v>53</v>
      </c>
      <c r="AC1134" s="43">
        <v>1460</v>
      </c>
      <c r="AD1134" s="141">
        <v>4</v>
      </c>
      <c r="AE1134" s="142">
        <v>0</v>
      </c>
      <c r="AF1134" s="142"/>
      <c r="AG1134" s="69" t="str">
        <f t="shared" si="640"/>
        <v>2 years 59 days</v>
      </c>
      <c r="AH1134" s="69">
        <v>2</v>
      </c>
      <c r="AI1134" s="69">
        <v>59</v>
      </c>
      <c r="AJ1134" s="69">
        <v>0</v>
      </c>
      <c r="AK1134" s="69">
        <v>0</v>
      </c>
      <c r="AL1134" s="60">
        <v>62500</v>
      </c>
      <c r="AM1134" s="60">
        <f t="shared" si="641"/>
        <v>62500</v>
      </c>
      <c r="AN1134" s="59">
        <v>62500</v>
      </c>
      <c r="AO1134" s="148">
        <f t="shared" si="642"/>
        <v>-62500</v>
      </c>
      <c r="AP1134" s="58">
        <v>0</v>
      </c>
      <c r="AQ1134" s="143">
        <f t="shared" si="643"/>
        <v>0</v>
      </c>
    </row>
    <row r="1135" spans="1:43" x14ac:dyDescent="0.35">
      <c r="A1135" s="69" t="s">
        <v>43</v>
      </c>
      <c r="B1135" s="15" t="s">
        <v>3597</v>
      </c>
      <c r="C1135" s="15"/>
      <c r="D1135" s="69"/>
      <c r="E1135" s="76">
        <v>0</v>
      </c>
      <c r="F1135" s="69" t="s">
        <v>2960</v>
      </c>
      <c r="G1135" s="132" t="s">
        <v>2961</v>
      </c>
      <c r="H1135" s="15">
        <v>9013000176</v>
      </c>
      <c r="I1135" s="92" t="s">
        <v>1416</v>
      </c>
      <c r="J1135" s="92">
        <v>1202020104</v>
      </c>
      <c r="K1135" s="38" t="s">
        <v>3598</v>
      </c>
      <c r="L1135" s="95" t="s">
        <v>3599</v>
      </c>
      <c r="M1135" s="69" t="s">
        <v>49</v>
      </c>
      <c r="N1135" s="69"/>
      <c r="O1135" s="94">
        <v>1</v>
      </c>
      <c r="P1135" s="69" t="s">
        <v>50</v>
      </c>
      <c r="Q1135" s="69" t="s">
        <v>51</v>
      </c>
      <c r="R1135" s="69"/>
      <c r="S1135" s="46">
        <v>43465</v>
      </c>
      <c r="T1135" s="48">
        <v>43465</v>
      </c>
      <c r="U1135" s="69"/>
      <c r="V1135" s="69"/>
      <c r="W1135" s="69"/>
      <c r="X1135" s="69"/>
      <c r="Y1135" s="69" t="s">
        <v>4125</v>
      </c>
      <c r="Z1135" s="43">
        <v>5750</v>
      </c>
      <c r="AA1135" s="43" t="s">
        <v>52</v>
      </c>
      <c r="AB1135" s="43" t="s">
        <v>53</v>
      </c>
      <c r="AC1135" s="43">
        <v>1460</v>
      </c>
      <c r="AD1135" s="141">
        <v>4</v>
      </c>
      <c r="AE1135" s="142">
        <v>0</v>
      </c>
      <c r="AF1135" s="142"/>
      <c r="AG1135" s="69" t="str">
        <f t="shared" ref="AG1135:AG1139" si="644">_xlfn.CONCAT(AH1135," years ",AI1135," days")</f>
        <v>4 years 0 days</v>
      </c>
      <c r="AH1135" s="69">
        <v>4</v>
      </c>
      <c r="AI1135" s="69">
        <v>0</v>
      </c>
      <c r="AJ1135" s="69">
        <v>0</v>
      </c>
      <c r="AK1135" s="69">
        <v>0</v>
      </c>
      <c r="AL1135" s="60">
        <v>5750</v>
      </c>
      <c r="AM1135" s="60">
        <f t="shared" ref="AM1135:AM1139" si="645">ROUND(AL1135,2)</f>
        <v>5750</v>
      </c>
      <c r="AN1135" s="59">
        <v>5750</v>
      </c>
      <c r="AO1135" s="148">
        <f t="shared" ref="AO1135:AO1139" si="646">ROUND(AN1135,2)*-1</f>
        <v>-5750</v>
      </c>
      <c r="AP1135" s="58">
        <v>0</v>
      </c>
      <c r="AQ1135" s="143">
        <f t="shared" ref="AQ1135:AQ1139" si="647">ROUND(AP1135,2)*-1</f>
        <v>0</v>
      </c>
    </row>
    <row r="1136" spans="1:43" x14ac:dyDescent="0.35">
      <c r="A1136" s="69" t="s">
        <v>43</v>
      </c>
      <c r="B1136" s="15" t="s">
        <v>3600</v>
      </c>
      <c r="C1136" s="15"/>
      <c r="D1136" s="69"/>
      <c r="E1136" s="76">
        <v>0</v>
      </c>
      <c r="F1136" s="69" t="s">
        <v>2960</v>
      </c>
      <c r="G1136" s="132" t="s">
        <v>2961</v>
      </c>
      <c r="H1136" s="15">
        <v>9013000177</v>
      </c>
      <c r="I1136" s="92" t="s">
        <v>1416</v>
      </c>
      <c r="J1136" s="92">
        <v>1202020104</v>
      </c>
      <c r="K1136" s="38" t="s">
        <v>3601</v>
      </c>
      <c r="L1136" s="95" t="s">
        <v>3602</v>
      </c>
      <c r="M1136" s="69" t="s">
        <v>49</v>
      </c>
      <c r="N1136" s="69"/>
      <c r="O1136" s="94">
        <v>1</v>
      </c>
      <c r="P1136" s="69" t="s">
        <v>50</v>
      </c>
      <c r="Q1136" s="69" t="s">
        <v>51</v>
      </c>
      <c r="R1136" s="69"/>
      <c r="S1136" s="46">
        <v>40382</v>
      </c>
      <c r="T1136" s="48">
        <v>43191</v>
      </c>
      <c r="U1136" s="69"/>
      <c r="V1136" s="69"/>
      <c r="W1136" s="69"/>
      <c r="X1136" s="69"/>
      <c r="Y1136" s="69" t="s">
        <v>4125</v>
      </c>
      <c r="Z1136" s="43">
        <v>11000</v>
      </c>
      <c r="AA1136" s="43" t="s">
        <v>52</v>
      </c>
      <c r="AB1136" s="43" t="s">
        <v>53</v>
      </c>
      <c r="AC1136" s="43">
        <v>183</v>
      </c>
      <c r="AD1136" s="141">
        <v>0</v>
      </c>
      <c r="AE1136" s="142">
        <v>6</v>
      </c>
      <c r="AF1136" s="142"/>
      <c r="AG1136" s="69" t="str">
        <f t="shared" si="644"/>
        <v>0 years 183 days</v>
      </c>
      <c r="AH1136" s="69">
        <v>0</v>
      </c>
      <c r="AI1136" s="69">
        <v>183</v>
      </c>
      <c r="AJ1136" s="69">
        <v>0</v>
      </c>
      <c r="AK1136" s="69">
        <v>0</v>
      </c>
      <c r="AL1136" s="60">
        <v>11000</v>
      </c>
      <c r="AM1136" s="60">
        <f t="shared" si="645"/>
        <v>11000</v>
      </c>
      <c r="AN1136" s="59">
        <v>11000</v>
      </c>
      <c r="AO1136" s="148">
        <f t="shared" si="646"/>
        <v>-11000</v>
      </c>
      <c r="AP1136" s="58">
        <v>0</v>
      </c>
      <c r="AQ1136" s="143">
        <f t="shared" si="647"/>
        <v>0</v>
      </c>
    </row>
    <row r="1137" spans="1:43" x14ac:dyDescent="0.35">
      <c r="A1137" s="69" t="s">
        <v>43</v>
      </c>
      <c r="B1137" s="15" t="s">
        <v>3603</v>
      </c>
      <c r="C1137" s="15"/>
      <c r="D1137" s="69"/>
      <c r="E1137" s="76">
        <v>0</v>
      </c>
      <c r="F1137" s="69" t="s">
        <v>2960</v>
      </c>
      <c r="G1137" s="132" t="s">
        <v>2961</v>
      </c>
      <c r="H1137" s="15">
        <v>9013000178</v>
      </c>
      <c r="I1137" s="92" t="s">
        <v>1416</v>
      </c>
      <c r="J1137" s="92">
        <v>1202020104</v>
      </c>
      <c r="K1137" s="38" t="s">
        <v>3604</v>
      </c>
      <c r="L1137" s="95" t="s">
        <v>3605</v>
      </c>
      <c r="M1137" s="69" t="s">
        <v>3606</v>
      </c>
      <c r="N1137" s="69"/>
      <c r="O1137" s="94">
        <v>1</v>
      </c>
      <c r="P1137" s="69" t="s">
        <v>50</v>
      </c>
      <c r="Q1137" s="69" t="s">
        <v>51</v>
      </c>
      <c r="R1137" s="69"/>
      <c r="S1137" s="46">
        <v>44869</v>
      </c>
      <c r="T1137" s="48">
        <v>44869</v>
      </c>
      <c r="U1137" s="69"/>
      <c r="V1137" s="69"/>
      <c r="W1137" s="69"/>
      <c r="X1137" s="69"/>
      <c r="Y1137" s="69" t="s">
        <v>4131</v>
      </c>
      <c r="Z1137" s="43">
        <v>320000</v>
      </c>
      <c r="AA1137" s="43" t="s">
        <v>52</v>
      </c>
      <c r="AB1137" s="43" t="s">
        <v>53</v>
      </c>
      <c r="AC1137" s="43">
        <v>1460</v>
      </c>
      <c r="AD1137" s="141">
        <v>4</v>
      </c>
      <c r="AE1137" s="142">
        <v>0</v>
      </c>
      <c r="AF1137" s="142"/>
      <c r="AG1137" s="69" t="str">
        <f t="shared" si="644"/>
        <v>2 years 59 days</v>
      </c>
      <c r="AH1137" s="69">
        <v>2</v>
      </c>
      <c r="AI1137" s="69">
        <v>59</v>
      </c>
      <c r="AJ1137" s="69">
        <v>0</v>
      </c>
      <c r="AK1137" s="69">
        <v>0</v>
      </c>
      <c r="AL1137" s="60">
        <v>320000</v>
      </c>
      <c r="AM1137" s="60">
        <f t="shared" si="645"/>
        <v>320000</v>
      </c>
      <c r="AN1137" s="59">
        <v>316932</v>
      </c>
      <c r="AO1137" s="148">
        <f t="shared" si="646"/>
        <v>-316932</v>
      </c>
      <c r="AP1137" s="58">
        <v>3068</v>
      </c>
      <c r="AQ1137" s="143">
        <f t="shared" si="647"/>
        <v>-3068</v>
      </c>
    </row>
    <row r="1138" spans="1:43" x14ac:dyDescent="0.35">
      <c r="A1138" s="69" t="s">
        <v>43</v>
      </c>
      <c r="B1138" s="15" t="s">
        <v>3607</v>
      </c>
      <c r="C1138" s="15"/>
      <c r="D1138" s="69"/>
      <c r="E1138" s="76">
        <v>0</v>
      </c>
      <c r="F1138" s="69" t="s">
        <v>2960</v>
      </c>
      <c r="G1138" s="132" t="s">
        <v>2961</v>
      </c>
      <c r="H1138" s="15">
        <v>9013000179</v>
      </c>
      <c r="I1138" s="92" t="s">
        <v>1416</v>
      </c>
      <c r="J1138" s="92">
        <v>1202020104</v>
      </c>
      <c r="K1138" s="38" t="s">
        <v>3608</v>
      </c>
      <c r="L1138" s="95" t="s">
        <v>3609</v>
      </c>
      <c r="M1138" s="69" t="s">
        <v>49</v>
      </c>
      <c r="N1138" s="69"/>
      <c r="O1138" s="94">
        <v>1</v>
      </c>
      <c r="P1138" s="69" t="s">
        <v>50</v>
      </c>
      <c r="Q1138" s="69" t="s">
        <v>51</v>
      </c>
      <c r="R1138" s="69"/>
      <c r="S1138" s="46">
        <v>44865</v>
      </c>
      <c r="T1138" s="48">
        <v>44865</v>
      </c>
      <c r="U1138" s="69"/>
      <c r="V1138" s="69"/>
      <c r="W1138" s="69"/>
      <c r="X1138" s="69"/>
      <c r="Y1138" s="69" t="s">
        <v>4131</v>
      </c>
      <c r="Z1138" s="43">
        <v>26000</v>
      </c>
      <c r="AA1138" s="43" t="s">
        <v>52</v>
      </c>
      <c r="AB1138" s="43" t="s">
        <v>53</v>
      </c>
      <c r="AC1138" s="43">
        <v>1460</v>
      </c>
      <c r="AD1138" s="141">
        <v>4</v>
      </c>
      <c r="AE1138" s="142">
        <v>0</v>
      </c>
      <c r="AF1138" s="142"/>
      <c r="AG1138" s="69" t="str">
        <f t="shared" si="644"/>
        <v>2 years 63 days</v>
      </c>
      <c r="AH1138" s="69">
        <v>2</v>
      </c>
      <c r="AI1138" s="69">
        <v>63</v>
      </c>
      <c r="AJ1138" s="69">
        <v>0</v>
      </c>
      <c r="AK1138" s="69">
        <v>0</v>
      </c>
      <c r="AL1138" s="60">
        <v>26000</v>
      </c>
      <c r="AM1138" s="60">
        <f t="shared" si="645"/>
        <v>26000</v>
      </c>
      <c r="AN1138" s="59">
        <v>26000</v>
      </c>
      <c r="AO1138" s="148">
        <f t="shared" si="646"/>
        <v>-26000</v>
      </c>
      <c r="AP1138" s="58">
        <v>0</v>
      </c>
      <c r="AQ1138" s="143">
        <f t="shared" si="647"/>
        <v>0</v>
      </c>
    </row>
    <row r="1139" spans="1:43" x14ac:dyDescent="0.35">
      <c r="A1139" s="69" t="s">
        <v>43</v>
      </c>
      <c r="B1139" s="15" t="s">
        <v>3610</v>
      </c>
      <c r="C1139" s="15"/>
      <c r="D1139" s="69"/>
      <c r="E1139" s="76">
        <v>0</v>
      </c>
      <c r="F1139" s="69" t="s">
        <v>2960</v>
      </c>
      <c r="G1139" s="132" t="s">
        <v>2961</v>
      </c>
      <c r="H1139" s="15">
        <v>9013000180</v>
      </c>
      <c r="I1139" s="92" t="s">
        <v>1416</v>
      </c>
      <c r="J1139" s="92">
        <v>1202020104</v>
      </c>
      <c r="K1139" s="38" t="s">
        <v>3611</v>
      </c>
      <c r="L1139" s="95" t="s">
        <v>3612</v>
      </c>
      <c r="M1139" s="69" t="s">
        <v>49</v>
      </c>
      <c r="N1139" s="69"/>
      <c r="O1139" s="94">
        <v>1</v>
      </c>
      <c r="P1139" s="69" t="s">
        <v>50</v>
      </c>
      <c r="Q1139" s="69" t="s">
        <v>51</v>
      </c>
      <c r="R1139" s="69"/>
      <c r="S1139" s="46">
        <v>44865</v>
      </c>
      <c r="T1139" s="48">
        <v>44865</v>
      </c>
      <c r="U1139" s="69"/>
      <c r="V1139" s="69"/>
      <c r="W1139" s="69"/>
      <c r="X1139" s="69"/>
      <c r="Y1139" s="69" t="s">
        <v>4131</v>
      </c>
      <c r="Z1139" s="43">
        <v>22000</v>
      </c>
      <c r="AA1139" s="43" t="s">
        <v>52</v>
      </c>
      <c r="AB1139" s="43" t="s">
        <v>53</v>
      </c>
      <c r="AC1139" s="43">
        <v>1460</v>
      </c>
      <c r="AD1139" s="141">
        <v>4</v>
      </c>
      <c r="AE1139" s="142">
        <v>0</v>
      </c>
      <c r="AF1139" s="142"/>
      <c r="AG1139" s="69" t="str">
        <f t="shared" si="644"/>
        <v>2 years 63 days</v>
      </c>
      <c r="AH1139" s="69">
        <v>2</v>
      </c>
      <c r="AI1139" s="69">
        <v>63</v>
      </c>
      <c r="AJ1139" s="69">
        <v>0</v>
      </c>
      <c r="AK1139" s="69">
        <v>0</v>
      </c>
      <c r="AL1139" s="60">
        <v>22000</v>
      </c>
      <c r="AM1139" s="60">
        <f t="shared" si="645"/>
        <v>22000</v>
      </c>
      <c r="AN1139" s="59">
        <v>22000</v>
      </c>
      <c r="AO1139" s="148">
        <f t="shared" si="646"/>
        <v>-22000</v>
      </c>
      <c r="AP1139" s="58">
        <v>0</v>
      </c>
      <c r="AQ1139" s="143">
        <f t="shared" si="647"/>
        <v>0</v>
      </c>
    </row>
    <row r="1140" spans="1:43" x14ac:dyDescent="0.35">
      <c r="A1140" s="69" t="s">
        <v>43</v>
      </c>
      <c r="B1140" s="15" t="s">
        <v>3613</v>
      </c>
      <c r="C1140" s="15"/>
      <c r="D1140" s="69"/>
      <c r="E1140" s="76">
        <v>0</v>
      </c>
      <c r="F1140" s="69" t="s">
        <v>2960</v>
      </c>
      <c r="G1140" s="132" t="s">
        <v>2961</v>
      </c>
      <c r="H1140" s="15">
        <v>9013000181</v>
      </c>
      <c r="I1140" s="92" t="s">
        <v>1416</v>
      </c>
      <c r="J1140" s="92">
        <v>1202020104</v>
      </c>
      <c r="K1140" s="1" t="s">
        <v>3614</v>
      </c>
      <c r="L1140" s="95" t="s">
        <v>3615</v>
      </c>
      <c r="M1140" s="69" t="s">
        <v>3616</v>
      </c>
      <c r="N1140" s="69"/>
      <c r="O1140" s="94">
        <v>1</v>
      </c>
      <c r="P1140" s="69" t="s">
        <v>50</v>
      </c>
      <c r="Q1140" s="69" t="s">
        <v>51</v>
      </c>
      <c r="R1140" s="69"/>
      <c r="S1140" s="46">
        <v>44255</v>
      </c>
      <c r="T1140" s="48">
        <v>44255</v>
      </c>
      <c r="U1140" s="69"/>
      <c r="V1140" s="69"/>
      <c r="W1140" s="69"/>
      <c r="X1140" s="69"/>
      <c r="Y1140" s="69" t="s">
        <v>4128</v>
      </c>
      <c r="Z1140" s="43">
        <v>3760000</v>
      </c>
      <c r="AA1140" s="43" t="s">
        <v>52</v>
      </c>
      <c r="AB1140" s="43" t="s">
        <v>53</v>
      </c>
      <c r="AC1140" s="43">
        <v>1460</v>
      </c>
      <c r="AD1140" s="141">
        <v>4</v>
      </c>
      <c r="AE1140" s="142">
        <v>0</v>
      </c>
      <c r="AF1140" s="142"/>
      <c r="AG1140" s="69" t="str">
        <f t="shared" ref="AG1140:AG1142" si="648">_xlfn.CONCAT(AH1140," years ",AI1140," days")</f>
        <v>3 years 308 days</v>
      </c>
      <c r="AH1140" s="69">
        <v>3</v>
      </c>
      <c r="AI1140" s="69">
        <v>308</v>
      </c>
      <c r="AJ1140" s="69">
        <v>0</v>
      </c>
      <c r="AK1140" s="69">
        <v>0</v>
      </c>
      <c r="AL1140" s="60">
        <v>3760000</v>
      </c>
      <c r="AM1140" s="60">
        <f t="shared" ref="AM1140:AM1142" si="649">ROUND(AL1140,2)</f>
        <v>3760000</v>
      </c>
      <c r="AN1140" s="59">
        <v>3613205</v>
      </c>
      <c r="AO1140" s="148">
        <f t="shared" ref="AO1140:AO1142" si="650">ROUND(AN1140,2)*-1</f>
        <v>-3613205</v>
      </c>
      <c r="AP1140" s="58">
        <v>146795</v>
      </c>
      <c r="AQ1140" s="143">
        <f t="shared" ref="AQ1140:AQ1142" si="651">ROUND(AP1140,2)*-1</f>
        <v>-146795</v>
      </c>
    </row>
    <row r="1141" spans="1:43" x14ac:dyDescent="0.35">
      <c r="A1141" s="69" t="s">
        <v>43</v>
      </c>
      <c r="B1141" s="15" t="s">
        <v>3617</v>
      </c>
      <c r="C1141" s="15"/>
      <c r="D1141" s="69"/>
      <c r="E1141" s="76">
        <v>0</v>
      </c>
      <c r="F1141" s="69" t="s">
        <v>2960</v>
      </c>
      <c r="G1141" s="132" t="s">
        <v>2961</v>
      </c>
      <c r="H1141" s="15">
        <v>9013000182</v>
      </c>
      <c r="I1141" s="92" t="s">
        <v>1416</v>
      </c>
      <c r="J1141" s="92">
        <v>1202020104</v>
      </c>
      <c r="K1141" s="1" t="s">
        <v>3618</v>
      </c>
      <c r="L1141" s="95" t="s">
        <v>3619</v>
      </c>
      <c r="M1141" s="69" t="s">
        <v>3152</v>
      </c>
      <c r="N1141" s="69"/>
      <c r="O1141" s="94">
        <v>1</v>
      </c>
      <c r="P1141" s="69" t="s">
        <v>50</v>
      </c>
      <c r="Q1141" s="69" t="s">
        <v>51</v>
      </c>
      <c r="R1141" s="69"/>
      <c r="S1141" s="46">
        <v>44183</v>
      </c>
      <c r="T1141" s="48">
        <v>44183</v>
      </c>
      <c r="U1141" s="69"/>
      <c r="V1141" s="69"/>
      <c r="W1141" s="69"/>
      <c r="X1141" s="69"/>
      <c r="Y1141" s="69" t="s">
        <v>4127</v>
      </c>
      <c r="Z1141" s="43">
        <v>280000</v>
      </c>
      <c r="AA1141" s="43" t="s">
        <v>52</v>
      </c>
      <c r="AB1141" s="43" t="s">
        <v>53</v>
      </c>
      <c r="AC1141" s="43">
        <v>1460</v>
      </c>
      <c r="AD1141" s="141">
        <v>4</v>
      </c>
      <c r="AE1141" s="142">
        <v>0</v>
      </c>
      <c r="AF1141" s="142"/>
      <c r="AG1141" s="69" t="str">
        <f t="shared" si="648"/>
        <v>4 years 0 days</v>
      </c>
      <c r="AH1141" s="69">
        <v>4</v>
      </c>
      <c r="AI1141" s="69">
        <v>0</v>
      </c>
      <c r="AJ1141" s="69">
        <v>0</v>
      </c>
      <c r="AK1141" s="69">
        <v>0</v>
      </c>
      <c r="AL1141" s="60">
        <v>280000</v>
      </c>
      <c r="AM1141" s="60">
        <f t="shared" si="649"/>
        <v>280000</v>
      </c>
      <c r="AN1141" s="59">
        <v>280000</v>
      </c>
      <c r="AO1141" s="148">
        <f t="shared" si="650"/>
        <v>-280000</v>
      </c>
      <c r="AP1141" s="58">
        <v>0</v>
      </c>
      <c r="AQ1141" s="143">
        <f t="shared" si="651"/>
        <v>0</v>
      </c>
    </row>
    <row r="1142" spans="1:43" x14ac:dyDescent="0.35">
      <c r="A1142" s="69" t="s">
        <v>43</v>
      </c>
      <c r="B1142" s="15" t="s">
        <v>3620</v>
      </c>
      <c r="C1142" s="15"/>
      <c r="D1142" s="69"/>
      <c r="E1142" s="76">
        <v>0</v>
      </c>
      <c r="F1142" s="69" t="s">
        <v>2960</v>
      </c>
      <c r="G1142" s="132" t="s">
        <v>2961</v>
      </c>
      <c r="H1142" s="15">
        <v>9013000183</v>
      </c>
      <c r="I1142" s="92" t="s">
        <v>1416</v>
      </c>
      <c r="J1142" s="92">
        <v>1202020104</v>
      </c>
      <c r="K1142" s="1" t="s">
        <v>3621</v>
      </c>
      <c r="L1142" s="95" t="s">
        <v>3622</v>
      </c>
      <c r="M1142" s="69" t="s">
        <v>3623</v>
      </c>
      <c r="N1142" s="69"/>
      <c r="O1142" s="94">
        <v>1</v>
      </c>
      <c r="P1142" s="69" t="s">
        <v>50</v>
      </c>
      <c r="Q1142" s="69" t="s">
        <v>51</v>
      </c>
      <c r="R1142" s="69"/>
      <c r="S1142" s="46">
        <v>44896</v>
      </c>
      <c r="T1142" s="48">
        <v>44896</v>
      </c>
      <c r="U1142" s="69"/>
      <c r="V1142" s="69"/>
      <c r="W1142" s="69"/>
      <c r="X1142" s="69"/>
      <c r="Y1142" s="69" t="s">
        <v>4131</v>
      </c>
      <c r="Z1142" s="43">
        <v>565000</v>
      </c>
      <c r="AA1142" s="43" t="s">
        <v>52</v>
      </c>
      <c r="AB1142" s="43" t="s">
        <v>53</v>
      </c>
      <c r="AC1142" s="43">
        <v>1460</v>
      </c>
      <c r="AD1142" s="141">
        <v>4</v>
      </c>
      <c r="AE1142" s="142">
        <v>0</v>
      </c>
      <c r="AF1142" s="142"/>
      <c r="AG1142" s="69" t="str">
        <f t="shared" si="648"/>
        <v>2 years 32 days</v>
      </c>
      <c r="AH1142" s="69">
        <v>2</v>
      </c>
      <c r="AI1142" s="69">
        <v>32</v>
      </c>
      <c r="AJ1142" s="69">
        <v>0</v>
      </c>
      <c r="AK1142" s="69">
        <v>0</v>
      </c>
      <c r="AL1142" s="60">
        <v>565000</v>
      </c>
      <c r="AM1142" s="60">
        <f t="shared" si="649"/>
        <v>565000</v>
      </c>
      <c r="AN1142" s="59">
        <v>294884</v>
      </c>
      <c r="AO1142" s="148">
        <f t="shared" si="650"/>
        <v>-294884</v>
      </c>
      <c r="AP1142" s="58">
        <v>70044.082191780792</v>
      </c>
      <c r="AQ1142" s="143">
        <f t="shared" si="651"/>
        <v>-70044.08</v>
      </c>
    </row>
    <row r="1143" spans="1:43" x14ac:dyDescent="0.35">
      <c r="A1143" s="69" t="s">
        <v>43</v>
      </c>
      <c r="B1143" s="15" t="s">
        <v>3624</v>
      </c>
      <c r="C1143" s="15"/>
      <c r="D1143" s="69"/>
      <c r="E1143" s="76">
        <v>0</v>
      </c>
      <c r="F1143" s="69" t="s">
        <v>2960</v>
      </c>
      <c r="G1143" s="132" t="s">
        <v>2961</v>
      </c>
      <c r="H1143" s="15">
        <v>9013000184</v>
      </c>
      <c r="I1143" s="92" t="s">
        <v>1416</v>
      </c>
      <c r="J1143" s="92">
        <v>1202020104</v>
      </c>
      <c r="K1143" s="38" t="s">
        <v>3625</v>
      </c>
      <c r="L1143" s="95" t="s">
        <v>3626</v>
      </c>
      <c r="M1143" s="69" t="s">
        <v>49</v>
      </c>
      <c r="N1143" s="69"/>
      <c r="O1143" s="94">
        <v>1</v>
      </c>
      <c r="P1143" s="69" t="s">
        <v>50</v>
      </c>
      <c r="Q1143" s="69" t="s">
        <v>51</v>
      </c>
      <c r="R1143" s="69"/>
      <c r="S1143" s="46">
        <v>43465</v>
      </c>
      <c r="T1143" s="48">
        <v>43465</v>
      </c>
      <c r="U1143" s="69"/>
      <c r="V1143" s="69"/>
      <c r="W1143" s="69"/>
      <c r="X1143" s="69"/>
      <c r="Y1143" s="69" t="s">
        <v>4125</v>
      </c>
      <c r="Z1143" s="43">
        <v>6750</v>
      </c>
      <c r="AA1143" s="43" t="s">
        <v>52</v>
      </c>
      <c r="AB1143" s="43" t="s">
        <v>53</v>
      </c>
      <c r="AC1143" s="43">
        <v>1460</v>
      </c>
      <c r="AD1143" s="141">
        <v>4</v>
      </c>
      <c r="AE1143" s="142">
        <v>0</v>
      </c>
      <c r="AF1143" s="142"/>
      <c r="AG1143" s="69" t="str">
        <f>_xlfn.CONCAT(AH1143," years ",AI1143," days")</f>
        <v>4 years 0 days</v>
      </c>
      <c r="AH1143" s="69">
        <v>4</v>
      </c>
      <c r="AI1143" s="69">
        <v>0</v>
      </c>
      <c r="AJ1143" s="69">
        <v>0</v>
      </c>
      <c r="AK1143" s="69">
        <v>0</v>
      </c>
      <c r="AL1143" s="60">
        <v>6750</v>
      </c>
      <c r="AM1143" s="60">
        <f>ROUND(AL1143,2)</f>
        <v>6750</v>
      </c>
      <c r="AN1143" s="59">
        <v>6750</v>
      </c>
      <c r="AO1143" s="148">
        <f>ROUND(AN1143,2)*-1</f>
        <v>-6750</v>
      </c>
      <c r="AP1143" s="58">
        <v>0</v>
      </c>
      <c r="AQ1143" s="143">
        <f>ROUND(AP1143,2)*-1</f>
        <v>0</v>
      </c>
    </row>
    <row r="1144" spans="1:43" x14ac:dyDescent="0.35">
      <c r="A1144" s="69" t="s">
        <v>43</v>
      </c>
      <c r="B1144" s="15" t="s">
        <v>3627</v>
      </c>
      <c r="C1144" s="15"/>
      <c r="D1144" s="69"/>
      <c r="E1144" s="76">
        <v>0</v>
      </c>
      <c r="F1144" s="69" t="s">
        <v>2960</v>
      </c>
      <c r="G1144" s="132" t="s">
        <v>2961</v>
      </c>
      <c r="H1144" s="15">
        <v>9013000185</v>
      </c>
      <c r="I1144" s="92" t="s">
        <v>1416</v>
      </c>
      <c r="J1144" s="92">
        <v>1202020104</v>
      </c>
      <c r="K1144" s="39" t="s">
        <v>3628</v>
      </c>
      <c r="L1144" s="95" t="s">
        <v>3629</v>
      </c>
      <c r="M1144" s="69" t="s">
        <v>3630</v>
      </c>
      <c r="N1144" s="69"/>
      <c r="O1144" s="94">
        <v>1</v>
      </c>
      <c r="P1144" s="69" t="s">
        <v>50</v>
      </c>
      <c r="Q1144" s="69" t="s">
        <v>51</v>
      </c>
      <c r="R1144" s="69"/>
      <c r="S1144" s="46">
        <v>44865</v>
      </c>
      <c r="T1144" s="48">
        <v>44865</v>
      </c>
      <c r="U1144" s="69"/>
      <c r="V1144" s="69"/>
      <c r="W1144" s="69"/>
      <c r="X1144" s="69"/>
      <c r="Y1144" s="69" t="s">
        <v>4131</v>
      </c>
      <c r="Z1144" s="43">
        <v>22000</v>
      </c>
      <c r="AA1144" s="43" t="s">
        <v>52</v>
      </c>
      <c r="AB1144" s="43" t="s">
        <v>53</v>
      </c>
      <c r="AC1144" s="43">
        <v>1460</v>
      </c>
      <c r="AD1144" s="141">
        <v>4</v>
      </c>
      <c r="AE1144" s="142">
        <v>0</v>
      </c>
      <c r="AF1144" s="142"/>
      <c r="AG1144" s="69" t="str">
        <f>_xlfn.CONCAT(AH1144," years ",AI1144," days")</f>
        <v>2 years 63 days</v>
      </c>
      <c r="AH1144" s="69">
        <v>2</v>
      </c>
      <c r="AI1144" s="69">
        <v>63</v>
      </c>
      <c r="AJ1144" s="69">
        <v>0</v>
      </c>
      <c r="AK1144" s="69">
        <v>0</v>
      </c>
      <c r="AL1144" s="60">
        <v>22000</v>
      </c>
      <c r="AM1144" s="60">
        <f>ROUND(AL1144,2)</f>
        <v>22000</v>
      </c>
      <c r="AN1144" s="59">
        <v>22000</v>
      </c>
      <c r="AO1144" s="148">
        <f>ROUND(AN1144,2)*-1</f>
        <v>-22000</v>
      </c>
      <c r="AP1144" s="58">
        <v>0</v>
      </c>
      <c r="AQ1144" s="143">
        <f>ROUND(AP1144,2)*-1</f>
        <v>0</v>
      </c>
    </row>
    <row r="1145" spans="1:43" x14ac:dyDescent="0.35">
      <c r="A1145" s="69" t="s">
        <v>43</v>
      </c>
      <c r="B1145" s="15" t="s">
        <v>3631</v>
      </c>
      <c r="C1145" s="15"/>
      <c r="D1145" s="69"/>
      <c r="E1145" s="76">
        <v>0</v>
      </c>
      <c r="F1145" s="69" t="s">
        <v>2960</v>
      </c>
      <c r="G1145" s="132" t="s">
        <v>2961</v>
      </c>
      <c r="H1145" s="15">
        <v>9013000186</v>
      </c>
      <c r="I1145" s="92" t="s">
        <v>1416</v>
      </c>
      <c r="J1145" s="92">
        <v>1202020104</v>
      </c>
      <c r="K1145" s="38" t="s">
        <v>3632</v>
      </c>
      <c r="L1145" s="95" t="s">
        <v>3633</v>
      </c>
      <c r="M1145" s="69" t="s">
        <v>49</v>
      </c>
      <c r="N1145" s="69"/>
      <c r="O1145" s="94">
        <v>1</v>
      </c>
      <c r="P1145" s="69" t="s">
        <v>50</v>
      </c>
      <c r="Q1145" s="69" t="s">
        <v>51</v>
      </c>
      <c r="R1145" s="69"/>
      <c r="S1145" s="46">
        <v>44865</v>
      </c>
      <c r="T1145" s="48">
        <v>44865</v>
      </c>
      <c r="U1145" s="69"/>
      <c r="V1145" s="69"/>
      <c r="W1145" s="69"/>
      <c r="X1145" s="69"/>
      <c r="Y1145" s="69" t="s">
        <v>4131</v>
      </c>
      <c r="Z1145" s="43">
        <v>230000</v>
      </c>
      <c r="AA1145" s="43" t="s">
        <v>52</v>
      </c>
      <c r="AB1145" s="43" t="s">
        <v>53</v>
      </c>
      <c r="AC1145" s="43">
        <v>1460</v>
      </c>
      <c r="AD1145" s="141">
        <v>4</v>
      </c>
      <c r="AE1145" s="142">
        <v>0</v>
      </c>
      <c r="AF1145" s="142"/>
      <c r="AG1145" s="69" t="str">
        <f>_xlfn.CONCAT(AH1145," years ",AI1145," days")</f>
        <v>2 years 63 days</v>
      </c>
      <c r="AH1145" s="69">
        <v>2</v>
      </c>
      <c r="AI1145" s="69">
        <v>63</v>
      </c>
      <c r="AJ1145" s="69">
        <v>0</v>
      </c>
      <c r="AK1145" s="69">
        <v>0</v>
      </c>
      <c r="AL1145" s="60">
        <v>230000</v>
      </c>
      <c r="AM1145" s="60">
        <f>ROUND(AL1145,2)</f>
        <v>230000</v>
      </c>
      <c r="AN1145" s="59">
        <v>230000</v>
      </c>
      <c r="AO1145" s="148">
        <f>ROUND(AN1145,2)*-1</f>
        <v>-230000</v>
      </c>
      <c r="AP1145" s="58">
        <v>0</v>
      </c>
      <c r="AQ1145" s="143">
        <f>ROUND(AP1145,2)*-1</f>
        <v>0</v>
      </c>
    </row>
    <row r="1146" spans="1:43" x14ac:dyDescent="0.35">
      <c r="A1146" s="69" t="s">
        <v>43</v>
      </c>
      <c r="B1146" s="15" t="s">
        <v>3634</v>
      </c>
      <c r="C1146" s="15"/>
      <c r="D1146" s="69"/>
      <c r="E1146" s="76">
        <v>0</v>
      </c>
      <c r="F1146" s="69" t="s">
        <v>2960</v>
      </c>
      <c r="G1146" s="132" t="s">
        <v>2961</v>
      </c>
      <c r="H1146" s="15">
        <v>9013000187</v>
      </c>
      <c r="I1146" s="92" t="s">
        <v>1416</v>
      </c>
      <c r="J1146" s="92">
        <v>1202020104</v>
      </c>
      <c r="K1146" s="38" t="s">
        <v>3635</v>
      </c>
      <c r="L1146" s="95" t="s">
        <v>3636</v>
      </c>
      <c r="M1146" s="69" t="s">
        <v>3637</v>
      </c>
      <c r="N1146" s="69"/>
      <c r="O1146" s="94">
        <v>1</v>
      </c>
      <c r="P1146" s="69" t="s">
        <v>50</v>
      </c>
      <c r="Q1146" s="69" t="s">
        <v>51</v>
      </c>
      <c r="R1146" s="69"/>
      <c r="S1146" s="46">
        <v>44869</v>
      </c>
      <c r="T1146" s="48">
        <v>44869</v>
      </c>
      <c r="U1146" s="69"/>
      <c r="V1146" s="69"/>
      <c r="W1146" s="69"/>
      <c r="X1146" s="69"/>
      <c r="Y1146" s="69" t="s">
        <v>4131</v>
      </c>
      <c r="Z1146" s="43">
        <v>2582953.9881344759</v>
      </c>
      <c r="AA1146" s="43" t="s">
        <v>52</v>
      </c>
      <c r="AB1146" s="43" t="s">
        <v>53</v>
      </c>
      <c r="AC1146" s="43">
        <v>1460</v>
      </c>
      <c r="AD1146" s="141">
        <v>4</v>
      </c>
      <c r="AE1146" s="142">
        <v>0</v>
      </c>
      <c r="AF1146" s="142"/>
      <c r="AG1146" s="69" t="str">
        <f t="shared" ref="AG1146:AG1149" si="652">_xlfn.CONCAT(AH1146," years ",AI1146," days")</f>
        <v>2 years 59 days</v>
      </c>
      <c r="AH1146" s="69">
        <v>2</v>
      </c>
      <c r="AI1146" s="69">
        <v>59</v>
      </c>
      <c r="AJ1146" s="69">
        <v>0</v>
      </c>
      <c r="AK1146" s="69">
        <v>0</v>
      </c>
      <c r="AL1146" s="60">
        <v>2582953.9881344759</v>
      </c>
      <c r="AM1146" s="60">
        <f t="shared" ref="AM1146:AM1149" si="653">ROUND(AL1146,2)</f>
        <v>2582953.9900000002</v>
      </c>
      <c r="AN1146" s="59">
        <v>2582954</v>
      </c>
      <c r="AO1146" s="148">
        <f t="shared" ref="AO1146:AO1149" si="654">ROUND(AN1146,2)*-1</f>
        <v>-2582954</v>
      </c>
      <c r="AP1146" s="58">
        <v>0</v>
      </c>
      <c r="AQ1146" s="143">
        <f t="shared" ref="AQ1146:AQ1149" si="655">ROUND(AP1146,2)*-1</f>
        <v>0</v>
      </c>
    </row>
    <row r="1147" spans="1:43" x14ac:dyDescent="0.35">
      <c r="A1147" s="69" t="s">
        <v>43</v>
      </c>
      <c r="B1147" s="15" t="s">
        <v>3638</v>
      </c>
      <c r="C1147" s="15"/>
      <c r="D1147" s="69"/>
      <c r="E1147" s="76">
        <v>0</v>
      </c>
      <c r="F1147" s="69" t="s">
        <v>2960</v>
      </c>
      <c r="G1147" s="132" t="s">
        <v>2961</v>
      </c>
      <c r="H1147" s="15">
        <v>9013000188</v>
      </c>
      <c r="I1147" s="92" t="s">
        <v>1416</v>
      </c>
      <c r="J1147" s="92">
        <v>1202020104</v>
      </c>
      <c r="K1147" s="39" t="s">
        <v>3639</v>
      </c>
      <c r="L1147" s="95" t="s">
        <v>3640</v>
      </c>
      <c r="M1147" s="69" t="s">
        <v>3606</v>
      </c>
      <c r="N1147" s="69"/>
      <c r="O1147" s="94">
        <v>1</v>
      </c>
      <c r="P1147" s="69" t="s">
        <v>50</v>
      </c>
      <c r="Q1147" s="69" t="s">
        <v>51</v>
      </c>
      <c r="R1147" s="69"/>
      <c r="S1147" s="46">
        <v>44865</v>
      </c>
      <c r="T1147" s="48">
        <v>44865</v>
      </c>
      <c r="U1147" s="69"/>
      <c r="V1147" s="69"/>
      <c r="W1147" s="69"/>
      <c r="X1147" s="69"/>
      <c r="Y1147" s="69" t="s">
        <v>4131</v>
      </c>
      <c r="Z1147" s="43">
        <v>320000</v>
      </c>
      <c r="AA1147" s="43" t="s">
        <v>52</v>
      </c>
      <c r="AB1147" s="43" t="s">
        <v>53</v>
      </c>
      <c r="AC1147" s="43">
        <v>1460</v>
      </c>
      <c r="AD1147" s="141">
        <v>4</v>
      </c>
      <c r="AE1147" s="142">
        <v>0</v>
      </c>
      <c r="AF1147" s="142"/>
      <c r="AG1147" s="69" t="str">
        <f t="shared" si="652"/>
        <v>2 years 63 days</v>
      </c>
      <c r="AH1147" s="69">
        <v>2</v>
      </c>
      <c r="AI1147" s="69">
        <v>63</v>
      </c>
      <c r="AJ1147" s="69">
        <v>0</v>
      </c>
      <c r="AK1147" s="69">
        <v>0</v>
      </c>
      <c r="AL1147" s="60">
        <v>320000</v>
      </c>
      <c r="AM1147" s="60">
        <f t="shared" si="653"/>
        <v>320000</v>
      </c>
      <c r="AN1147" s="59">
        <v>295452</v>
      </c>
      <c r="AO1147" s="148">
        <f t="shared" si="654"/>
        <v>-295452</v>
      </c>
      <c r="AP1147" s="58">
        <v>24548</v>
      </c>
      <c r="AQ1147" s="143">
        <f t="shared" si="655"/>
        <v>-24548</v>
      </c>
    </row>
    <row r="1148" spans="1:43" x14ac:dyDescent="0.35">
      <c r="A1148" s="69" t="s">
        <v>43</v>
      </c>
      <c r="B1148" s="15" t="s">
        <v>3641</v>
      </c>
      <c r="C1148" s="15"/>
      <c r="D1148" s="69"/>
      <c r="E1148" s="76">
        <v>0</v>
      </c>
      <c r="F1148" s="69" t="s">
        <v>2960</v>
      </c>
      <c r="G1148" s="132" t="s">
        <v>2961</v>
      </c>
      <c r="H1148" s="15">
        <v>9013000189</v>
      </c>
      <c r="I1148" s="92" t="s">
        <v>1416</v>
      </c>
      <c r="J1148" s="92">
        <v>1202020104</v>
      </c>
      <c r="K1148" s="38" t="s">
        <v>3642</v>
      </c>
      <c r="L1148" s="95" t="s">
        <v>3643</v>
      </c>
      <c r="M1148" s="69" t="s">
        <v>3644</v>
      </c>
      <c r="N1148" s="69"/>
      <c r="O1148" s="94">
        <v>1</v>
      </c>
      <c r="P1148" s="69" t="s">
        <v>50</v>
      </c>
      <c r="Q1148" s="69" t="s">
        <v>51</v>
      </c>
      <c r="R1148" s="69"/>
      <c r="S1148" s="46">
        <v>44865</v>
      </c>
      <c r="T1148" s="48">
        <v>44865</v>
      </c>
      <c r="U1148" s="69"/>
      <c r="V1148" s="69"/>
      <c r="W1148" s="69"/>
      <c r="X1148" s="69"/>
      <c r="Y1148" s="69" t="s">
        <v>4131</v>
      </c>
      <c r="Z1148" s="43">
        <v>280000</v>
      </c>
      <c r="AA1148" s="43" t="s">
        <v>52</v>
      </c>
      <c r="AB1148" s="43" t="s">
        <v>53</v>
      </c>
      <c r="AC1148" s="43">
        <v>1460</v>
      </c>
      <c r="AD1148" s="141">
        <v>4</v>
      </c>
      <c r="AE1148" s="142">
        <v>0</v>
      </c>
      <c r="AF1148" s="142"/>
      <c r="AG1148" s="69" t="str">
        <f t="shared" si="652"/>
        <v>2 years 63 days</v>
      </c>
      <c r="AH1148" s="69">
        <v>2</v>
      </c>
      <c r="AI1148" s="69">
        <v>63</v>
      </c>
      <c r="AJ1148" s="69">
        <v>0</v>
      </c>
      <c r="AK1148" s="69">
        <v>0</v>
      </c>
      <c r="AL1148" s="60">
        <v>280000</v>
      </c>
      <c r="AM1148" s="60">
        <f t="shared" si="653"/>
        <v>280000</v>
      </c>
      <c r="AN1148" s="59">
        <v>280000</v>
      </c>
      <c r="AO1148" s="148">
        <f t="shared" si="654"/>
        <v>-280000</v>
      </c>
      <c r="AP1148" s="58">
        <v>0</v>
      </c>
      <c r="AQ1148" s="143">
        <f t="shared" si="655"/>
        <v>0</v>
      </c>
    </row>
    <row r="1149" spans="1:43" x14ac:dyDescent="0.35">
      <c r="A1149" s="69" t="s">
        <v>43</v>
      </c>
      <c r="B1149" s="15" t="s">
        <v>3645</v>
      </c>
      <c r="C1149" s="15"/>
      <c r="D1149" s="69"/>
      <c r="E1149" s="76">
        <v>0</v>
      </c>
      <c r="F1149" s="69" t="s">
        <v>2960</v>
      </c>
      <c r="G1149" s="132" t="s">
        <v>2961</v>
      </c>
      <c r="H1149" s="15">
        <v>9013000190</v>
      </c>
      <c r="I1149" s="92" t="s">
        <v>1416</v>
      </c>
      <c r="J1149" s="92">
        <v>1202020104</v>
      </c>
      <c r="K1149" s="38" t="s">
        <v>3646</v>
      </c>
      <c r="L1149" s="95" t="s">
        <v>3647</v>
      </c>
      <c r="M1149" s="69" t="s">
        <v>49</v>
      </c>
      <c r="N1149" s="69"/>
      <c r="O1149" s="94">
        <v>1</v>
      </c>
      <c r="P1149" s="69" t="s">
        <v>50</v>
      </c>
      <c r="Q1149" s="69" t="s">
        <v>51</v>
      </c>
      <c r="R1149" s="69"/>
      <c r="S1149" s="46">
        <v>44865</v>
      </c>
      <c r="T1149" s="48">
        <v>44865</v>
      </c>
      <c r="U1149" s="69"/>
      <c r="V1149" s="69"/>
      <c r="W1149" s="69"/>
      <c r="X1149" s="69"/>
      <c r="Y1149" s="69" t="s">
        <v>4131</v>
      </c>
      <c r="Z1149" s="43">
        <v>1.1865524051245302E-2</v>
      </c>
      <c r="AA1149" s="43" t="s">
        <v>52</v>
      </c>
      <c r="AB1149" s="43" t="s">
        <v>53</v>
      </c>
      <c r="AC1149" s="43">
        <v>1460</v>
      </c>
      <c r="AD1149" s="141">
        <v>4</v>
      </c>
      <c r="AE1149" s="142">
        <v>0</v>
      </c>
      <c r="AF1149" s="142"/>
      <c r="AG1149" s="69" t="str">
        <f t="shared" si="652"/>
        <v>2 years 63 days</v>
      </c>
      <c r="AH1149" s="69">
        <v>2</v>
      </c>
      <c r="AI1149" s="69">
        <v>63</v>
      </c>
      <c r="AJ1149" s="69">
        <v>0</v>
      </c>
      <c r="AK1149" s="69">
        <v>0</v>
      </c>
      <c r="AL1149" s="60">
        <v>1.1865524051245302E-2</v>
      </c>
      <c r="AM1149" s="60">
        <f t="shared" si="653"/>
        <v>0.01</v>
      </c>
      <c r="AN1149" s="59">
        <v>0</v>
      </c>
      <c r="AO1149" s="148">
        <f t="shared" si="654"/>
        <v>0</v>
      </c>
      <c r="AP1149" s="58">
        <v>1.1865524051245302E-2</v>
      </c>
      <c r="AQ1149" s="143">
        <f t="shared" si="655"/>
        <v>-0.01</v>
      </c>
    </row>
    <row r="1150" spans="1:43" x14ac:dyDescent="0.35">
      <c r="A1150" s="69" t="s">
        <v>43</v>
      </c>
      <c r="B1150" s="15" t="s">
        <v>3648</v>
      </c>
      <c r="C1150" s="15"/>
      <c r="D1150" s="69"/>
      <c r="E1150" s="76">
        <v>0</v>
      </c>
      <c r="F1150" s="69" t="s">
        <v>2960</v>
      </c>
      <c r="G1150" s="132" t="s">
        <v>2961</v>
      </c>
      <c r="H1150" s="15">
        <v>9013000191</v>
      </c>
      <c r="I1150" s="92" t="s">
        <v>1416</v>
      </c>
      <c r="J1150" s="92">
        <v>1202020104</v>
      </c>
      <c r="K1150" s="38" t="s">
        <v>3649</v>
      </c>
      <c r="L1150" s="95" t="s">
        <v>3650</v>
      </c>
      <c r="M1150" s="69" t="s">
        <v>49</v>
      </c>
      <c r="N1150" s="69"/>
      <c r="O1150" s="94">
        <v>1</v>
      </c>
      <c r="P1150" s="69" t="s">
        <v>50</v>
      </c>
      <c r="Q1150" s="69" t="s">
        <v>51</v>
      </c>
      <c r="R1150" s="69"/>
      <c r="S1150" s="46">
        <v>44865</v>
      </c>
      <c r="T1150" s="48">
        <v>44865</v>
      </c>
      <c r="U1150" s="69"/>
      <c r="V1150" s="69"/>
      <c r="W1150" s="69"/>
      <c r="X1150" s="69"/>
      <c r="Y1150" s="69" t="s">
        <v>4131</v>
      </c>
      <c r="Z1150" s="43">
        <v>6498251</v>
      </c>
      <c r="AA1150" s="43" t="s">
        <v>52</v>
      </c>
      <c r="AB1150" s="43" t="s">
        <v>53</v>
      </c>
      <c r="AC1150" s="43">
        <v>1460</v>
      </c>
      <c r="AD1150" s="141">
        <v>4</v>
      </c>
      <c r="AE1150" s="142">
        <v>0</v>
      </c>
      <c r="AF1150" s="142"/>
      <c r="AG1150" s="69" t="str">
        <f t="shared" ref="AG1150:AG1152" si="656">_xlfn.CONCAT(AH1150," years ",AI1150," days")</f>
        <v>2 years 63 days</v>
      </c>
      <c r="AH1150" s="69">
        <v>2</v>
      </c>
      <c r="AI1150" s="69">
        <v>63</v>
      </c>
      <c r="AJ1150" s="69">
        <v>0</v>
      </c>
      <c r="AK1150" s="69">
        <v>0</v>
      </c>
      <c r="AL1150" s="60">
        <v>6498251</v>
      </c>
      <c r="AM1150" s="60">
        <f t="shared" ref="AM1150:AM1152" si="657">ROUND(AL1150,2)</f>
        <v>6498251</v>
      </c>
      <c r="AN1150" s="59">
        <v>6498251</v>
      </c>
      <c r="AO1150" s="148">
        <f t="shared" ref="AO1150:AO1152" si="658">ROUND(AN1150,2)*-1</f>
        <v>-6498251</v>
      </c>
      <c r="AP1150" s="58">
        <v>0</v>
      </c>
      <c r="AQ1150" s="143">
        <f t="shared" ref="AQ1150:AQ1152" si="659">ROUND(AP1150,2)*-1</f>
        <v>0</v>
      </c>
    </row>
    <row r="1151" spans="1:43" x14ac:dyDescent="0.35">
      <c r="A1151" s="69" t="s">
        <v>43</v>
      </c>
      <c r="B1151" s="15" t="s">
        <v>3651</v>
      </c>
      <c r="C1151" s="15"/>
      <c r="D1151" s="69"/>
      <c r="E1151" s="76">
        <v>0</v>
      </c>
      <c r="F1151" s="69" t="s">
        <v>2960</v>
      </c>
      <c r="G1151" s="132" t="s">
        <v>2961</v>
      </c>
      <c r="H1151" s="15">
        <v>9013000192</v>
      </c>
      <c r="I1151" s="92" t="s">
        <v>1416</v>
      </c>
      <c r="J1151" s="92">
        <v>1202020104</v>
      </c>
      <c r="K1151" s="38" t="s">
        <v>3652</v>
      </c>
      <c r="L1151" s="95" t="s">
        <v>3653</v>
      </c>
      <c r="M1151" s="69" t="s">
        <v>3654</v>
      </c>
      <c r="N1151" s="69"/>
      <c r="O1151" s="94">
        <v>1</v>
      </c>
      <c r="P1151" s="69" t="s">
        <v>50</v>
      </c>
      <c r="Q1151" s="69" t="s">
        <v>51</v>
      </c>
      <c r="R1151" s="69"/>
      <c r="S1151" s="46">
        <v>44865</v>
      </c>
      <c r="T1151" s="48">
        <v>44865</v>
      </c>
      <c r="U1151" s="69"/>
      <c r="V1151" s="69"/>
      <c r="W1151" s="69"/>
      <c r="X1151" s="69"/>
      <c r="Y1151" s="69" t="s">
        <v>4131</v>
      </c>
      <c r="Z1151" s="43">
        <v>280000</v>
      </c>
      <c r="AA1151" s="43" t="s">
        <v>52</v>
      </c>
      <c r="AB1151" s="43" t="s">
        <v>53</v>
      </c>
      <c r="AC1151" s="43">
        <v>1460</v>
      </c>
      <c r="AD1151" s="141">
        <v>4</v>
      </c>
      <c r="AE1151" s="142">
        <v>0</v>
      </c>
      <c r="AF1151" s="142"/>
      <c r="AG1151" s="69" t="str">
        <f t="shared" si="656"/>
        <v>2 years 63 days</v>
      </c>
      <c r="AH1151" s="69">
        <v>2</v>
      </c>
      <c r="AI1151" s="69">
        <v>63</v>
      </c>
      <c r="AJ1151" s="69">
        <v>0</v>
      </c>
      <c r="AK1151" s="69">
        <v>0</v>
      </c>
      <c r="AL1151" s="60">
        <v>280000</v>
      </c>
      <c r="AM1151" s="60">
        <f t="shared" si="657"/>
        <v>280000</v>
      </c>
      <c r="AN1151" s="59">
        <v>276548</v>
      </c>
      <c r="AO1151" s="148">
        <f t="shared" si="658"/>
        <v>-276548</v>
      </c>
      <c r="AP1151" s="58">
        <v>3452</v>
      </c>
      <c r="AQ1151" s="143">
        <f t="shared" si="659"/>
        <v>-3452</v>
      </c>
    </row>
    <row r="1152" spans="1:43" x14ac:dyDescent="0.35">
      <c r="A1152" s="69" t="s">
        <v>43</v>
      </c>
      <c r="B1152" s="15" t="s">
        <v>3655</v>
      </c>
      <c r="C1152" s="15"/>
      <c r="D1152" s="69"/>
      <c r="E1152" s="76">
        <v>0</v>
      </c>
      <c r="F1152" s="69" t="s">
        <v>2960</v>
      </c>
      <c r="G1152" s="132" t="s">
        <v>2961</v>
      </c>
      <c r="H1152" s="15">
        <v>9013000193</v>
      </c>
      <c r="I1152" s="92" t="s">
        <v>1416</v>
      </c>
      <c r="J1152" s="92">
        <v>1202020104</v>
      </c>
      <c r="K1152" s="38" t="s">
        <v>3656</v>
      </c>
      <c r="L1152" s="95" t="s">
        <v>3657</v>
      </c>
      <c r="M1152" s="69" t="s">
        <v>3658</v>
      </c>
      <c r="N1152" s="69"/>
      <c r="O1152" s="94">
        <v>1</v>
      </c>
      <c r="P1152" s="69" t="s">
        <v>50</v>
      </c>
      <c r="Q1152" s="69" t="s">
        <v>51</v>
      </c>
      <c r="R1152" s="69"/>
      <c r="S1152" s="46">
        <v>45108</v>
      </c>
      <c r="T1152" s="48">
        <v>45108</v>
      </c>
      <c r="U1152" s="69"/>
      <c r="V1152" s="69"/>
      <c r="W1152" s="69"/>
      <c r="X1152" s="69"/>
      <c r="Y1152" s="69" t="s">
        <v>4129</v>
      </c>
      <c r="Z1152" s="43">
        <v>320000</v>
      </c>
      <c r="AA1152" s="43" t="s">
        <v>52</v>
      </c>
      <c r="AB1152" s="43" t="s">
        <v>53</v>
      </c>
      <c r="AC1152" s="43">
        <v>1460</v>
      </c>
      <c r="AD1152" s="141">
        <v>4</v>
      </c>
      <c r="AE1152" s="142">
        <v>0</v>
      </c>
      <c r="AF1152" s="142"/>
      <c r="AG1152" s="69" t="str">
        <f t="shared" si="656"/>
        <v>1 years 185 days</v>
      </c>
      <c r="AH1152" s="69">
        <v>1</v>
      </c>
      <c r="AI1152" s="69">
        <v>185</v>
      </c>
      <c r="AJ1152" s="69">
        <v>0</v>
      </c>
      <c r="AK1152" s="69">
        <v>0</v>
      </c>
      <c r="AL1152" s="60">
        <v>320000</v>
      </c>
      <c r="AM1152" s="60">
        <f t="shared" si="657"/>
        <v>320000</v>
      </c>
      <c r="AN1152" s="59">
        <v>120548</v>
      </c>
      <c r="AO1152" s="148">
        <f t="shared" si="658"/>
        <v>-120548</v>
      </c>
      <c r="AP1152" s="58">
        <v>39671.178082191793</v>
      </c>
      <c r="AQ1152" s="143">
        <f t="shared" si="659"/>
        <v>-39671.18</v>
      </c>
    </row>
    <row r="1153" spans="1:43" x14ac:dyDescent="0.35">
      <c r="A1153" s="69" t="s">
        <v>43</v>
      </c>
      <c r="B1153" s="15" t="s">
        <v>3659</v>
      </c>
      <c r="C1153" s="15"/>
      <c r="D1153" s="69"/>
      <c r="E1153" s="76">
        <v>0</v>
      </c>
      <c r="F1153" s="69" t="s">
        <v>2960</v>
      </c>
      <c r="G1153" s="132" t="s">
        <v>2961</v>
      </c>
      <c r="H1153" s="15">
        <v>9013000194</v>
      </c>
      <c r="I1153" s="92" t="s">
        <v>1569</v>
      </c>
      <c r="J1153" s="92">
        <v>1202020107</v>
      </c>
      <c r="K1153" s="139" t="s">
        <v>3660</v>
      </c>
      <c r="L1153" s="95" t="s">
        <v>3661</v>
      </c>
      <c r="M1153" s="69" t="s">
        <v>3662</v>
      </c>
      <c r="N1153" s="69"/>
      <c r="O1153" s="94">
        <v>1</v>
      </c>
      <c r="P1153" s="69" t="s">
        <v>50</v>
      </c>
      <c r="Q1153" s="69" t="s">
        <v>51</v>
      </c>
      <c r="R1153" s="69"/>
      <c r="S1153" s="46">
        <v>43723</v>
      </c>
      <c r="T1153" s="48">
        <v>43723</v>
      </c>
      <c r="U1153" s="69"/>
      <c r="V1153" s="69"/>
      <c r="W1153" s="69"/>
      <c r="X1153" s="69"/>
      <c r="Y1153" s="69" t="s">
        <v>4126</v>
      </c>
      <c r="Z1153" s="43">
        <v>13470000</v>
      </c>
      <c r="AA1153" s="43" t="s">
        <v>52</v>
      </c>
      <c r="AB1153" s="43" t="s">
        <v>53</v>
      </c>
      <c r="AC1153" s="43">
        <v>1460</v>
      </c>
      <c r="AD1153" s="141">
        <v>4</v>
      </c>
      <c r="AE1153" s="142">
        <v>0</v>
      </c>
      <c r="AF1153" s="142"/>
      <c r="AG1153" s="69" t="str">
        <f t="shared" ref="AG1153:AG1161" si="660">_xlfn.CONCAT(AH1153," years ",AI1153," days")</f>
        <v>4 years 0 days</v>
      </c>
      <c r="AH1153" s="69">
        <v>4</v>
      </c>
      <c r="AI1153" s="69">
        <v>0</v>
      </c>
      <c r="AJ1153" s="69">
        <v>0</v>
      </c>
      <c r="AK1153" s="69">
        <v>0</v>
      </c>
      <c r="AL1153" s="60">
        <v>13470000</v>
      </c>
      <c r="AM1153" s="60">
        <f t="shared" ref="AM1153:AM1161" si="661">ROUND(AL1153,2)</f>
        <v>13470000</v>
      </c>
      <c r="AN1153" s="59">
        <v>13470000</v>
      </c>
      <c r="AO1153" s="148">
        <f t="shared" ref="AO1153:AO1161" si="662">ROUND(AN1153,2)*-1</f>
        <v>-13470000</v>
      </c>
      <c r="AP1153" s="58">
        <v>0</v>
      </c>
      <c r="AQ1153" s="143">
        <f t="shared" ref="AQ1153:AQ1161" si="663">ROUND(AP1153,2)*-1</f>
        <v>0</v>
      </c>
    </row>
    <row r="1154" spans="1:43" x14ac:dyDescent="0.35">
      <c r="A1154" s="69" t="s">
        <v>43</v>
      </c>
      <c r="B1154" s="15" t="s">
        <v>3663</v>
      </c>
      <c r="C1154" s="15"/>
      <c r="D1154" s="69"/>
      <c r="E1154" s="76">
        <v>0</v>
      </c>
      <c r="F1154" s="69" t="s">
        <v>2960</v>
      </c>
      <c r="G1154" s="132" t="s">
        <v>2961</v>
      </c>
      <c r="H1154" s="15">
        <v>9013000195</v>
      </c>
      <c r="I1154" s="92" t="s">
        <v>1569</v>
      </c>
      <c r="J1154" s="92">
        <v>1202020107</v>
      </c>
      <c r="K1154" s="139" t="s">
        <v>3664</v>
      </c>
      <c r="L1154" s="95" t="s">
        <v>3665</v>
      </c>
      <c r="M1154" s="69" t="s">
        <v>3666</v>
      </c>
      <c r="N1154" s="69"/>
      <c r="O1154" s="94">
        <v>1</v>
      </c>
      <c r="P1154" s="69" t="s">
        <v>50</v>
      </c>
      <c r="Q1154" s="69" t="s">
        <v>51</v>
      </c>
      <c r="R1154" s="69"/>
      <c r="S1154" s="46">
        <v>44986</v>
      </c>
      <c r="T1154" s="48">
        <v>44986</v>
      </c>
      <c r="U1154" s="69"/>
      <c r="V1154" s="69"/>
      <c r="W1154" s="69"/>
      <c r="X1154" s="69"/>
      <c r="Y1154" s="69" t="s">
        <v>4129</v>
      </c>
      <c r="Z1154" s="43">
        <v>895350</v>
      </c>
      <c r="AA1154" s="43" t="s">
        <v>52</v>
      </c>
      <c r="AB1154" s="43" t="s">
        <v>53</v>
      </c>
      <c r="AC1154" s="43">
        <v>1460</v>
      </c>
      <c r="AD1154" s="141">
        <v>4</v>
      </c>
      <c r="AE1154" s="142">
        <v>0</v>
      </c>
      <c r="AF1154" s="142"/>
      <c r="AG1154" s="69" t="str">
        <f t="shared" si="660"/>
        <v>1 years 307 days</v>
      </c>
      <c r="AH1154" s="69">
        <v>1</v>
      </c>
      <c r="AI1154" s="69">
        <v>307</v>
      </c>
      <c r="AJ1154" s="69">
        <v>0</v>
      </c>
      <c r="AK1154" s="69">
        <v>0</v>
      </c>
      <c r="AL1154" s="60">
        <v>895350</v>
      </c>
      <c r="AM1154" s="60">
        <f t="shared" si="661"/>
        <v>895350</v>
      </c>
      <c r="AN1154" s="59">
        <v>412106</v>
      </c>
      <c r="AO1154" s="148">
        <f t="shared" si="662"/>
        <v>-412106</v>
      </c>
      <c r="AP1154" s="58">
        <v>110999.17123287672</v>
      </c>
      <c r="AQ1154" s="143">
        <f t="shared" si="663"/>
        <v>-110999.17</v>
      </c>
    </row>
    <row r="1155" spans="1:43" x14ac:dyDescent="0.35">
      <c r="A1155" s="69" t="s">
        <v>43</v>
      </c>
      <c r="B1155" s="15" t="s">
        <v>3667</v>
      </c>
      <c r="C1155" s="15"/>
      <c r="D1155" s="69"/>
      <c r="E1155" s="76">
        <v>0</v>
      </c>
      <c r="F1155" s="69" t="s">
        <v>2960</v>
      </c>
      <c r="G1155" s="132" t="s">
        <v>2961</v>
      </c>
      <c r="H1155" s="15">
        <v>9013000196</v>
      </c>
      <c r="I1155" s="92" t="s">
        <v>1569</v>
      </c>
      <c r="J1155" s="92">
        <v>1202020107</v>
      </c>
      <c r="K1155" s="139" t="s">
        <v>3668</v>
      </c>
      <c r="L1155" s="95" t="s">
        <v>3669</v>
      </c>
      <c r="M1155" s="69" t="s">
        <v>3670</v>
      </c>
      <c r="N1155" s="69"/>
      <c r="O1155" s="94">
        <v>1</v>
      </c>
      <c r="P1155" s="69" t="s">
        <v>50</v>
      </c>
      <c r="Q1155" s="69" t="s">
        <v>51</v>
      </c>
      <c r="R1155" s="69"/>
      <c r="S1155" s="46">
        <v>44166</v>
      </c>
      <c r="T1155" s="48">
        <v>44166</v>
      </c>
      <c r="U1155" s="69"/>
      <c r="V1155" s="69"/>
      <c r="W1155" s="69"/>
      <c r="X1155" s="69"/>
      <c r="Y1155" s="69" t="s">
        <v>4127</v>
      </c>
      <c r="Z1155" s="43">
        <v>950000</v>
      </c>
      <c r="AA1155" s="43" t="s">
        <v>52</v>
      </c>
      <c r="AB1155" s="43" t="s">
        <v>53</v>
      </c>
      <c r="AC1155" s="43">
        <v>1460</v>
      </c>
      <c r="AD1155" s="141">
        <v>4</v>
      </c>
      <c r="AE1155" s="142">
        <v>0</v>
      </c>
      <c r="AF1155" s="142"/>
      <c r="AG1155" s="69" t="str">
        <f t="shared" si="660"/>
        <v>4 years 0 days</v>
      </c>
      <c r="AH1155" s="69">
        <v>4</v>
      </c>
      <c r="AI1155" s="69">
        <v>0</v>
      </c>
      <c r="AJ1155" s="69">
        <v>0</v>
      </c>
      <c r="AK1155" s="69">
        <v>0</v>
      </c>
      <c r="AL1155" s="60">
        <v>950000</v>
      </c>
      <c r="AM1155" s="60">
        <f t="shared" si="661"/>
        <v>950000</v>
      </c>
      <c r="AN1155" s="59">
        <v>950000</v>
      </c>
      <c r="AO1155" s="148">
        <f t="shared" si="662"/>
        <v>-950000</v>
      </c>
      <c r="AP1155" s="58">
        <v>0</v>
      </c>
      <c r="AQ1155" s="143">
        <f t="shared" si="663"/>
        <v>0</v>
      </c>
    </row>
    <row r="1156" spans="1:43" x14ac:dyDescent="0.35">
      <c r="A1156" s="69" t="s">
        <v>43</v>
      </c>
      <c r="B1156" s="15" t="s">
        <v>3671</v>
      </c>
      <c r="C1156" s="15"/>
      <c r="D1156" s="69"/>
      <c r="E1156" s="76">
        <v>0</v>
      </c>
      <c r="F1156" s="69" t="s">
        <v>2960</v>
      </c>
      <c r="G1156" s="132" t="s">
        <v>2961</v>
      </c>
      <c r="H1156" s="15">
        <v>9013000197</v>
      </c>
      <c r="I1156" s="92" t="s">
        <v>1569</v>
      </c>
      <c r="J1156" s="92">
        <v>1202020107</v>
      </c>
      <c r="K1156" s="139" t="s">
        <v>3672</v>
      </c>
      <c r="L1156" s="95" t="s">
        <v>3673</v>
      </c>
      <c r="M1156" s="69" t="s">
        <v>3674</v>
      </c>
      <c r="N1156" s="69"/>
      <c r="O1156" s="94">
        <v>1</v>
      </c>
      <c r="P1156" s="69" t="s">
        <v>50</v>
      </c>
      <c r="Q1156" s="69" t="s">
        <v>51</v>
      </c>
      <c r="R1156" s="69"/>
      <c r="S1156" s="46">
        <v>44014</v>
      </c>
      <c r="T1156" s="48">
        <v>44014</v>
      </c>
      <c r="U1156" s="69"/>
      <c r="V1156" s="69"/>
      <c r="W1156" s="69"/>
      <c r="X1156" s="69"/>
      <c r="Y1156" s="69" t="s">
        <v>4127</v>
      </c>
      <c r="Z1156" s="43">
        <v>7558500</v>
      </c>
      <c r="AA1156" s="43" t="s">
        <v>52</v>
      </c>
      <c r="AB1156" s="43" t="s">
        <v>53</v>
      </c>
      <c r="AC1156" s="43">
        <v>1460</v>
      </c>
      <c r="AD1156" s="141">
        <v>4</v>
      </c>
      <c r="AE1156" s="142">
        <v>0</v>
      </c>
      <c r="AF1156" s="142"/>
      <c r="AG1156" s="69" t="str">
        <f t="shared" si="660"/>
        <v>4 years 0 days</v>
      </c>
      <c r="AH1156" s="69">
        <v>4</v>
      </c>
      <c r="AI1156" s="69">
        <v>0</v>
      </c>
      <c r="AJ1156" s="69">
        <v>0</v>
      </c>
      <c r="AK1156" s="69">
        <v>0</v>
      </c>
      <c r="AL1156" s="60">
        <v>7558500</v>
      </c>
      <c r="AM1156" s="60">
        <f t="shared" si="661"/>
        <v>7558500</v>
      </c>
      <c r="AN1156" s="59">
        <v>7558500</v>
      </c>
      <c r="AO1156" s="148">
        <f t="shared" si="662"/>
        <v>-7558500</v>
      </c>
      <c r="AP1156" s="58">
        <v>0</v>
      </c>
      <c r="AQ1156" s="143">
        <f t="shared" si="663"/>
        <v>0</v>
      </c>
    </row>
    <row r="1157" spans="1:43" x14ac:dyDescent="0.35">
      <c r="A1157" s="69" t="s">
        <v>43</v>
      </c>
      <c r="B1157" s="15" t="s">
        <v>3675</v>
      </c>
      <c r="C1157" s="15"/>
      <c r="D1157" s="69"/>
      <c r="E1157" s="76">
        <v>0</v>
      </c>
      <c r="F1157" s="69" t="s">
        <v>2960</v>
      </c>
      <c r="G1157" s="132" t="s">
        <v>2961</v>
      </c>
      <c r="H1157" s="15">
        <v>9013000198</v>
      </c>
      <c r="I1157" s="92" t="s">
        <v>1569</v>
      </c>
      <c r="J1157" s="92">
        <v>1202020107</v>
      </c>
      <c r="K1157" s="139" t="s">
        <v>3676</v>
      </c>
      <c r="L1157" s="95" t="s">
        <v>3677</v>
      </c>
      <c r="M1157" s="69" t="s">
        <v>3678</v>
      </c>
      <c r="N1157" s="69"/>
      <c r="O1157" s="94">
        <v>1</v>
      </c>
      <c r="P1157" s="69" t="s">
        <v>50</v>
      </c>
      <c r="Q1157" s="69" t="s">
        <v>51</v>
      </c>
      <c r="R1157" s="69"/>
      <c r="S1157" s="46">
        <v>44475</v>
      </c>
      <c r="T1157" s="48">
        <v>44475</v>
      </c>
      <c r="U1157" s="69"/>
      <c r="V1157" s="69"/>
      <c r="W1157" s="69"/>
      <c r="X1157" s="69"/>
      <c r="Y1157" s="69" t="s">
        <v>4128</v>
      </c>
      <c r="Z1157" s="43">
        <v>8000000</v>
      </c>
      <c r="AA1157" s="43" t="s">
        <v>52</v>
      </c>
      <c r="AB1157" s="43" t="s">
        <v>53</v>
      </c>
      <c r="AC1157" s="43">
        <v>1460</v>
      </c>
      <c r="AD1157" s="141">
        <v>4</v>
      </c>
      <c r="AE1157" s="142">
        <v>0</v>
      </c>
      <c r="AF1157" s="142"/>
      <c r="AG1157" s="69" t="str">
        <f t="shared" si="660"/>
        <v>3 years 88 days</v>
      </c>
      <c r="AH1157" s="69">
        <v>3</v>
      </c>
      <c r="AI1157" s="69">
        <v>88</v>
      </c>
      <c r="AJ1157" s="69">
        <v>0</v>
      </c>
      <c r="AK1157" s="69">
        <v>0</v>
      </c>
      <c r="AL1157" s="60">
        <v>8000000</v>
      </c>
      <c r="AM1157" s="60">
        <f t="shared" si="661"/>
        <v>8000000</v>
      </c>
      <c r="AN1157" s="59">
        <v>6482192</v>
      </c>
      <c r="AO1157" s="148">
        <f t="shared" si="662"/>
        <v>-6482192</v>
      </c>
      <c r="AP1157" s="58">
        <v>991780.60273972619</v>
      </c>
      <c r="AQ1157" s="143">
        <f t="shared" si="663"/>
        <v>-991780.6</v>
      </c>
    </row>
    <row r="1158" spans="1:43" x14ac:dyDescent="0.35">
      <c r="A1158" s="69" t="s">
        <v>43</v>
      </c>
      <c r="B1158" s="15" t="s">
        <v>3679</v>
      </c>
      <c r="C1158" s="15"/>
      <c r="D1158" s="69"/>
      <c r="E1158" s="76">
        <v>0</v>
      </c>
      <c r="F1158" s="69" t="s">
        <v>2960</v>
      </c>
      <c r="G1158" s="132" t="s">
        <v>2961</v>
      </c>
      <c r="H1158" s="15">
        <v>9013000200</v>
      </c>
      <c r="I1158" s="92" t="s">
        <v>1569</v>
      </c>
      <c r="J1158" s="92">
        <v>1202020107</v>
      </c>
      <c r="K1158" s="139" t="s">
        <v>3680</v>
      </c>
      <c r="L1158" s="95" t="s">
        <v>3681</v>
      </c>
      <c r="M1158" s="69" t="s">
        <v>3682</v>
      </c>
      <c r="N1158" s="69"/>
      <c r="O1158" s="94">
        <v>1</v>
      </c>
      <c r="P1158" s="69" t="s">
        <v>50</v>
      </c>
      <c r="Q1158" s="69" t="s">
        <v>51</v>
      </c>
      <c r="R1158" s="69"/>
      <c r="S1158" s="46">
        <v>44713</v>
      </c>
      <c r="T1158" s="48">
        <v>44713</v>
      </c>
      <c r="U1158" s="69"/>
      <c r="V1158" s="69"/>
      <c r="W1158" s="69"/>
      <c r="X1158" s="69"/>
      <c r="Y1158" s="69" t="s">
        <v>4131</v>
      </c>
      <c r="Z1158" s="43">
        <v>8190030</v>
      </c>
      <c r="AA1158" s="43" t="s">
        <v>52</v>
      </c>
      <c r="AB1158" s="43" t="s">
        <v>53</v>
      </c>
      <c r="AC1158" s="43">
        <v>1460</v>
      </c>
      <c r="AD1158" s="141">
        <v>4</v>
      </c>
      <c r="AE1158" s="142">
        <v>0</v>
      </c>
      <c r="AF1158" s="142"/>
      <c r="AG1158" s="69" t="str">
        <f t="shared" si="660"/>
        <v>2 years 215 days</v>
      </c>
      <c r="AH1158" s="69">
        <v>2</v>
      </c>
      <c r="AI1158" s="69">
        <v>215</v>
      </c>
      <c r="AJ1158" s="69">
        <v>0</v>
      </c>
      <c r="AK1158" s="69">
        <v>0</v>
      </c>
      <c r="AL1158" s="60">
        <v>8190030</v>
      </c>
      <c r="AM1158" s="60">
        <f t="shared" si="661"/>
        <v>8190030</v>
      </c>
      <c r="AN1158" s="59">
        <v>5301081</v>
      </c>
      <c r="AO1158" s="148">
        <f t="shared" si="662"/>
        <v>-5301081</v>
      </c>
      <c r="AP1158" s="58">
        <v>1015339.3972602747</v>
      </c>
      <c r="AQ1158" s="143">
        <f t="shared" si="663"/>
        <v>-1015339.4</v>
      </c>
    </row>
    <row r="1159" spans="1:43" x14ac:dyDescent="0.35">
      <c r="A1159" s="69" t="s">
        <v>43</v>
      </c>
      <c r="B1159" s="15" t="s">
        <v>3683</v>
      </c>
      <c r="C1159" s="15"/>
      <c r="D1159" s="69"/>
      <c r="E1159" s="76">
        <v>0</v>
      </c>
      <c r="F1159" s="69" t="s">
        <v>2960</v>
      </c>
      <c r="G1159" s="132" t="s">
        <v>2961</v>
      </c>
      <c r="H1159" s="15">
        <v>9013000201</v>
      </c>
      <c r="I1159" s="92" t="s">
        <v>1569</v>
      </c>
      <c r="J1159" s="92">
        <v>1202020107</v>
      </c>
      <c r="K1159" s="139" t="s">
        <v>3684</v>
      </c>
      <c r="L1159" s="95" t="s">
        <v>3685</v>
      </c>
      <c r="M1159" s="69" t="s">
        <v>3686</v>
      </c>
      <c r="N1159" s="69"/>
      <c r="O1159" s="94">
        <v>2668</v>
      </c>
      <c r="P1159" s="69" t="s">
        <v>50</v>
      </c>
      <c r="Q1159" s="69" t="s">
        <v>51</v>
      </c>
      <c r="R1159" s="69"/>
      <c r="S1159" s="46">
        <v>44896</v>
      </c>
      <c r="T1159" s="48">
        <v>44896</v>
      </c>
      <c r="U1159" s="69"/>
      <c r="V1159" s="69"/>
      <c r="W1159" s="69"/>
      <c r="X1159" s="69"/>
      <c r="Y1159" s="69" t="s">
        <v>4131</v>
      </c>
      <c r="Z1159" s="43">
        <v>8008500</v>
      </c>
      <c r="AA1159" s="43" t="s">
        <v>52</v>
      </c>
      <c r="AB1159" s="43" t="s">
        <v>53</v>
      </c>
      <c r="AC1159" s="43">
        <v>1460</v>
      </c>
      <c r="AD1159" s="141">
        <v>4</v>
      </c>
      <c r="AE1159" s="142">
        <v>0</v>
      </c>
      <c r="AF1159" s="142"/>
      <c r="AG1159" s="69" t="str">
        <f t="shared" si="660"/>
        <v>2 years 32 days</v>
      </c>
      <c r="AH1159" s="69">
        <v>2</v>
      </c>
      <c r="AI1159" s="69">
        <v>32</v>
      </c>
      <c r="AJ1159" s="69">
        <v>0</v>
      </c>
      <c r="AK1159" s="69">
        <v>0</v>
      </c>
      <c r="AL1159" s="60">
        <v>8008500</v>
      </c>
      <c r="AM1159" s="60">
        <f t="shared" si="661"/>
        <v>8008500</v>
      </c>
      <c r="AN1159" s="59">
        <v>4179779</v>
      </c>
      <c r="AO1159" s="148">
        <f t="shared" si="662"/>
        <v>-4179779</v>
      </c>
      <c r="AP1159" s="58">
        <v>992834.3561643837</v>
      </c>
      <c r="AQ1159" s="143">
        <f t="shared" si="663"/>
        <v>-992834.36</v>
      </c>
    </row>
    <row r="1160" spans="1:43" x14ac:dyDescent="0.35">
      <c r="A1160" s="69" t="s">
        <v>43</v>
      </c>
      <c r="B1160" s="15" t="s">
        <v>3687</v>
      </c>
      <c r="C1160" s="15"/>
      <c r="D1160" s="69"/>
      <c r="E1160" s="76">
        <v>0</v>
      </c>
      <c r="F1160" s="69" t="s">
        <v>2960</v>
      </c>
      <c r="G1160" s="132" t="s">
        <v>2961</v>
      </c>
      <c r="H1160" s="15">
        <v>9013000202</v>
      </c>
      <c r="I1160" s="92" t="s">
        <v>1569</v>
      </c>
      <c r="J1160" s="92">
        <v>1202020107</v>
      </c>
      <c r="K1160" s="140" t="s">
        <v>3688</v>
      </c>
      <c r="L1160" s="95" t="s">
        <v>3689</v>
      </c>
      <c r="M1160" s="69" t="s">
        <v>3690</v>
      </c>
      <c r="N1160" s="69"/>
      <c r="O1160" s="94">
        <v>1</v>
      </c>
      <c r="P1160" s="69" t="s">
        <v>50</v>
      </c>
      <c r="Q1160" s="69" t="s">
        <v>51</v>
      </c>
      <c r="R1160" s="69"/>
      <c r="S1160" s="46">
        <v>45809</v>
      </c>
      <c r="T1160" s="48">
        <v>45809</v>
      </c>
      <c r="U1160" s="69"/>
      <c r="V1160" s="69"/>
      <c r="W1160" s="69"/>
      <c r="X1160" s="69"/>
      <c r="Y1160" s="69" t="s">
        <v>4132</v>
      </c>
      <c r="Z1160" s="43">
        <v>0</v>
      </c>
      <c r="AA1160" s="43" t="s">
        <v>52</v>
      </c>
      <c r="AB1160" s="43" t="s">
        <v>53</v>
      </c>
      <c r="AC1160" s="43">
        <v>1460</v>
      </c>
      <c r="AD1160" s="141">
        <v>4</v>
      </c>
      <c r="AE1160" s="142">
        <v>0</v>
      </c>
      <c r="AF1160" s="142"/>
      <c r="AG1160" s="69" t="str">
        <f t="shared" si="660"/>
        <v>0 years 0 days</v>
      </c>
      <c r="AH1160" s="69">
        <v>0</v>
      </c>
      <c r="AI1160" s="69">
        <v>0</v>
      </c>
      <c r="AJ1160" s="69">
        <v>0</v>
      </c>
      <c r="AK1160" s="69">
        <v>0</v>
      </c>
      <c r="AL1160" s="60">
        <v>900000</v>
      </c>
      <c r="AM1160" s="60">
        <f t="shared" si="661"/>
        <v>900000</v>
      </c>
      <c r="AN1160" s="59">
        <v>0</v>
      </c>
      <c r="AO1160" s="148">
        <f t="shared" si="662"/>
        <v>0</v>
      </c>
      <c r="AP1160" s="58">
        <v>18493.150684931508</v>
      </c>
      <c r="AQ1160" s="143">
        <f t="shared" si="663"/>
        <v>-18493.150000000001</v>
      </c>
    </row>
    <row r="1161" spans="1:43" x14ac:dyDescent="0.35">
      <c r="A1161" s="69" t="s">
        <v>43</v>
      </c>
      <c r="B1161" s="15" t="s">
        <v>3691</v>
      </c>
      <c r="C1161" s="15"/>
      <c r="D1161" s="69"/>
      <c r="E1161" s="76">
        <v>0</v>
      </c>
      <c r="F1161" s="69" t="s">
        <v>2960</v>
      </c>
      <c r="G1161" s="132" t="s">
        <v>2961</v>
      </c>
      <c r="H1161" s="15">
        <v>9013000203</v>
      </c>
      <c r="I1161" s="92" t="s">
        <v>1569</v>
      </c>
      <c r="J1161" s="92">
        <v>1202020107</v>
      </c>
      <c r="K1161" s="139" t="s">
        <v>3692</v>
      </c>
      <c r="L1161" s="95" t="s">
        <v>3693</v>
      </c>
      <c r="M1161" s="69" t="s">
        <v>3694</v>
      </c>
      <c r="N1161" s="69"/>
      <c r="O1161" s="94">
        <v>1</v>
      </c>
      <c r="P1161" s="69" t="s">
        <v>50</v>
      </c>
      <c r="Q1161" s="69" t="s">
        <v>51</v>
      </c>
      <c r="R1161" s="69"/>
      <c r="S1161" s="46">
        <v>45383</v>
      </c>
      <c r="T1161" s="48">
        <v>45383</v>
      </c>
      <c r="U1161" s="69"/>
      <c r="V1161" s="69"/>
      <c r="W1161" s="69"/>
      <c r="X1161" s="69"/>
      <c r="Y1161" s="69" t="s">
        <v>4130</v>
      </c>
      <c r="Z1161" s="43">
        <v>990035</v>
      </c>
      <c r="AA1161" s="43" t="s">
        <v>52</v>
      </c>
      <c r="AB1161" s="43" t="s">
        <v>53</v>
      </c>
      <c r="AC1161" s="43">
        <v>1460</v>
      </c>
      <c r="AD1161" s="141">
        <v>4</v>
      </c>
      <c r="AE1161" s="142">
        <v>0</v>
      </c>
      <c r="AF1161" s="142"/>
      <c r="AG1161" s="69" t="str">
        <f t="shared" si="660"/>
        <v>0 years 275 days</v>
      </c>
      <c r="AH1161" s="69">
        <v>0</v>
      </c>
      <c r="AI1161" s="69">
        <v>275</v>
      </c>
      <c r="AJ1161" s="69">
        <v>0</v>
      </c>
      <c r="AK1161" s="69">
        <v>0</v>
      </c>
      <c r="AL1161" s="60">
        <v>990035</v>
      </c>
      <c r="AM1161" s="60">
        <f t="shared" si="661"/>
        <v>990035</v>
      </c>
      <c r="AN1161" s="59">
        <v>186479</v>
      </c>
      <c r="AO1161" s="148">
        <f t="shared" si="662"/>
        <v>-186479</v>
      </c>
      <c r="AP1161" s="58">
        <v>122737.41095890413</v>
      </c>
      <c r="AQ1161" s="143">
        <f t="shared" si="663"/>
        <v>-122737.41</v>
      </c>
    </row>
    <row r="1162" spans="1:43" x14ac:dyDescent="0.35">
      <c r="A1162" s="69" t="s">
        <v>43</v>
      </c>
      <c r="B1162" s="15" t="s">
        <v>3695</v>
      </c>
      <c r="C1162" s="15"/>
      <c r="D1162" s="69"/>
      <c r="E1162" s="76">
        <v>0</v>
      </c>
      <c r="F1162" s="69" t="s">
        <v>2960</v>
      </c>
      <c r="G1162" s="132" t="s">
        <v>2961</v>
      </c>
      <c r="H1162" s="15">
        <v>9013000199</v>
      </c>
      <c r="I1162" s="92" t="s">
        <v>1569</v>
      </c>
      <c r="J1162" s="92">
        <v>1202020107</v>
      </c>
      <c r="K1162" s="139" t="s">
        <v>3696</v>
      </c>
      <c r="L1162" s="95" t="s">
        <v>3697</v>
      </c>
      <c r="M1162" s="69" t="s">
        <v>3698</v>
      </c>
      <c r="N1162" s="69"/>
      <c r="O1162" s="94">
        <v>2</v>
      </c>
      <c r="P1162" s="69" t="s">
        <v>50</v>
      </c>
      <c r="Q1162" s="69" t="s">
        <v>51</v>
      </c>
      <c r="R1162" s="69"/>
      <c r="S1162" s="46">
        <v>44515</v>
      </c>
      <c r="T1162" s="48">
        <v>44515</v>
      </c>
      <c r="U1162" s="69"/>
      <c r="V1162" s="69"/>
      <c r="W1162" s="69"/>
      <c r="X1162" s="69"/>
      <c r="Y1162" s="69" t="s">
        <v>4128</v>
      </c>
      <c r="Z1162" s="43">
        <v>15482700</v>
      </c>
      <c r="AA1162" s="43" t="s">
        <v>52</v>
      </c>
      <c r="AB1162" s="43" t="s">
        <v>53</v>
      </c>
      <c r="AC1162" s="43">
        <v>1460</v>
      </c>
      <c r="AD1162" s="141">
        <v>4</v>
      </c>
      <c r="AE1162" s="142">
        <v>0</v>
      </c>
      <c r="AF1162" s="142"/>
      <c r="AG1162" s="69" t="str">
        <f t="shared" ref="AG1162:AG1165" si="664">_xlfn.CONCAT(AH1162," years ",AI1162," days")</f>
        <v>3 years 48 days</v>
      </c>
      <c r="AH1162" s="69">
        <v>3</v>
      </c>
      <c r="AI1162" s="69">
        <v>48</v>
      </c>
      <c r="AJ1162" s="69">
        <v>0</v>
      </c>
      <c r="AK1162" s="69">
        <v>0</v>
      </c>
      <c r="AL1162" s="60">
        <v>15482700</v>
      </c>
      <c r="AM1162" s="60">
        <f t="shared" ref="AM1162:AM1165" si="665">ROUND(AL1162,2)</f>
        <v>15482700</v>
      </c>
      <c r="AN1162" s="59">
        <v>12121045</v>
      </c>
      <c r="AO1162" s="148">
        <f t="shared" ref="AO1162:AO1165" si="666">ROUND(AN1162,2)*-1</f>
        <v>-12121045</v>
      </c>
      <c r="AP1162" s="58">
        <v>1919430.8904109579</v>
      </c>
      <c r="AQ1162" s="143">
        <f t="shared" ref="AQ1162:AQ1165" si="667">ROUND(AP1162,2)*-1</f>
        <v>-1919430.89</v>
      </c>
    </row>
    <row r="1163" spans="1:43" x14ac:dyDescent="0.35">
      <c r="A1163" s="69" t="s">
        <v>43</v>
      </c>
      <c r="B1163" s="15" t="s">
        <v>3699</v>
      </c>
      <c r="C1163" s="15"/>
      <c r="D1163" s="69"/>
      <c r="E1163" s="76">
        <v>0</v>
      </c>
      <c r="F1163" s="69" t="s">
        <v>2960</v>
      </c>
      <c r="G1163" s="132" t="s">
        <v>2961</v>
      </c>
      <c r="H1163" s="15">
        <v>9013000204</v>
      </c>
      <c r="I1163" s="92" t="s">
        <v>1569</v>
      </c>
      <c r="J1163" s="92">
        <v>1202020107</v>
      </c>
      <c r="K1163" s="139" t="s">
        <v>3700</v>
      </c>
      <c r="L1163" s="95" t="s">
        <v>3701</v>
      </c>
      <c r="M1163" s="69" t="s">
        <v>3702</v>
      </c>
      <c r="N1163" s="69"/>
      <c r="O1163" s="94">
        <v>1</v>
      </c>
      <c r="P1163" s="69" t="s">
        <v>50</v>
      </c>
      <c r="Q1163" s="69" t="s">
        <v>51</v>
      </c>
      <c r="R1163" s="69"/>
      <c r="S1163" s="46">
        <v>44896</v>
      </c>
      <c r="T1163" s="48">
        <v>44896</v>
      </c>
      <c r="U1163" s="69"/>
      <c r="V1163" s="69"/>
      <c r="W1163" s="69"/>
      <c r="X1163" s="69"/>
      <c r="Y1163" s="69" t="s">
        <v>4131</v>
      </c>
      <c r="Z1163" s="43">
        <v>12008500</v>
      </c>
      <c r="AA1163" s="43" t="s">
        <v>52</v>
      </c>
      <c r="AB1163" s="43" t="s">
        <v>53</v>
      </c>
      <c r="AC1163" s="43">
        <v>1460</v>
      </c>
      <c r="AD1163" s="141">
        <v>4</v>
      </c>
      <c r="AE1163" s="142">
        <v>0</v>
      </c>
      <c r="AF1163" s="142"/>
      <c r="AG1163" s="69" t="str">
        <f t="shared" si="664"/>
        <v>2 years 32 days</v>
      </c>
      <c r="AH1163" s="69">
        <v>2</v>
      </c>
      <c r="AI1163" s="69">
        <v>32</v>
      </c>
      <c r="AJ1163" s="69">
        <v>0</v>
      </c>
      <c r="AK1163" s="69">
        <v>0</v>
      </c>
      <c r="AL1163" s="60">
        <v>12008500</v>
      </c>
      <c r="AM1163" s="60">
        <f t="shared" si="665"/>
        <v>12008500</v>
      </c>
      <c r="AN1163" s="59">
        <v>6267450</v>
      </c>
      <c r="AO1163" s="148">
        <f t="shared" si="666"/>
        <v>-6267450</v>
      </c>
      <c r="AP1163" s="58">
        <v>1488725</v>
      </c>
      <c r="AQ1163" s="143">
        <f t="shared" si="667"/>
        <v>-1488725</v>
      </c>
    </row>
    <row r="1164" spans="1:43" x14ac:dyDescent="0.35">
      <c r="A1164" s="69" t="s">
        <v>43</v>
      </c>
      <c r="B1164" s="15" t="s">
        <v>3703</v>
      </c>
      <c r="C1164" s="15"/>
      <c r="D1164" s="69"/>
      <c r="E1164" s="76">
        <v>0</v>
      </c>
      <c r="F1164" s="69" t="s">
        <v>2960</v>
      </c>
      <c r="G1164" s="132" t="s">
        <v>2961</v>
      </c>
      <c r="H1164" s="15">
        <v>9013000205</v>
      </c>
      <c r="I1164" s="92" t="s">
        <v>1569</v>
      </c>
      <c r="J1164" s="92">
        <v>1202020107</v>
      </c>
      <c r="K1164" s="139" t="s">
        <v>3704</v>
      </c>
      <c r="L1164" s="95" t="s">
        <v>3705</v>
      </c>
      <c r="M1164" s="69" t="s">
        <v>3706</v>
      </c>
      <c r="N1164" s="69"/>
      <c r="O1164" s="94">
        <v>2</v>
      </c>
      <c r="P1164" s="69" t="s">
        <v>50</v>
      </c>
      <c r="Q1164" s="69" t="s">
        <v>51</v>
      </c>
      <c r="R1164" s="69"/>
      <c r="S1164" s="46">
        <v>45092</v>
      </c>
      <c r="T1164" s="48">
        <v>45092</v>
      </c>
      <c r="U1164" s="69"/>
      <c r="V1164" s="69"/>
      <c r="W1164" s="69"/>
      <c r="X1164" s="69"/>
      <c r="Y1164" s="69" t="s">
        <v>4129</v>
      </c>
      <c r="Z1164" s="43">
        <v>12354500</v>
      </c>
      <c r="AA1164" s="43" t="s">
        <v>52</v>
      </c>
      <c r="AB1164" s="43" t="s">
        <v>53</v>
      </c>
      <c r="AC1164" s="43">
        <v>1460</v>
      </c>
      <c r="AD1164" s="141">
        <v>4</v>
      </c>
      <c r="AE1164" s="142">
        <v>0</v>
      </c>
      <c r="AF1164" s="142"/>
      <c r="AG1164" s="69" t="str">
        <f t="shared" si="664"/>
        <v>1 years 201 days</v>
      </c>
      <c r="AH1164" s="69">
        <v>1</v>
      </c>
      <c r="AI1164" s="69">
        <v>201</v>
      </c>
      <c r="AJ1164" s="69">
        <v>0</v>
      </c>
      <c r="AK1164" s="69">
        <v>0</v>
      </c>
      <c r="AL1164" s="60">
        <v>12354500</v>
      </c>
      <c r="AM1164" s="60">
        <f t="shared" si="665"/>
        <v>12354500</v>
      </c>
      <c r="AN1164" s="59">
        <v>4789484</v>
      </c>
      <c r="AO1164" s="148">
        <f t="shared" si="666"/>
        <v>-4789484</v>
      </c>
      <c r="AP1164" s="58">
        <v>1531619.7671232875</v>
      </c>
      <c r="AQ1164" s="143">
        <f t="shared" si="667"/>
        <v>-1531619.77</v>
      </c>
    </row>
    <row r="1165" spans="1:43" x14ac:dyDescent="0.35">
      <c r="A1165" s="69" t="s">
        <v>43</v>
      </c>
      <c r="B1165" s="15" t="s">
        <v>3707</v>
      </c>
      <c r="C1165" s="15"/>
      <c r="D1165" s="69"/>
      <c r="E1165" s="76">
        <v>0</v>
      </c>
      <c r="F1165" s="69" t="s">
        <v>2960</v>
      </c>
      <c r="G1165" s="132" t="s">
        <v>2961</v>
      </c>
      <c r="H1165" s="15">
        <v>9013000206</v>
      </c>
      <c r="I1165" s="92" t="s">
        <v>1569</v>
      </c>
      <c r="J1165" s="92">
        <v>1202020107</v>
      </c>
      <c r="K1165" s="139" t="s">
        <v>3708</v>
      </c>
      <c r="L1165" s="95" t="s">
        <v>3709</v>
      </c>
      <c r="M1165" s="69" t="s">
        <v>3710</v>
      </c>
      <c r="N1165" s="69"/>
      <c r="O1165" s="94">
        <v>2</v>
      </c>
      <c r="P1165" s="69" t="s">
        <v>50</v>
      </c>
      <c r="Q1165" s="69" t="s">
        <v>51</v>
      </c>
      <c r="R1165" s="69"/>
      <c r="S1165" s="46">
        <v>45108</v>
      </c>
      <c r="T1165" s="48">
        <v>45108</v>
      </c>
      <c r="U1165" s="69"/>
      <c r="V1165" s="69"/>
      <c r="W1165" s="69"/>
      <c r="X1165" s="69"/>
      <c r="Y1165" s="69" t="s">
        <v>4129</v>
      </c>
      <c r="Z1165" s="43">
        <v>12440470</v>
      </c>
      <c r="AA1165" s="43" t="s">
        <v>52</v>
      </c>
      <c r="AB1165" s="43" t="s">
        <v>53</v>
      </c>
      <c r="AC1165" s="43">
        <v>1460</v>
      </c>
      <c r="AD1165" s="141">
        <v>4</v>
      </c>
      <c r="AE1165" s="142">
        <v>0</v>
      </c>
      <c r="AF1165" s="142"/>
      <c r="AG1165" s="69" t="str">
        <f t="shared" si="664"/>
        <v>1 years 185 days</v>
      </c>
      <c r="AH1165" s="69">
        <v>1</v>
      </c>
      <c r="AI1165" s="69">
        <v>185</v>
      </c>
      <c r="AJ1165" s="69">
        <v>0</v>
      </c>
      <c r="AK1165" s="69">
        <v>0</v>
      </c>
      <c r="AL1165" s="60">
        <v>12440470</v>
      </c>
      <c r="AM1165" s="60">
        <f t="shared" si="665"/>
        <v>12440470</v>
      </c>
      <c r="AN1165" s="59">
        <v>4686478</v>
      </c>
      <c r="AO1165" s="148">
        <f t="shared" si="666"/>
        <v>-4686478</v>
      </c>
      <c r="AP1165" s="58">
        <v>1542277.8698630137</v>
      </c>
      <c r="AQ1165" s="143">
        <f t="shared" si="667"/>
        <v>-1542277.87</v>
      </c>
    </row>
    <row r="1166" spans="1:43" x14ac:dyDescent="0.35">
      <c r="A1166" s="69" t="s">
        <v>43</v>
      </c>
      <c r="B1166" s="15" t="s">
        <v>3711</v>
      </c>
      <c r="C1166" s="15"/>
      <c r="D1166" s="69"/>
      <c r="E1166" s="76">
        <v>0</v>
      </c>
      <c r="F1166" s="69" t="s">
        <v>2960</v>
      </c>
      <c r="G1166" s="132" t="s">
        <v>2961</v>
      </c>
      <c r="H1166" s="15">
        <v>9013000207</v>
      </c>
      <c r="I1166" s="92" t="s">
        <v>1569</v>
      </c>
      <c r="J1166" s="92">
        <v>1202020107</v>
      </c>
      <c r="K1166" s="139" t="s">
        <v>3712</v>
      </c>
      <c r="L1166" s="95" t="s">
        <v>3713</v>
      </c>
      <c r="M1166" s="69" t="s">
        <v>3714</v>
      </c>
      <c r="N1166" s="69"/>
      <c r="O1166" s="94">
        <v>1</v>
      </c>
      <c r="P1166" s="69" t="s">
        <v>50</v>
      </c>
      <c r="Q1166" s="69" t="s">
        <v>51</v>
      </c>
      <c r="R1166" s="69"/>
      <c r="S1166" s="46">
        <v>45432</v>
      </c>
      <c r="T1166" s="48">
        <v>45432</v>
      </c>
      <c r="U1166" s="69"/>
      <c r="V1166" s="69"/>
      <c r="W1166" s="69"/>
      <c r="X1166" s="69"/>
      <c r="Y1166" s="69" t="s">
        <v>4130</v>
      </c>
      <c r="Z1166" s="43">
        <v>7908500</v>
      </c>
      <c r="AA1166" s="43" t="s">
        <v>52</v>
      </c>
      <c r="AB1166" s="43" t="s">
        <v>53</v>
      </c>
      <c r="AC1166" s="43">
        <v>1460</v>
      </c>
      <c r="AD1166" s="141">
        <v>4</v>
      </c>
      <c r="AE1166" s="142">
        <v>0</v>
      </c>
      <c r="AF1166" s="142"/>
      <c r="AG1166" s="69" t="str">
        <f>_xlfn.CONCAT(AH1166," years ",AI1166," days")</f>
        <v>0 years 226 days</v>
      </c>
      <c r="AH1166" s="69">
        <v>0</v>
      </c>
      <c r="AI1166" s="69">
        <v>226</v>
      </c>
      <c r="AJ1166" s="69">
        <v>0</v>
      </c>
      <c r="AK1166" s="69">
        <v>0</v>
      </c>
      <c r="AL1166" s="60">
        <v>7908500</v>
      </c>
      <c r="AM1166" s="60">
        <f>ROUND(AL1166,2)</f>
        <v>7908500</v>
      </c>
      <c r="AN1166" s="59">
        <v>1224192</v>
      </c>
      <c r="AO1166" s="148">
        <f>ROUND(AN1166,2)*-1</f>
        <v>-1224192</v>
      </c>
      <c r="AP1166" s="58">
        <v>980437.79452054808</v>
      </c>
      <c r="AQ1166" s="143">
        <f>ROUND(AP1166,2)*-1</f>
        <v>-980437.79</v>
      </c>
    </row>
    <row r="1167" spans="1:43" x14ac:dyDescent="0.35">
      <c r="A1167" s="69" t="s">
        <v>43</v>
      </c>
      <c r="B1167" s="15" t="s">
        <v>3715</v>
      </c>
      <c r="C1167" s="15"/>
      <c r="D1167" s="69"/>
      <c r="E1167" s="76">
        <v>0</v>
      </c>
      <c r="F1167" s="69" t="s">
        <v>2960</v>
      </c>
      <c r="G1167" s="132" t="s">
        <v>2961</v>
      </c>
      <c r="H1167" s="15">
        <v>9013000208</v>
      </c>
      <c r="I1167" s="92" t="s">
        <v>1685</v>
      </c>
      <c r="J1167" s="92">
        <v>1202020102</v>
      </c>
      <c r="K1167" s="35" t="s">
        <v>3716</v>
      </c>
      <c r="L1167" s="95" t="s">
        <v>3717</v>
      </c>
      <c r="M1167" s="69" t="s">
        <v>3718</v>
      </c>
      <c r="N1167" s="69"/>
      <c r="O1167" s="94">
        <v>1</v>
      </c>
      <c r="P1167" s="69" t="s">
        <v>50</v>
      </c>
      <c r="Q1167" s="69" t="s">
        <v>51</v>
      </c>
      <c r="R1167" s="69"/>
      <c r="S1167" s="46">
        <v>45587</v>
      </c>
      <c r="T1167" s="48">
        <v>45587</v>
      </c>
      <c r="U1167" s="69"/>
      <c r="V1167" s="69"/>
      <c r="W1167" s="69"/>
      <c r="X1167" s="69"/>
      <c r="Y1167" s="69" t="s">
        <v>4130</v>
      </c>
      <c r="Z1167" s="43">
        <v>2243000</v>
      </c>
      <c r="AA1167" s="43" t="s">
        <v>52</v>
      </c>
      <c r="AB1167" s="43" t="s">
        <v>53</v>
      </c>
      <c r="AC1167" s="43">
        <v>1460</v>
      </c>
      <c r="AD1167" s="141">
        <v>4</v>
      </c>
      <c r="AE1167" s="142">
        <v>0</v>
      </c>
      <c r="AF1167" s="142"/>
      <c r="AG1167" s="69" t="str">
        <f>_xlfn.CONCAT(AH1167," years ",AI1167," days")</f>
        <v>0 years 71 days</v>
      </c>
      <c r="AH1167" s="69">
        <v>0</v>
      </c>
      <c r="AI1167" s="69">
        <v>71</v>
      </c>
      <c r="AJ1167" s="69">
        <v>0</v>
      </c>
      <c r="AK1167" s="69">
        <v>0</v>
      </c>
      <c r="AL1167" s="60">
        <v>1493000</v>
      </c>
      <c r="AM1167" s="60">
        <f>ROUND(AL1167,2)</f>
        <v>1493000</v>
      </c>
      <c r="AN1167" s="59">
        <v>342571.27953633526</v>
      </c>
      <c r="AO1167" s="148">
        <f>ROUND(AN1167,2)*-1</f>
        <v>-342571.28</v>
      </c>
      <c r="AP1167" s="58">
        <v>185091.17251845915</v>
      </c>
      <c r="AQ1167" s="143">
        <f>ROUND(AP1167,2)*-1</f>
        <v>-185091.17</v>
      </c>
    </row>
    <row r="1168" spans="1:43" x14ac:dyDescent="0.35">
      <c r="A1168" s="69" t="s">
        <v>43</v>
      </c>
      <c r="B1168" s="15" t="s">
        <v>3719</v>
      </c>
      <c r="C1168" s="15"/>
      <c r="D1168" s="69"/>
      <c r="E1168" s="76">
        <v>0</v>
      </c>
      <c r="F1168" s="69" t="s">
        <v>2960</v>
      </c>
      <c r="G1168" s="132" t="s">
        <v>2961</v>
      </c>
      <c r="H1168" s="15">
        <v>9013000209</v>
      </c>
      <c r="I1168" s="92" t="s">
        <v>1685</v>
      </c>
      <c r="J1168" s="92">
        <v>1202020102</v>
      </c>
      <c r="K1168" s="40" t="s">
        <v>3720</v>
      </c>
      <c r="L1168" s="95" t="s">
        <v>3721</v>
      </c>
      <c r="M1168" s="69" t="s">
        <v>3722</v>
      </c>
      <c r="N1168" s="69"/>
      <c r="O1168" s="94">
        <v>1</v>
      </c>
      <c r="P1168" s="69" t="s">
        <v>50</v>
      </c>
      <c r="Q1168" s="69" t="s">
        <v>51</v>
      </c>
      <c r="R1168" s="69"/>
      <c r="S1168" s="46">
        <v>45627</v>
      </c>
      <c r="T1168" s="48">
        <v>45627</v>
      </c>
      <c r="U1168" s="69"/>
      <c r="V1168" s="69"/>
      <c r="W1168" s="69"/>
      <c r="X1168" s="69"/>
      <c r="Y1168" s="69" t="s">
        <v>4130</v>
      </c>
      <c r="Z1168" s="43">
        <v>140000</v>
      </c>
      <c r="AA1168" s="43" t="s">
        <v>52</v>
      </c>
      <c r="AB1168" s="43" t="s">
        <v>53</v>
      </c>
      <c r="AC1168" s="43">
        <v>1460</v>
      </c>
      <c r="AD1168" s="141">
        <v>4</v>
      </c>
      <c r="AE1168" s="142">
        <v>0</v>
      </c>
      <c r="AF1168" s="142"/>
      <c r="AG1168" s="69" t="str">
        <f>_xlfn.CONCAT(AH1168," years ",AI1168," days")</f>
        <v>0 years 31 days</v>
      </c>
      <c r="AH1168" s="69">
        <v>0</v>
      </c>
      <c r="AI1168" s="69">
        <v>31</v>
      </c>
      <c r="AJ1168" s="69">
        <v>0</v>
      </c>
      <c r="AK1168" s="69">
        <v>0</v>
      </c>
      <c r="AL1168" s="60">
        <v>140000</v>
      </c>
      <c r="AM1168" s="60">
        <f>ROUND(AL1168,2)</f>
        <v>140000</v>
      </c>
      <c r="AN1168" s="59">
        <v>2973</v>
      </c>
      <c r="AO1168" s="148">
        <f>ROUND(AN1168,2)*-1</f>
        <v>-2973</v>
      </c>
      <c r="AP1168" s="58">
        <v>17355.767123287671</v>
      </c>
      <c r="AQ1168" s="143">
        <f>ROUND(AP1168,2)*-1</f>
        <v>-17355.77</v>
      </c>
    </row>
    <row r="1169" spans="1:43" x14ac:dyDescent="0.35">
      <c r="A1169" s="69" t="s">
        <v>43</v>
      </c>
      <c r="B1169" s="15" t="s">
        <v>3723</v>
      </c>
      <c r="C1169" s="15"/>
      <c r="D1169" s="69"/>
      <c r="E1169" s="76">
        <v>0</v>
      </c>
      <c r="F1169" s="69" t="s">
        <v>2960</v>
      </c>
      <c r="G1169" s="132" t="s">
        <v>2961</v>
      </c>
      <c r="H1169" s="15">
        <v>9013000211</v>
      </c>
      <c r="I1169" s="92" t="s">
        <v>593</v>
      </c>
      <c r="J1169" s="92">
        <v>1202020101</v>
      </c>
      <c r="K1169" s="41"/>
      <c r="L1169" s="95" t="s">
        <v>3724</v>
      </c>
      <c r="M1169" s="69" t="s">
        <v>49</v>
      </c>
      <c r="N1169" s="69"/>
      <c r="O1169" s="94">
        <v>1</v>
      </c>
      <c r="P1169" s="69" t="s">
        <v>50</v>
      </c>
      <c r="Q1169" s="69" t="s">
        <v>51</v>
      </c>
      <c r="R1169" s="69"/>
      <c r="S1169" s="46">
        <v>40472</v>
      </c>
      <c r="T1169" s="48">
        <v>43191</v>
      </c>
      <c r="U1169" s="69"/>
      <c r="V1169" s="69"/>
      <c r="W1169" s="69"/>
      <c r="X1169" s="69"/>
      <c r="Y1169" s="69" t="s">
        <v>4125</v>
      </c>
      <c r="Z1169" s="43">
        <v>2600</v>
      </c>
      <c r="AA1169" s="43" t="s">
        <v>52</v>
      </c>
      <c r="AB1169" s="43" t="s">
        <v>53</v>
      </c>
      <c r="AC1169" s="43">
        <v>183</v>
      </c>
      <c r="AD1169" s="141">
        <v>0</v>
      </c>
      <c r="AE1169" s="142">
        <v>6</v>
      </c>
      <c r="AF1169" s="142"/>
      <c r="AG1169" s="69" t="str">
        <f t="shared" ref="AG1169:AG1232" si="668">_xlfn.CONCAT(AH1169," years ",AI1169," days")</f>
        <v>0 years 183 days</v>
      </c>
      <c r="AH1169" s="69">
        <v>0</v>
      </c>
      <c r="AI1169" s="69">
        <v>183</v>
      </c>
      <c r="AJ1169" s="69">
        <v>0</v>
      </c>
      <c r="AK1169" s="69">
        <v>0</v>
      </c>
      <c r="AL1169" s="60">
        <v>2600</v>
      </c>
      <c r="AM1169" s="60">
        <f t="shared" ref="AM1169:AM1232" si="669">ROUND(AL1169,2)</f>
        <v>2600</v>
      </c>
      <c r="AN1169" s="59">
        <v>2600</v>
      </c>
      <c r="AO1169" s="148">
        <f t="shared" ref="AO1169:AO1232" si="670">ROUND(AN1169,2)*-1</f>
        <v>-2600</v>
      </c>
      <c r="AP1169" s="58">
        <v>0</v>
      </c>
      <c r="AQ1169" s="143">
        <f t="shared" ref="AQ1169:AQ1232" si="671">ROUND(AP1169,2)*-1</f>
        <v>0</v>
      </c>
    </row>
    <row r="1170" spans="1:43" x14ac:dyDescent="0.35">
      <c r="A1170" s="69" t="s">
        <v>43</v>
      </c>
      <c r="B1170" s="15" t="s">
        <v>3725</v>
      </c>
      <c r="C1170" s="15"/>
      <c r="D1170" s="69"/>
      <c r="E1170" s="76">
        <v>0</v>
      </c>
      <c r="F1170" s="69" t="s">
        <v>2960</v>
      </c>
      <c r="G1170" s="132" t="s">
        <v>2961</v>
      </c>
      <c r="H1170" s="15">
        <v>9013000211</v>
      </c>
      <c r="I1170" s="92" t="s">
        <v>593</v>
      </c>
      <c r="J1170" s="92">
        <v>1202020101</v>
      </c>
      <c r="K1170" s="41"/>
      <c r="L1170" s="95" t="s">
        <v>3726</v>
      </c>
      <c r="M1170" s="69" t="s">
        <v>49</v>
      </c>
      <c r="N1170" s="69"/>
      <c r="O1170" s="94">
        <v>1</v>
      </c>
      <c r="P1170" s="69" t="s">
        <v>50</v>
      </c>
      <c r="Q1170" s="69" t="s">
        <v>51</v>
      </c>
      <c r="R1170" s="69"/>
      <c r="S1170" s="46">
        <v>40589</v>
      </c>
      <c r="T1170" s="48">
        <v>43191</v>
      </c>
      <c r="U1170" s="69"/>
      <c r="V1170" s="69"/>
      <c r="W1170" s="69"/>
      <c r="X1170" s="69"/>
      <c r="Y1170" s="69" t="s">
        <v>4125</v>
      </c>
      <c r="Z1170" s="43">
        <v>15500</v>
      </c>
      <c r="AA1170" s="43" t="s">
        <v>52</v>
      </c>
      <c r="AB1170" s="43" t="s">
        <v>53</v>
      </c>
      <c r="AC1170" s="43">
        <v>183</v>
      </c>
      <c r="AD1170" s="141">
        <v>0</v>
      </c>
      <c r="AE1170" s="142">
        <v>6</v>
      </c>
      <c r="AF1170" s="142"/>
      <c r="AG1170" s="69" t="str">
        <f t="shared" si="668"/>
        <v>0 years 183 days</v>
      </c>
      <c r="AH1170" s="69">
        <v>0</v>
      </c>
      <c r="AI1170" s="69">
        <v>183</v>
      </c>
      <c r="AJ1170" s="69">
        <v>0</v>
      </c>
      <c r="AK1170" s="69">
        <v>0</v>
      </c>
      <c r="AL1170" s="60">
        <v>15500</v>
      </c>
      <c r="AM1170" s="60">
        <f t="shared" si="669"/>
        <v>15500</v>
      </c>
      <c r="AN1170" s="59">
        <v>15500</v>
      </c>
      <c r="AO1170" s="148">
        <f t="shared" si="670"/>
        <v>-15500</v>
      </c>
      <c r="AP1170" s="58">
        <v>0</v>
      </c>
      <c r="AQ1170" s="143">
        <f t="shared" si="671"/>
        <v>0</v>
      </c>
    </row>
    <row r="1171" spans="1:43" x14ac:dyDescent="0.35">
      <c r="A1171" s="69" t="s">
        <v>43</v>
      </c>
      <c r="B1171" s="15" t="s">
        <v>3727</v>
      </c>
      <c r="C1171" s="15"/>
      <c r="D1171" s="69"/>
      <c r="E1171" s="76">
        <v>0</v>
      </c>
      <c r="F1171" s="69" t="s">
        <v>2960</v>
      </c>
      <c r="G1171" s="132" t="s">
        <v>2961</v>
      </c>
      <c r="H1171" s="15">
        <v>9013000211</v>
      </c>
      <c r="I1171" s="92" t="s">
        <v>593</v>
      </c>
      <c r="J1171" s="92">
        <v>1202020101</v>
      </c>
      <c r="K1171" s="41"/>
      <c r="L1171" s="95" t="s">
        <v>3728</v>
      </c>
      <c r="M1171" s="69" t="s">
        <v>3729</v>
      </c>
      <c r="N1171" s="69"/>
      <c r="O1171" s="94">
        <v>1</v>
      </c>
      <c r="P1171" s="69" t="s">
        <v>50</v>
      </c>
      <c r="Q1171" s="69" t="s">
        <v>51</v>
      </c>
      <c r="R1171" s="69"/>
      <c r="S1171" s="46">
        <v>40823</v>
      </c>
      <c r="T1171" s="48">
        <v>43191</v>
      </c>
      <c r="U1171" s="69"/>
      <c r="V1171" s="69"/>
      <c r="W1171" s="69"/>
      <c r="X1171" s="69"/>
      <c r="Y1171" s="69" t="s">
        <v>4125</v>
      </c>
      <c r="Z1171" s="43">
        <v>3600</v>
      </c>
      <c r="AA1171" s="43" t="s">
        <v>52</v>
      </c>
      <c r="AB1171" s="43" t="s">
        <v>53</v>
      </c>
      <c r="AC1171" s="43">
        <v>183</v>
      </c>
      <c r="AD1171" s="141">
        <v>0</v>
      </c>
      <c r="AE1171" s="142">
        <v>6</v>
      </c>
      <c r="AF1171" s="142"/>
      <c r="AG1171" s="69" t="str">
        <f t="shared" si="668"/>
        <v>0 years 183 days</v>
      </c>
      <c r="AH1171" s="69">
        <v>0</v>
      </c>
      <c r="AI1171" s="69">
        <v>183</v>
      </c>
      <c r="AJ1171" s="69">
        <v>0</v>
      </c>
      <c r="AK1171" s="69">
        <v>0</v>
      </c>
      <c r="AL1171" s="60">
        <v>3600</v>
      </c>
      <c r="AM1171" s="60">
        <f t="shared" si="669"/>
        <v>3600</v>
      </c>
      <c r="AN1171" s="59">
        <v>3600</v>
      </c>
      <c r="AO1171" s="148">
        <f t="shared" si="670"/>
        <v>-3600</v>
      </c>
      <c r="AP1171" s="58">
        <v>0</v>
      </c>
      <c r="AQ1171" s="143">
        <f t="shared" si="671"/>
        <v>0</v>
      </c>
    </row>
    <row r="1172" spans="1:43" x14ac:dyDescent="0.35">
      <c r="A1172" s="69" t="s">
        <v>43</v>
      </c>
      <c r="B1172" s="15" t="s">
        <v>3730</v>
      </c>
      <c r="C1172" s="15"/>
      <c r="D1172" s="69"/>
      <c r="E1172" s="76">
        <v>0</v>
      </c>
      <c r="F1172" s="69" t="s">
        <v>2960</v>
      </c>
      <c r="G1172" s="132" t="s">
        <v>2961</v>
      </c>
      <c r="H1172" s="15">
        <v>9013000211</v>
      </c>
      <c r="I1172" s="92" t="s">
        <v>593</v>
      </c>
      <c r="J1172" s="92">
        <v>1202020101</v>
      </c>
      <c r="K1172" s="41"/>
      <c r="L1172" s="95" t="s">
        <v>3731</v>
      </c>
      <c r="M1172" s="69" t="s">
        <v>3732</v>
      </c>
      <c r="N1172" s="69"/>
      <c r="O1172" s="94">
        <v>1</v>
      </c>
      <c r="P1172" s="69" t="s">
        <v>50</v>
      </c>
      <c r="Q1172" s="69" t="s">
        <v>51</v>
      </c>
      <c r="R1172" s="69"/>
      <c r="S1172" s="46">
        <v>40911</v>
      </c>
      <c r="T1172" s="48">
        <v>43191</v>
      </c>
      <c r="U1172" s="69"/>
      <c r="V1172" s="69"/>
      <c r="W1172" s="69"/>
      <c r="X1172" s="69"/>
      <c r="Y1172" s="69" t="s">
        <v>4125</v>
      </c>
      <c r="Z1172" s="43">
        <v>12000</v>
      </c>
      <c r="AA1172" s="43" t="s">
        <v>52</v>
      </c>
      <c r="AB1172" s="43" t="s">
        <v>53</v>
      </c>
      <c r="AC1172" s="43">
        <v>183</v>
      </c>
      <c r="AD1172" s="141">
        <v>0</v>
      </c>
      <c r="AE1172" s="142">
        <v>6</v>
      </c>
      <c r="AF1172" s="142"/>
      <c r="AG1172" s="69" t="str">
        <f t="shared" si="668"/>
        <v>0 years 183 days</v>
      </c>
      <c r="AH1172" s="69">
        <v>0</v>
      </c>
      <c r="AI1172" s="69">
        <v>183</v>
      </c>
      <c r="AJ1172" s="69">
        <v>0</v>
      </c>
      <c r="AK1172" s="69">
        <v>0</v>
      </c>
      <c r="AL1172" s="60">
        <v>12000</v>
      </c>
      <c r="AM1172" s="60">
        <f t="shared" si="669"/>
        <v>12000</v>
      </c>
      <c r="AN1172" s="59">
        <v>12000</v>
      </c>
      <c r="AO1172" s="148">
        <f t="shared" si="670"/>
        <v>-12000</v>
      </c>
      <c r="AP1172" s="58">
        <v>0</v>
      </c>
      <c r="AQ1172" s="143">
        <f t="shared" si="671"/>
        <v>0</v>
      </c>
    </row>
    <row r="1173" spans="1:43" x14ac:dyDescent="0.35">
      <c r="A1173" s="69" t="s">
        <v>43</v>
      </c>
      <c r="B1173" s="15" t="s">
        <v>3733</v>
      </c>
      <c r="C1173" s="15"/>
      <c r="D1173" s="69"/>
      <c r="E1173" s="76">
        <v>0</v>
      </c>
      <c r="F1173" s="69" t="s">
        <v>2960</v>
      </c>
      <c r="G1173" s="132" t="s">
        <v>2961</v>
      </c>
      <c r="H1173" s="15">
        <v>9013000211</v>
      </c>
      <c r="I1173" s="92" t="s">
        <v>593</v>
      </c>
      <c r="J1173" s="92">
        <v>1202020101</v>
      </c>
      <c r="K1173" s="41"/>
      <c r="L1173" s="95" t="s">
        <v>3734</v>
      </c>
      <c r="M1173" s="69" t="s">
        <v>3735</v>
      </c>
      <c r="N1173" s="69"/>
      <c r="O1173" s="94">
        <v>1</v>
      </c>
      <c r="P1173" s="69" t="s">
        <v>50</v>
      </c>
      <c r="Q1173" s="69" t="s">
        <v>51</v>
      </c>
      <c r="R1173" s="69"/>
      <c r="S1173" s="46">
        <v>40931</v>
      </c>
      <c r="T1173" s="48">
        <v>43191</v>
      </c>
      <c r="U1173" s="69"/>
      <c r="V1173" s="69"/>
      <c r="W1173" s="69"/>
      <c r="X1173" s="69"/>
      <c r="Y1173" s="69" t="s">
        <v>4125</v>
      </c>
      <c r="Z1173" s="43">
        <v>14500</v>
      </c>
      <c r="AA1173" s="43" t="s">
        <v>52</v>
      </c>
      <c r="AB1173" s="43" t="s">
        <v>53</v>
      </c>
      <c r="AC1173" s="43">
        <v>183</v>
      </c>
      <c r="AD1173" s="141">
        <v>0</v>
      </c>
      <c r="AE1173" s="142">
        <v>6</v>
      </c>
      <c r="AF1173" s="142"/>
      <c r="AG1173" s="69" t="str">
        <f t="shared" si="668"/>
        <v>0 years 183 days</v>
      </c>
      <c r="AH1173" s="69">
        <v>0</v>
      </c>
      <c r="AI1173" s="69">
        <v>183</v>
      </c>
      <c r="AJ1173" s="69">
        <v>0</v>
      </c>
      <c r="AK1173" s="69">
        <v>0</v>
      </c>
      <c r="AL1173" s="60">
        <v>14500</v>
      </c>
      <c r="AM1173" s="60">
        <f t="shared" si="669"/>
        <v>14500</v>
      </c>
      <c r="AN1173" s="59">
        <v>14500</v>
      </c>
      <c r="AO1173" s="148">
        <f t="shared" si="670"/>
        <v>-14500</v>
      </c>
      <c r="AP1173" s="58">
        <v>0</v>
      </c>
      <c r="AQ1173" s="143">
        <f t="shared" si="671"/>
        <v>0</v>
      </c>
    </row>
    <row r="1174" spans="1:43" x14ac:dyDescent="0.35">
      <c r="A1174" s="69" t="s">
        <v>43</v>
      </c>
      <c r="B1174" s="15" t="s">
        <v>3736</v>
      </c>
      <c r="C1174" s="15"/>
      <c r="D1174" s="69"/>
      <c r="E1174" s="76">
        <v>0</v>
      </c>
      <c r="F1174" s="69" t="s">
        <v>2960</v>
      </c>
      <c r="G1174" s="132" t="s">
        <v>2961</v>
      </c>
      <c r="H1174" s="15">
        <v>9013000211</v>
      </c>
      <c r="I1174" s="92" t="s">
        <v>593</v>
      </c>
      <c r="J1174" s="92">
        <v>1202020101</v>
      </c>
      <c r="K1174" s="41"/>
      <c r="L1174" s="95" t="s">
        <v>3737</v>
      </c>
      <c r="M1174" s="69" t="s">
        <v>3738</v>
      </c>
      <c r="N1174" s="69"/>
      <c r="O1174" s="94">
        <v>1</v>
      </c>
      <c r="P1174" s="69" t="s">
        <v>50</v>
      </c>
      <c r="Q1174" s="69" t="s">
        <v>51</v>
      </c>
      <c r="R1174" s="69"/>
      <c r="S1174" s="46">
        <v>41000</v>
      </c>
      <c r="T1174" s="48">
        <v>43191</v>
      </c>
      <c r="U1174" s="69"/>
      <c r="V1174" s="69"/>
      <c r="W1174" s="69"/>
      <c r="X1174" s="69"/>
      <c r="Y1174" s="69" t="s">
        <v>4125</v>
      </c>
      <c r="Z1174" s="43">
        <v>25000</v>
      </c>
      <c r="AA1174" s="43" t="s">
        <v>52</v>
      </c>
      <c r="AB1174" s="43" t="s">
        <v>53</v>
      </c>
      <c r="AC1174" s="43">
        <v>183</v>
      </c>
      <c r="AD1174" s="141">
        <v>0</v>
      </c>
      <c r="AE1174" s="142">
        <v>6</v>
      </c>
      <c r="AF1174" s="142"/>
      <c r="AG1174" s="69" t="str">
        <f t="shared" si="668"/>
        <v>0 years 183 days</v>
      </c>
      <c r="AH1174" s="69">
        <v>0</v>
      </c>
      <c r="AI1174" s="69">
        <v>183</v>
      </c>
      <c r="AJ1174" s="69">
        <v>0</v>
      </c>
      <c r="AK1174" s="69">
        <v>0</v>
      </c>
      <c r="AL1174" s="60">
        <v>25000</v>
      </c>
      <c r="AM1174" s="60">
        <f t="shared" si="669"/>
        <v>25000</v>
      </c>
      <c r="AN1174" s="59">
        <v>25000</v>
      </c>
      <c r="AO1174" s="148">
        <f t="shared" si="670"/>
        <v>-25000</v>
      </c>
      <c r="AP1174" s="58">
        <v>0</v>
      </c>
      <c r="AQ1174" s="143">
        <f t="shared" si="671"/>
        <v>0</v>
      </c>
    </row>
    <row r="1175" spans="1:43" x14ac:dyDescent="0.35">
      <c r="A1175" s="69" t="s">
        <v>43</v>
      </c>
      <c r="B1175" s="15" t="s">
        <v>3739</v>
      </c>
      <c r="C1175" s="15"/>
      <c r="D1175" s="69"/>
      <c r="E1175" s="76">
        <v>0</v>
      </c>
      <c r="F1175" s="69" t="s">
        <v>2960</v>
      </c>
      <c r="G1175" s="132" t="s">
        <v>2961</v>
      </c>
      <c r="H1175" s="15">
        <v>9013000211</v>
      </c>
      <c r="I1175" s="92" t="s">
        <v>593</v>
      </c>
      <c r="J1175" s="92">
        <v>1202020101</v>
      </c>
      <c r="K1175" s="41"/>
      <c r="L1175" s="95" t="s">
        <v>3740</v>
      </c>
      <c r="M1175" s="69" t="s">
        <v>3741</v>
      </c>
      <c r="N1175" s="69"/>
      <c r="O1175" s="94">
        <v>1</v>
      </c>
      <c r="P1175" s="69" t="s">
        <v>50</v>
      </c>
      <c r="Q1175" s="69" t="s">
        <v>51</v>
      </c>
      <c r="R1175" s="69"/>
      <c r="S1175" s="46">
        <v>41002</v>
      </c>
      <c r="T1175" s="48">
        <v>43191</v>
      </c>
      <c r="U1175" s="69"/>
      <c r="V1175" s="69"/>
      <c r="W1175" s="69"/>
      <c r="X1175" s="69"/>
      <c r="Y1175" s="69" t="s">
        <v>4125</v>
      </c>
      <c r="Z1175" s="43">
        <v>6250</v>
      </c>
      <c r="AA1175" s="43" t="s">
        <v>52</v>
      </c>
      <c r="AB1175" s="43" t="s">
        <v>53</v>
      </c>
      <c r="AC1175" s="43">
        <v>183</v>
      </c>
      <c r="AD1175" s="141">
        <v>0</v>
      </c>
      <c r="AE1175" s="142">
        <v>6</v>
      </c>
      <c r="AF1175" s="142"/>
      <c r="AG1175" s="69" t="str">
        <f t="shared" si="668"/>
        <v>0 years 183 days</v>
      </c>
      <c r="AH1175" s="69">
        <v>0</v>
      </c>
      <c r="AI1175" s="69">
        <v>183</v>
      </c>
      <c r="AJ1175" s="69">
        <v>0</v>
      </c>
      <c r="AK1175" s="69">
        <v>0</v>
      </c>
      <c r="AL1175" s="60">
        <v>6250</v>
      </c>
      <c r="AM1175" s="60">
        <f t="shared" si="669"/>
        <v>6250</v>
      </c>
      <c r="AN1175" s="59">
        <v>6250</v>
      </c>
      <c r="AO1175" s="148">
        <f t="shared" si="670"/>
        <v>-6250</v>
      </c>
      <c r="AP1175" s="58">
        <v>0</v>
      </c>
      <c r="AQ1175" s="143">
        <f t="shared" si="671"/>
        <v>0</v>
      </c>
    </row>
    <row r="1176" spans="1:43" x14ac:dyDescent="0.35">
      <c r="A1176" s="69" t="s">
        <v>43</v>
      </c>
      <c r="B1176" s="15" t="s">
        <v>3742</v>
      </c>
      <c r="C1176" s="15"/>
      <c r="D1176" s="69"/>
      <c r="E1176" s="76">
        <v>0</v>
      </c>
      <c r="F1176" s="69" t="s">
        <v>2960</v>
      </c>
      <c r="G1176" s="132" t="s">
        <v>2961</v>
      </c>
      <c r="H1176" s="15">
        <v>9013000211</v>
      </c>
      <c r="I1176" s="92" t="s">
        <v>593</v>
      </c>
      <c r="J1176" s="92">
        <v>1202020101</v>
      </c>
      <c r="K1176" s="41"/>
      <c r="L1176" s="95" t="s">
        <v>3743</v>
      </c>
      <c r="M1176" s="69" t="s">
        <v>3744</v>
      </c>
      <c r="N1176" s="69"/>
      <c r="O1176" s="94">
        <v>1</v>
      </c>
      <c r="P1176" s="69" t="s">
        <v>50</v>
      </c>
      <c r="Q1176" s="69" t="s">
        <v>51</v>
      </c>
      <c r="R1176" s="69"/>
      <c r="S1176" s="46">
        <v>41023</v>
      </c>
      <c r="T1176" s="48">
        <v>43191</v>
      </c>
      <c r="U1176" s="69"/>
      <c r="V1176" s="69"/>
      <c r="W1176" s="69"/>
      <c r="X1176" s="69"/>
      <c r="Y1176" s="69" t="s">
        <v>4125</v>
      </c>
      <c r="Z1176" s="43">
        <v>32000</v>
      </c>
      <c r="AA1176" s="43" t="s">
        <v>52</v>
      </c>
      <c r="AB1176" s="43" t="s">
        <v>53</v>
      </c>
      <c r="AC1176" s="43">
        <v>183</v>
      </c>
      <c r="AD1176" s="141">
        <v>0</v>
      </c>
      <c r="AE1176" s="142">
        <v>6</v>
      </c>
      <c r="AF1176" s="142"/>
      <c r="AG1176" s="69" t="str">
        <f t="shared" si="668"/>
        <v>0 years 183 days</v>
      </c>
      <c r="AH1176" s="69">
        <v>0</v>
      </c>
      <c r="AI1176" s="69">
        <v>183</v>
      </c>
      <c r="AJ1176" s="69">
        <v>0</v>
      </c>
      <c r="AK1176" s="69">
        <v>0</v>
      </c>
      <c r="AL1176" s="60">
        <v>32000</v>
      </c>
      <c r="AM1176" s="60">
        <f t="shared" si="669"/>
        <v>32000</v>
      </c>
      <c r="AN1176" s="59">
        <v>32000</v>
      </c>
      <c r="AO1176" s="148">
        <f t="shared" si="670"/>
        <v>-32000</v>
      </c>
      <c r="AP1176" s="58">
        <v>0</v>
      </c>
      <c r="AQ1176" s="143">
        <f t="shared" si="671"/>
        <v>0</v>
      </c>
    </row>
    <row r="1177" spans="1:43" x14ac:dyDescent="0.35">
      <c r="A1177" s="69" t="s">
        <v>43</v>
      </c>
      <c r="B1177" s="15" t="s">
        <v>3745</v>
      </c>
      <c r="C1177" s="15"/>
      <c r="D1177" s="69"/>
      <c r="E1177" s="76">
        <v>0</v>
      </c>
      <c r="F1177" s="69" t="s">
        <v>2960</v>
      </c>
      <c r="G1177" s="132" t="s">
        <v>2961</v>
      </c>
      <c r="H1177" s="15">
        <v>9013000211</v>
      </c>
      <c r="I1177" s="92" t="s">
        <v>593</v>
      </c>
      <c r="J1177" s="92">
        <v>1202020101</v>
      </c>
      <c r="K1177" s="41"/>
      <c r="L1177" s="95" t="s">
        <v>3746</v>
      </c>
      <c r="M1177" s="69" t="s">
        <v>3747</v>
      </c>
      <c r="N1177" s="69"/>
      <c r="O1177" s="94">
        <v>1</v>
      </c>
      <c r="P1177" s="69" t="s">
        <v>50</v>
      </c>
      <c r="Q1177" s="69" t="s">
        <v>51</v>
      </c>
      <c r="R1177" s="69"/>
      <c r="S1177" s="46">
        <v>41047</v>
      </c>
      <c r="T1177" s="48">
        <v>43191</v>
      </c>
      <c r="U1177" s="69"/>
      <c r="V1177" s="69"/>
      <c r="W1177" s="69"/>
      <c r="X1177" s="69"/>
      <c r="Y1177" s="69" t="s">
        <v>4125</v>
      </c>
      <c r="Z1177" s="43">
        <v>9750</v>
      </c>
      <c r="AA1177" s="43" t="s">
        <v>52</v>
      </c>
      <c r="AB1177" s="43" t="s">
        <v>53</v>
      </c>
      <c r="AC1177" s="43">
        <v>183</v>
      </c>
      <c r="AD1177" s="141">
        <v>0</v>
      </c>
      <c r="AE1177" s="142">
        <v>6</v>
      </c>
      <c r="AF1177" s="142"/>
      <c r="AG1177" s="69" t="str">
        <f t="shared" si="668"/>
        <v>0 years 183 days</v>
      </c>
      <c r="AH1177" s="69">
        <v>0</v>
      </c>
      <c r="AI1177" s="69">
        <v>183</v>
      </c>
      <c r="AJ1177" s="69">
        <v>0</v>
      </c>
      <c r="AK1177" s="69">
        <v>0</v>
      </c>
      <c r="AL1177" s="60">
        <v>9750</v>
      </c>
      <c r="AM1177" s="60">
        <f t="shared" si="669"/>
        <v>9750</v>
      </c>
      <c r="AN1177" s="59">
        <v>9750</v>
      </c>
      <c r="AO1177" s="148">
        <f t="shared" si="670"/>
        <v>-9750</v>
      </c>
      <c r="AP1177" s="58">
        <v>0</v>
      </c>
      <c r="AQ1177" s="143">
        <f t="shared" si="671"/>
        <v>0</v>
      </c>
    </row>
    <row r="1178" spans="1:43" x14ac:dyDescent="0.35">
      <c r="A1178" s="69" t="s">
        <v>43</v>
      </c>
      <c r="B1178" s="15" t="s">
        <v>3748</v>
      </c>
      <c r="C1178" s="15"/>
      <c r="D1178" s="69"/>
      <c r="E1178" s="76">
        <v>0</v>
      </c>
      <c r="F1178" s="69" t="s">
        <v>2960</v>
      </c>
      <c r="G1178" s="132" t="s">
        <v>2961</v>
      </c>
      <c r="H1178" s="15">
        <v>9013000211</v>
      </c>
      <c r="I1178" s="92" t="s">
        <v>593</v>
      </c>
      <c r="J1178" s="92">
        <v>1202020101</v>
      </c>
      <c r="K1178" s="41"/>
      <c r="L1178" s="95" t="s">
        <v>3749</v>
      </c>
      <c r="M1178" s="69" t="s">
        <v>3750</v>
      </c>
      <c r="N1178" s="69"/>
      <c r="O1178" s="94">
        <v>1</v>
      </c>
      <c r="P1178" s="69" t="s">
        <v>50</v>
      </c>
      <c r="Q1178" s="69" t="s">
        <v>51</v>
      </c>
      <c r="R1178" s="69"/>
      <c r="S1178" s="46">
        <v>41071</v>
      </c>
      <c r="T1178" s="48">
        <v>43191</v>
      </c>
      <c r="U1178" s="69"/>
      <c r="V1178" s="69"/>
      <c r="W1178" s="69"/>
      <c r="X1178" s="69"/>
      <c r="Y1178" s="69" t="s">
        <v>4125</v>
      </c>
      <c r="Z1178" s="43">
        <v>32000</v>
      </c>
      <c r="AA1178" s="43" t="s">
        <v>52</v>
      </c>
      <c r="AB1178" s="43" t="s">
        <v>53</v>
      </c>
      <c r="AC1178" s="43">
        <v>183</v>
      </c>
      <c r="AD1178" s="141">
        <v>0</v>
      </c>
      <c r="AE1178" s="142">
        <v>6</v>
      </c>
      <c r="AF1178" s="142"/>
      <c r="AG1178" s="69" t="str">
        <f t="shared" si="668"/>
        <v>0 years 183 days</v>
      </c>
      <c r="AH1178" s="69">
        <v>0</v>
      </c>
      <c r="AI1178" s="69">
        <v>183</v>
      </c>
      <c r="AJ1178" s="69">
        <v>0</v>
      </c>
      <c r="AK1178" s="69">
        <v>0</v>
      </c>
      <c r="AL1178" s="60">
        <v>32000</v>
      </c>
      <c r="AM1178" s="60">
        <f t="shared" si="669"/>
        <v>32000</v>
      </c>
      <c r="AN1178" s="59">
        <v>32000</v>
      </c>
      <c r="AO1178" s="148">
        <f t="shared" si="670"/>
        <v>-32000</v>
      </c>
      <c r="AP1178" s="58">
        <v>0</v>
      </c>
      <c r="AQ1178" s="143">
        <f t="shared" si="671"/>
        <v>0</v>
      </c>
    </row>
    <row r="1179" spans="1:43" x14ac:dyDescent="0.35">
      <c r="A1179" s="69" t="s">
        <v>43</v>
      </c>
      <c r="B1179" s="15" t="s">
        <v>3751</v>
      </c>
      <c r="C1179" s="15"/>
      <c r="D1179" s="69"/>
      <c r="E1179" s="76">
        <v>0</v>
      </c>
      <c r="F1179" s="69" t="s">
        <v>2960</v>
      </c>
      <c r="G1179" s="132" t="s">
        <v>2961</v>
      </c>
      <c r="H1179" s="15">
        <v>9013000211</v>
      </c>
      <c r="I1179" s="92" t="s">
        <v>593</v>
      </c>
      <c r="J1179" s="92">
        <v>1202020101</v>
      </c>
      <c r="K1179" s="41"/>
      <c r="L1179" s="95" t="s">
        <v>3752</v>
      </c>
      <c r="M1179" s="69" t="s">
        <v>3753</v>
      </c>
      <c r="N1179" s="69"/>
      <c r="O1179" s="94">
        <v>1</v>
      </c>
      <c r="P1179" s="69" t="s">
        <v>50</v>
      </c>
      <c r="Q1179" s="69" t="s">
        <v>51</v>
      </c>
      <c r="R1179" s="69"/>
      <c r="S1179" s="46">
        <v>41111</v>
      </c>
      <c r="T1179" s="48">
        <v>43191</v>
      </c>
      <c r="U1179" s="69"/>
      <c r="V1179" s="69"/>
      <c r="W1179" s="69"/>
      <c r="X1179" s="69"/>
      <c r="Y1179" s="69" t="s">
        <v>4125</v>
      </c>
      <c r="Z1179" s="43">
        <v>14000</v>
      </c>
      <c r="AA1179" s="43" t="s">
        <v>52</v>
      </c>
      <c r="AB1179" s="43" t="s">
        <v>53</v>
      </c>
      <c r="AC1179" s="43">
        <v>183</v>
      </c>
      <c r="AD1179" s="141">
        <v>0</v>
      </c>
      <c r="AE1179" s="142">
        <v>6</v>
      </c>
      <c r="AF1179" s="142"/>
      <c r="AG1179" s="69" t="str">
        <f t="shared" si="668"/>
        <v>0 years 183 days</v>
      </c>
      <c r="AH1179" s="69">
        <v>0</v>
      </c>
      <c r="AI1179" s="69">
        <v>183</v>
      </c>
      <c r="AJ1179" s="69">
        <v>0</v>
      </c>
      <c r="AK1179" s="69">
        <v>0</v>
      </c>
      <c r="AL1179" s="60">
        <v>14000</v>
      </c>
      <c r="AM1179" s="60">
        <f t="shared" si="669"/>
        <v>14000</v>
      </c>
      <c r="AN1179" s="59">
        <v>14000</v>
      </c>
      <c r="AO1179" s="148">
        <f t="shared" si="670"/>
        <v>-14000</v>
      </c>
      <c r="AP1179" s="58">
        <v>0</v>
      </c>
      <c r="AQ1179" s="143">
        <f t="shared" si="671"/>
        <v>0</v>
      </c>
    </row>
    <row r="1180" spans="1:43" x14ac:dyDescent="0.35">
      <c r="A1180" s="69" t="s">
        <v>43</v>
      </c>
      <c r="B1180" s="15" t="s">
        <v>3754</v>
      </c>
      <c r="C1180" s="15"/>
      <c r="D1180" s="69"/>
      <c r="E1180" s="76">
        <v>0</v>
      </c>
      <c r="F1180" s="69" t="s">
        <v>2960</v>
      </c>
      <c r="G1180" s="132" t="s">
        <v>2961</v>
      </c>
      <c r="H1180" s="15">
        <v>9013000211</v>
      </c>
      <c r="I1180" s="92" t="s">
        <v>593</v>
      </c>
      <c r="J1180" s="92">
        <v>1202020101</v>
      </c>
      <c r="K1180" s="41"/>
      <c r="L1180" s="95" t="s">
        <v>3755</v>
      </c>
      <c r="M1180" s="69" t="s">
        <v>3756</v>
      </c>
      <c r="N1180" s="69"/>
      <c r="O1180" s="94">
        <v>1</v>
      </c>
      <c r="P1180" s="69" t="s">
        <v>50</v>
      </c>
      <c r="Q1180" s="69" t="s">
        <v>51</v>
      </c>
      <c r="R1180" s="69"/>
      <c r="S1180" s="46">
        <v>41158</v>
      </c>
      <c r="T1180" s="48">
        <v>43191</v>
      </c>
      <c r="U1180" s="69"/>
      <c r="V1180" s="69"/>
      <c r="W1180" s="69"/>
      <c r="X1180" s="69"/>
      <c r="Y1180" s="69" t="s">
        <v>4125</v>
      </c>
      <c r="Z1180" s="43">
        <v>2300</v>
      </c>
      <c r="AA1180" s="43" t="s">
        <v>52</v>
      </c>
      <c r="AB1180" s="43" t="s">
        <v>53</v>
      </c>
      <c r="AC1180" s="43">
        <v>183</v>
      </c>
      <c r="AD1180" s="141">
        <v>0</v>
      </c>
      <c r="AE1180" s="142">
        <v>6</v>
      </c>
      <c r="AF1180" s="142"/>
      <c r="AG1180" s="69" t="str">
        <f t="shared" si="668"/>
        <v>0 years 183 days</v>
      </c>
      <c r="AH1180" s="69">
        <v>0</v>
      </c>
      <c r="AI1180" s="69">
        <v>183</v>
      </c>
      <c r="AJ1180" s="69">
        <v>0</v>
      </c>
      <c r="AK1180" s="69">
        <v>0</v>
      </c>
      <c r="AL1180" s="60">
        <v>2300</v>
      </c>
      <c r="AM1180" s="60">
        <f t="shared" si="669"/>
        <v>2300</v>
      </c>
      <c r="AN1180" s="59">
        <v>2300</v>
      </c>
      <c r="AO1180" s="148">
        <f t="shared" si="670"/>
        <v>-2300</v>
      </c>
      <c r="AP1180" s="58">
        <v>0</v>
      </c>
      <c r="AQ1180" s="143">
        <f t="shared" si="671"/>
        <v>0</v>
      </c>
    </row>
    <row r="1181" spans="1:43" x14ac:dyDescent="0.35">
      <c r="A1181" s="69" t="s">
        <v>43</v>
      </c>
      <c r="B1181" s="15" t="s">
        <v>3757</v>
      </c>
      <c r="C1181" s="15"/>
      <c r="D1181" s="69"/>
      <c r="E1181" s="76">
        <v>0</v>
      </c>
      <c r="F1181" s="69" t="s">
        <v>2960</v>
      </c>
      <c r="G1181" s="132" t="s">
        <v>2961</v>
      </c>
      <c r="H1181" s="15">
        <v>9013000211</v>
      </c>
      <c r="I1181" s="92" t="s">
        <v>593</v>
      </c>
      <c r="J1181" s="92">
        <v>1202020101</v>
      </c>
      <c r="K1181" s="41"/>
      <c r="L1181" s="95" t="s">
        <v>3758</v>
      </c>
      <c r="M1181" s="69" t="s">
        <v>3759</v>
      </c>
      <c r="N1181" s="69"/>
      <c r="O1181" s="94">
        <v>1</v>
      </c>
      <c r="P1181" s="69" t="s">
        <v>50</v>
      </c>
      <c r="Q1181" s="69" t="s">
        <v>51</v>
      </c>
      <c r="R1181" s="69"/>
      <c r="S1181" s="46">
        <v>41158</v>
      </c>
      <c r="T1181" s="48">
        <v>43191</v>
      </c>
      <c r="U1181" s="69"/>
      <c r="V1181" s="69"/>
      <c r="W1181" s="69"/>
      <c r="X1181" s="69"/>
      <c r="Y1181" s="69" t="s">
        <v>4125</v>
      </c>
      <c r="Z1181" s="43">
        <v>23000</v>
      </c>
      <c r="AA1181" s="43" t="s">
        <v>52</v>
      </c>
      <c r="AB1181" s="43" t="s">
        <v>53</v>
      </c>
      <c r="AC1181" s="43">
        <v>183</v>
      </c>
      <c r="AD1181" s="141">
        <v>0</v>
      </c>
      <c r="AE1181" s="142">
        <v>6</v>
      </c>
      <c r="AF1181" s="142"/>
      <c r="AG1181" s="69" t="str">
        <f t="shared" si="668"/>
        <v>0 years 183 days</v>
      </c>
      <c r="AH1181" s="69">
        <v>0</v>
      </c>
      <c r="AI1181" s="69">
        <v>183</v>
      </c>
      <c r="AJ1181" s="69">
        <v>0</v>
      </c>
      <c r="AK1181" s="69">
        <v>0</v>
      </c>
      <c r="AL1181" s="60">
        <v>23000</v>
      </c>
      <c r="AM1181" s="60">
        <f t="shared" si="669"/>
        <v>23000</v>
      </c>
      <c r="AN1181" s="59">
        <v>23000</v>
      </c>
      <c r="AO1181" s="148">
        <f t="shared" si="670"/>
        <v>-23000</v>
      </c>
      <c r="AP1181" s="58">
        <v>0</v>
      </c>
      <c r="AQ1181" s="143">
        <f t="shared" si="671"/>
        <v>0</v>
      </c>
    </row>
    <row r="1182" spans="1:43" x14ac:dyDescent="0.35">
      <c r="A1182" s="69" t="s">
        <v>43</v>
      </c>
      <c r="B1182" s="15" t="s">
        <v>3760</v>
      </c>
      <c r="C1182" s="15"/>
      <c r="D1182" s="69"/>
      <c r="E1182" s="76">
        <v>0</v>
      </c>
      <c r="F1182" s="69" t="s">
        <v>2960</v>
      </c>
      <c r="G1182" s="132" t="s">
        <v>2961</v>
      </c>
      <c r="H1182" s="15">
        <v>9013000211</v>
      </c>
      <c r="I1182" s="92" t="s">
        <v>593</v>
      </c>
      <c r="J1182" s="92">
        <v>1202020101</v>
      </c>
      <c r="K1182" s="41"/>
      <c r="L1182" s="95" t="s">
        <v>3761</v>
      </c>
      <c r="M1182" s="69" t="s">
        <v>3762</v>
      </c>
      <c r="N1182" s="69"/>
      <c r="O1182" s="94">
        <v>1</v>
      </c>
      <c r="P1182" s="69" t="s">
        <v>50</v>
      </c>
      <c r="Q1182" s="69" t="s">
        <v>51</v>
      </c>
      <c r="R1182" s="69"/>
      <c r="S1182" s="46">
        <v>41198</v>
      </c>
      <c r="T1182" s="48">
        <v>43191</v>
      </c>
      <c r="U1182" s="69"/>
      <c r="V1182" s="69"/>
      <c r="W1182" s="69"/>
      <c r="X1182" s="69"/>
      <c r="Y1182" s="69" t="s">
        <v>4125</v>
      </c>
      <c r="Z1182" s="43">
        <v>75000</v>
      </c>
      <c r="AA1182" s="43" t="s">
        <v>52</v>
      </c>
      <c r="AB1182" s="43" t="s">
        <v>53</v>
      </c>
      <c r="AC1182" s="43">
        <v>183</v>
      </c>
      <c r="AD1182" s="141">
        <v>0</v>
      </c>
      <c r="AE1182" s="142">
        <v>6</v>
      </c>
      <c r="AF1182" s="142"/>
      <c r="AG1182" s="69" t="str">
        <f t="shared" si="668"/>
        <v>0 years 183 days</v>
      </c>
      <c r="AH1182" s="69">
        <v>0</v>
      </c>
      <c r="AI1182" s="69">
        <v>183</v>
      </c>
      <c r="AJ1182" s="69">
        <v>0</v>
      </c>
      <c r="AK1182" s="69">
        <v>0</v>
      </c>
      <c r="AL1182" s="60">
        <v>75000</v>
      </c>
      <c r="AM1182" s="60">
        <f t="shared" si="669"/>
        <v>75000</v>
      </c>
      <c r="AN1182" s="59">
        <v>75000</v>
      </c>
      <c r="AO1182" s="148">
        <f t="shared" si="670"/>
        <v>-75000</v>
      </c>
      <c r="AP1182" s="58">
        <v>0</v>
      </c>
      <c r="AQ1182" s="143">
        <f t="shared" si="671"/>
        <v>0</v>
      </c>
    </row>
    <row r="1183" spans="1:43" x14ac:dyDescent="0.35">
      <c r="A1183" s="69" t="s">
        <v>43</v>
      </c>
      <c r="B1183" s="15" t="s">
        <v>3763</v>
      </c>
      <c r="C1183" s="15"/>
      <c r="D1183" s="69"/>
      <c r="E1183" s="76">
        <v>0</v>
      </c>
      <c r="F1183" s="69" t="s">
        <v>2960</v>
      </c>
      <c r="G1183" s="132" t="s">
        <v>2961</v>
      </c>
      <c r="H1183" s="15">
        <v>9013000211</v>
      </c>
      <c r="I1183" s="92" t="s">
        <v>593</v>
      </c>
      <c r="J1183" s="92">
        <v>1202020101</v>
      </c>
      <c r="K1183" s="41"/>
      <c r="L1183" s="95" t="s">
        <v>3764</v>
      </c>
      <c r="M1183" s="69" t="s">
        <v>3765</v>
      </c>
      <c r="N1183" s="69"/>
      <c r="O1183" s="94">
        <v>1</v>
      </c>
      <c r="P1183" s="69" t="s">
        <v>50</v>
      </c>
      <c r="Q1183" s="69" t="s">
        <v>51</v>
      </c>
      <c r="R1183" s="69"/>
      <c r="S1183" s="46">
        <v>41273</v>
      </c>
      <c r="T1183" s="48">
        <v>43191</v>
      </c>
      <c r="U1183" s="69"/>
      <c r="V1183" s="69"/>
      <c r="W1183" s="69"/>
      <c r="X1183" s="69"/>
      <c r="Y1183" s="69" t="s">
        <v>4125</v>
      </c>
      <c r="Z1183" s="43">
        <v>65000</v>
      </c>
      <c r="AA1183" s="43" t="s">
        <v>52</v>
      </c>
      <c r="AB1183" s="43" t="s">
        <v>53</v>
      </c>
      <c r="AC1183" s="43">
        <v>183</v>
      </c>
      <c r="AD1183" s="141">
        <v>0</v>
      </c>
      <c r="AE1183" s="142">
        <v>6</v>
      </c>
      <c r="AF1183" s="142"/>
      <c r="AG1183" s="69" t="str">
        <f t="shared" si="668"/>
        <v>0 years 183 days</v>
      </c>
      <c r="AH1183" s="69">
        <v>0</v>
      </c>
      <c r="AI1183" s="69">
        <v>183</v>
      </c>
      <c r="AJ1183" s="69">
        <v>0</v>
      </c>
      <c r="AK1183" s="69">
        <v>0</v>
      </c>
      <c r="AL1183" s="60">
        <v>65000</v>
      </c>
      <c r="AM1183" s="60">
        <f t="shared" si="669"/>
        <v>65000</v>
      </c>
      <c r="AN1183" s="59">
        <v>65000</v>
      </c>
      <c r="AO1183" s="148">
        <f t="shared" si="670"/>
        <v>-65000</v>
      </c>
      <c r="AP1183" s="58">
        <v>0</v>
      </c>
      <c r="AQ1183" s="143">
        <f t="shared" si="671"/>
        <v>0</v>
      </c>
    </row>
    <row r="1184" spans="1:43" x14ac:dyDescent="0.35">
      <c r="A1184" s="69" t="s">
        <v>43</v>
      </c>
      <c r="B1184" s="15" t="s">
        <v>3766</v>
      </c>
      <c r="C1184" s="15"/>
      <c r="D1184" s="69"/>
      <c r="E1184" s="76">
        <v>0</v>
      </c>
      <c r="F1184" s="69" t="s">
        <v>2960</v>
      </c>
      <c r="G1184" s="132" t="s">
        <v>2961</v>
      </c>
      <c r="H1184" s="15">
        <v>9013000211</v>
      </c>
      <c r="I1184" s="92" t="s">
        <v>593</v>
      </c>
      <c r="J1184" s="92">
        <v>1202020101</v>
      </c>
      <c r="K1184" s="41"/>
      <c r="L1184" s="95" t="s">
        <v>3767</v>
      </c>
      <c r="M1184" s="69" t="s">
        <v>3768</v>
      </c>
      <c r="N1184" s="69"/>
      <c r="O1184" s="94">
        <v>1</v>
      </c>
      <c r="P1184" s="69" t="s">
        <v>50</v>
      </c>
      <c r="Q1184" s="69" t="s">
        <v>51</v>
      </c>
      <c r="R1184" s="69"/>
      <c r="S1184" s="46">
        <v>41305</v>
      </c>
      <c r="T1184" s="48">
        <v>43191</v>
      </c>
      <c r="U1184" s="69"/>
      <c r="V1184" s="69"/>
      <c r="W1184" s="69"/>
      <c r="X1184" s="69"/>
      <c r="Y1184" s="69" t="s">
        <v>4125</v>
      </c>
      <c r="Z1184" s="43">
        <v>14000</v>
      </c>
      <c r="AA1184" s="43" t="s">
        <v>52</v>
      </c>
      <c r="AB1184" s="43" t="s">
        <v>53</v>
      </c>
      <c r="AC1184" s="43">
        <v>183</v>
      </c>
      <c r="AD1184" s="141">
        <v>0</v>
      </c>
      <c r="AE1184" s="142">
        <v>6</v>
      </c>
      <c r="AF1184" s="142"/>
      <c r="AG1184" s="69" t="str">
        <f t="shared" si="668"/>
        <v>0 years 183 days</v>
      </c>
      <c r="AH1184" s="69">
        <v>0</v>
      </c>
      <c r="AI1184" s="69">
        <v>183</v>
      </c>
      <c r="AJ1184" s="69">
        <v>0</v>
      </c>
      <c r="AK1184" s="69">
        <v>0</v>
      </c>
      <c r="AL1184" s="60">
        <v>14000</v>
      </c>
      <c r="AM1184" s="60">
        <f t="shared" si="669"/>
        <v>14000</v>
      </c>
      <c r="AN1184" s="59">
        <v>14000</v>
      </c>
      <c r="AO1184" s="148">
        <f t="shared" si="670"/>
        <v>-14000</v>
      </c>
      <c r="AP1184" s="58">
        <v>0</v>
      </c>
      <c r="AQ1184" s="143">
        <f t="shared" si="671"/>
        <v>0</v>
      </c>
    </row>
    <row r="1185" spans="1:43" x14ac:dyDescent="0.35">
      <c r="A1185" s="69" t="s">
        <v>43</v>
      </c>
      <c r="B1185" s="15" t="s">
        <v>3769</v>
      </c>
      <c r="C1185" s="15"/>
      <c r="D1185" s="69"/>
      <c r="E1185" s="76">
        <v>0</v>
      </c>
      <c r="F1185" s="69" t="s">
        <v>2960</v>
      </c>
      <c r="G1185" s="132" t="s">
        <v>2961</v>
      </c>
      <c r="H1185" s="15">
        <v>9013000211</v>
      </c>
      <c r="I1185" s="92" t="s">
        <v>593</v>
      </c>
      <c r="J1185" s="92">
        <v>1202020101</v>
      </c>
      <c r="K1185" s="41"/>
      <c r="L1185" s="95" t="s">
        <v>3770</v>
      </c>
      <c r="M1185" s="69" t="s">
        <v>3771</v>
      </c>
      <c r="N1185" s="69"/>
      <c r="O1185" s="94">
        <v>1</v>
      </c>
      <c r="P1185" s="69" t="s">
        <v>50</v>
      </c>
      <c r="Q1185" s="69" t="s">
        <v>51</v>
      </c>
      <c r="R1185" s="69"/>
      <c r="S1185" s="46">
        <v>41416</v>
      </c>
      <c r="T1185" s="48">
        <v>43191</v>
      </c>
      <c r="U1185" s="69"/>
      <c r="V1185" s="69"/>
      <c r="W1185" s="69"/>
      <c r="X1185" s="69"/>
      <c r="Y1185" s="69" t="s">
        <v>4125</v>
      </c>
      <c r="Z1185" s="43">
        <v>165000</v>
      </c>
      <c r="AA1185" s="43" t="s">
        <v>52</v>
      </c>
      <c r="AB1185" s="43" t="s">
        <v>53</v>
      </c>
      <c r="AC1185" s="43">
        <v>183</v>
      </c>
      <c r="AD1185" s="141">
        <v>0</v>
      </c>
      <c r="AE1185" s="142">
        <v>6</v>
      </c>
      <c r="AF1185" s="142"/>
      <c r="AG1185" s="69" t="str">
        <f t="shared" si="668"/>
        <v>0 years 183 days</v>
      </c>
      <c r="AH1185" s="69">
        <v>0</v>
      </c>
      <c r="AI1185" s="69">
        <v>183</v>
      </c>
      <c r="AJ1185" s="69">
        <v>0</v>
      </c>
      <c r="AK1185" s="69">
        <v>0</v>
      </c>
      <c r="AL1185" s="60">
        <v>165000</v>
      </c>
      <c r="AM1185" s="60">
        <f t="shared" si="669"/>
        <v>165000</v>
      </c>
      <c r="AN1185" s="59">
        <v>165000</v>
      </c>
      <c r="AO1185" s="148">
        <f t="shared" si="670"/>
        <v>-165000</v>
      </c>
      <c r="AP1185" s="58">
        <v>0</v>
      </c>
      <c r="AQ1185" s="143">
        <f t="shared" si="671"/>
        <v>0</v>
      </c>
    </row>
    <row r="1186" spans="1:43" x14ac:dyDescent="0.35">
      <c r="A1186" s="69" t="s">
        <v>43</v>
      </c>
      <c r="B1186" s="15" t="s">
        <v>3772</v>
      </c>
      <c r="C1186" s="15"/>
      <c r="D1186" s="69"/>
      <c r="E1186" s="76">
        <v>0</v>
      </c>
      <c r="F1186" s="69" t="s">
        <v>2960</v>
      </c>
      <c r="G1186" s="132" t="s">
        <v>2961</v>
      </c>
      <c r="H1186" s="15">
        <v>9013000211</v>
      </c>
      <c r="I1186" s="92" t="s">
        <v>593</v>
      </c>
      <c r="J1186" s="92">
        <v>1202020101</v>
      </c>
      <c r="K1186" s="41"/>
      <c r="L1186" s="95" t="s">
        <v>3773</v>
      </c>
      <c r="M1186" s="69" t="s">
        <v>3774</v>
      </c>
      <c r="N1186" s="69"/>
      <c r="O1186" s="94">
        <v>1</v>
      </c>
      <c r="P1186" s="69" t="s">
        <v>50</v>
      </c>
      <c r="Q1186" s="69" t="s">
        <v>51</v>
      </c>
      <c r="R1186" s="69"/>
      <c r="S1186" s="46">
        <v>41499</v>
      </c>
      <c r="T1186" s="48">
        <v>43191</v>
      </c>
      <c r="U1186" s="69"/>
      <c r="V1186" s="69"/>
      <c r="W1186" s="69"/>
      <c r="X1186" s="69"/>
      <c r="Y1186" s="69" t="s">
        <v>4125</v>
      </c>
      <c r="Z1186" s="43">
        <v>14000</v>
      </c>
      <c r="AA1186" s="43" t="s">
        <v>52</v>
      </c>
      <c r="AB1186" s="43" t="s">
        <v>53</v>
      </c>
      <c r="AC1186" s="43">
        <v>183</v>
      </c>
      <c r="AD1186" s="141">
        <v>0</v>
      </c>
      <c r="AE1186" s="142">
        <v>6</v>
      </c>
      <c r="AF1186" s="142"/>
      <c r="AG1186" s="69" t="str">
        <f t="shared" si="668"/>
        <v>0 years 183 days</v>
      </c>
      <c r="AH1186" s="69">
        <v>0</v>
      </c>
      <c r="AI1186" s="69">
        <v>183</v>
      </c>
      <c r="AJ1186" s="69">
        <v>0</v>
      </c>
      <c r="AK1186" s="69">
        <v>0</v>
      </c>
      <c r="AL1186" s="60">
        <v>14000</v>
      </c>
      <c r="AM1186" s="60">
        <f t="shared" si="669"/>
        <v>14000</v>
      </c>
      <c r="AN1186" s="59">
        <v>14000</v>
      </c>
      <c r="AO1186" s="148">
        <f t="shared" si="670"/>
        <v>-14000</v>
      </c>
      <c r="AP1186" s="58">
        <v>0</v>
      </c>
      <c r="AQ1186" s="143">
        <f t="shared" si="671"/>
        <v>0</v>
      </c>
    </row>
    <row r="1187" spans="1:43" x14ac:dyDescent="0.35">
      <c r="A1187" s="69" t="s">
        <v>43</v>
      </c>
      <c r="B1187" s="15" t="s">
        <v>3775</v>
      </c>
      <c r="C1187" s="15"/>
      <c r="D1187" s="69"/>
      <c r="E1187" s="76">
        <v>0</v>
      </c>
      <c r="F1187" s="69" t="s">
        <v>2960</v>
      </c>
      <c r="G1187" s="132" t="s">
        <v>2961</v>
      </c>
      <c r="H1187" s="15">
        <v>9013000211</v>
      </c>
      <c r="I1187" s="92" t="s">
        <v>593</v>
      </c>
      <c r="J1187" s="92">
        <v>1202020101</v>
      </c>
      <c r="K1187" s="41"/>
      <c r="L1187" s="95" t="s">
        <v>3776</v>
      </c>
      <c r="M1187" s="69" t="s">
        <v>3777</v>
      </c>
      <c r="N1187" s="69"/>
      <c r="O1187" s="94">
        <v>1</v>
      </c>
      <c r="P1187" s="69" t="s">
        <v>50</v>
      </c>
      <c r="Q1187" s="69" t="s">
        <v>51</v>
      </c>
      <c r="R1187" s="69"/>
      <c r="S1187" s="46">
        <v>41604</v>
      </c>
      <c r="T1187" s="48">
        <v>43191</v>
      </c>
      <c r="U1187" s="69"/>
      <c r="V1187" s="69"/>
      <c r="W1187" s="69"/>
      <c r="X1187" s="69"/>
      <c r="Y1187" s="69" t="s">
        <v>4125</v>
      </c>
      <c r="Z1187" s="43">
        <v>195000</v>
      </c>
      <c r="AA1187" s="43" t="s">
        <v>52</v>
      </c>
      <c r="AB1187" s="43" t="s">
        <v>53</v>
      </c>
      <c r="AC1187" s="43">
        <v>256</v>
      </c>
      <c r="AD1187" s="141">
        <v>0</v>
      </c>
      <c r="AE1187" s="142">
        <v>9</v>
      </c>
      <c r="AF1187" s="142"/>
      <c r="AG1187" s="69" t="str">
        <f t="shared" si="668"/>
        <v>0 years 256 days</v>
      </c>
      <c r="AH1187" s="69">
        <v>0</v>
      </c>
      <c r="AI1187" s="69">
        <v>256</v>
      </c>
      <c r="AJ1187" s="69">
        <v>0</v>
      </c>
      <c r="AK1187" s="69">
        <v>0</v>
      </c>
      <c r="AL1187" s="60">
        <v>195000</v>
      </c>
      <c r="AM1187" s="60">
        <f t="shared" si="669"/>
        <v>195000</v>
      </c>
      <c r="AN1187" s="59">
        <v>195000</v>
      </c>
      <c r="AO1187" s="148">
        <f t="shared" si="670"/>
        <v>-195000</v>
      </c>
      <c r="AP1187" s="58">
        <v>0</v>
      </c>
      <c r="AQ1187" s="143">
        <f t="shared" si="671"/>
        <v>0</v>
      </c>
    </row>
    <row r="1188" spans="1:43" x14ac:dyDescent="0.35">
      <c r="A1188" s="69" t="s">
        <v>43</v>
      </c>
      <c r="B1188" s="15" t="s">
        <v>3778</v>
      </c>
      <c r="C1188" s="15"/>
      <c r="D1188" s="69"/>
      <c r="E1188" s="76">
        <v>0</v>
      </c>
      <c r="F1188" s="69" t="s">
        <v>2960</v>
      </c>
      <c r="G1188" s="132" t="s">
        <v>2961</v>
      </c>
      <c r="H1188" s="15">
        <v>9013000211</v>
      </c>
      <c r="I1188" s="92" t="s">
        <v>593</v>
      </c>
      <c r="J1188" s="92">
        <v>1202020101</v>
      </c>
      <c r="K1188" s="41"/>
      <c r="L1188" s="95" t="s">
        <v>3779</v>
      </c>
      <c r="M1188" s="69" t="s">
        <v>3780</v>
      </c>
      <c r="N1188" s="69"/>
      <c r="O1188" s="94">
        <v>1</v>
      </c>
      <c r="P1188" s="69" t="s">
        <v>50</v>
      </c>
      <c r="Q1188" s="69" t="s">
        <v>51</v>
      </c>
      <c r="R1188" s="69"/>
      <c r="S1188" s="46">
        <v>41818</v>
      </c>
      <c r="T1188" s="48">
        <v>43191</v>
      </c>
      <c r="U1188" s="69"/>
      <c r="V1188" s="69"/>
      <c r="W1188" s="69"/>
      <c r="X1188" s="69"/>
      <c r="Y1188" s="69" t="s">
        <v>4125</v>
      </c>
      <c r="Z1188" s="43">
        <v>120000</v>
      </c>
      <c r="AA1188" s="43" t="s">
        <v>52</v>
      </c>
      <c r="AB1188" s="43" t="s">
        <v>53</v>
      </c>
      <c r="AC1188" s="43">
        <v>438</v>
      </c>
      <c r="AD1188" s="141">
        <v>1</v>
      </c>
      <c r="AE1188" s="142">
        <v>2</v>
      </c>
      <c r="AF1188" s="142"/>
      <c r="AG1188" s="69" t="str">
        <f t="shared" si="668"/>
        <v>1 years 73 days</v>
      </c>
      <c r="AH1188" s="69">
        <v>1</v>
      </c>
      <c r="AI1188" s="69">
        <v>73</v>
      </c>
      <c r="AJ1188" s="69">
        <v>0</v>
      </c>
      <c r="AK1188" s="69">
        <v>0</v>
      </c>
      <c r="AL1188" s="60">
        <v>120000</v>
      </c>
      <c r="AM1188" s="60">
        <f t="shared" si="669"/>
        <v>120000</v>
      </c>
      <c r="AN1188" s="59">
        <v>120000</v>
      </c>
      <c r="AO1188" s="148">
        <f t="shared" si="670"/>
        <v>-120000</v>
      </c>
      <c r="AP1188" s="58">
        <v>0</v>
      </c>
      <c r="AQ1188" s="143">
        <f t="shared" si="671"/>
        <v>0</v>
      </c>
    </row>
    <row r="1189" spans="1:43" x14ac:dyDescent="0.35">
      <c r="A1189" s="69" t="s">
        <v>43</v>
      </c>
      <c r="B1189" s="15" t="s">
        <v>3781</v>
      </c>
      <c r="C1189" s="15"/>
      <c r="D1189" s="69"/>
      <c r="E1189" s="76">
        <v>0</v>
      </c>
      <c r="F1189" s="69" t="s">
        <v>2960</v>
      </c>
      <c r="G1189" s="132" t="s">
        <v>2961</v>
      </c>
      <c r="H1189" s="15">
        <v>9013000211</v>
      </c>
      <c r="I1189" s="92" t="s">
        <v>593</v>
      </c>
      <c r="J1189" s="92">
        <v>1202020101</v>
      </c>
      <c r="K1189" s="41"/>
      <c r="L1189" s="95" t="s">
        <v>3782</v>
      </c>
      <c r="M1189" s="69" t="s">
        <v>3783</v>
      </c>
      <c r="N1189" s="69"/>
      <c r="O1189" s="94">
        <v>1</v>
      </c>
      <c r="P1189" s="69" t="s">
        <v>50</v>
      </c>
      <c r="Q1189" s="69" t="s">
        <v>51</v>
      </c>
      <c r="R1189" s="69"/>
      <c r="S1189" s="46">
        <v>41853</v>
      </c>
      <c r="T1189" s="48">
        <v>43191</v>
      </c>
      <c r="U1189" s="69"/>
      <c r="V1189" s="69"/>
      <c r="W1189" s="69"/>
      <c r="X1189" s="69"/>
      <c r="Y1189" s="69" t="s">
        <v>4125</v>
      </c>
      <c r="Z1189" s="43">
        <v>47000</v>
      </c>
      <c r="AA1189" s="43" t="s">
        <v>52</v>
      </c>
      <c r="AB1189" s="43" t="s">
        <v>53</v>
      </c>
      <c r="AC1189" s="43">
        <v>475</v>
      </c>
      <c r="AD1189" s="141">
        <v>1</v>
      </c>
      <c r="AE1189" s="142">
        <v>4</v>
      </c>
      <c r="AF1189" s="142"/>
      <c r="AG1189" s="69" t="str">
        <f t="shared" si="668"/>
        <v>1 years 110 days</v>
      </c>
      <c r="AH1189" s="69">
        <v>1</v>
      </c>
      <c r="AI1189" s="69">
        <v>110</v>
      </c>
      <c r="AJ1189" s="69">
        <v>0</v>
      </c>
      <c r="AK1189" s="69">
        <v>0</v>
      </c>
      <c r="AL1189" s="60">
        <v>47000</v>
      </c>
      <c r="AM1189" s="60">
        <f t="shared" si="669"/>
        <v>47000</v>
      </c>
      <c r="AN1189" s="59">
        <v>47000</v>
      </c>
      <c r="AO1189" s="148">
        <f t="shared" si="670"/>
        <v>-47000</v>
      </c>
      <c r="AP1189" s="58">
        <v>0</v>
      </c>
      <c r="AQ1189" s="143">
        <f t="shared" si="671"/>
        <v>0</v>
      </c>
    </row>
    <row r="1190" spans="1:43" x14ac:dyDescent="0.35">
      <c r="A1190" s="69" t="s">
        <v>43</v>
      </c>
      <c r="B1190" s="15" t="s">
        <v>3784</v>
      </c>
      <c r="C1190" s="15"/>
      <c r="D1190" s="69"/>
      <c r="E1190" s="76">
        <v>0</v>
      </c>
      <c r="F1190" s="69" t="s">
        <v>2960</v>
      </c>
      <c r="G1190" s="132" t="s">
        <v>2961</v>
      </c>
      <c r="H1190" s="15">
        <v>9013000211</v>
      </c>
      <c r="I1190" s="92" t="s">
        <v>593</v>
      </c>
      <c r="J1190" s="92">
        <v>1202020101</v>
      </c>
      <c r="K1190" s="41"/>
      <c r="L1190" s="95" t="s">
        <v>3785</v>
      </c>
      <c r="M1190" s="69" t="s">
        <v>3786</v>
      </c>
      <c r="N1190" s="69"/>
      <c r="O1190" s="94">
        <v>1</v>
      </c>
      <c r="P1190" s="69" t="s">
        <v>50</v>
      </c>
      <c r="Q1190" s="69" t="s">
        <v>51</v>
      </c>
      <c r="R1190" s="69"/>
      <c r="S1190" s="46">
        <v>41853</v>
      </c>
      <c r="T1190" s="48">
        <v>43191</v>
      </c>
      <c r="U1190" s="69"/>
      <c r="V1190" s="69"/>
      <c r="W1190" s="69"/>
      <c r="X1190" s="69"/>
      <c r="Y1190" s="69" t="s">
        <v>4125</v>
      </c>
      <c r="Z1190" s="43">
        <v>95000</v>
      </c>
      <c r="AA1190" s="43" t="s">
        <v>52</v>
      </c>
      <c r="AB1190" s="43" t="s">
        <v>53</v>
      </c>
      <c r="AC1190" s="43">
        <v>475</v>
      </c>
      <c r="AD1190" s="141">
        <v>1</v>
      </c>
      <c r="AE1190" s="142">
        <v>4</v>
      </c>
      <c r="AF1190" s="142"/>
      <c r="AG1190" s="69" t="str">
        <f t="shared" si="668"/>
        <v>1 years 110 days</v>
      </c>
      <c r="AH1190" s="69">
        <v>1</v>
      </c>
      <c r="AI1190" s="69">
        <v>110</v>
      </c>
      <c r="AJ1190" s="69">
        <v>0</v>
      </c>
      <c r="AK1190" s="69">
        <v>0</v>
      </c>
      <c r="AL1190" s="60">
        <v>95000</v>
      </c>
      <c r="AM1190" s="60">
        <f t="shared" si="669"/>
        <v>95000</v>
      </c>
      <c r="AN1190" s="59">
        <v>95000</v>
      </c>
      <c r="AO1190" s="148">
        <f t="shared" si="670"/>
        <v>-95000</v>
      </c>
      <c r="AP1190" s="58">
        <v>0</v>
      </c>
      <c r="AQ1190" s="143">
        <f t="shared" si="671"/>
        <v>0</v>
      </c>
    </row>
    <row r="1191" spans="1:43" x14ac:dyDescent="0.35">
      <c r="A1191" s="69" t="s">
        <v>43</v>
      </c>
      <c r="B1191" s="15" t="s">
        <v>3787</v>
      </c>
      <c r="C1191" s="15"/>
      <c r="D1191" s="69"/>
      <c r="E1191" s="76">
        <v>0</v>
      </c>
      <c r="F1191" s="69" t="s">
        <v>2960</v>
      </c>
      <c r="G1191" s="132" t="s">
        <v>2961</v>
      </c>
      <c r="H1191" s="15">
        <v>9013000211</v>
      </c>
      <c r="I1191" s="92" t="s">
        <v>593</v>
      </c>
      <c r="J1191" s="92">
        <v>1202020101</v>
      </c>
      <c r="K1191" s="41"/>
      <c r="L1191" s="95" t="s">
        <v>3788</v>
      </c>
      <c r="M1191" s="69" t="s">
        <v>3789</v>
      </c>
      <c r="N1191" s="69"/>
      <c r="O1191" s="94">
        <v>1</v>
      </c>
      <c r="P1191" s="69" t="s">
        <v>50</v>
      </c>
      <c r="Q1191" s="69" t="s">
        <v>51</v>
      </c>
      <c r="R1191" s="69"/>
      <c r="S1191" s="46">
        <v>41895</v>
      </c>
      <c r="T1191" s="48">
        <v>43191</v>
      </c>
      <c r="U1191" s="69"/>
      <c r="V1191" s="69"/>
      <c r="W1191" s="69"/>
      <c r="X1191" s="69"/>
      <c r="Y1191" s="69" t="s">
        <v>4125</v>
      </c>
      <c r="Z1191" s="43">
        <v>62500</v>
      </c>
      <c r="AA1191" s="43" t="s">
        <v>52</v>
      </c>
      <c r="AB1191" s="43" t="s">
        <v>53</v>
      </c>
      <c r="AC1191" s="43">
        <v>511</v>
      </c>
      <c r="AD1191" s="141">
        <v>1</v>
      </c>
      <c r="AE1191" s="142">
        <v>5</v>
      </c>
      <c r="AF1191" s="142"/>
      <c r="AG1191" s="69" t="str">
        <f t="shared" si="668"/>
        <v>1 years 146 days</v>
      </c>
      <c r="AH1191" s="69">
        <v>1</v>
      </c>
      <c r="AI1191" s="69">
        <v>146</v>
      </c>
      <c r="AJ1191" s="69">
        <v>0</v>
      </c>
      <c r="AK1191" s="69">
        <v>0</v>
      </c>
      <c r="AL1191" s="60">
        <v>62500</v>
      </c>
      <c r="AM1191" s="60">
        <f t="shared" si="669"/>
        <v>62500</v>
      </c>
      <c r="AN1191" s="59">
        <v>62500</v>
      </c>
      <c r="AO1191" s="148">
        <f t="shared" si="670"/>
        <v>-62500</v>
      </c>
      <c r="AP1191" s="58">
        <v>0</v>
      </c>
      <c r="AQ1191" s="143">
        <f t="shared" si="671"/>
        <v>0</v>
      </c>
    </row>
    <row r="1192" spans="1:43" x14ac:dyDescent="0.35">
      <c r="A1192" s="69" t="s">
        <v>43</v>
      </c>
      <c r="B1192" s="15" t="s">
        <v>3790</v>
      </c>
      <c r="C1192" s="15"/>
      <c r="D1192" s="69"/>
      <c r="E1192" s="76">
        <v>0</v>
      </c>
      <c r="F1192" s="69" t="s">
        <v>2960</v>
      </c>
      <c r="G1192" s="132" t="s">
        <v>2961</v>
      </c>
      <c r="H1192" s="15">
        <v>9013000211</v>
      </c>
      <c r="I1192" s="92" t="s">
        <v>593</v>
      </c>
      <c r="J1192" s="92">
        <v>1202020101</v>
      </c>
      <c r="K1192" s="41"/>
      <c r="L1192" s="95" t="s">
        <v>3791</v>
      </c>
      <c r="M1192" s="69" t="s">
        <v>49</v>
      </c>
      <c r="N1192" s="69"/>
      <c r="O1192" s="94">
        <v>1</v>
      </c>
      <c r="P1192" s="69" t="s">
        <v>50</v>
      </c>
      <c r="Q1192" s="69" t="s">
        <v>51</v>
      </c>
      <c r="R1192" s="69"/>
      <c r="S1192" s="46">
        <v>42158</v>
      </c>
      <c r="T1192" s="48">
        <v>43191</v>
      </c>
      <c r="U1192" s="69"/>
      <c r="V1192" s="69"/>
      <c r="W1192" s="69"/>
      <c r="X1192" s="69"/>
      <c r="Y1192" s="69" t="s">
        <v>4125</v>
      </c>
      <c r="Z1192" s="43">
        <v>44000</v>
      </c>
      <c r="AA1192" s="43" t="s">
        <v>52</v>
      </c>
      <c r="AB1192" s="43" t="s">
        <v>53</v>
      </c>
      <c r="AC1192" s="43">
        <v>803</v>
      </c>
      <c r="AD1192" s="141">
        <v>2</v>
      </c>
      <c r="AE1192" s="142">
        <v>2</v>
      </c>
      <c r="AF1192" s="142"/>
      <c r="AG1192" s="69" t="str">
        <f t="shared" si="668"/>
        <v>2 years 73 days</v>
      </c>
      <c r="AH1192" s="69">
        <v>2</v>
      </c>
      <c r="AI1192" s="69">
        <v>73</v>
      </c>
      <c r="AJ1192" s="69">
        <v>0</v>
      </c>
      <c r="AK1192" s="69">
        <v>0</v>
      </c>
      <c r="AL1192" s="60">
        <v>44000</v>
      </c>
      <c r="AM1192" s="60">
        <f t="shared" si="669"/>
        <v>44000</v>
      </c>
      <c r="AN1192" s="59">
        <v>44000</v>
      </c>
      <c r="AO1192" s="148">
        <f t="shared" si="670"/>
        <v>-44000</v>
      </c>
      <c r="AP1192" s="58">
        <v>0</v>
      </c>
      <c r="AQ1192" s="143">
        <f t="shared" si="671"/>
        <v>0</v>
      </c>
    </row>
    <row r="1193" spans="1:43" x14ac:dyDescent="0.35">
      <c r="A1193" s="69" t="s">
        <v>43</v>
      </c>
      <c r="B1193" s="15" t="s">
        <v>3792</v>
      </c>
      <c r="C1193" s="15"/>
      <c r="D1193" s="69"/>
      <c r="E1193" s="76">
        <v>0</v>
      </c>
      <c r="F1193" s="69" t="s">
        <v>2960</v>
      </c>
      <c r="G1193" s="132" t="s">
        <v>2961</v>
      </c>
      <c r="H1193" s="15">
        <v>9013000211</v>
      </c>
      <c r="I1193" s="92" t="s">
        <v>593</v>
      </c>
      <c r="J1193" s="92">
        <v>1202020101</v>
      </c>
      <c r="K1193" s="41"/>
      <c r="L1193" s="95" t="s">
        <v>3793</v>
      </c>
      <c r="M1193" s="69" t="s">
        <v>3794</v>
      </c>
      <c r="N1193" s="69"/>
      <c r="O1193" s="94">
        <v>1</v>
      </c>
      <c r="P1193" s="69" t="s">
        <v>50</v>
      </c>
      <c r="Q1193" s="69" t="s">
        <v>51</v>
      </c>
      <c r="R1193" s="69"/>
      <c r="S1193" s="46">
        <v>42303</v>
      </c>
      <c r="T1193" s="48">
        <v>43191</v>
      </c>
      <c r="U1193" s="69"/>
      <c r="V1193" s="69"/>
      <c r="W1193" s="69"/>
      <c r="X1193" s="69"/>
      <c r="Y1193" s="69" t="s">
        <v>4125</v>
      </c>
      <c r="Z1193" s="43">
        <v>160000</v>
      </c>
      <c r="AA1193" s="43" t="s">
        <v>52</v>
      </c>
      <c r="AB1193" s="43" t="s">
        <v>53</v>
      </c>
      <c r="AC1193" s="43">
        <v>913</v>
      </c>
      <c r="AD1193" s="141">
        <v>2</v>
      </c>
      <c r="AE1193" s="142">
        <v>6</v>
      </c>
      <c r="AF1193" s="142"/>
      <c r="AG1193" s="69" t="str">
        <f t="shared" si="668"/>
        <v>2 years 183 days</v>
      </c>
      <c r="AH1193" s="69">
        <v>2</v>
      </c>
      <c r="AI1193" s="69">
        <v>183</v>
      </c>
      <c r="AJ1193" s="69">
        <v>0</v>
      </c>
      <c r="AK1193" s="69">
        <v>0</v>
      </c>
      <c r="AL1193" s="60">
        <v>160000</v>
      </c>
      <c r="AM1193" s="60">
        <f t="shared" si="669"/>
        <v>160000</v>
      </c>
      <c r="AN1193" s="59">
        <v>160000</v>
      </c>
      <c r="AO1193" s="148">
        <f t="shared" si="670"/>
        <v>-160000</v>
      </c>
      <c r="AP1193" s="58">
        <v>0</v>
      </c>
      <c r="AQ1193" s="143">
        <f t="shared" si="671"/>
        <v>0</v>
      </c>
    </row>
    <row r="1194" spans="1:43" x14ac:dyDescent="0.35">
      <c r="A1194" s="69" t="s">
        <v>43</v>
      </c>
      <c r="B1194" s="15" t="s">
        <v>3795</v>
      </c>
      <c r="C1194" s="15"/>
      <c r="D1194" s="69"/>
      <c r="E1194" s="76">
        <v>0</v>
      </c>
      <c r="F1194" s="69" t="s">
        <v>2960</v>
      </c>
      <c r="G1194" s="132" t="s">
        <v>2961</v>
      </c>
      <c r="H1194" s="15">
        <v>9013000211</v>
      </c>
      <c r="I1194" s="92" t="s">
        <v>593</v>
      </c>
      <c r="J1194" s="92">
        <v>1202020101</v>
      </c>
      <c r="K1194" s="41"/>
      <c r="L1194" s="95" t="s">
        <v>3796</v>
      </c>
      <c r="M1194" s="69" t="s">
        <v>3797</v>
      </c>
      <c r="N1194" s="69"/>
      <c r="O1194" s="94">
        <v>1</v>
      </c>
      <c r="P1194" s="69" t="s">
        <v>50</v>
      </c>
      <c r="Q1194" s="69" t="s">
        <v>51</v>
      </c>
      <c r="R1194" s="69"/>
      <c r="S1194" s="46">
        <v>42537</v>
      </c>
      <c r="T1194" s="48">
        <v>43191</v>
      </c>
      <c r="U1194" s="69"/>
      <c r="V1194" s="69"/>
      <c r="W1194" s="69"/>
      <c r="X1194" s="69"/>
      <c r="Y1194" s="69" t="s">
        <v>4125</v>
      </c>
      <c r="Z1194" s="43">
        <v>145000</v>
      </c>
      <c r="AA1194" s="43" t="s">
        <v>52</v>
      </c>
      <c r="AB1194" s="43" t="s">
        <v>53</v>
      </c>
      <c r="AC1194" s="43">
        <v>1168</v>
      </c>
      <c r="AD1194" s="141">
        <v>3</v>
      </c>
      <c r="AE1194" s="142">
        <v>2</v>
      </c>
      <c r="AF1194" s="142"/>
      <c r="AG1194" s="69" t="str">
        <f t="shared" si="668"/>
        <v>3 years 73 days</v>
      </c>
      <c r="AH1194" s="69">
        <v>3</v>
      </c>
      <c r="AI1194" s="69">
        <v>73</v>
      </c>
      <c r="AJ1194" s="69">
        <v>0</v>
      </c>
      <c r="AK1194" s="69">
        <v>0</v>
      </c>
      <c r="AL1194" s="60">
        <v>145000</v>
      </c>
      <c r="AM1194" s="60">
        <f t="shared" si="669"/>
        <v>145000</v>
      </c>
      <c r="AN1194" s="59">
        <v>145000</v>
      </c>
      <c r="AO1194" s="148">
        <f t="shared" si="670"/>
        <v>-145000</v>
      </c>
      <c r="AP1194" s="58">
        <v>0</v>
      </c>
      <c r="AQ1194" s="143">
        <f t="shared" si="671"/>
        <v>0</v>
      </c>
    </row>
    <row r="1195" spans="1:43" x14ac:dyDescent="0.35">
      <c r="A1195" s="69" t="s">
        <v>43</v>
      </c>
      <c r="B1195" s="15" t="s">
        <v>3798</v>
      </c>
      <c r="C1195" s="15"/>
      <c r="D1195" s="69"/>
      <c r="E1195" s="76">
        <v>0</v>
      </c>
      <c r="F1195" s="69" t="s">
        <v>2960</v>
      </c>
      <c r="G1195" s="132" t="s">
        <v>2961</v>
      </c>
      <c r="H1195" s="15">
        <v>9013000211</v>
      </c>
      <c r="I1195" s="92" t="s">
        <v>593</v>
      </c>
      <c r="J1195" s="92">
        <v>1202020101</v>
      </c>
      <c r="K1195" s="41"/>
      <c r="L1195" s="95" t="s">
        <v>3799</v>
      </c>
      <c r="M1195" s="69" t="s">
        <v>3800</v>
      </c>
      <c r="N1195" s="69"/>
      <c r="O1195" s="94">
        <v>1</v>
      </c>
      <c r="P1195" s="69" t="s">
        <v>50</v>
      </c>
      <c r="Q1195" s="69" t="s">
        <v>51</v>
      </c>
      <c r="R1195" s="69"/>
      <c r="S1195" s="46">
        <v>43271</v>
      </c>
      <c r="T1195" s="48">
        <v>43271</v>
      </c>
      <c r="U1195" s="69"/>
      <c r="V1195" s="69"/>
      <c r="W1195" s="69"/>
      <c r="X1195" s="69"/>
      <c r="Y1195" s="69" t="s">
        <v>4125</v>
      </c>
      <c r="Z1195" s="43">
        <v>243300</v>
      </c>
      <c r="AA1195" s="43" t="s">
        <v>52</v>
      </c>
      <c r="AB1195" s="43" t="s">
        <v>53</v>
      </c>
      <c r="AC1195" s="43">
        <v>1460</v>
      </c>
      <c r="AD1195" s="141">
        <v>4</v>
      </c>
      <c r="AE1195" s="142">
        <v>0</v>
      </c>
      <c r="AF1195" s="142"/>
      <c r="AG1195" s="69" t="str">
        <f t="shared" si="668"/>
        <v>4 years 0 days</v>
      </c>
      <c r="AH1195" s="69">
        <v>4</v>
      </c>
      <c r="AI1195" s="69">
        <v>0</v>
      </c>
      <c r="AJ1195" s="69">
        <v>0</v>
      </c>
      <c r="AK1195" s="69">
        <v>0</v>
      </c>
      <c r="AL1195" s="60">
        <v>243300</v>
      </c>
      <c r="AM1195" s="60">
        <f t="shared" si="669"/>
        <v>243300</v>
      </c>
      <c r="AN1195" s="59">
        <v>243300</v>
      </c>
      <c r="AO1195" s="148">
        <f t="shared" si="670"/>
        <v>-243300</v>
      </c>
      <c r="AP1195" s="58">
        <v>0</v>
      </c>
      <c r="AQ1195" s="143">
        <f t="shared" si="671"/>
        <v>0</v>
      </c>
    </row>
    <row r="1196" spans="1:43" x14ac:dyDescent="0.35">
      <c r="A1196" s="69" t="s">
        <v>43</v>
      </c>
      <c r="B1196" s="15" t="s">
        <v>3801</v>
      </c>
      <c r="C1196" s="15"/>
      <c r="D1196" s="69"/>
      <c r="E1196" s="76">
        <v>0</v>
      </c>
      <c r="F1196" s="69" t="s">
        <v>2960</v>
      </c>
      <c r="G1196" s="132" t="s">
        <v>2961</v>
      </c>
      <c r="H1196" s="15">
        <v>9013000211</v>
      </c>
      <c r="I1196" s="92" t="s">
        <v>593</v>
      </c>
      <c r="J1196" s="92">
        <v>1202020101</v>
      </c>
      <c r="K1196" s="41"/>
      <c r="L1196" s="95" t="s">
        <v>3802</v>
      </c>
      <c r="M1196" s="69" t="s">
        <v>3803</v>
      </c>
      <c r="N1196" s="69"/>
      <c r="O1196" s="94">
        <v>1</v>
      </c>
      <c r="P1196" s="69" t="s">
        <v>50</v>
      </c>
      <c r="Q1196" s="69" t="s">
        <v>51</v>
      </c>
      <c r="R1196" s="69"/>
      <c r="S1196" s="46">
        <v>43290</v>
      </c>
      <c r="T1196" s="48">
        <v>43290</v>
      </c>
      <c r="U1196" s="69"/>
      <c r="V1196" s="69"/>
      <c r="W1196" s="69"/>
      <c r="X1196" s="69"/>
      <c r="Y1196" s="69" t="s">
        <v>4125</v>
      </c>
      <c r="Z1196" s="43">
        <v>20000</v>
      </c>
      <c r="AA1196" s="43" t="s">
        <v>52</v>
      </c>
      <c r="AB1196" s="43" t="s">
        <v>53</v>
      </c>
      <c r="AC1196" s="43">
        <v>1460</v>
      </c>
      <c r="AD1196" s="141">
        <v>4</v>
      </c>
      <c r="AE1196" s="142">
        <v>0</v>
      </c>
      <c r="AF1196" s="142"/>
      <c r="AG1196" s="69" t="str">
        <f t="shared" si="668"/>
        <v>4 years 0 days</v>
      </c>
      <c r="AH1196" s="69">
        <v>4</v>
      </c>
      <c r="AI1196" s="69">
        <v>0</v>
      </c>
      <c r="AJ1196" s="69">
        <v>0</v>
      </c>
      <c r="AK1196" s="69">
        <v>0</v>
      </c>
      <c r="AL1196" s="60">
        <v>20000</v>
      </c>
      <c r="AM1196" s="60">
        <f t="shared" si="669"/>
        <v>20000</v>
      </c>
      <c r="AN1196" s="59">
        <v>20000</v>
      </c>
      <c r="AO1196" s="148">
        <f t="shared" si="670"/>
        <v>-20000</v>
      </c>
      <c r="AP1196" s="58">
        <v>0</v>
      </c>
      <c r="AQ1196" s="143">
        <f t="shared" si="671"/>
        <v>0</v>
      </c>
    </row>
    <row r="1197" spans="1:43" x14ac:dyDescent="0.35">
      <c r="A1197" s="69" t="s">
        <v>43</v>
      </c>
      <c r="B1197" s="15" t="s">
        <v>3804</v>
      </c>
      <c r="C1197" s="15"/>
      <c r="D1197" s="69"/>
      <c r="E1197" s="76">
        <v>0</v>
      </c>
      <c r="F1197" s="69" t="s">
        <v>2960</v>
      </c>
      <c r="G1197" s="132" t="s">
        <v>2961</v>
      </c>
      <c r="H1197" s="15">
        <v>9013000211</v>
      </c>
      <c r="I1197" s="92" t="s">
        <v>593</v>
      </c>
      <c r="J1197" s="92">
        <v>1202020101</v>
      </c>
      <c r="K1197" s="41"/>
      <c r="L1197" s="95" t="s">
        <v>3805</v>
      </c>
      <c r="M1197" s="69" t="s">
        <v>3806</v>
      </c>
      <c r="N1197" s="69"/>
      <c r="O1197" s="94">
        <v>1</v>
      </c>
      <c r="P1197" s="69" t="s">
        <v>50</v>
      </c>
      <c r="Q1197" s="69" t="s">
        <v>51</v>
      </c>
      <c r="R1197" s="69"/>
      <c r="S1197" s="46">
        <v>43290</v>
      </c>
      <c r="T1197" s="48">
        <v>43290</v>
      </c>
      <c r="U1197" s="69"/>
      <c r="V1197" s="69"/>
      <c r="W1197" s="69"/>
      <c r="X1197" s="69"/>
      <c r="Y1197" s="69" t="s">
        <v>4125</v>
      </c>
      <c r="Z1197" s="43">
        <v>361000</v>
      </c>
      <c r="AA1197" s="43" t="s">
        <v>52</v>
      </c>
      <c r="AB1197" s="43" t="s">
        <v>53</v>
      </c>
      <c r="AC1197" s="43">
        <v>1460</v>
      </c>
      <c r="AD1197" s="141">
        <v>4</v>
      </c>
      <c r="AE1197" s="142">
        <v>0</v>
      </c>
      <c r="AF1197" s="142"/>
      <c r="AG1197" s="69" t="str">
        <f t="shared" si="668"/>
        <v>4 years 0 days</v>
      </c>
      <c r="AH1197" s="69">
        <v>4</v>
      </c>
      <c r="AI1197" s="69">
        <v>0</v>
      </c>
      <c r="AJ1197" s="69">
        <v>0</v>
      </c>
      <c r="AK1197" s="69">
        <v>0</v>
      </c>
      <c r="AL1197" s="60">
        <v>361000</v>
      </c>
      <c r="AM1197" s="60">
        <f t="shared" si="669"/>
        <v>361000</v>
      </c>
      <c r="AN1197" s="59">
        <v>361000</v>
      </c>
      <c r="AO1197" s="148">
        <f t="shared" si="670"/>
        <v>-361000</v>
      </c>
      <c r="AP1197" s="58">
        <v>0</v>
      </c>
      <c r="AQ1197" s="143">
        <f t="shared" si="671"/>
        <v>0</v>
      </c>
    </row>
    <row r="1198" spans="1:43" x14ac:dyDescent="0.35">
      <c r="A1198" s="69" t="s">
        <v>43</v>
      </c>
      <c r="B1198" s="15" t="s">
        <v>3807</v>
      </c>
      <c r="C1198" s="15"/>
      <c r="D1198" s="69"/>
      <c r="E1198" s="76">
        <v>0</v>
      </c>
      <c r="F1198" s="69" t="s">
        <v>2960</v>
      </c>
      <c r="G1198" s="132" t="s">
        <v>2961</v>
      </c>
      <c r="H1198" s="15">
        <v>9013000211</v>
      </c>
      <c r="I1198" s="92" t="s">
        <v>593</v>
      </c>
      <c r="J1198" s="92">
        <v>1202020101</v>
      </c>
      <c r="K1198" s="41"/>
      <c r="L1198" s="95" t="s">
        <v>3808</v>
      </c>
      <c r="M1198" s="69" t="s">
        <v>3809</v>
      </c>
      <c r="N1198" s="69"/>
      <c r="O1198" s="94">
        <v>1</v>
      </c>
      <c r="P1198" s="69" t="s">
        <v>50</v>
      </c>
      <c r="Q1198" s="69" t="s">
        <v>51</v>
      </c>
      <c r="R1198" s="69"/>
      <c r="S1198" s="46">
        <v>43440</v>
      </c>
      <c r="T1198" s="48">
        <v>43440</v>
      </c>
      <c r="U1198" s="69"/>
      <c r="V1198" s="69"/>
      <c r="W1198" s="69"/>
      <c r="X1198" s="69"/>
      <c r="Y1198" s="69" t="s">
        <v>4125</v>
      </c>
      <c r="Z1198" s="43">
        <v>481500</v>
      </c>
      <c r="AA1198" s="43" t="s">
        <v>52</v>
      </c>
      <c r="AB1198" s="43" t="s">
        <v>53</v>
      </c>
      <c r="AC1198" s="43">
        <v>1460</v>
      </c>
      <c r="AD1198" s="141">
        <v>4</v>
      </c>
      <c r="AE1198" s="142">
        <v>0</v>
      </c>
      <c r="AF1198" s="142"/>
      <c r="AG1198" s="69" t="str">
        <f t="shared" si="668"/>
        <v>4 years 0 days</v>
      </c>
      <c r="AH1198" s="69">
        <v>4</v>
      </c>
      <c r="AI1198" s="69">
        <v>0</v>
      </c>
      <c r="AJ1198" s="69">
        <v>0</v>
      </c>
      <c r="AK1198" s="69">
        <v>0</v>
      </c>
      <c r="AL1198" s="60">
        <v>481500</v>
      </c>
      <c r="AM1198" s="60">
        <f t="shared" si="669"/>
        <v>481500</v>
      </c>
      <c r="AN1198" s="59">
        <v>481500</v>
      </c>
      <c r="AO1198" s="148">
        <f t="shared" si="670"/>
        <v>-481500</v>
      </c>
      <c r="AP1198" s="58">
        <v>0</v>
      </c>
      <c r="AQ1198" s="143">
        <f t="shared" si="671"/>
        <v>0</v>
      </c>
    </row>
    <row r="1199" spans="1:43" x14ac:dyDescent="0.35">
      <c r="A1199" s="69" t="s">
        <v>43</v>
      </c>
      <c r="B1199" s="15" t="s">
        <v>3810</v>
      </c>
      <c r="C1199" s="15"/>
      <c r="D1199" s="69"/>
      <c r="E1199" s="76">
        <v>0</v>
      </c>
      <c r="F1199" s="69" t="s">
        <v>2960</v>
      </c>
      <c r="G1199" s="132" t="s">
        <v>2961</v>
      </c>
      <c r="H1199" s="15">
        <v>9013000211</v>
      </c>
      <c r="I1199" s="92" t="s">
        <v>593</v>
      </c>
      <c r="J1199" s="92">
        <v>1202020101</v>
      </c>
      <c r="K1199" s="41"/>
      <c r="L1199" s="95" t="s">
        <v>3811</v>
      </c>
      <c r="M1199" s="69" t="s">
        <v>3812</v>
      </c>
      <c r="N1199" s="69"/>
      <c r="O1199" s="94">
        <v>1</v>
      </c>
      <c r="P1199" s="69" t="s">
        <v>50</v>
      </c>
      <c r="Q1199" s="69" t="s">
        <v>51</v>
      </c>
      <c r="R1199" s="69"/>
      <c r="S1199" s="46">
        <v>43482</v>
      </c>
      <c r="T1199" s="48">
        <v>43482</v>
      </c>
      <c r="U1199" s="69"/>
      <c r="V1199" s="69"/>
      <c r="W1199" s="69"/>
      <c r="X1199" s="69"/>
      <c r="Y1199" s="69" t="s">
        <v>4126</v>
      </c>
      <c r="Z1199" s="43">
        <v>106000</v>
      </c>
      <c r="AA1199" s="43" t="s">
        <v>52</v>
      </c>
      <c r="AB1199" s="43" t="s">
        <v>53</v>
      </c>
      <c r="AC1199" s="43">
        <v>1460</v>
      </c>
      <c r="AD1199" s="141">
        <v>4</v>
      </c>
      <c r="AE1199" s="142">
        <v>0</v>
      </c>
      <c r="AF1199" s="142"/>
      <c r="AG1199" s="69" t="str">
        <f t="shared" si="668"/>
        <v>4 years 0 days</v>
      </c>
      <c r="AH1199" s="69">
        <v>4</v>
      </c>
      <c r="AI1199" s="69">
        <v>0</v>
      </c>
      <c r="AJ1199" s="69">
        <v>0</v>
      </c>
      <c r="AK1199" s="69">
        <v>0</v>
      </c>
      <c r="AL1199" s="60">
        <v>106000</v>
      </c>
      <c r="AM1199" s="60">
        <f t="shared" si="669"/>
        <v>106000</v>
      </c>
      <c r="AN1199" s="59">
        <v>106000</v>
      </c>
      <c r="AO1199" s="148">
        <f t="shared" si="670"/>
        <v>-106000</v>
      </c>
      <c r="AP1199" s="58">
        <v>0</v>
      </c>
      <c r="AQ1199" s="143">
        <f t="shared" si="671"/>
        <v>0</v>
      </c>
    </row>
    <row r="1200" spans="1:43" x14ac:dyDescent="0.35">
      <c r="A1200" s="69" t="s">
        <v>43</v>
      </c>
      <c r="B1200" s="15" t="s">
        <v>3813</v>
      </c>
      <c r="C1200" s="15"/>
      <c r="D1200" s="69"/>
      <c r="E1200" s="76">
        <v>0</v>
      </c>
      <c r="F1200" s="69" t="s">
        <v>2960</v>
      </c>
      <c r="G1200" s="132" t="s">
        <v>2961</v>
      </c>
      <c r="H1200" s="15">
        <v>9013000211</v>
      </c>
      <c r="I1200" s="92" t="s">
        <v>593</v>
      </c>
      <c r="J1200" s="92">
        <v>1202020101</v>
      </c>
      <c r="K1200" s="41"/>
      <c r="L1200" s="95" t="s">
        <v>3814</v>
      </c>
      <c r="M1200" s="69" t="s">
        <v>3815</v>
      </c>
      <c r="N1200" s="69"/>
      <c r="O1200" s="94">
        <v>1</v>
      </c>
      <c r="P1200" s="69" t="s">
        <v>50</v>
      </c>
      <c r="Q1200" s="69" t="s">
        <v>51</v>
      </c>
      <c r="R1200" s="69"/>
      <c r="S1200" s="46">
        <v>43876</v>
      </c>
      <c r="T1200" s="48">
        <v>43876</v>
      </c>
      <c r="U1200" s="69"/>
      <c r="V1200" s="69"/>
      <c r="W1200" s="69"/>
      <c r="X1200" s="69"/>
      <c r="Y1200" s="69" t="s">
        <v>4127</v>
      </c>
      <c r="Z1200" s="43">
        <v>165000</v>
      </c>
      <c r="AA1200" s="43" t="s">
        <v>52</v>
      </c>
      <c r="AB1200" s="43" t="s">
        <v>53</v>
      </c>
      <c r="AC1200" s="43">
        <v>1460</v>
      </c>
      <c r="AD1200" s="141">
        <v>4</v>
      </c>
      <c r="AE1200" s="142">
        <v>0</v>
      </c>
      <c r="AF1200" s="142"/>
      <c r="AG1200" s="69" t="str">
        <f t="shared" si="668"/>
        <v>4 years 0 days</v>
      </c>
      <c r="AH1200" s="69">
        <v>4</v>
      </c>
      <c r="AI1200" s="69">
        <v>0</v>
      </c>
      <c r="AJ1200" s="69">
        <v>0</v>
      </c>
      <c r="AK1200" s="69">
        <v>0</v>
      </c>
      <c r="AL1200" s="60">
        <v>165000</v>
      </c>
      <c r="AM1200" s="60">
        <f t="shared" si="669"/>
        <v>165000</v>
      </c>
      <c r="AN1200" s="59">
        <v>165000</v>
      </c>
      <c r="AO1200" s="148">
        <f t="shared" si="670"/>
        <v>-165000</v>
      </c>
      <c r="AP1200" s="58">
        <v>0</v>
      </c>
      <c r="AQ1200" s="143">
        <f t="shared" si="671"/>
        <v>0</v>
      </c>
    </row>
    <row r="1201" spans="1:43" x14ac:dyDescent="0.35">
      <c r="A1201" s="69" t="s">
        <v>43</v>
      </c>
      <c r="B1201" s="15" t="s">
        <v>3816</v>
      </c>
      <c r="C1201" s="15"/>
      <c r="D1201" s="69"/>
      <c r="E1201" s="76">
        <v>0</v>
      </c>
      <c r="F1201" s="69" t="s">
        <v>2960</v>
      </c>
      <c r="G1201" s="132" t="s">
        <v>2961</v>
      </c>
      <c r="H1201" s="15">
        <v>9013000211</v>
      </c>
      <c r="I1201" s="92" t="s">
        <v>593</v>
      </c>
      <c r="J1201" s="92">
        <v>1202020101</v>
      </c>
      <c r="K1201" s="41"/>
      <c r="L1201" s="95" t="s">
        <v>3817</v>
      </c>
      <c r="M1201" s="69" t="s">
        <v>3818</v>
      </c>
      <c r="N1201" s="69"/>
      <c r="O1201" s="94">
        <v>1</v>
      </c>
      <c r="P1201" s="69" t="s">
        <v>50</v>
      </c>
      <c r="Q1201" s="69" t="s">
        <v>51</v>
      </c>
      <c r="R1201" s="69"/>
      <c r="S1201" s="46">
        <v>44124</v>
      </c>
      <c r="T1201" s="48">
        <v>44124</v>
      </c>
      <c r="U1201" s="69"/>
      <c r="V1201" s="69"/>
      <c r="W1201" s="69"/>
      <c r="X1201" s="69"/>
      <c r="Y1201" s="69" t="s">
        <v>4127</v>
      </c>
      <c r="Z1201" s="43">
        <v>332000</v>
      </c>
      <c r="AA1201" s="43" t="s">
        <v>52</v>
      </c>
      <c r="AB1201" s="43" t="s">
        <v>53</v>
      </c>
      <c r="AC1201" s="43">
        <v>1460</v>
      </c>
      <c r="AD1201" s="141">
        <v>4</v>
      </c>
      <c r="AE1201" s="142">
        <v>0</v>
      </c>
      <c r="AF1201" s="142"/>
      <c r="AG1201" s="69" t="str">
        <f t="shared" si="668"/>
        <v>4 years 0 days</v>
      </c>
      <c r="AH1201" s="69">
        <v>4</v>
      </c>
      <c r="AI1201" s="69">
        <v>0</v>
      </c>
      <c r="AJ1201" s="69">
        <v>0</v>
      </c>
      <c r="AK1201" s="69">
        <v>0</v>
      </c>
      <c r="AL1201" s="60">
        <v>332000</v>
      </c>
      <c r="AM1201" s="60">
        <f t="shared" si="669"/>
        <v>332000</v>
      </c>
      <c r="AN1201" s="59">
        <v>332000</v>
      </c>
      <c r="AO1201" s="148">
        <f t="shared" si="670"/>
        <v>-332000</v>
      </c>
      <c r="AP1201" s="58">
        <v>0</v>
      </c>
      <c r="AQ1201" s="143">
        <f t="shared" si="671"/>
        <v>0</v>
      </c>
    </row>
    <row r="1202" spans="1:43" x14ac:dyDescent="0.35">
      <c r="A1202" s="69" t="s">
        <v>43</v>
      </c>
      <c r="B1202" s="15" t="s">
        <v>3819</v>
      </c>
      <c r="C1202" s="15"/>
      <c r="D1202" s="69"/>
      <c r="E1202" s="76">
        <v>0</v>
      </c>
      <c r="F1202" s="69" t="s">
        <v>2960</v>
      </c>
      <c r="G1202" s="132" t="s">
        <v>2961</v>
      </c>
      <c r="H1202" s="15">
        <v>9013000211</v>
      </c>
      <c r="I1202" s="92" t="s">
        <v>593</v>
      </c>
      <c r="J1202" s="92">
        <v>1202020101</v>
      </c>
      <c r="K1202" s="41"/>
      <c r="L1202" s="95" t="s">
        <v>3820</v>
      </c>
      <c r="M1202" s="69" t="s">
        <v>3821</v>
      </c>
      <c r="N1202" s="69"/>
      <c r="O1202" s="94">
        <v>1</v>
      </c>
      <c r="P1202" s="69" t="s">
        <v>50</v>
      </c>
      <c r="Q1202" s="69" t="s">
        <v>51</v>
      </c>
      <c r="R1202" s="69"/>
      <c r="S1202" s="46">
        <v>44129</v>
      </c>
      <c r="T1202" s="48">
        <v>44129</v>
      </c>
      <c r="U1202" s="69"/>
      <c r="V1202" s="69"/>
      <c r="W1202" s="69"/>
      <c r="X1202" s="69"/>
      <c r="Y1202" s="69" t="s">
        <v>4127</v>
      </c>
      <c r="Z1202" s="43">
        <v>365000</v>
      </c>
      <c r="AA1202" s="43" t="s">
        <v>52</v>
      </c>
      <c r="AB1202" s="43" t="s">
        <v>53</v>
      </c>
      <c r="AC1202" s="43">
        <v>1460</v>
      </c>
      <c r="AD1202" s="141">
        <v>4</v>
      </c>
      <c r="AE1202" s="142">
        <v>0</v>
      </c>
      <c r="AF1202" s="142"/>
      <c r="AG1202" s="69" t="str">
        <f t="shared" si="668"/>
        <v>4 years 0 days</v>
      </c>
      <c r="AH1202" s="69">
        <v>4</v>
      </c>
      <c r="AI1202" s="69">
        <v>0</v>
      </c>
      <c r="AJ1202" s="69">
        <v>0</v>
      </c>
      <c r="AK1202" s="69">
        <v>0</v>
      </c>
      <c r="AL1202" s="60">
        <v>365000</v>
      </c>
      <c r="AM1202" s="60">
        <f t="shared" si="669"/>
        <v>365000</v>
      </c>
      <c r="AN1202" s="59">
        <v>365000</v>
      </c>
      <c r="AO1202" s="148">
        <f t="shared" si="670"/>
        <v>-365000</v>
      </c>
      <c r="AP1202" s="58">
        <v>0</v>
      </c>
      <c r="AQ1202" s="143">
        <f t="shared" si="671"/>
        <v>0</v>
      </c>
    </row>
    <row r="1203" spans="1:43" x14ac:dyDescent="0.35">
      <c r="A1203" s="69" t="s">
        <v>43</v>
      </c>
      <c r="B1203" s="15" t="s">
        <v>3822</v>
      </c>
      <c r="C1203" s="15"/>
      <c r="D1203" s="69"/>
      <c r="E1203" s="76">
        <v>0</v>
      </c>
      <c r="F1203" s="69" t="s">
        <v>2960</v>
      </c>
      <c r="G1203" s="132" t="s">
        <v>2961</v>
      </c>
      <c r="H1203" s="15">
        <v>9013000211</v>
      </c>
      <c r="I1203" s="92" t="s">
        <v>593</v>
      </c>
      <c r="J1203" s="92">
        <v>1202020101</v>
      </c>
      <c r="K1203" s="41"/>
      <c r="L1203" s="95" t="s">
        <v>3823</v>
      </c>
      <c r="M1203" s="69" t="s">
        <v>3824</v>
      </c>
      <c r="N1203" s="69"/>
      <c r="O1203" s="94">
        <v>1</v>
      </c>
      <c r="P1203" s="69" t="s">
        <v>50</v>
      </c>
      <c r="Q1203" s="69" t="s">
        <v>51</v>
      </c>
      <c r="R1203" s="69"/>
      <c r="S1203" s="46">
        <v>44129</v>
      </c>
      <c r="T1203" s="48">
        <v>44129</v>
      </c>
      <c r="U1203" s="69"/>
      <c r="V1203" s="69"/>
      <c r="W1203" s="69"/>
      <c r="X1203" s="69"/>
      <c r="Y1203" s="69" t="s">
        <v>4127</v>
      </c>
      <c r="Z1203" s="43">
        <v>234900</v>
      </c>
      <c r="AA1203" s="43" t="s">
        <v>52</v>
      </c>
      <c r="AB1203" s="43" t="s">
        <v>53</v>
      </c>
      <c r="AC1203" s="43">
        <v>1460</v>
      </c>
      <c r="AD1203" s="141">
        <v>4</v>
      </c>
      <c r="AE1203" s="142">
        <v>0</v>
      </c>
      <c r="AF1203" s="142"/>
      <c r="AG1203" s="69" t="str">
        <f t="shared" si="668"/>
        <v>4 years 0 days</v>
      </c>
      <c r="AH1203" s="69">
        <v>4</v>
      </c>
      <c r="AI1203" s="69">
        <v>0</v>
      </c>
      <c r="AJ1203" s="69">
        <v>0</v>
      </c>
      <c r="AK1203" s="69">
        <v>0</v>
      </c>
      <c r="AL1203" s="60">
        <v>234900</v>
      </c>
      <c r="AM1203" s="60">
        <f t="shared" si="669"/>
        <v>234900</v>
      </c>
      <c r="AN1203" s="59">
        <v>234900</v>
      </c>
      <c r="AO1203" s="148">
        <f t="shared" si="670"/>
        <v>-234900</v>
      </c>
      <c r="AP1203" s="58">
        <v>0</v>
      </c>
      <c r="AQ1203" s="143">
        <f t="shared" si="671"/>
        <v>0</v>
      </c>
    </row>
    <row r="1204" spans="1:43" x14ac:dyDescent="0.35">
      <c r="A1204" s="69" t="s">
        <v>43</v>
      </c>
      <c r="B1204" s="15" t="s">
        <v>3825</v>
      </c>
      <c r="C1204" s="15"/>
      <c r="D1204" s="69"/>
      <c r="E1204" s="76">
        <v>0</v>
      </c>
      <c r="F1204" s="69" t="s">
        <v>2960</v>
      </c>
      <c r="G1204" s="132" t="s">
        <v>2961</v>
      </c>
      <c r="H1204" s="15">
        <v>9013000211</v>
      </c>
      <c r="I1204" s="92" t="s">
        <v>593</v>
      </c>
      <c r="J1204" s="92">
        <v>1202020101</v>
      </c>
      <c r="K1204" s="41"/>
      <c r="L1204" s="95" t="s">
        <v>3826</v>
      </c>
      <c r="M1204" s="69" t="s">
        <v>3827</v>
      </c>
      <c r="N1204" s="69"/>
      <c r="O1204" s="94">
        <v>1</v>
      </c>
      <c r="P1204" s="69" t="s">
        <v>50</v>
      </c>
      <c r="Q1204" s="69" t="s">
        <v>51</v>
      </c>
      <c r="R1204" s="69"/>
      <c r="S1204" s="46">
        <v>44147</v>
      </c>
      <c r="T1204" s="48">
        <v>44147</v>
      </c>
      <c r="U1204" s="69"/>
      <c r="V1204" s="69"/>
      <c r="W1204" s="69"/>
      <c r="X1204" s="69"/>
      <c r="Y1204" s="69" t="s">
        <v>4127</v>
      </c>
      <c r="Z1204" s="43">
        <v>220000</v>
      </c>
      <c r="AA1204" s="43" t="s">
        <v>52</v>
      </c>
      <c r="AB1204" s="43" t="s">
        <v>53</v>
      </c>
      <c r="AC1204" s="43">
        <v>1460</v>
      </c>
      <c r="AD1204" s="141">
        <v>4</v>
      </c>
      <c r="AE1204" s="142">
        <v>0</v>
      </c>
      <c r="AF1204" s="142"/>
      <c r="AG1204" s="69" t="str">
        <f t="shared" si="668"/>
        <v>4 years 0 days</v>
      </c>
      <c r="AH1204" s="69">
        <v>4</v>
      </c>
      <c r="AI1204" s="69">
        <v>0</v>
      </c>
      <c r="AJ1204" s="69">
        <v>0</v>
      </c>
      <c r="AK1204" s="69">
        <v>0</v>
      </c>
      <c r="AL1204" s="60">
        <v>220000</v>
      </c>
      <c r="AM1204" s="60">
        <f t="shared" si="669"/>
        <v>220000</v>
      </c>
      <c r="AN1204" s="59">
        <v>220000</v>
      </c>
      <c r="AO1204" s="148">
        <f t="shared" si="670"/>
        <v>-220000</v>
      </c>
      <c r="AP1204" s="58">
        <v>0</v>
      </c>
      <c r="AQ1204" s="143">
        <f t="shared" si="671"/>
        <v>0</v>
      </c>
    </row>
    <row r="1205" spans="1:43" x14ac:dyDescent="0.35">
      <c r="A1205" s="69" t="s">
        <v>43</v>
      </c>
      <c r="B1205" s="15" t="s">
        <v>3828</v>
      </c>
      <c r="C1205" s="15"/>
      <c r="D1205" s="69"/>
      <c r="E1205" s="76">
        <v>0</v>
      </c>
      <c r="F1205" s="69" t="s">
        <v>2960</v>
      </c>
      <c r="G1205" s="132" t="s">
        <v>2961</v>
      </c>
      <c r="H1205" s="15">
        <v>9013000211</v>
      </c>
      <c r="I1205" s="92" t="s">
        <v>593</v>
      </c>
      <c r="J1205" s="92">
        <v>1202020101</v>
      </c>
      <c r="K1205" s="41"/>
      <c r="L1205" s="95" t="s">
        <v>3829</v>
      </c>
      <c r="M1205" s="69" t="s">
        <v>3830</v>
      </c>
      <c r="N1205" s="69"/>
      <c r="O1205" s="94">
        <v>1</v>
      </c>
      <c r="P1205" s="69" t="s">
        <v>50</v>
      </c>
      <c r="Q1205" s="69" t="s">
        <v>51</v>
      </c>
      <c r="R1205" s="69"/>
      <c r="S1205" s="46">
        <v>44198</v>
      </c>
      <c r="T1205" s="48">
        <v>44198</v>
      </c>
      <c r="U1205" s="69"/>
      <c r="V1205" s="69"/>
      <c r="W1205" s="69"/>
      <c r="X1205" s="69"/>
      <c r="Y1205" s="69" t="s">
        <v>4128</v>
      </c>
      <c r="Z1205" s="43">
        <v>87120</v>
      </c>
      <c r="AA1205" s="43" t="s">
        <v>52</v>
      </c>
      <c r="AB1205" s="43" t="s">
        <v>53</v>
      </c>
      <c r="AC1205" s="43">
        <v>1460</v>
      </c>
      <c r="AD1205" s="141">
        <v>4</v>
      </c>
      <c r="AE1205" s="142">
        <v>0</v>
      </c>
      <c r="AF1205" s="142"/>
      <c r="AG1205" s="69" t="str">
        <f t="shared" si="668"/>
        <v>4 years 0 days</v>
      </c>
      <c r="AH1205" s="69">
        <v>4</v>
      </c>
      <c r="AI1205" s="69">
        <v>0</v>
      </c>
      <c r="AJ1205" s="69">
        <v>0</v>
      </c>
      <c r="AK1205" s="69">
        <v>0</v>
      </c>
      <c r="AL1205" s="60">
        <v>87120</v>
      </c>
      <c r="AM1205" s="60">
        <f t="shared" si="669"/>
        <v>87120</v>
      </c>
      <c r="AN1205" s="59">
        <v>87120</v>
      </c>
      <c r="AO1205" s="148">
        <f t="shared" si="670"/>
        <v>-87120</v>
      </c>
      <c r="AP1205" s="58">
        <v>0</v>
      </c>
      <c r="AQ1205" s="143">
        <f t="shared" si="671"/>
        <v>0</v>
      </c>
    </row>
    <row r="1206" spans="1:43" x14ac:dyDescent="0.35">
      <c r="A1206" s="69" t="s">
        <v>43</v>
      </c>
      <c r="B1206" s="15" t="s">
        <v>3831</v>
      </c>
      <c r="C1206" s="15"/>
      <c r="D1206" s="69"/>
      <c r="E1206" s="76">
        <v>0</v>
      </c>
      <c r="F1206" s="69" t="s">
        <v>2960</v>
      </c>
      <c r="G1206" s="132" t="s">
        <v>2961</v>
      </c>
      <c r="H1206" s="15">
        <v>9013000211</v>
      </c>
      <c r="I1206" s="92" t="s">
        <v>593</v>
      </c>
      <c r="J1206" s="92">
        <v>1202020101</v>
      </c>
      <c r="K1206" s="41"/>
      <c r="L1206" s="95" t="s">
        <v>3832</v>
      </c>
      <c r="M1206" s="69" t="s">
        <v>3359</v>
      </c>
      <c r="N1206" s="69"/>
      <c r="O1206" s="94">
        <v>1</v>
      </c>
      <c r="P1206" s="69" t="s">
        <v>50</v>
      </c>
      <c r="Q1206" s="69" t="s">
        <v>51</v>
      </c>
      <c r="R1206" s="69"/>
      <c r="S1206" s="46">
        <v>44215</v>
      </c>
      <c r="T1206" s="48">
        <v>44215</v>
      </c>
      <c r="U1206" s="69"/>
      <c r="V1206" s="69"/>
      <c r="W1206" s="69"/>
      <c r="X1206" s="69"/>
      <c r="Y1206" s="69" t="s">
        <v>4128</v>
      </c>
      <c r="Z1206" s="43">
        <v>320000</v>
      </c>
      <c r="AA1206" s="43" t="s">
        <v>52</v>
      </c>
      <c r="AB1206" s="43" t="s">
        <v>53</v>
      </c>
      <c r="AC1206" s="43">
        <v>1460</v>
      </c>
      <c r="AD1206" s="141">
        <v>4</v>
      </c>
      <c r="AE1206" s="142">
        <v>0</v>
      </c>
      <c r="AF1206" s="142"/>
      <c r="AG1206" s="69" t="str">
        <f t="shared" si="668"/>
        <v>3 years 348 days</v>
      </c>
      <c r="AH1206" s="69">
        <v>3</v>
      </c>
      <c r="AI1206" s="69">
        <v>348</v>
      </c>
      <c r="AJ1206" s="69">
        <v>0</v>
      </c>
      <c r="AK1206" s="69">
        <v>0</v>
      </c>
      <c r="AL1206" s="60">
        <v>320000</v>
      </c>
      <c r="AM1206" s="60">
        <f t="shared" si="669"/>
        <v>320000</v>
      </c>
      <c r="AN1206" s="59">
        <v>316274</v>
      </c>
      <c r="AO1206" s="148">
        <f t="shared" si="670"/>
        <v>-316274</v>
      </c>
      <c r="AP1206" s="58">
        <v>3726</v>
      </c>
      <c r="AQ1206" s="143">
        <f t="shared" si="671"/>
        <v>-3726</v>
      </c>
    </row>
    <row r="1207" spans="1:43" x14ac:dyDescent="0.35">
      <c r="A1207" s="69" t="s">
        <v>43</v>
      </c>
      <c r="B1207" s="15" t="s">
        <v>3833</v>
      </c>
      <c r="C1207" s="15"/>
      <c r="D1207" s="69"/>
      <c r="E1207" s="76">
        <v>0</v>
      </c>
      <c r="F1207" s="69" t="s">
        <v>2960</v>
      </c>
      <c r="G1207" s="132" t="s">
        <v>2961</v>
      </c>
      <c r="H1207" s="15">
        <v>9013000211</v>
      </c>
      <c r="I1207" s="92" t="s">
        <v>593</v>
      </c>
      <c r="J1207" s="92">
        <v>1202020101</v>
      </c>
      <c r="K1207" s="41"/>
      <c r="L1207" s="95" t="s">
        <v>3834</v>
      </c>
      <c r="M1207" s="69" t="s">
        <v>3835</v>
      </c>
      <c r="N1207" s="69"/>
      <c r="O1207" s="94">
        <v>1</v>
      </c>
      <c r="P1207" s="69" t="s">
        <v>50</v>
      </c>
      <c r="Q1207" s="69" t="s">
        <v>51</v>
      </c>
      <c r="R1207" s="69"/>
      <c r="S1207" s="46">
        <v>44245</v>
      </c>
      <c r="T1207" s="48">
        <v>44245</v>
      </c>
      <c r="U1207" s="69"/>
      <c r="V1207" s="69"/>
      <c r="W1207" s="69"/>
      <c r="X1207" s="69"/>
      <c r="Y1207" s="69" t="s">
        <v>4128</v>
      </c>
      <c r="Z1207" s="43">
        <v>46000</v>
      </c>
      <c r="AA1207" s="43" t="s">
        <v>52</v>
      </c>
      <c r="AB1207" s="43" t="s">
        <v>53</v>
      </c>
      <c r="AC1207" s="43">
        <v>1460</v>
      </c>
      <c r="AD1207" s="141">
        <v>4</v>
      </c>
      <c r="AE1207" s="142">
        <v>0</v>
      </c>
      <c r="AF1207" s="142"/>
      <c r="AG1207" s="69" t="str">
        <f t="shared" si="668"/>
        <v>3 years 318 days</v>
      </c>
      <c r="AH1207" s="69">
        <v>3</v>
      </c>
      <c r="AI1207" s="69">
        <v>318</v>
      </c>
      <c r="AJ1207" s="69">
        <v>0</v>
      </c>
      <c r="AK1207" s="69">
        <v>0</v>
      </c>
      <c r="AL1207" s="60">
        <v>46000</v>
      </c>
      <c r="AM1207" s="60">
        <f t="shared" si="669"/>
        <v>46000</v>
      </c>
      <c r="AN1207" s="59">
        <v>44519</v>
      </c>
      <c r="AO1207" s="148">
        <f t="shared" si="670"/>
        <v>-44519</v>
      </c>
      <c r="AP1207" s="58">
        <v>1481</v>
      </c>
      <c r="AQ1207" s="143">
        <f t="shared" si="671"/>
        <v>-1481</v>
      </c>
    </row>
    <row r="1208" spans="1:43" x14ac:dyDescent="0.35">
      <c r="A1208" s="69" t="s">
        <v>43</v>
      </c>
      <c r="B1208" s="15" t="s">
        <v>3836</v>
      </c>
      <c r="C1208" s="15"/>
      <c r="D1208" s="69"/>
      <c r="E1208" s="76">
        <v>0</v>
      </c>
      <c r="F1208" s="69" t="s">
        <v>2960</v>
      </c>
      <c r="G1208" s="132" t="s">
        <v>2961</v>
      </c>
      <c r="H1208" s="15">
        <v>9013000211</v>
      </c>
      <c r="I1208" s="92" t="s">
        <v>593</v>
      </c>
      <c r="J1208" s="92">
        <v>1202020101</v>
      </c>
      <c r="K1208" s="41"/>
      <c r="L1208" s="95" t="s">
        <v>3837</v>
      </c>
      <c r="M1208" s="69" t="s">
        <v>3838</v>
      </c>
      <c r="N1208" s="69"/>
      <c r="O1208" s="94">
        <v>1</v>
      </c>
      <c r="P1208" s="69" t="s">
        <v>50</v>
      </c>
      <c r="Q1208" s="69" t="s">
        <v>51</v>
      </c>
      <c r="R1208" s="69"/>
      <c r="S1208" s="46">
        <v>44245</v>
      </c>
      <c r="T1208" s="48">
        <v>44245</v>
      </c>
      <c r="U1208" s="69"/>
      <c r="V1208" s="69"/>
      <c r="W1208" s="69"/>
      <c r="X1208" s="69"/>
      <c r="Y1208" s="69" t="s">
        <v>4128</v>
      </c>
      <c r="Z1208" s="43">
        <v>184000</v>
      </c>
      <c r="AA1208" s="43" t="s">
        <v>52</v>
      </c>
      <c r="AB1208" s="43" t="s">
        <v>53</v>
      </c>
      <c r="AC1208" s="43">
        <v>1460</v>
      </c>
      <c r="AD1208" s="141">
        <v>4</v>
      </c>
      <c r="AE1208" s="142">
        <v>0</v>
      </c>
      <c r="AF1208" s="142"/>
      <c r="AG1208" s="69" t="str">
        <f t="shared" si="668"/>
        <v>3 years 318 days</v>
      </c>
      <c r="AH1208" s="69">
        <v>3</v>
      </c>
      <c r="AI1208" s="69">
        <v>318</v>
      </c>
      <c r="AJ1208" s="69">
        <v>0</v>
      </c>
      <c r="AK1208" s="69">
        <v>0</v>
      </c>
      <c r="AL1208" s="60">
        <v>184000</v>
      </c>
      <c r="AM1208" s="60">
        <f t="shared" si="669"/>
        <v>184000</v>
      </c>
      <c r="AN1208" s="59">
        <v>178077</v>
      </c>
      <c r="AO1208" s="148">
        <f t="shared" si="670"/>
        <v>-178077</v>
      </c>
      <c r="AP1208" s="58">
        <v>5923</v>
      </c>
      <c r="AQ1208" s="143">
        <f t="shared" si="671"/>
        <v>-5923</v>
      </c>
    </row>
    <row r="1209" spans="1:43" x14ac:dyDescent="0.35">
      <c r="A1209" s="69" t="s">
        <v>43</v>
      </c>
      <c r="B1209" s="15" t="s">
        <v>3839</v>
      </c>
      <c r="C1209" s="15"/>
      <c r="D1209" s="69"/>
      <c r="E1209" s="76">
        <v>0</v>
      </c>
      <c r="F1209" s="69" t="s">
        <v>2960</v>
      </c>
      <c r="G1209" s="132" t="s">
        <v>2961</v>
      </c>
      <c r="H1209" s="15">
        <v>9013000211</v>
      </c>
      <c r="I1209" s="92" t="s">
        <v>593</v>
      </c>
      <c r="J1209" s="92">
        <v>1202020101</v>
      </c>
      <c r="K1209" s="41"/>
      <c r="L1209" s="95" t="s">
        <v>3840</v>
      </c>
      <c r="M1209" s="69" t="s">
        <v>3841</v>
      </c>
      <c r="N1209" s="69"/>
      <c r="O1209" s="94">
        <v>1</v>
      </c>
      <c r="P1209" s="69" t="s">
        <v>50</v>
      </c>
      <c r="Q1209" s="69" t="s">
        <v>51</v>
      </c>
      <c r="R1209" s="69"/>
      <c r="S1209" s="46">
        <v>44285</v>
      </c>
      <c r="T1209" s="48">
        <v>44285</v>
      </c>
      <c r="U1209" s="69"/>
      <c r="V1209" s="69"/>
      <c r="W1209" s="69"/>
      <c r="X1209" s="69"/>
      <c r="Y1209" s="69" t="s">
        <v>4128</v>
      </c>
      <c r="Z1209" s="43">
        <v>21000</v>
      </c>
      <c r="AA1209" s="43" t="s">
        <v>52</v>
      </c>
      <c r="AB1209" s="43" t="s">
        <v>53</v>
      </c>
      <c r="AC1209" s="43">
        <v>1460</v>
      </c>
      <c r="AD1209" s="141">
        <v>4</v>
      </c>
      <c r="AE1209" s="142">
        <v>0</v>
      </c>
      <c r="AF1209" s="142"/>
      <c r="AG1209" s="69" t="str">
        <f t="shared" si="668"/>
        <v>3 years 278 days</v>
      </c>
      <c r="AH1209" s="69">
        <v>3</v>
      </c>
      <c r="AI1209" s="69">
        <v>278</v>
      </c>
      <c r="AJ1209" s="69">
        <v>0</v>
      </c>
      <c r="AK1209" s="69">
        <v>0</v>
      </c>
      <c r="AL1209" s="60">
        <v>21000</v>
      </c>
      <c r="AM1209" s="60">
        <f t="shared" si="669"/>
        <v>21000</v>
      </c>
      <c r="AN1209" s="59">
        <v>19749</v>
      </c>
      <c r="AO1209" s="148">
        <f t="shared" si="670"/>
        <v>-19749</v>
      </c>
      <c r="AP1209" s="58">
        <v>1251</v>
      </c>
      <c r="AQ1209" s="143">
        <f t="shared" si="671"/>
        <v>-1251</v>
      </c>
    </row>
    <row r="1210" spans="1:43" x14ac:dyDescent="0.35">
      <c r="A1210" s="69" t="s">
        <v>43</v>
      </c>
      <c r="B1210" s="15" t="s">
        <v>3842</v>
      </c>
      <c r="C1210" s="15"/>
      <c r="D1210" s="69"/>
      <c r="E1210" s="76">
        <v>0</v>
      </c>
      <c r="F1210" s="69" t="s">
        <v>2960</v>
      </c>
      <c r="G1210" s="132" t="s">
        <v>2961</v>
      </c>
      <c r="H1210" s="15">
        <v>9013000211</v>
      </c>
      <c r="I1210" s="92" t="s">
        <v>593</v>
      </c>
      <c r="J1210" s="92">
        <v>1202020101</v>
      </c>
      <c r="K1210" s="41"/>
      <c r="L1210" s="95" t="s">
        <v>3843</v>
      </c>
      <c r="M1210" s="69" t="s">
        <v>3844</v>
      </c>
      <c r="N1210" s="69"/>
      <c r="O1210" s="94">
        <v>1</v>
      </c>
      <c r="P1210" s="69" t="s">
        <v>50</v>
      </c>
      <c r="Q1210" s="69" t="s">
        <v>51</v>
      </c>
      <c r="R1210" s="69"/>
      <c r="S1210" s="46">
        <v>44326</v>
      </c>
      <c r="T1210" s="48">
        <v>44326</v>
      </c>
      <c r="U1210" s="69"/>
      <c r="V1210" s="69"/>
      <c r="W1210" s="69"/>
      <c r="X1210" s="69"/>
      <c r="Y1210" s="69" t="s">
        <v>4128</v>
      </c>
      <c r="Z1210" s="43">
        <v>583975</v>
      </c>
      <c r="AA1210" s="43" t="s">
        <v>52</v>
      </c>
      <c r="AB1210" s="43" t="s">
        <v>53</v>
      </c>
      <c r="AC1210" s="43">
        <v>1460</v>
      </c>
      <c r="AD1210" s="141">
        <v>4</v>
      </c>
      <c r="AE1210" s="142">
        <v>0</v>
      </c>
      <c r="AF1210" s="142"/>
      <c r="AG1210" s="69" t="str">
        <f t="shared" si="668"/>
        <v>3 years 237 days</v>
      </c>
      <c r="AH1210" s="69">
        <v>3</v>
      </c>
      <c r="AI1210" s="69">
        <v>237</v>
      </c>
      <c r="AJ1210" s="69">
        <v>0</v>
      </c>
      <c r="AK1210" s="69">
        <v>0</v>
      </c>
      <c r="AL1210" s="60">
        <v>583975</v>
      </c>
      <c r="AM1210" s="60">
        <f t="shared" si="669"/>
        <v>583975</v>
      </c>
      <c r="AN1210" s="59">
        <v>532777</v>
      </c>
      <c r="AO1210" s="148">
        <f t="shared" si="670"/>
        <v>-532777</v>
      </c>
      <c r="AP1210" s="58">
        <v>51198</v>
      </c>
      <c r="AQ1210" s="143">
        <f t="shared" si="671"/>
        <v>-51198</v>
      </c>
    </row>
    <row r="1211" spans="1:43" x14ac:dyDescent="0.35">
      <c r="A1211" s="69" t="s">
        <v>43</v>
      </c>
      <c r="B1211" s="15" t="s">
        <v>3845</v>
      </c>
      <c r="C1211" s="15"/>
      <c r="D1211" s="69"/>
      <c r="E1211" s="76">
        <v>0</v>
      </c>
      <c r="F1211" s="69" t="s">
        <v>2960</v>
      </c>
      <c r="G1211" s="132" t="s">
        <v>2961</v>
      </c>
      <c r="H1211" s="15">
        <v>9013000211</v>
      </c>
      <c r="I1211" s="92" t="s">
        <v>593</v>
      </c>
      <c r="J1211" s="92">
        <v>1202020101</v>
      </c>
      <c r="K1211" s="41"/>
      <c r="L1211" s="95" t="s">
        <v>3846</v>
      </c>
      <c r="M1211" s="69" t="s">
        <v>3847</v>
      </c>
      <c r="N1211" s="69"/>
      <c r="O1211" s="94">
        <v>1</v>
      </c>
      <c r="P1211" s="69" t="s">
        <v>50</v>
      </c>
      <c r="Q1211" s="69" t="s">
        <v>51</v>
      </c>
      <c r="R1211" s="69"/>
      <c r="S1211" s="46">
        <v>44434</v>
      </c>
      <c r="T1211" s="48">
        <v>44434</v>
      </c>
      <c r="U1211" s="69"/>
      <c r="V1211" s="69"/>
      <c r="W1211" s="69"/>
      <c r="X1211" s="69"/>
      <c r="Y1211" s="69" t="s">
        <v>4128</v>
      </c>
      <c r="Z1211" s="43">
        <v>385000</v>
      </c>
      <c r="AA1211" s="43" t="s">
        <v>52</v>
      </c>
      <c r="AB1211" s="43" t="s">
        <v>53</v>
      </c>
      <c r="AC1211" s="43">
        <v>1460</v>
      </c>
      <c r="AD1211" s="141">
        <v>4</v>
      </c>
      <c r="AE1211" s="142">
        <v>0</v>
      </c>
      <c r="AF1211" s="142"/>
      <c r="AG1211" s="69" t="str">
        <f t="shared" si="668"/>
        <v>3 years 129 days</v>
      </c>
      <c r="AH1211" s="69">
        <v>3</v>
      </c>
      <c r="AI1211" s="69">
        <v>129</v>
      </c>
      <c r="AJ1211" s="69">
        <v>0</v>
      </c>
      <c r="AK1211" s="69">
        <v>0</v>
      </c>
      <c r="AL1211" s="60">
        <v>385000</v>
      </c>
      <c r="AM1211" s="60">
        <f t="shared" si="669"/>
        <v>385000</v>
      </c>
      <c r="AN1211" s="59">
        <v>322767</v>
      </c>
      <c r="AO1211" s="148">
        <f t="shared" si="670"/>
        <v>-322767</v>
      </c>
      <c r="AP1211" s="58">
        <v>47729.575342465774</v>
      </c>
      <c r="AQ1211" s="143">
        <f t="shared" si="671"/>
        <v>-47729.58</v>
      </c>
    </row>
    <row r="1212" spans="1:43" x14ac:dyDescent="0.35">
      <c r="A1212" s="69" t="s">
        <v>43</v>
      </c>
      <c r="B1212" s="15" t="s">
        <v>3848</v>
      </c>
      <c r="C1212" s="15"/>
      <c r="D1212" s="69"/>
      <c r="E1212" s="76">
        <v>0</v>
      </c>
      <c r="F1212" s="69" t="s">
        <v>2960</v>
      </c>
      <c r="G1212" s="132" t="s">
        <v>2961</v>
      </c>
      <c r="H1212" s="15">
        <v>9013000211</v>
      </c>
      <c r="I1212" s="92" t="s">
        <v>593</v>
      </c>
      <c r="J1212" s="92">
        <v>1202020101</v>
      </c>
      <c r="K1212" s="41"/>
      <c r="L1212" s="95" t="s">
        <v>3849</v>
      </c>
      <c r="M1212" s="69" t="s">
        <v>3850</v>
      </c>
      <c r="N1212" s="69"/>
      <c r="O1212" s="94">
        <v>1</v>
      </c>
      <c r="P1212" s="69" t="s">
        <v>50</v>
      </c>
      <c r="Q1212" s="69" t="s">
        <v>51</v>
      </c>
      <c r="R1212" s="69"/>
      <c r="S1212" s="46">
        <v>44436</v>
      </c>
      <c r="T1212" s="48">
        <v>44436</v>
      </c>
      <c r="U1212" s="69"/>
      <c r="V1212" s="69"/>
      <c r="W1212" s="69"/>
      <c r="X1212" s="69"/>
      <c r="Y1212" s="69" t="s">
        <v>4128</v>
      </c>
      <c r="Z1212" s="43">
        <v>353000</v>
      </c>
      <c r="AA1212" s="43" t="s">
        <v>52</v>
      </c>
      <c r="AB1212" s="43" t="s">
        <v>53</v>
      </c>
      <c r="AC1212" s="43">
        <v>1460</v>
      </c>
      <c r="AD1212" s="141">
        <v>4</v>
      </c>
      <c r="AE1212" s="142">
        <v>0</v>
      </c>
      <c r="AF1212" s="142"/>
      <c r="AG1212" s="69" t="str">
        <f t="shared" si="668"/>
        <v>3 years 127 days</v>
      </c>
      <c r="AH1212" s="69">
        <v>3</v>
      </c>
      <c r="AI1212" s="69">
        <v>127</v>
      </c>
      <c r="AJ1212" s="69">
        <v>0</v>
      </c>
      <c r="AK1212" s="69">
        <v>0</v>
      </c>
      <c r="AL1212" s="60">
        <v>353000</v>
      </c>
      <c r="AM1212" s="60">
        <f t="shared" si="669"/>
        <v>353000</v>
      </c>
      <c r="AN1212" s="59">
        <v>295456</v>
      </c>
      <c r="AO1212" s="148">
        <f t="shared" si="670"/>
        <v>-295456</v>
      </c>
      <c r="AP1212" s="58">
        <v>43762.493150684924</v>
      </c>
      <c r="AQ1212" s="143">
        <f t="shared" si="671"/>
        <v>-43762.49</v>
      </c>
    </row>
    <row r="1213" spans="1:43" x14ac:dyDescent="0.35">
      <c r="A1213" s="69" t="s">
        <v>43</v>
      </c>
      <c r="B1213" s="15" t="s">
        <v>3851</v>
      </c>
      <c r="C1213" s="15"/>
      <c r="D1213" s="69"/>
      <c r="E1213" s="76">
        <v>0</v>
      </c>
      <c r="F1213" s="69" t="s">
        <v>2960</v>
      </c>
      <c r="G1213" s="132" t="s">
        <v>2961</v>
      </c>
      <c r="H1213" s="15">
        <v>9013000211</v>
      </c>
      <c r="I1213" s="92" t="s">
        <v>593</v>
      </c>
      <c r="J1213" s="92">
        <v>1202020101</v>
      </c>
      <c r="K1213" s="41"/>
      <c r="L1213" s="95" t="s">
        <v>3852</v>
      </c>
      <c r="M1213" s="69" t="s">
        <v>3853</v>
      </c>
      <c r="N1213" s="69"/>
      <c r="O1213" s="94">
        <v>1</v>
      </c>
      <c r="P1213" s="69" t="s">
        <v>50</v>
      </c>
      <c r="Q1213" s="69" t="s">
        <v>51</v>
      </c>
      <c r="R1213" s="69"/>
      <c r="S1213" s="46">
        <v>44438</v>
      </c>
      <c r="T1213" s="48">
        <v>44438</v>
      </c>
      <c r="U1213" s="69"/>
      <c r="V1213" s="69"/>
      <c r="W1213" s="69"/>
      <c r="X1213" s="69"/>
      <c r="Y1213" s="69" t="s">
        <v>4128</v>
      </c>
      <c r="Z1213" s="43">
        <v>20250</v>
      </c>
      <c r="AA1213" s="43" t="s">
        <v>52</v>
      </c>
      <c r="AB1213" s="43" t="s">
        <v>53</v>
      </c>
      <c r="AC1213" s="43">
        <v>1460</v>
      </c>
      <c r="AD1213" s="141">
        <v>4</v>
      </c>
      <c r="AE1213" s="142">
        <v>0</v>
      </c>
      <c r="AF1213" s="142"/>
      <c r="AG1213" s="69" t="str">
        <f t="shared" si="668"/>
        <v>3 years 125 days</v>
      </c>
      <c r="AH1213" s="69">
        <v>3</v>
      </c>
      <c r="AI1213" s="69">
        <v>125</v>
      </c>
      <c r="AJ1213" s="69">
        <v>0</v>
      </c>
      <c r="AK1213" s="69">
        <v>0</v>
      </c>
      <c r="AL1213" s="60">
        <v>20250</v>
      </c>
      <c r="AM1213" s="60">
        <f t="shared" si="669"/>
        <v>20250</v>
      </c>
      <c r="AN1213" s="59">
        <v>16921</v>
      </c>
      <c r="AO1213" s="148">
        <f t="shared" si="670"/>
        <v>-16921</v>
      </c>
      <c r="AP1213" s="58">
        <v>2510.6780821917819</v>
      </c>
      <c r="AQ1213" s="143">
        <f t="shared" si="671"/>
        <v>-2510.6799999999998</v>
      </c>
    </row>
    <row r="1214" spans="1:43" x14ac:dyDescent="0.35">
      <c r="A1214" s="69" t="s">
        <v>43</v>
      </c>
      <c r="B1214" s="15" t="s">
        <v>3854</v>
      </c>
      <c r="C1214" s="15"/>
      <c r="D1214" s="69"/>
      <c r="E1214" s="76">
        <v>0</v>
      </c>
      <c r="F1214" s="69" t="s">
        <v>2960</v>
      </c>
      <c r="G1214" s="132" t="s">
        <v>2961</v>
      </c>
      <c r="H1214" s="15">
        <v>9013000211</v>
      </c>
      <c r="I1214" s="92" t="s">
        <v>593</v>
      </c>
      <c r="J1214" s="92">
        <v>1202020101</v>
      </c>
      <c r="K1214" s="41"/>
      <c r="L1214" s="95" t="s">
        <v>3855</v>
      </c>
      <c r="M1214" s="69" t="s">
        <v>3856</v>
      </c>
      <c r="N1214" s="69"/>
      <c r="O1214" s="94">
        <v>1</v>
      </c>
      <c r="P1214" s="69" t="s">
        <v>50</v>
      </c>
      <c r="Q1214" s="69" t="s">
        <v>51</v>
      </c>
      <c r="R1214" s="69"/>
      <c r="S1214" s="46">
        <v>44531</v>
      </c>
      <c r="T1214" s="48">
        <v>44531</v>
      </c>
      <c r="U1214" s="69"/>
      <c r="V1214" s="69"/>
      <c r="W1214" s="69"/>
      <c r="X1214" s="69"/>
      <c r="Y1214" s="69" t="s">
        <v>4128</v>
      </c>
      <c r="Z1214" s="43">
        <v>89640</v>
      </c>
      <c r="AA1214" s="43" t="s">
        <v>52</v>
      </c>
      <c r="AB1214" s="43" t="s">
        <v>53</v>
      </c>
      <c r="AC1214" s="43">
        <v>1460</v>
      </c>
      <c r="AD1214" s="141">
        <v>4</v>
      </c>
      <c r="AE1214" s="142">
        <v>0</v>
      </c>
      <c r="AF1214" s="142"/>
      <c r="AG1214" s="69" t="str">
        <f t="shared" si="668"/>
        <v>3 years 32 days</v>
      </c>
      <c r="AH1214" s="69">
        <v>3</v>
      </c>
      <c r="AI1214" s="69">
        <v>32</v>
      </c>
      <c r="AJ1214" s="69">
        <v>0</v>
      </c>
      <c r="AK1214" s="69">
        <v>0</v>
      </c>
      <c r="AL1214" s="60">
        <v>89640</v>
      </c>
      <c r="AM1214" s="60">
        <f t="shared" si="669"/>
        <v>89640</v>
      </c>
      <c r="AN1214" s="59">
        <v>69195</v>
      </c>
      <c r="AO1214" s="148">
        <f t="shared" si="670"/>
        <v>-69195</v>
      </c>
      <c r="AP1214" s="58">
        <v>11112.616438356155</v>
      </c>
      <c r="AQ1214" s="143">
        <f t="shared" si="671"/>
        <v>-11112.62</v>
      </c>
    </row>
    <row r="1215" spans="1:43" x14ac:dyDescent="0.35">
      <c r="A1215" s="69" t="s">
        <v>43</v>
      </c>
      <c r="B1215" s="15" t="s">
        <v>3857</v>
      </c>
      <c r="C1215" s="15"/>
      <c r="D1215" s="69"/>
      <c r="E1215" s="76">
        <v>0</v>
      </c>
      <c r="F1215" s="69" t="s">
        <v>2960</v>
      </c>
      <c r="G1215" s="132" t="s">
        <v>2961</v>
      </c>
      <c r="H1215" s="15">
        <v>9013000211</v>
      </c>
      <c r="I1215" s="92" t="s">
        <v>593</v>
      </c>
      <c r="J1215" s="92">
        <v>1202020101</v>
      </c>
      <c r="K1215" s="41"/>
      <c r="L1215" s="95" t="s">
        <v>3858</v>
      </c>
      <c r="M1215" s="69" t="s">
        <v>3859</v>
      </c>
      <c r="N1215" s="69"/>
      <c r="O1215" s="94">
        <v>1</v>
      </c>
      <c r="P1215" s="69" t="s">
        <v>50</v>
      </c>
      <c r="Q1215" s="69" t="s">
        <v>51</v>
      </c>
      <c r="R1215" s="69"/>
      <c r="S1215" s="46">
        <v>44531</v>
      </c>
      <c r="T1215" s="48">
        <v>44531</v>
      </c>
      <c r="U1215" s="69"/>
      <c r="V1215" s="69"/>
      <c r="W1215" s="69"/>
      <c r="X1215" s="69"/>
      <c r="Y1215" s="69" t="s">
        <v>4128</v>
      </c>
      <c r="Z1215" s="43">
        <v>30150</v>
      </c>
      <c r="AA1215" s="43" t="s">
        <v>52</v>
      </c>
      <c r="AB1215" s="43" t="s">
        <v>53</v>
      </c>
      <c r="AC1215" s="43">
        <v>1460</v>
      </c>
      <c r="AD1215" s="141">
        <v>4</v>
      </c>
      <c r="AE1215" s="142">
        <v>0</v>
      </c>
      <c r="AF1215" s="142"/>
      <c r="AG1215" s="69" t="str">
        <f t="shared" si="668"/>
        <v>3 years 32 days</v>
      </c>
      <c r="AH1215" s="69">
        <v>3</v>
      </c>
      <c r="AI1215" s="69">
        <v>32</v>
      </c>
      <c r="AJ1215" s="69">
        <v>0</v>
      </c>
      <c r="AK1215" s="69">
        <v>0</v>
      </c>
      <c r="AL1215" s="60">
        <v>30150</v>
      </c>
      <c r="AM1215" s="60">
        <f t="shared" si="669"/>
        <v>30150</v>
      </c>
      <c r="AN1215" s="59">
        <v>23273</v>
      </c>
      <c r="AO1215" s="148">
        <f t="shared" si="670"/>
        <v>-23273</v>
      </c>
      <c r="AP1215" s="58">
        <v>3738.0958904109611</v>
      </c>
      <c r="AQ1215" s="143">
        <f t="shared" si="671"/>
        <v>-3738.1</v>
      </c>
    </row>
    <row r="1216" spans="1:43" x14ac:dyDescent="0.35">
      <c r="A1216" s="69" t="s">
        <v>43</v>
      </c>
      <c r="B1216" s="15" t="s">
        <v>3860</v>
      </c>
      <c r="C1216" s="15"/>
      <c r="D1216" s="69"/>
      <c r="E1216" s="76">
        <v>0</v>
      </c>
      <c r="F1216" s="69" t="s">
        <v>2960</v>
      </c>
      <c r="G1216" s="132" t="s">
        <v>2961</v>
      </c>
      <c r="H1216" s="15">
        <v>9013000211</v>
      </c>
      <c r="I1216" s="92" t="s">
        <v>593</v>
      </c>
      <c r="J1216" s="92">
        <v>1202020101</v>
      </c>
      <c r="K1216" s="41"/>
      <c r="L1216" s="95" t="s">
        <v>3861</v>
      </c>
      <c r="M1216" s="69" t="s">
        <v>3862</v>
      </c>
      <c r="N1216" s="69"/>
      <c r="O1216" s="94">
        <v>1</v>
      </c>
      <c r="P1216" s="69" t="s">
        <v>50</v>
      </c>
      <c r="Q1216" s="69" t="s">
        <v>51</v>
      </c>
      <c r="R1216" s="69"/>
      <c r="S1216" s="46">
        <v>44621</v>
      </c>
      <c r="T1216" s="48">
        <v>44621</v>
      </c>
      <c r="U1216" s="69"/>
      <c r="V1216" s="69"/>
      <c r="W1216" s="69"/>
      <c r="X1216" s="69"/>
      <c r="Y1216" s="69" t="s">
        <v>4131</v>
      </c>
      <c r="Z1216" s="43">
        <v>320000</v>
      </c>
      <c r="AA1216" s="43" t="s">
        <v>52</v>
      </c>
      <c r="AB1216" s="43" t="s">
        <v>53</v>
      </c>
      <c r="AC1216" s="43">
        <v>1460</v>
      </c>
      <c r="AD1216" s="141">
        <v>4</v>
      </c>
      <c r="AE1216" s="142">
        <v>0</v>
      </c>
      <c r="AF1216" s="142"/>
      <c r="AG1216" s="69" t="str">
        <f t="shared" si="668"/>
        <v>2 years 307 days</v>
      </c>
      <c r="AH1216" s="69">
        <v>2</v>
      </c>
      <c r="AI1216" s="69">
        <v>307</v>
      </c>
      <c r="AJ1216" s="69">
        <v>0</v>
      </c>
      <c r="AK1216" s="69">
        <v>0</v>
      </c>
      <c r="AL1216" s="60">
        <v>320000</v>
      </c>
      <c r="AM1216" s="60">
        <f t="shared" si="669"/>
        <v>320000</v>
      </c>
      <c r="AN1216" s="59">
        <v>223211</v>
      </c>
      <c r="AO1216" s="148">
        <f t="shared" si="670"/>
        <v>-223211</v>
      </c>
      <c r="AP1216" s="58">
        <v>39671.191780821886</v>
      </c>
      <c r="AQ1216" s="143">
        <f t="shared" si="671"/>
        <v>-39671.19</v>
      </c>
    </row>
    <row r="1217" spans="1:43" x14ac:dyDescent="0.35">
      <c r="A1217" s="69" t="s">
        <v>43</v>
      </c>
      <c r="B1217" s="15" t="s">
        <v>3863</v>
      </c>
      <c r="C1217" s="15"/>
      <c r="D1217" s="69"/>
      <c r="E1217" s="76">
        <v>0</v>
      </c>
      <c r="F1217" s="69" t="s">
        <v>2960</v>
      </c>
      <c r="G1217" s="132" t="s">
        <v>2961</v>
      </c>
      <c r="H1217" s="15">
        <v>9013000211</v>
      </c>
      <c r="I1217" s="92" t="s">
        <v>593</v>
      </c>
      <c r="J1217" s="92">
        <v>1202020101</v>
      </c>
      <c r="K1217" s="41"/>
      <c r="L1217" s="95" t="s">
        <v>3864</v>
      </c>
      <c r="M1217" s="69" t="s">
        <v>3865</v>
      </c>
      <c r="N1217" s="69"/>
      <c r="O1217" s="94">
        <v>1</v>
      </c>
      <c r="P1217" s="69" t="s">
        <v>50</v>
      </c>
      <c r="Q1217" s="69" t="s">
        <v>51</v>
      </c>
      <c r="R1217" s="69"/>
      <c r="S1217" s="46">
        <v>44621</v>
      </c>
      <c r="T1217" s="48">
        <v>44621</v>
      </c>
      <c r="U1217" s="69"/>
      <c r="V1217" s="69"/>
      <c r="W1217" s="69"/>
      <c r="X1217" s="69"/>
      <c r="Y1217" s="69" t="s">
        <v>4131</v>
      </c>
      <c r="Z1217" s="43">
        <v>320000</v>
      </c>
      <c r="AA1217" s="43" t="s">
        <v>52</v>
      </c>
      <c r="AB1217" s="43" t="s">
        <v>53</v>
      </c>
      <c r="AC1217" s="43">
        <v>1460</v>
      </c>
      <c r="AD1217" s="141">
        <v>4</v>
      </c>
      <c r="AE1217" s="142">
        <v>0</v>
      </c>
      <c r="AF1217" s="142"/>
      <c r="AG1217" s="69" t="str">
        <f t="shared" si="668"/>
        <v>2 years 307 days</v>
      </c>
      <c r="AH1217" s="69">
        <v>2</v>
      </c>
      <c r="AI1217" s="69">
        <v>307</v>
      </c>
      <c r="AJ1217" s="69">
        <v>0</v>
      </c>
      <c r="AK1217" s="69">
        <v>0</v>
      </c>
      <c r="AL1217" s="60">
        <v>320000</v>
      </c>
      <c r="AM1217" s="60">
        <f t="shared" si="669"/>
        <v>320000</v>
      </c>
      <c r="AN1217" s="59">
        <v>223211</v>
      </c>
      <c r="AO1217" s="148">
        <f t="shared" si="670"/>
        <v>-223211</v>
      </c>
      <c r="AP1217" s="58">
        <v>39671.191780821886</v>
      </c>
      <c r="AQ1217" s="143">
        <f t="shared" si="671"/>
        <v>-39671.19</v>
      </c>
    </row>
    <row r="1218" spans="1:43" x14ac:dyDescent="0.35">
      <c r="A1218" s="69" t="s">
        <v>43</v>
      </c>
      <c r="B1218" s="15" t="s">
        <v>3866</v>
      </c>
      <c r="C1218" s="15"/>
      <c r="D1218" s="69"/>
      <c r="E1218" s="76">
        <v>0</v>
      </c>
      <c r="F1218" s="69" t="s">
        <v>2960</v>
      </c>
      <c r="G1218" s="10" t="s">
        <v>2961</v>
      </c>
      <c r="H1218" s="15">
        <v>9013000211</v>
      </c>
      <c r="I1218" s="92" t="s">
        <v>593</v>
      </c>
      <c r="J1218" s="92">
        <v>1202020101</v>
      </c>
      <c r="K1218" s="14"/>
      <c r="L1218" s="95" t="s">
        <v>3867</v>
      </c>
      <c r="M1218" s="69" t="s">
        <v>3868</v>
      </c>
      <c r="N1218" s="69"/>
      <c r="O1218" s="94">
        <v>2</v>
      </c>
      <c r="P1218" s="69" t="s">
        <v>50</v>
      </c>
      <c r="Q1218" s="69" t="s">
        <v>51</v>
      </c>
      <c r="R1218" s="69"/>
      <c r="S1218" s="46">
        <v>44693</v>
      </c>
      <c r="T1218" s="48">
        <v>44693</v>
      </c>
      <c r="U1218" s="69"/>
      <c r="V1218" s="69"/>
      <c r="W1218" s="69"/>
      <c r="X1218" s="69"/>
      <c r="Y1218" s="69" t="s">
        <v>4131</v>
      </c>
      <c r="Z1218" s="43">
        <v>560948</v>
      </c>
      <c r="AA1218" s="43" t="s">
        <v>52</v>
      </c>
      <c r="AB1218" s="43" t="s">
        <v>53</v>
      </c>
      <c r="AC1218" s="43">
        <v>3650</v>
      </c>
      <c r="AD1218" s="141">
        <v>10</v>
      </c>
      <c r="AE1218" s="142">
        <v>0</v>
      </c>
      <c r="AF1218" s="142"/>
      <c r="AG1218" s="69" t="str">
        <f t="shared" si="668"/>
        <v>2 years 235 days</v>
      </c>
      <c r="AH1218" s="69">
        <v>2</v>
      </c>
      <c r="AI1218" s="69">
        <v>235</v>
      </c>
      <c r="AJ1218" s="69">
        <v>0</v>
      </c>
      <c r="AK1218" s="69">
        <v>0</v>
      </c>
      <c r="AL1218" s="60">
        <v>560948</v>
      </c>
      <c r="AM1218" s="60">
        <f t="shared" si="669"/>
        <v>560948</v>
      </c>
      <c r="AN1218" s="59">
        <v>148305</v>
      </c>
      <c r="AO1218" s="148">
        <f t="shared" si="670"/>
        <v>-148305</v>
      </c>
      <c r="AP1218" s="58">
        <v>27817.303561643843</v>
      </c>
      <c r="AQ1218" s="143">
        <f t="shared" si="671"/>
        <v>-27817.3</v>
      </c>
    </row>
    <row r="1219" spans="1:43" x14ac:dyDescent="0.35">
      <c r="A1219" s="69" t="s">
        <v>43</v>
      </c>
      <c r="B1219" s="15" t="s">
        <v>3869</v>
      </c>
      <c r="C1219" s="15"/>
      <c r="D1219" s="69"/>
      <c r="E1219" s="76">
        <v>0</v>
      </c>
      <c r="F1219" s="69" t="s">
        <v>2960</v>
      </c>
      <c r="G1219" s="132" t="s">
        <v>2961</v>
      </c>
      <c r="H1219" s="15">
        <v>9013000211</v>
      </c>
      <c r="I1219" s="92" t="s">
        <v>593</v>
      </c>
      <c r="J1219" s="92">
        <v>1202020101</v>
      </c>
      <c r="K1219" s="41"/>
      <c r="L1219" s="95" t="s">
        <v>3870</v>
      </c>
      <c r="M1219" s="69" t="s">
        <v>3871</v>
      </c>
      <c r="N1219" s="69"/>
      <c r="O1219" s="94">
        <v>1</v>
      </c>
      <c r="P1219" s="69" t="s">
        <v>50</v>
      </c>
      <c r="Q1219" s="69" t="s">
        <v>51</v>
      </c>
      <c r="R1219" s="69"/>
      <c r="S1219" s="46">
        <v>44822</v>
      </c>
      <c r="T1219" s="48">
        <v>44822</v>
      </c>
      <c r="U1219" s="69"/>
      <c r="V1219" s="69"/>
      <c r="W1219" s="69"/>
      <c r="X1219" s="69"/>
      <c r="Y1219" s="69" t="s">
        <v>4131</v>
      </c>
      <c r="Z1219" s="43">
        <v>143000</v>
      </c>
      <c r="AA1219" s="43" t="s">
        <v>52</v>
      </c>
      <c r="AB1219" s="43" t="s">
        <v>53</v>
      </c>
      <c r="AC1219" s="43">
        <v>1460</v>
      </c>
      <c r="AD1219" s="141">
        <v>4</v>
      </c>
      <c r="AE1219" s="142">
        <v>0</v>
      </c>
      <c r="AF1219" s="142"/>
      <c r="AG1219" s="69" t="str">
        <f t="shared" si="668"/>
        <v>2 years 106 days</v>
      </c>
      <c r="AH1219" s="69">
        <v>2</v>
      </c>
      <c r="AI1219" s="69">
        <v>106</v>
      </c>
      <c r="AJ1219" s="69">
        <v>0</v>
      </c>
      <c r="AK1219" s="69">
        <v>0</v>
      </c>
      <c r="AL1219" s="60">
        <v>143000</v>
      </c>
      <c r="AM1219" s="60">
        <f t="shared" si="669"/>
        <v>143000</v>
      </c>
      <c r="AN1219" s="59">
        <v>81882</v>
      </c>
      <c r="AO1219" s="148">
        <f t="shared" si="670"/>
        <v>-81882</v>
      </c>
      <c r="AP1219" s="58">
        <v>17728.273972602736</v>
      </c>
      <c r="AQ1219" s="143">
        <f t="shared" si="671"/>
        <v>-17728.27</v>
      </c>
    </row>
    <row r="1220" spans="1:43" x14ac:dyDescent="0.35">
      <c r="A1220" s="69" t="s">
        <v>43</v>
      </c>
      <c r="B1220" s="15" t="s">
        <v>3872</v>
      </c>
      <c r="C1220" s="15"/>
      <c r="D1220" s="69"/>
      <c r="E1220" s="76">
        <v>0</v>
      </c>
      <c r="F1220" s="69" t="s">
        <v>2960</v>
      </c>
      <c r="G1220" s="132" t="s">
        <v>2961</v>
      </c>
      <c r="H1220" s="15">
        <v>9013000211</v>
      </c>
      <c r="I1220" s="92" t="s">
        <v>593</v>
      </c>
      <c r="J1220" s="92">
        <v>1202020101</v>
      </c>
      <c r="K1220" s="41"/>
      <c r="L1220" s="95" t="s">
        <v>3873</v>
      </c>
      <c r="M1220" s="69" t="s">
        <v>3874</v>
      </c>
      <c r="N1220" s="69"/>
      <c r="O1220" s="94">
        <v>1</v>
      </c>
      <c r="P1220" s="69" t="s">
        <v>50</v>
      </c>
      <c r="Q1220" s="69" t="s">
        <v>51</v>
      </c>
      <c r="R1220" s="69"/>
      <c r="S1220" s="46">
        <v>44879</v>
      </c>
      <c r="T1220" s="48">
        <v>44879</v>
      </c>
      <c r="U1220" s="69"/>
      <c r="V1220" s="69"/>
      <c r="W1220" s="69"/>
      <c r="X1220" s="69"/>
      <c r="Y1220" s="69" t="s">
        <v>4131</v>
      </c>
      <c r="Z1220" s="43">
        <v>60000</v>
      </c>
      <c r="AA1220" s="43" t="s">
        <v>52</v>
      </c>
      <c r="AB1220" s="43" t="s">
        <v>53</v>
      </c>
      <c r="AC1220" s="43">
        <v>1460</v>
      </c>
      <c r="AD1220" s="141">
        <v>4</v>
      </c>
      <c r="AE1220" s="142">
        <v>0</v>
      </c>
      <c r="AF1220" s="142"/>
      <c r="AG1220" s="69" t="str">
        <f t="shared" si="668"/>
        <v>2 years 49 days</v>
      </c>
      <c r="AH1220" s="69">
        <v>2</v>
      </c>
      <c r="AI1220" s="69">
        <v>49</v>
      </c>
      <c r="AJ1220" s="69">
        <v>0</v>
      </c>
      <c r="AK1220" s="69">
        <v>0</v>
      </c>
      <c r="AL1220" s="60">
        <v>60000</v>
      </c>
      <c r="AM1220" s="60">
        <f t="shared" si="669"/>
        <v>60000</v>
      </c>
      <c r="AN1220" s="59">
        <v>53507</v>
      </c>
      <c r="AO1220" s="148">
        <f t="shared" si="670"/>
        <v>-53507</v>
      </c>
      <c r="AP1220" s="58">
        <v>6493</v>
      </c>
      <c r="AQ1220" s="143">
        <f t="shared" si="671"/>
        <v>-6493</v>
      </c>
    </row>
    <row r="1221" spans="1:43" x14ac:dyDescent="0.35">
      <c r="A1221" s="69" t="s">
        <v>43</v>
      </c>
      <c r="B1221" s="15" t="s">
        <v>3875</v>
      </c>
      <c r="C1221" s="15"/>
      <c r="D1221" s="69"/>
      <c r="E1221" s="76">
        <v>0</v>
      </c>
      <c r="F1221" s="69" t="s">
        <v>2960</v>
      </c>
      <c r="G1221" s="132" t="s">
        <v>2961</v>
      </c>
      <c r="H1221" s="15">
        <v>9013000211</v>
      </c>
      <c r="I1221" s="92" t="s">
        <v>593</v>
      </c>
      <c r="J1221" s="92">
        <v>1202020101</v>
      </c>
      <c r="K1221" s="41"/>
      <c r="L1221" s="95" t="s">
        <v>3876</v>
      </c>
      <c r="M1221" s="69" t="s">
        <v>3877</v>
      </c>
      <c r="N1221" s="69"/>
      <c r="O1221" s="94">
        <v>1</v>
      </c>
      <c r="P1221" s="69" t="s">
        <v>50</v>
      </c>
      <c r="Q1221" s="69" t="s">
        <v>51</v>
      </c>
      <c r="R1221" s="69"/>
      <c r="S1221" s="46">
        <v>44896</v>
      </c>
      <c r="T1221" s="48">
        <v>44896</v>
      </c>
      <c r="U1221" s="69"/>
      <c r="V1221" s="69"/>
      <c r="W1221" s="69"/>
      <c r="X1221" s="69"/>
      <c r="Y1221" s="69" t="s">
        <v>4131</v>
      </c>
      <c r="Z1221" s="43">
        <v>59912</v>
      </c>
      <c r="AA1221" s="43" t="s">
        <v>52</v>
      </c>
      <c r="AB1221" s="43" t="s">
        <v>53</v>
      </c>
      <c r="AC1221" s="43">
        <v>1460</v>
      </c>
      <c r="AD1221" s="141">
        <v>4</v>
      </c>
      <c r="AE1221" s="142">
        <v>0</v>
      </c>
      <c r="AF1221" s="142"/>
      <c r="AG1221" s="69" t="str">
        <f t="shared" si="668"/>
        <v>2 years 32 days</v>
      </c>
      <c r="AH1221" s="69">
        <v>2</v>
      </c>
      <c r="AI1221" s="69">
        <v>32</v>
      </c>
      <c r="AJ1221" s="69">
        <v>0</v>
      </c>
      <c r="AK1221" s="69">
        <v>0</v>
      </c>
      <c r="AL1221" s="60">
        <v>59912</v>
      </c>
      <c r="AM1221" s="60">
        <f t="shared" si="669"/>
        <v>59912</v>
      </c>
      <c r="AN1221" s="59">
        <v>31269</v>
      </c>
      <c r="AO1221" s="148">
        <f t="shared" si="670"/>
        <v>-31269</v>
      </c>
      <c r="AP1221" s="58">
        <v>7427.5863013698545</v>
      </c>
      <c r="AQ1221" s="143">
        <f t="shared" si="671"/>
        <v>-7427.59</v>
      </c>
    </row>
    <row r="1222" spans="1:43" x14ac:dyDescent="0.35">
      <c r="A1222" s="69" t="s">
        <v>43</v>
      </c>
      <c r="B1222" s="15" t="s">
        <v>3878</v>
      </c>
      <c r="C1222" s="15"/>
      <c r="D1222" s="69"/>
      <c r="E1222" s="76">
        <v>0</v>
      </c>
      <c r="F1222" s="69" t="s">
        <v>2960</v>
      </c>
      <c r="G1222" s="132" t="s">
        <v>2961</v>
      </c>
      <c r="H1222" s="15">
        <v>9013000211</v>
      </c>
      <c r="I1222" s="92" t="s">
        <v>593</v>
      </c>
      <c r="J1222" s="92">
        <v>1202020101</v>
      </c>
      <c r="K1222" s="41"/>
      <c r="L1222" s="95" t="s">
        <v>3879</v>
      </c>
      <c r="M1222" s="69" t="s">
        <v>3880</v>
      </c>
      <c r="N1222" s="69"/>
      <c r="O1222" s="94">
        <v>1</v>
      </c>
      <c r="P1222" s="69" t="s">
        <v>50</v>
      </c>
      <c r="Q1222" s="69" t="s">
        <v>51</v>
      </c>
      <c r="R1222" s="69"/>
      <c r="S1222" s="46">
        <v>44900</v>
      </c>
      <c r="T1222" s="48">
        <v>44900</v>
      </c>
      <c r="U1222" s="69"/>
      <c r="V1222" s="69"/>
      <c r="W1222" s="69"/>
      <c r="X1222" s="69"/>
      <c r="Y1222" s="69" t="s">
        <v>4131</v>
      </c>
      <c r="Z1222" s="43">
        <v>30000</v>
      </c>
      <c r="AA1222" s="43" t="s">
        <v>52</v>
      </c>
      <c r="AB1222" s="43" t="s">
        <v>53</v>
      </c>
      <c r="AC1222" s="43">
        <v>1460</v>
      </c>
      <c r="AD1222" s="141">
        <v>4</v>
      </c>
      <c r="AE1222" s="142">
        <v>0</v>
      </c>
      <c r="AF1222" s="142"/>
      <c r="AG1222" s="69" t="str">
        <f t="shared" si="668"/>
        <v>2 years 28 days</v>
      </c>
      <c r="AH1222" s="69">
        <v>2</v>
      </c>
      <c r="AI1222" s="69">
        <v>28</v>
      </c>
      <c r="AJ1222" s="69">
        <v>0</v>
      </c>
      <c r="AK1222" s="69">
        <v>0</v>
      </c>
      <c r="AL1222" s="60">
        <v>30000</v>
      </c>
      <c r="AM1222" s="60">
        <f t="shared" si="669"/>
        <v>30000</v>
      </c>
      <c r="AN1222" s="59">
        <v>15575</v>
      </c>
      <c r="AO1222" s="148">
        <f t="shared" si="670"/>
        <v>-15575</v>
      </c>
      <c r="AP1222" s="58">
        <v>3719.5205479452052</v>
      </c>
      <c r="AQ1222" s="143">
        <f t="shared" si="671"/>
        <v>-3719.52</v>
      </c>
    </row>
    <row r="1223" spans="1:43" x14ac:dyDescent="0.35">
      <c r="A1223" s="69" t="s">
        <v>43</v>
      </c>
      <c r="B1223" s="134" t="s">
        <v>3881</v>
      </c>
      <c r="C1223" s="134"/>
      <c r="D1223" s="69"/>
      <c r="E1223" s="76">
        <v>0</v>
      </c>
      <c r="F1223" s="69" t="s">
        <v>2960</v>
      </c>
      <c r="G1223" s="132" t="s">
        <v>2961</v>
      </c>
      <c r="H1223" s="15">
        <v>9013000211</v>
      </c>
      <c r="I1223" s="92" t="s">
        <v>593</v>
      </c>
      <c r="J1223" s="92">
        <v>1202020101</v>
      </c>
      <c r="K1223" s="41"/>
      <c r="L1223" s="95" t="s">
        <v>3882</v>
      </c>
      <c r="M1223" s="69" t="s">
        <v>3883</v>
      </c>
      <c r="N1223" s="69"/>
      <c r="O1223" s="94">
        <v>1</v>
      </c>
      <c r="P1223" s="69" t="s">
        <v>50</v>
      </c>
      <c r="Q1223" s="69" t="s">
        <v>51</v>
      </c>
      <c r="R1223" s="69"/>
      <c r="S1223" s="46">
        <v>44915</v>
      </c>
      <c r="T1223" s="48">
        <v>44915</v>
      </c>
      <c r="U1223" s="69"/>
      <c r="V1223" s="69"/>
      <c r="W1223" s="69"/>
      <c r="X1223" s="69"/>
      <c r="Y1223" s="69" t="s">
        <v>4131</v>
      </c>
      <c r="Z1223" s="55">
        <v>417100</v>
      </c>
      <c r="AA1223" s="43" t="s">
        <v>52</v>
      </c>
      <c r="AB1223" s="43" t="s">
        <v>53</v>
      </c>
      <c r="AC1223" s="43">
        <v>1460</v>
      </c>
      <c r="AD1223" s="141">
        <v>4</v>
      </c>
      <c r="AE1223" s="142">
        <v>0</v>
      </c>
      <c r="AF1223" s="142"/>
      <c r="AG1223" s="69" t="str">
        <f t="shared" si="668"/>
        <v>2 years 13 days</v>
      </c>
      <c r="AH1223" s="69">
        <v>2</v>
      </c>
      <c r="AI1223" s="69">
        <v>13</v>
      </c>
      <c r="AJ1223" s="69">
        <v>0</v>
      </c>
      <c r="AK1223" s="69">
        <v>0</v>
      </c>
      <c r="AL1223" s="63">
        <v>417100</v>
      </c>
      <c r="AM1223" s="60">
        <f t="shared" si="669"/>
        <v>417100</v>
      </c>
      <c r="AN1223" s="59">
        <v>212264</v>
      </c>
      <c r="AO1223" s="148">
        <f t="shared" si="670"/>
        <v>-212264</v>
      </c>
      <c r="AP1223" s="58">
        <v>51708.876712328754</v>
      </c>
      <c r="AQ1223" s="143">
        <f t="shared" si="671"/>
        <v>-51708.88</v>
      </c>
    </row>
    <row r="1224" spans="1:43" x14ac:dyDescent="0.35">
      <c r="A1224" s="69" t="s">
        <v>43</v>
      </c>
      <c r="B1224" s="15" t="s">
        <v>3884</v>
      </c>
      <c r="C1224" s="15"/>
      <c r="D1224" s="69"/>
      <c r="E1224" s="76">
        <v>0</v>
      </c>
      <c r="F1224" s="69" t="s">
        <v>2960</v>
      </c>
      <c r="G1224" s="132" t="s">
        <v>2961</v>
      </c>
      <c r="H1224" s="15">
        <v>9013000211</v>
      </c>
      <c r="I1224" s="92" t="s">
        <v>593</v>
      </c>
      <c r="J1224" s="92">
        <v>1202020101</v>
      </c>
      <c r="K1224" s="41"/>
      <c r="L1224" s="95" t="s">
        <v>3885</v>
      </c>
      <c r="M1224" s="69" t="s">
        <v>3886</v>
      </c>
      <c r="N1224" s="69"/>
      <c r="O1224" s="94">
        <v>1</v>
      </c>
      <c r="P1224" s="69" t="s">
        <v>50</v>
      </c>
      <c r="Q1224" s="69" t="s">
        <v>51</v>
      </c>
      <c r="R1224" s="69"/>
      <c r="S1224" s="46">
        <v>45047</v>
      </c>
      <c r="T1224" s="48">
        <v>45047</v>
      </c>
      <c r="U1224" s="69"/>
      <c r="V1224" s="69"/>
      <c r="W1224" s="69"/>
      <c r="X1224" s="69"/>
      <c r="Y1224" s="69" t="s">
        <v>4129</v>
      </c>
      <c r="Z1224" s="43">
        <v>210672</v>
      </c>
      <c r="AA1224" s="43" t="s">
        <v>52</v>
      </c>
      <c r="AB1224" s="43" t="s">
        <v>53</v>
      </c>
      <c r="AC1224" s="43">
        <v>1460</v>
      </c>
      <c r="AD1224" s="141">
        <v>4</v>
      </c>
      <c r="AE1224" s="142">
        <v>0</v>
      </c>
      <c r="AF1224" s="142"/>
      <c r="AG1224" s="69" t="str">
        <f t="shared" si="668"/>
        <v>1 years 246 days</v>
      </c>
      <c r="AH1224" s="69">
        <v>1</v>
      </c>
      <c r="AI1224" s="69">
        <v>246</v>
      </c>
      <c r="AJ1224" s="69">
        <v>0</v>
      </c>
      <c r="AK1224" s="69">
        <v>0</v>
      </c>
      <c r="AL1224" s="60">
        <v>210672</v>
      </c>
      <c r="AM1224" s="60">
        <f t="shared" si="669"/>
        <v>210672</v>
      </c>
      <c r="AN1224" s="59">
        <v>88165</v>
      </c>
      <c r="AO1224" s="148">
        <f t="shared" si="670"/>
        <v>-88165</v>
      </c>
      <c r="AP1224" s="58">
        <v>26117.345205479462</v>
      </c>
      <c r="AQ1224" s="143">
        <f t="shared" si="671"/>
        <v>-26117.35</v>
      </c>
    </row>
    <row r="1225" spans="1:43" x14ac:dyDescent="0.35">
      <c r="A1225" s="69" t="s">
        <v>43</v>
      </c>
      <c r="B1225" s="15" t="s">
        <v>3887</v>
      </c>
      <c r="C1225" s="15"/>
      <c r="D1225" s="69"/>
      <c r="E1225" s="76">
        <v>0</v>
      </c>
      <c r="F1225" s="69" t="s">
        <v>2960</v>
      </c>
      <c r="G1225" s="132" t="s">
        <v>2961</v>
      </c>
      <c r="H1225" s="15">
        <v>9013000211</v>
      </c>
      <c r="I1225" s="92" t="s">
        <v>593</v>
      </c>
      <c r="J1225" s="92">
        <v>1202020101</v>
      </c>
      <c r="K1225" s="41"/>
      <c r="L1225" s="95" t="s">
        <v>3888</v>
      </c>
      <c r="M1225" s="69" t="s">
        <v>3889</v>
      </c>
      <c r="N1225" s="69"/>
      <c r="O1225" s="94">
        <v>1</v>
      </c>
      <c r="P1225" s="69" t="s">
        <v>50</v>
      </c>
      <c r="Q1225" s="69" t="s">
        <v>51</v>
      </c>
      <c r="R1225" s="69"/>
      <c r="S1225" s="46">
        <v>45047</v>
      </c>
      <c r="T1225" s="48">
        <v>45047</v>
      </c>
      <c r="U1225" s="69"/>
      <c r="V1225" s="69"/>
      <c r="W1225" s="69"/>
      <c r="X1225" s="69"/>
      <c r="Y1225" s="69" t="s">
        <v>4129</v>
      </c>
      <c r="Z1225" s="43">
        <v>808600</v>
      </c>
      <c r="AA1225" s="43" t="s">
        <v>52</v>
      </c>
      <c r="AB1225" s="43" t="s">
        <v>53</v>
      </c>
      <c r="AC1225" s="43">
        <v>1460</v>
      </c>
      <c r="AD1225" s="141">
        <v>4</v>
      </c>
      <c r="AE1225" s="142">
        <v>0</v>
      </c>
      <c r="AF1225" s="142"/>
      <c r="AG1225" s="69" t="str">
        <f t="shared" si="668"/>
        <v>1 years 246 days</v>
      </c>
      <c r="AH1225" s="69">
        <v>1</v>
      </c>
      <c r="AI1225" s="69">
        <v>246</v>
      </c>
      <c r="AJ1225" s="69">
        <v>0</v>
      </c>
      <c r="AK1225" s="69">
        <v>0</v>
      </c>
      <c r="AL1225" s="60">
        <v>808600</v>
      </c>
      <c r="AM1225" s="60">
        <f t="shared" si="669"/>
        <v>808600</v>
      </c>
      <c r="AN1225" s="59">
        <v>338394</v>
      </c>
      <c r="AO1225" s="148">
        <f t="shared" si="670"/>
        <v>-338394</v>
      </c>
      <c r="AP1225" s="58">
        <v>100243.80821917806</v>
      </c>
      <c r="AQ1225" s="143">
        <f t="shared" si="671"/>
        <v>-100243.81</v>
      </c>
    </row>
    <row r="1226" spans="1:43" x14ac:dyDescent="0.35">
      <c r="A1226" s="69" t="s">
        <v>43</v>
      </c>
      <c r="B1226" s="15" t="s">
        <v>3890</v>
      </c>
      <c r="C1226" s="15"/>
      <c r="D1226" s="69"/>
      <c r="E1226" s="76">
        <v>0</v>
      </c>
      <c r="F1226" s="69" t="s">
        <v>2960</v>
      </c>
      <c r="G1226" s="132" t="s">
        <v>2961</v>
      </c>
      <c r="H1226" s="15">
        <v>9013000211</v>
      </c>
      <c r="I1226" s="92" t="s">
        <v>593</v>
      </c>
      <c r="J1226" s="92">
        <v>1202020101</v>
      </c>
      <c r="K1226" s="41"/>
      <c r="L1226" s="95" t="s">
        <v>3891</v>
      </c>
      <c r="M1226" s="69" t="s">
        <v>3892</v>
      </c>
      <c r="N1226" s="69"/>
      <c r="O1226" s="94">
        <v>2</v>
      </c>
      <c r="P1226" s="69" t="s">
        <v>50</v>
      </c>
      <c r="Q1226" s="69" t="s">
        <v>51</v>
      </c>
      <c r="R1226" s="69"/>
      <c r="S1226" s="46">
        <v>45127</v>
      </c>
      <c r="T1226" s="48">
        <v>45127</v>
      </c>
      <c r="U1226" s="69"/>
      <c r="V1226" s="69"/>
      <c r="W1226" s="69"/>
      <c r="X1226" s="69"/>
      <c r="Y1226" s="69" t="s">
        <v>4129</v>
      </c>
      <c r="Z1226" s="43">
        <v>353191</v>
      </c>
      <c r="AA1226" s="43" t="s">
        <v>52</v>
      </c>
      <c r="AB1226" s="43" t="s">
        <v>53</v>
      </c>
      <c r="AC1226" s="43">
        <v>1460</v>
      </c>
      <c r="AD1226" s="141">
        <v>4</v>
      </c>
      <c r="AE1226" s="142">
        <v>0</v>
      </c>
      <c r="AF1226" s="142"/>
      <c r="AG1226" s="69" t="str">
        <f t="shared" si="668"/>
        <v>1 years 166 days</v>
      </c>
      <c r="AH1226" s="69">
        <v>1</v>
      </c>
      <c r="AI1226" s="69">
        <v>166</v>
      </c>
      <c r="AJ1226" s="69">
        <v>0</v>
      </c>
      <c r="AK1226" s="69">
        <v>0</v>
      </c>
      <c r="AL1226" s="60">
        <v>353191</v>
      </c>
      <c r="AM1226" s="60">
        <f t="shared" si="669"/>
        <v>353191</v>
      </c>
      <c r="AN1226" s="59">
        <v>128455</v>
      </c>
      <c r="AO1226" s="148">
        <f t="shared" si="670"/>
        <v>-128455</v>
      </c>
      <c r="AP1226" s="58">
        <v>43786.090410958917</v>
      </c>
      <c r="AQ1226" s="143">
        <f t="shared" si="671"/>
        <v>-43786.09</v>
      </c>
    </row>
    <row r="1227" spans="1:43" x14ac:dyDescent="0.35">
      <c r="A1227" s="69" t="s">
        <v>43</v>
      </c>
      <c r="B1227" s="15" t="s">
        <v>3893</v>
      </c>
      <c r="C1227" s="15"/>
      <c r="D1227" s="69"/>
      <c r="E1227" s="76">
        <v>0</v>
      </c>
      <c r="F1227" s="69" t="s">
        <v>2960</v>
      </c>
      <c r="G1227" s="132" t="s">
        <v>2961</v>
      </c>
      <c r="H1227" s="15">
        <v>9013000211</v>
      </c>
      <c r="I1227" s="92" t="s">
        <v>593</v>
      </c>
      <c r="J1227" s="92">
        <v>1202020101</v>
      </c>
      <c r="K1227" s="41"/>
      <c r="L1227" s="95" t="s">
        <v>3894</v>
      </c>
      <c r="M1227" s="69" t="s">
        <v>3895</v>
      </c>
      <c r="N1227" s="69"/>
      <c r="O1227" s="94">
        <v>24</v>
      </c>
      <c r="P1227" s="69" t="s">
        <v>50</v>
      </c>
      <c r="Q1227" s="69" t="s">
        <v>51</v>
      </c>
      <c r="R1227" s="69"/>
      <c r="S1227" s="46">
        <v>45127</v>
      </c>
      <c r="T1227" s="48">
        <v>45127</v>
      </c>
      <c r="U1227" s="69"/>
      <c r="V1227" s="69"/>
      <c r="W1227" s="69"/>
      <c r="X1227" s="69"/>
      <c r="Y1227" s="69" t="s">
        <v>4129</v>
      </c>
      <c r="Z1227" s="43">
        <v>975280</v>
      </c>
      <c r="AA1227" s="43" t="s">
        <v>52</v>
      </c>
      <c r="AB1227" s="43" t="s">
        <v>53</v>
      </c>
      <c r="AC1227" s="43">
        <v>1460</v>
      </c>
      <c r="AD1227" s="141">
        <v>4</v>
      </c>
      <c r="AE1227" s="142">
        <v>0</v>
      </c>
      <c r="AF1227" s="142"/>
      <c r="AG1227" s="69" t="str">
        <f t="shared" si="668"/>
        <v>1 years 166 days</v>
      </c>
      <c r="AH1227" s="69">
        <v>1</v>
      </c>
      <c r="AI1227" s="69">
        <v>166</v>
      </c>
      <c r="AJ1227" s="69">
        <v>0</v>
      </c>
      <c r="AK1227" s="69">
        <v>0</v>
      </c>
      <c r="AL1227" s="60">
        <v>975280</v>
      </c>
      <c r="AM1227" s="60">
        <f t="shared" si="669"/>
        <v>975280</v>
      </c>
      <c r="AN1227" s="59">
        <v>354708</v>
      </c>
      <c r="AO1227" s="148">
        <f t="shared" si="670"/>
        <v>-354708</v>
      </c>
      <c r="AP1227" s="58">
        <v>120908</v>
      </c>
      <c r="AQ1227" s="143">
        <f t="shared" si="671"/>
        <v>-120908</v>
      </c>
    </row>
    <row r="1228" spans="1:43" x14ac:dyDescent="0.35">
      <c r="A1228" s="69" t="s">
        <v>43</v>
      </c>
      <c r="B1228" s="15" t="s">
        <v>3896</v>
      </c>
      <c r="C1228" s="15"/>
      <c r="D1228" s="69"/>
      <c r="E1228" s="76">
        <v>0</v>
      </c>
      <c r="F1228" s="69" t="s">
        <v>2960</v>
      </c>
      <c r="G1228" s="132" t="s">
        <v>2961</v>
      </c>
      <c r="H1228" s="15">
        <v>9013000211</v>
      </c>
      <c r="I1228" s="92" t="s">
        <v>593</v>
      </c>
      <c r="J1228" s="92">
        <v>1202020101</v>
      </c>
      <c r="K1228" s="41"/>
      <c r="L1228" s="95" t="s">
        <v>3897</v>
      </c>
      <c r="M1228" s="69" t="s">
        <v>3898</v>
      </c>
      <c r="N1228" s="69"/>
      <c r="O1228" s="94">
        <v>1</v>
      </c>
      <c r="P1228" s="69" t="s">
        <v>50</v>
      </c>
      <c r="Q1228" s="69" t="s">
        <v>51</v>
      </c>
      <c r="R1228" s="69"/>
      <c r="S1228" s="46">
        <v>45179</v>
      </c>
      <c r="T1228" s="48">
        <v>45179</v>
      </c>
      <c r="U1228" s="69"/>
      <c r="V1228" s="69"/>
      <c r="W1228" s="69"/>
      <c r="X1228" s="69"/>
      <c r="Y1228" s="69" t="s">
        <v>4129</v>
      </c>
      <c r="Z1228" s="43">
        <v>712800</v>
      </c>
      <c r="AA1228" s="43" t="s">
        <v>52</v>
      </c>
      <c r="AB1228" s="43" t="s">
        <v>53</v>
      </c>
      <c r="AC1228" s="43">
        <v>1460</v>
      </c>
      <c r="AD1228" s="141">
        <v>4</v>
      </c>
      <c r="AE1228" s="142">
        <v>0</v>
      </c>
      <c r="AF1228" s="142"/>
      <c r="AG1228" s="69" t="str">
        <f t="shared" si="668"/>
        <v>1 years 114 days</v>
      </c>
      <c r="AH1228" s="69">
        <v>1</v>
      </c>
      <c r="AI1228" s="69">
        <v>114</v>
      </c>
      <c r="AJ1228" s="69">
        <v>0</v>
      </c>
      <c r="AK1228" s="69">
        <v>0</v>
      </c>
      <c r="AL1228" s="60">
        <v>712800</v>
      </c>
      <c r="AM1228" s="60">
        <f t="shared" si="669"/>
        <v>712800</v>
      </c>
      <c r="AN1228" s="59">
        <v>233857</v>
      </c>
      <c r="AO1228" s="148">
        <f t="shared" si="670"/>
        <v>-233857</v>
      </c>
      <c r="AP1228" s="58">
        <v>88367.657534246566</v>
      </c>
      <c r="AQ1228" s="143">
        <f t="shared" si="671"/>
        <v>-88367.66</v>
      </c>
    </row>
    <row r="1229" spans="1:43" x14ac:dyDescent="0.35">
      <c r="A1229" s="69" t="s">
        <v>43</v>
      </c>
      <c r="B1229" s="15" t="s">
        <v>3899</v>
      </c>
      <c r="C1229" s="15"/>
      <c r="D1229" s="69"/>
      <c r="E1229" s="76">
        <v>0</v>
      </c>
      <c r="F1229" s="69" t="s">
        <v>2960</v>
      </c>
      <c r="G1229" s="132" t="s">
        <v>2961</v>
      </c>
      <c r="H1229" s="15">
        <v>9013000211</v>
      </c>
      <c r="I1229" s="92" t="s">
        <v>593</v>
      </c>
      <c r="J1229" s="92">
        <v>1202020101</v>
      </c>
      <c r="K1229" s="41"/>
      <c r="L1229" s="95" t="s">
        <v>3900</v>
      </c>
      <c r="M1229" s="69" t="s">
        <v>3901</v>
      </c>
      <c r="N1229" s="69"/>
      <c r="O1229" s="94">
        <v>1</v>
      </c>
      <c r="P1229" s="69" t="s">
        <v>50</v>
      </c>
      <c r="Q1229" s="69" t="s">
        <v>51</v>
      </c>
      <c r="R1229" s="69"/>
      <c r="S1229" s="46">
        <v>45170</v>
      </c>
      <c r="T1229" s="48">
        <v>45170</v>
      </c>
      <c r="U1229" s="69"/>
      <c r="V1229" s="69"/>
      <c r="W1229" s="69"/>
      <c r="X1229" s="69"/>
      <c r="Y1229" s="69" t="s">
        <v>4129</v>
      </c>
      <c r="Z1229" s="43">
        <v>458550</v>
      </c>
      <c r="AA1229" s="43" t="s">
        <v>52</v>
      </c>
      <c r="AB1229" s="43" t="s">
        <v>53</v>
      </c>
      <c r="AC1229" s="43">
        <v>1460</v>
      </c>
      <c r="AD1229" s="141">
        <v>4</v>
      </c>
      <c r="AE1229" s="142">
        <v>0</v>
      </c>
      <c r="AF1229" s="142"/>
      <c r="AG1229" s="69" t="str">
        <f t="shared" si="668"/>
        <v>1 years 123 days</v>
      </c>
      <c r="AH1229" s="69">
        <v>1</v>
      </c>
      <c r="AI1229" s="69">
        <v>123</v>
      </c>
      <c r="AJ1229" s="69">
        <v>0</v>
      </c>
      <c r="AK1229" s="69">
        <v>0</v>
      </c>
      <c r="AL1229" s="60">
        <v>458550</v>
      </c>
      <c r="AM1229" s="60">
        <f t="shared" si="669"/>
        <v>458550</v>
      </c>
      <c r="AN1229" s="59">
        <v>153269</v>
      </c>
      <c r="AO1229" s="148">
        <f t="shared" si="670"/>
        <v>-153269</v>
      </c>
      <c r="AP1229" s="58">
        <v>56847.404109589028</v>
      </c>
      <c r="AQ1229" s="143">
        <f t="shared" si="671"/>
        <v>-56847.4</v>
      </c>
    </row>
    <row r="1230" spans="1:43" x14ac:dyDescent="0.35">
      <c r="A1230" s="69" t="s">
        <v>43</v>
      </c>
      <c r="B1230" s="15" t="s">
        <v>3902</v>
      </c>
      <c r="C1230" s="15"/>
      <c r="D1230" s="69"/>
      <c r="E1230" s="76">
        <v>0</v>
      </c>
      <c r="F1230" s="69" t="s">
        <v>2960</v>
      </c>
      <c r="G1230" s="132" t="s">
        <v>2961</v>
      </c>
      <c r="H1230" s="15">
        <v>9013000211</v>
      </c>
      <c r="I1230" s="92" t="s">
        <v>593</v>
      </c>
      <c r="J1230" s="92">
        <v>1202020101</v>
      </c>
      <c r="K1230" s="41"/>
      <c r="L1230" s="95" t="s">
        <v>3903</v>
      </c>
      <c r="M1230" s="69" t="s">
        <v>3904</v>
      </c>
      <c r="N1230" s="69"/>
      <c r="O1230" s="94">
        <v>2</v>
      </c>
      <c r="P1230" s="69" t="s">
        <v>50</v>
      </c>
      <c r="Q1230" s="69" t="s">
        <v>51</v>
      </c>
      <c r="R1230" s="69"/>
      <c r="S1230" s="46">
        <v>45170</v>
      </c>
      <c r="T1230" s="48">
        <v>45170</v>
      </c>
      <c r="U1230" s="69"/>
      <c r="V1230" s="69"/>
      <c r="W1230" s="69"/>
      <c r="X1230" s="69"/>
      <c r="Y1230" s="69" t="s">
        <v>4129</v>
      </c>
      <c r="Z1230" s="43">
        <v>591216</v>
      </c>
      <c r="AA1230" s="43" t="s">
        <v>52</v>
      </c>
      <c r="AB1230" s="43" t="s">
        <v>53</v>
      </c>
      <c r="AC1230" s="43">
        <v>1460</v>
      </c>
      <c r="AD1230" s="141">
        <v>4</v>
      </c>
      <c r="AE1230" s="142">
        <v>0</v>
      </c>
      <c r="AF1230" s="142"/>
      <c r="AG1230" s="69" t="str">
        <f t="shared" si="668"/>
        <v>1 years 123 days</v>
      </c>
      <c r="AH1230" s="69">
        <v>1</v>
      </c>
      <c r="AI1230" s="69">
        <v>123</v>
      </c>
      <c r="AJ1230" s="69">
        <v>0</v>
      </c>
      <c r="AK1230" s="69">
        <v>0</v>
      </c>
      <c r="AL1230" s="60">
        <v>591216</v>
      </c>
      <c r="AM1230" s="60">
        <f t="shared" si="669"/>
        <v>591216</v>
      </c>
      <c r="AN1230" s="59">
        <v>197612</v>
      </c>
      <c r="AO1230" s="148">
        <f t="shared" si="670"/>
        <v>-197612</v>
      </c>
      <c r="AP1230" s="58">
        <v>73294.509589041118</v>
      </c>
      <c r="AQ1230" s="143">
        <f t="shared" si="671"/>
        <v>-73294.509999999995</v>
      </c>
    </row>
    <row r="1231" spans="1:43" x14ac:dyDescent="0.35">
      <c r="A1231" s="69" t="s">
        <v>43</v>
      </c>
      <c r="B1231" s="15" t="s">
        <v>3905</v>
      </c>
      <c r="C1231" s="15"/>
      <c r="D1231" s="69"/>
      <c r="E1231" s="76">
        <v>0</v>
      </c>
      <c r="F1231" s="69" t="s">
        <v>2960</v>
      </c>
      <c r="G1231" s="132" t="s">
        <v>2961</v>
      </c>
      <c r="H1231" s="15">
        <v>9013000211</v>
      </c>
      <c r="I1231" s="92" t="s">
        <v>593</v>
      </c>
      <c r="J1231" s="92">
        <v>1202020101</v>
      </c>
      <c r="K1231" s="41"/>
      <c r="L1231" s="95" t="s">
        <v>3906</v>
      </c>
      <c r="M1231" s="69" t="s">
        <v>3907</v>
      </c>
      <c r="N1231" s="69"/>
      <c r="O1231" s="94">
        <v>3</v>
      </c>
      <c r="P1231" s="69" t="s">
        <v>50</v>
      </c>
      <c r="Q1231" s="69" t="s">
        <v>51</v>
      </c>
      <c r="R1231" s="69"/>
      <c r="S1231" s="46">
        <v>45170</v>
      </c>
      <c r="T1231" s="48">
        <v>45170</v>
      </c>
      <c r="U1231" s="69"/>
      <c r="V1231" s="69"/>
      <c r="W1231" s="69"/>
      <c r="X1231" s="69"/>
      <c r="Y1231" s="69" t="s">
        <v>4129</v>
      </c>
      <c r="Z1231" s="43">
        <v>34900</v>
      </c>
      <c r="AA1231" s="43" t="s">
        <v>52</v>
      </c>
      <c r="AB1231" s="43" t="s">
        <v>53</v>
      </c>
      <c r="AC1231" s="43">
        <v>1460</v>
      </c>
      <c r="AD1231" s="141">
        <v>4</v>
      </c>
      <c r="AE1231" s="142">
        <v>0</v>
      </c>
      <c r="AF1231" s="142"/>
      <c r="AG1231" s="69" t="str">
        <f t="shared" si="668"/>
        <v>1 years 123 days</v>
      </c>
      <c r="AH1231" s="69">
        <v>1</v>
      </c>
      <c r="AI1231" s="69">
        <v>123</v>
      </c>
      <c r="AJ1231" s="69">
        <v>0</v>
      </c>
      <c r="AK1231" s="69">
        <v>0</v>
      </c>
      <c r="AL1231" s="60">
        <v>34900</v>
      </c>
      <c r="AM1231" s="60">
        <f t="shared" si="669"/>
        <v>34900</v>
      </c>
      <c r="AN1231" s="59">
        <v>11665</v>
      </c>
      <c r="AO1231" s="148">
        <f t="shared" si="670"/>
        <v>-11665</v>
      </c>
      <c r="AP1231" s="58">
        <v>4326.8493150684917</v>
      </c>
      <c r="AQ1231" s="143">
        <f t="shared" si="671"/>
        <v>-4326.8500000000004</v>
      </c>
    </row>
    <row r="1232" spans="1:43" x14ac:dyDescent="0.35">
      <c r="A1232" s="69" t="s">
        <v>43</v>
      </c>
      <c r="B1232" s="15" t="s">
        <v>3908</v>
      </c>
      <c r="C1232" s="15"/>
      <c r="D1232" s="69"/>
      <c r="E1232" s="76">
        <v>0</v>
      </c>
      <c r="F1232" s="69" t="s">
        <v>2960</v>
      </c>
      <c r="G1232" s="132" t="s">
        <v>2961</v>
      </c>
      <c r="H1232" s="15">
        <v>9013000211</v>
      </c>
      <c r="I1232" s="92" t="s">
        <v>593</v>
      </c>
      <c r="J1232" s="92">
        <v>1202020101</v>
      </c>
      <c r="K1232" s="41"/>
      <c r="L1232" s="95" t="s">
        <v>3909</v>
      </c>
      <c r="M1232" s="69" t="s">
        <v>3910</v>
      </c>
      <c r="N1232" s="69"/>
      <c r="O1232" s="94">
        <v>1</v>
      </c>
      <c r="P1232" s="69" t="s">
        <v>50</v>
      </c>
      <c r="Q1232" s="69" t="s">
        <v>51</v>
      </c>
      <c r="R1232" s="69"/>
      <c r="S1232" s="46">
        <v>45199</v>
      </c>
      <c r="T1232" s="48">
        <v>45199</v>
      </c>
      <c r="U1232" s="69"/>
      <c r="V1232" s="69"/>
      <c r="W1232" s="69"/>
      <c r="X1232" s="69"/>
      <c r="Y1232" s="69" t="s">
        <v>4129</v>
      </c>
      <c r="Z1232" s="43">
        <v>321940</v>
      </c>
      <c r="AA1232" s="43" t="s">
        <v>52</v>
      </c>
      <c r="AB1232" s="43" t="s">
        <v>53</v>
      </c>
      <c r="AC1232" s="43">
        <v>1460</v>
      </c>
      <c r="AD1232" s="141">
        <v>4</v>
      </c>
      <c r="AE1232" s="142">
        <v>0</v>
      </c>
      <c r="AF1232" s="142"/>
      <c r="AG1232" s="69" t="str">
        <f t="shared" si="668"/>
        <v>1 years 94 days</v>
      </c>
      <c r="AH1232" s="69">
        <v>1</v>
      </c>
      <c r="AI1232" s="69">
        <v>94</v>
      </c>
      <c r="AJ1232" s="69">
        <v>0</v>
      </c>
      <c r="AK1232" s="69">
        <v>0</v>
      </c>
      <c r="AL1232" s="60">
        <v>321940</v>
      </c>
      <c r="AM1232" s="60">
        <f t="shared" si="669"/>
        <v>321940</v>
      </c>
      <c r="AN1232" s="59">
        <v>101213</v>
      </c>
      <c r="AO1232" s="148">
        <f t="shared" si="670"/>
        <v>-101213</v>
      </c>
      <c r="AP1232" s="58">
        <v>39911.38356164383</v>
      </c>
      <c r="AQ1232" s="143">
        <f t="shared" si="671"/>
        <v>-39911.379999999997</v>
      </c>
    </row>
    <row r="1233" spans="1:43" x14ac:dyDescent="0.35">
      <c r="A1233" s="69" t="s">
        <v>43</v>
      </c>
      <c r="B1233" s="15" t="s">
        <v>3911</v>
      </c>
      <c r="C1233" s="15"/>
      <c r="D1233" s="69"/>
      <c r="E1233" s="76">
        <v>0</v>
      </c>
      <c r="F1233" s="69" t="s">
        <v>2960</v>
      </c>
      <c r="G1233" s="132" t="s">
        <v>2961</v>
      </c>
      <c r="H1233" s="15">
        <v>9013000211</v>
      </c>
      <c r="I1233" s="92" t="s">
        <v>593</v>
      </c>
      <c r="J1233" s="92">
        <v>1202020101</v>
      </c>
      <c r="K1233" s="41"/>
      <c r="L1233" s="95" t="s">
        <v>3912</v>
      </c>
      <c r="M1233" s="69" t="s">
        <v>3913</v>
      </c>
      <c r="N1233" s="69"/>
      <c r="O1233" s="94">
        <v>6</v>
      </c>
      <c r="P1233" s="69" t="s">
        <v>50</v>
      </c>
      <c r="Q1233" s="69" t="s">
        <v>51</v>
      </c>
      <c r="R1233" s="69"/>
      <c r="S1233" s="46">
        <v>45231</v>
      </c>
      <c r="T1233" s="48">
        <v>45231</v>
      </c>
      <c r="U1233" s="69"/>
      <c r="V1233" s="69"/>
      <c r="W1233" s="69"/>
      <c r="X1233" s="69"/>
      <c r="Y1233" s="69" t="s">
        <v>4129</v>
      </c>
      <c r="Z1233" s="43">
        <v>588570</v>
      </c>
      <c r="AA1233" s="43" t="s">
        <v>52</v>
      </c>
      <c r="AB1233" s="43" t="s">
        <v>53</v>
      </c>
      <c r="AC1233" s="43">
        <v>1460</v>
      </c>
      <c r="AD1233" s="141">
        <v>4</v>
      </c>
      <c r="AE1233" s="142">
        <v>0</v>
      </c>
      <c r="AF1233" s="142"/>
      <c r="AG1233" s="69" t="str">
        <f t="shared" ref="AG1233:AG1296" si="672">_xlfn.CONCAT(AH1233," years ",AI1233," days")</f>
        <v>1 years 62 days</v>
      </c>
      <c r="AH1233" s="69">
        <v>1</v>
      </c>
      <c r="AI1233" s="69">
        <v>62</v>
      </c>
      <c r="AJ1233" s="69">
        <v>0</v>
      </c>
      <c r="AK1233" s="69">
        <v>0</v>
      </c>
      <c r="AL1233" s="60">
        <v>588570</v>
      </c>
      <c r="AM1233" s="60">
        <f t="shared" ref="AM1233:AM1296" si="673">ROUND(AL1233,2)</f>
        <v>588570</v>
      </c>
      <c r="AN1233" s="59">
        <v>172137</v>
      </c>
      <c r="AO1233" s="148">
        <f t="shared" ref="AO1233:AO1296" si="674">ROUND(AN1233,2)*-1</f>
        <v>-172137</v>
      </c>
      <c r="AP1233" s="58">
        <v>72966.123287671246</v>
      </c>
      <c r="AQ1233" s="143">
        <f t="shared" ref="AQ1233:AQ1296" si="675">ROUND(AP1233,2)*-1</f>
        <v>-72966.12</v>
      </c>
    </row>
    <row r="1234" spans="1:43" x14ac:dyDescent="0.35">
      <c r="A1234" s="69" t="s">
        <v>43</v>
      </c>
      <c r="B1234" s="15" t="s">
        <v>3914</v>
      </c>
      <c r="C1234" s="15"/>
      <c r="D1234" s="69"/>
      <c r="E1234" s="76">
        <v>0</v>
      </c>
      <c r="F1234" s="69" t="s">
        <v>2960</v>
      </c>
      <c r="G1234" s="132" t="s">
        <v>2961</v>
      </c>
      <c r="H1234" s="15">
        <v>9013000211</v>
      </c>
      <c r="I1234" s="92" t="s">
        <v>593</v>
      </c>
      <c r="J1234" s="92">
        <v>1202020101</v>
      </c>
      <c r="K1234" s="41"/>
      <c r="L1234" s="95" t="s">
        <v>3915</v>
      </c>
      <c r="M1234" s="69" t="s">
        <v>3916</v>
      </c>
      <c r="N1234" s="69"/>
      <c r="O1234" s="94">
        <v>1</v>
      </c>
      <c r="P1234" s="69" t="s">
        <v>50</v>
      </c>
      <c r="Q1234" s="69" t="s">
        <v>51</v>
      </c>
      <c r="R1234" s="69"/>
      <c r="S1234" s="46">
        <v>45235</v>
      </c>
      <c r="T1234" s="48">
        <v>45235</v>
      </c>
      <c r="U1234" s="69"/>
      <c r="V1234" s="69"/>
      <c r="W1234" s="69"/>
      <c r="X1234" s="69"/>
      <c r="Y1234" s="69" t="s">
        <v>4129</v>
      </c>
      <c r="Z1234" s="43">
        <v>92150</v>
      </c>
      <c r="AA1234" s="43" t="s">
        <v>52</v>
      </c>
      <c r="AB1234" s="43" t="s">
        <v>53</v>
      </c>
      <c r="AC1234" s="43">
        <v>1460</v>
      </c>
      <c r="AD1234" s="141">
        <v>4</v>
      </c>
      <c r="AE1234" s="142">
        <v>0</v>
      </c>
      <c r="AF1234" s="142"/>
      <c r="AG1234" s="69" t="str">
        <f t="shared" si="672"/>
        <v>1 years 58 days</v>
      </c>
      <c r="AH1234" s="69">
        <v>1</v>
      </c>
      <c r="AI1234" s="69">
        <v>58</v>
      </c>
      <c r="AJ1234" s="69">
        <v>0</v>
      </c>
      <c r="AK1234" s="69">
        <v>0</v>
      </c>
      <c r="AL1234" s="60">
        <v>92150</v>
      </c>
      <c r="AM1234" s="60">
        <f t="shared" si="673"/>
        <v>92150</v>
      </c>
      <c r="AN1234" s="59">
        <v>26698</v>
      </c>
      <c r="AO1234" s="148">
        <f t="shared" si="674"/>
        <v>-26698</v>
      </c>
      <c r="AP1234" s="58">
        <v>11424.32876712329</v>
      </c>
      <c r="AQ1234" s="143">
        <f t="shared" si="675"/>
        <v>-11424.33</v>
      </c>
    </row>
    <row r="1235" spans="1:43" x14ac:dyDescent="0.35">
      <c r="A1235" s="69" t="s">
        <v>43</v>
      </c>
      <c r="B1235" s="15" t="s">
        <v>3917</v>
      </c>
      <c r="C1235" s="15"/>
      <c r="D1235" s="69"/>
      <c r="E1235" s="76">
        <v>0</v>
      </c>
      <c r="F1235" s="69" t="s">
        <v>2960</v>
      </c>
      <c r="G1235" s="132" t="s">
        <v>2961</v>
      </c>
      <c r="H1235" s="15">
        <v>9013000211</v>
      </c>
      <c r="I1235" s="92" t="s">
        <v>593</v>
      </c>
      <c r="J1235" s="92">
        <v>1202020101</v>
      </c>
      <c r="K1235" s="41"/>
      <c r="L1235" s="95" t="s">
        <v>3918</v>
      </c>
      <c r="M1235" s="69" t="s">
        <v>3919</v>
      </c>
      <c r="N1235" s="69"/>
      <c r="O1235" s="94">
        <v>1</v>
      </c>
      <c r="P1235" s="69" t="s">
        <v>50</v>
      </c>
      <c r="Q1235" s="69" t="s">
        <v>51</v>
      </c>
      <c r="R1235" s="69"/>
      <c r="S1235" s="46">
        <v>45308</v>
      </c>
      <c r="T1235" s="48">
        <v>45308</v>
      </c>
      <c r="U1235" s="69"/>
      <c r="V1235" s="69"/>
      <c r="W1235" s="69"/>
      <c r="X1235" s="69"/>
      <c r="Y1235" s="69" t="s">
        <v>4130</v>
      </c>
      <c r="Z1235" s="43">
        <v>560000</v>
      </c>
      <c r="AA1235" s="43" t="s">
        <v>52</v>
      </c>
      <c r="AB1235" s="43" t="s">
        <v>53</v>
      </c>
      <c r="AC1235" s="43">
        <v>1460</v>
      </c>
      <c r="AD1235" s="141">
        <v>4</v>
      </c>
      <c r="AE1235" s="142">
        <v>0</v>
      </c>
      <c r="AF1235" s="142"/>
      <c r="AG1235" s="69" t="str">
        <f t="shared" si="672"/>
        <v>0 years 350 days</v>
      </c>
      <c r="AH1235" s="69">
        <v>0</v>
      </c>
      <c r="AI1235" s="69">
        <v>350</v>
      </c>
      <c r="AJ1235" s="69">
        <v>0</v>
      </c>
      <c r="AK1235" s="69">
        <v>0</v>
      </c>
      <c r="AL1235" s="60">
        <v>560000</v>
      </c>
      <c r="AM1235" s="60">
        <f t="shared" si="673"/>
        <v>560000</v>
      </c>
      <c r="AN1235" s="59">
        <v>134247</v>
      </c>
      <c r="AO1235" s="148">
        <f t="shared" si="674"/>
        <v>-134247</v>
      </c>
      <c r="AP1235" s="58">
        <v>69424.23287671234</v>
      </c>
      <c r="AQ1235" s="143">
        <f t="shared" si="675"/>
        <v>-69424.23</v>
      </c>
    </row>
    <row r="1236" spans="1:43" x14ac:dyDescent="0.35">
      <c r="A1236" s="69" t="s">
        <v>43</v>
      </c>
      <c r="B1236" s="15" t="s">
        <v>3920</v>
      </c>
      <c r="C1236" s="15"/>
      <c r="D1236" s="69"/>
      <c r="E1236" s="76">
        <v>0</v>
      </c>
      <c r="F1236" s="69" t="s">
        <v>2960</v>
      </c>
      <c r="G1236" s="132" t="s">
        <v>2961</v>
      </c>
      <c r="H1236" s="15">
        <v>9013000211</v>
      </c>
      <c r="I1236" s="92" t="s">
        <v>593</v>
      </c>
      <c r="J1236" s="92">
        <v>1202020101</v>
      </c>
      <c r="K1236" s="41"/>
      <c r="L1236" s="95" t="s">
        <v>3921</v>
      </c>
      <c r="M1236" s="69" t="s">
        <v>3922</v>
      </c>
      <c r="N1236" s="69"/>
      <c r="O1236" s="94">
        <v>1</v>
      </c>
      <c r="P1236" s="69" t="s">
        <v>50</v>
      </c>
      <c r="Q1236" s="69" t="s">
        <v>51</v>
      </c>
      <c r="R1236" s="69"/>
      <c r="S1236" s="46">
        <v>45306</v>
      </c>
      <c r="T1236" s="48">
        <v>45306</v>
      </c>
      <c r="U1236" s="69"/>
      <c r="V1236" s="69"/>
      <c r="W1236" s="69"/>
      <c r="X1236" s="69"/>
      <c r="Y1236" s="69" t="s">
        <v>4130</v>
      </c>
      <c r="Z1236" s="43">
        <v>657500</v>
      </c>
      <c r="AA1236" s="43" t="s">
        <v>52</v>
      </c>
      <c r="AB1236" s="43" t="s">
        <v>53</v>
      </c>
      <c r="AC1236" s="43">
        <v>1460</v>
      </c>
      <c r="AD1236" s="141">
        <v>4</v>
      </c>
      <c r="AE1236" s="142">
        <v>0</v>
      </c>
      <c r="AF1236" s="142"/>
      <c r="AG1236" s="69" t="str">
        <f t="shared" si="672"/>
        <v>0 years 352 days</v>
      </c>
      <c r="AH1236" s="69">
        <v>0</v>
      </c>
      <c r="AI1236" s="69">
        <v>352</v>
      </c>
      <c r="AJ1236" s="69">
        <v>0</v>
      </c>
      <c r="AK1236" s="69">
        <v>0</v>
      </c>
      <c r="AL1236" s="60">
        <v>657500</v>
      </c>
      <c r="AM1236" s="60">
        <f t="shared" si="673"/>
        <v>657500</v>
      </c>
      <c r="AN1236" s="59">
        <v>158521</v>
      </c>
      <c r="AO1236" s="148">
        <f t="shared" si="674"/>
        <v>-158521</v>
      </c>
      <c r="AP1236" s="58">
        <v>81511.534246575349</v>
      </c>
      <c r="AQ1236" s="143">
        <f t="shared" si="675"/>
        <v>-81511.53</v>
      </c>
    </row>
    <row r="1237" spans="1:43" x14ac:dyDescent="0.35">
      <c r="A1237" s="69" t="s">
        <v>43</v>
      </c>
      <c r="B1237" s="15" t="s">
        <v>3923</v>
      </c>
      <c r="C1237" s="15"/>
      <c r="D1237" s="69"/>
      <c r="E1237" s="76">
        <v>0</v>
      </c>
      <c r="F1237" s="69" t="s">
        <v>2960</v>
      </c>
      <c r="G1237" s="132" t="s">
        <v>2961</v>
      </c>
      <c r="H1237" s="15">
        <v>9013000211</v>
      </c>
      <c r="I1237" s="92" t="s">
        <v>593</v>
      </c>
      <c r="J1237" s="92">
        <v>1202020101</v>
      </c>
      <c r="K1237" s="41"/>
      <c r="L1237" s="95" t="s">
        <v>3924</v>
      </c>
      <c r="M1237" s="69" t="s">
        <v>3925</v>
      </c>
      <c r="N1237" s="69"/>
      <c r="O1237" s="94">
        <v>1</v>
      </c>
      <c r="P1237" s="69" t="s">
        <v>50</v>
      </c>
      <c r="Q1237" s="69" t="s">
        <v>51</v>
      </c>
      <c r="R1237" s="69"/>
      <c r="S1237" s="46">
        <v>45352</v>
      </c>
      <c r="T1237" s="48">
        <v>45352</v>
      </c>
      <c r="U1237" s="69"/>
      <c r="V1237" s="69"/>
      <c r="W1237" s="69"/>
      <c r="X1237" s="69"/>
      <c r="Y1237" s="69" t="s">
        <v>4130</v>
      </c>
      <c r="Z1237" s="43">
        <v>150000</v>
      </c>
      <c r="AA1237" s="43" t="s">
        <v>52</v>
      </c>
      <c r="AB1237" s="43" t="s">
        <v>53</v>
      </c>
      <c r="AC1237" s="43">
        <v>1460</v>
      </c>
      <c r="AD1237" s="141">
        <v>4</v>
      </c>
      <c r="AE1237" s="142">
        <v>0</v>
      </c>
      <c r="AF1237" s="142"/>
      <c r="AG1237" s="69" t="str">
        <f t="shared" si="672"/>
        <v>0 years 306 days</v>
      </c>
      <c r="AH1237" s="69">
        <v>0</v>
      </c>
      <c r="AI1237" s="69">
        <v>306</v>
      </c>
      <c r="AJ1237" s="69">
        <v>0</v>
      </c>
      <c r="AK1237" s="69">
        <v>0</v>
      </c>
      <c r="AL1237" s="60">
        <v>150000</v>
      </c>
      <c r="AM1237" s="60">
        <f t="shared" si="673"/>
        <v>150000</v>
      </c>
      <c r="AN1237" s="59">
        <v>31438</v>
      </c>
      <c r="AO1237" s="148">
        <f t="shared" si="674"/>
        <v>-31438</v>
      </c>
      <c r="AP1237" s="58">
        <v>18596.246575342469</v>
      </c>
      <c r="AQ1237" s="143">
        <f t="shared" si="675"/>
        <v>-18596.25</v>
      </c>
    </row>
    <row r="1238" spans="1:43" x14ac:dyDescent="0.35">
      <c r="A1238" s="69" t="s">
        <v>43</v>
      </c>
      <c r="B1238" s="15" t="s">
        <v>3926</v>
      </c>
      <c r="C1238" s="15"/>
      <c r="D1238" s="69"/>
      <c r="E1238" s="76">
        <v>0</v>
      </c>
      <c r="F1238" s="69" t="s">
        <v>2960</v>
      </c>
      <c r="G1238" s="132" t="s">
        <v>2961</v>
      </c>
      <c r="H1238" s="15">
        <v>9013000211</v>
      </c>
      <c r="I1238" s="92" t="s">
        <v>593</v>
      </c>
      <c r="J1238" s="92">
        <v>1202020101</v>
      </c>
      <c r="K1238" s="41"/>
      <c r="L1238" s="95" t="s">
        <v>3927</v>
      </c>
      <c r="M1238" s="69" t="s">
        <v>3928</v>
      </c>
      <c r="N1238" s="69"/>
      <c r="O1238" s="94">
        <v>8</v>
      </c>
      <c r="P1238" s="69" t="s">
        <v>50</v>
      </c>
      <c r="Q1238" s="69" t="s">
        <v>51</v>
      </c>
      <c r="R1238" s="69"/>
      <c r="S1238" s="46">
        <v>45354</v>
      </c>
      <c r="T1238" s="48">
        <v>45354</v>
      </c>
      <c r="U1238" s="69"/>
      <c r="V1238" s="69"/>
      <c r="W1238" s="69"/>
      <c r="X1238" s="69"/>
      <c r="Y1238" s="69" t="s">
        <v>4130</v>
      </c>
      <c r="Z1238" s="43">
        <v>133400</v>
      </c>
      <c r="AA1238" s="43" t="s">
        <v>52</v>
      </c>
      <c r="AB1238" s="43" t="s">
        <v>53</v>
      </c>
      <c r="AC1238" s="43">
        <v>1460</v>
      </c>
      <c r="AD1238" s="141">
        <v>4</v>
      </c>
      <c r="AE1238" s="142">
        <v>0</v>
      </c>
      <c r="AF1238" s="142"/>
      <c r="AG1238" s="69" t="str">
        <f t="shared" si="672"/>
        <v>0 years 304 days</v>
      </c>
      <c r="AH1238" s="69">
        <v>0</v>
      </c>
      <c r="AI1238" s="69">
        <v>304</v>
      </c>
      <c r="AJ1238" s="69">
        <v>0</v>
      </c>
      <c r="AK1238" s="69">
        <v>0</v>
      </c>
      <c r="AL1238" s="60">
        <v>133400</v>
      </c>
      <c r="AM1238" s="60">
        <f t="shared" si="673"/>
        <v>133400</v>
      </c>
      <c r="AN1238" s="59">
        <v>27776</v>
      </c>
      <c r="AO1238" s="148">
        <f t="shared" si="674"/>
        <v>-27776</v>
      </c>
      <c r="AP1238" s="58">
        <v>16538.38356164383</v>
      </c>
      <c r="AQ1238" s="143">
        <f t="shared" si="675"/>
        <v>-16538.38</v>
      </c>
    </row>
    <row r="1239" spans="1:43" x14ac:dyDescent="0.35">
      <c r="A1239" s="69" t="s">
        <v>43</v>
      </c>
      <c r="B1239" s="15" t="s">
        <v>3929</v>
      </c>
      <c r="C1239" s="15"/>
      <c r="D1239" s="69"/>
      <c r="E1239" s="76">
        <v>0</v>
      </c>
      <c r="F1239" s="69" t="s">
        <v>2960</v>
      </c>
      <c r="G1239" s="132" t="s">
        <v>2961</v>
      </c>
      <c r="H1239" s="15">
        <v>9013000211</v>
      </c>
      <c r="I1239" s="92" t="s">
        <v>593</v>
      </c>
      <c r="J1239" s="92">
        <v>1202020101</v>
      </c>
      <c r="K1239" s="41"/>
      <c r="L1239" s="95" t="s">
        <v>3930</v>
      </c>
      <c r="M1239" s="69" t="s">
        <v>3931</v>
      </c>
      <c r="N1239" s="69"/>
      <c r="O1239" s="94">
        <v>1</v>
      </c>
      <c r="P1239" s="69" t="s">
        <v>50</v>
      </c>
      <c r="Q1239" s="69" t="s">
        <v>51</v>
      </c>
      <c r="R1239" s="69"/>
      <c r="S1239" s="46">
        <v>45364</v>
      </c>
      <c r="T1239" s="48">
        <v>45364</v>
      </c>
      <c r="U1239" s="69"/>
      <c r="V1239" s="69"/>
      <c r="W1239" s="69"/>
      <c r="X1239" s="69"/>
      <c r="Y1239" s="69" t="s">
        <v>4130</v>
      </c>
      <c r="Z1239" s="43">
        <v>120500</v>
      </c>
      <c r="AA1239" s="43" t="s">
        <v>52</v>
      </c>
      <c r="AB1239" s="43" t="s">
        <v>53</v>
      </c>
      <c r="AC1239" s="43">
        <v>1460</v>
      </c>
      <c r="AD1239" s="141">
        <v>4</v>
      </c>
      <c r="AE1239" s="142">
        <v>0</v>
      </c>
      <c r="AF1239" s="142"/>
      <c r="AG1239" s="69" t="str">
        <f t="shared" si="672"/>
        <v>0 years 294 days</v>
      </c>
      <c r="AH1239" s="69">
        <v>0</v>
      </c>
      <c r="AI1239" s="69">
        <v>294</v>
      </c>
      <c r="AJ1239" s="69">
        <v>0</v>
      </c>
      <c r="AK1239" s="69">
        <v>0</v>
      </c>
      <c r="AL1239" s="60">
        <v>120500</v>
      </c>
      <c r="AM1239" s="60">
        <f t="shared" si="673"/>
        <v>120500</v>
      </c>
      <c r="AN1239" s="59">
        <v>24265</v>
      </c>
      <c r="AO1239" s="148">
        <f t="shared" si="674"/>
        <v>-24265</v>
      </c>
      <c r="AP1239" s="58">
        <v>14938.767123287675</v>
      </c>
      <c r="AQ1239" s="143">
        <f t="shared" si="675"/>
        <v>-14938.77</v>
      </c>
    </row>
    <row r="1240" spans="1:43" x14ac:dyDescent="0.35">
      <c r="A1240" s="69" t="s">
        <v>43</v>
      </c>
      <c r="B1240" s="15" t="s">
        <v>3932</v>
      </c>
      <c r="C1240" s="15"/>
      <c r="D1240" s="69"/>
      <c r="E1240" s="76">
        <v>0</v>
      </c>
      <c r="F1240" s="69" t="s">
        <v>2960</v>
      </c>
      <c r="G1240" s="132" t="s">
        <v>2961</v>
      </c>
      <c r="H1240" s="15">
        <v>9013000211</v>
      </c>
      <c r="I1240" s="92" t="s">
        <v>593</v>
      </c>
      <c r="J1240" s="92">
        <v>1202020101</v>
      </c>
      <c r="K1240" s="41"/>
      <c r="L1240" s="95" t="s">
        <v>3933</v>
      </c>
      <c r="M1240" s="69" t="s">
        <v>3934</v>
      </c>
      <c r="N1240" s="69"/>
      <c r="O1240" s="94">
        <v>6</v>
      </c>
      <c r="P1240" s="69" t="s">
        <v>50</v>
      </c>
      <c r="Q1240" s="69" t="s">
        <v>51</v>
      </c>
      <c r="R1240" s="69"/>
      <c r="S1240" s="46">
        <v>45382</v>
      </c>
      <c r="T1240" s="48">
        <v>45382</v>
      </c>
      <c r="U1240" s="69"/>
      <c r="V1240" s="69"/>
      <c r="W1240" s="69"/>
      <c r="X1240" s="69"/>
      <c r="Y1240" s="69" t="s">
        <v>4130</v>
      </c>
      <c r="Z1240" s="43">
        <v>148500</v>
      </c>
      <c r="AA1240" s="43" t="s">
        <v>52</v>
      </c>
      <c r="AB1240" s="43" t="s">
        <v>53</v>
      </c>
      <c r="AC1240" s="43">
        <v>1460</v>
      </c>
      <c r="AD1240" s="141">
        <v>4</v>
      </c>
      <c r="AE1240" s="142">
        <v>0</v>
      </c>
      <c r="AF1240" s="142"/>
      <c r="AG1240" s="69" t="str">
        <f t="shared" si="672"/>
        <v>0 years 276 days</v>
      </c>
      <c r="AH1240" s="69">
        <v>0</v>
      </c>
      <c r="AI1240" s="69">
        <v>276</v>
      </c>
      <c r="AJ1240" s="69">
        <v>0</v>
      </c>
      <c r="AK1240" s="69">
        <v>0</v>
      </c>
      <c r="AL1240" s="60">
        <v>148500</v>
      </c>
      <c r="AM1240" s="60">
        <f t="shared" si="673"/>
        <v>148500</v>
      </c>
      <c r="AN1240" s="59">
        <v>28174</v>
      </c>
      <c r="AO1240" s="148">
        <f t="shared" si="674"/>
        <v>-28174</v>
      </c>
      <c r="AP1240" s="58">
        <v>18410.246575342462</v>
      </c>
      <c r="AQ1240" s="143">
        <f t="shared" si="675"/>
        <v>-18410.25</v>
      </c>
    </row>
    <row r="1241" spans="1:43" x14ac:dyDescent="0.35">
      <c r="A1241" s="69" t="s">
        <v>43</v>
      </c>
      <c r="B1241" s="15" t="s">
        <v>3935</v>
      </c>
      <c r="C1241" s="15"/>
      <c r="D1241" s="69"/>
      <c r="E1241" s="76">
        <v>0</v>
      </c>
      <c r="F1241" s="69" t="s">
        <v>2960</v>
      </c>
      <c r="G1241" s="132" t="s">
        <v>2961</v>
      </c>
      <c r="H1241" s="15">
        <v>9013000211</v>
      </c>
      <c r="I1241" s="92" t="s">
        <v>593</v>
      </c>
      <c r="J1241" s="92">
        <v>1202020101</v>
      </c>
      <c r="K1241" s="41"/>
      <c r="L1241" s="95" t="s">
        <v>3936</v>
      </c>
      <c r="M1241" s="69" t="s">
        <v>3937</v>
      </c>
      <c r="N1241" s="69"/>
      <c r="O1241" s="94">
        <v>20</v>
      </c>
      <c r="P1241" s="69" t="s">
        <v>50</v>
      </c>
      <c r="Q1241" s="69" t="s">
        <v>51</v>
      </c>
      <c r="R1241" s="69"/>
      <c r="S1241" s="46">
        <v>45383</v>
      </c>
      <c r="T1241" s="48">
        <v>45383</v>
      </c>
      <c r="U1241" s="69"/>
      <c r="V1241" s="69"/>
      <c r="W1241" s="69"/>
      <c r="X1241" s="69"/>
      <c r="Y1241" s="69" t="s">
        <v>4130</v>
      </c>
      <c r="Z1241" s="43">
        <v>838960</v>
      </c>
      <c r="AA1241" s="43" t="s">
        <v>52</v>
      </c>
      <c r="AB1241" s="43" t="s">
        <v>53</v>
      </c>
      <c r="AC1241" s="43">
        <v>1460</v>
      </c>
      <c r="AD1241" s="141">
        <v>4</v>
      </c>
      <c r="AE1241" s="142">
        <v>0</v>
      </c>
      <c r="AF1241" s="142"/>
      <c r="AG1241" s="69" t="str">
        <f t="shared" si="672"/>
        <v>0 years 275 days</v>
      </c>
      <c r="AH1241" s="69">
        <v>0</v>
      </c>
      <c r="AI1241" s="69">
        <v>275</v>
      </c>
      <c r="AJ1241" s="69">
        <v>0</v>
      </c>
      <c r="AK1241" s="69">
        <v>0</v>
      </c>
      <c r="AL1241" s="60">
        <v>838960</v>
      </c>
      <c r="AM1241" s="60">
        <f t="shared" si="673"/>
        <v>838960</v>
      </c>
      <c r="AN1241" s="59">
        <v>158023</v>
      </c>
      <c r="AO1241" s="148">
        <f t="shared" si="674"/>
        <v>-158023</v>
      </c>
      <c r="AP1241" s="58">
        <v>104008.34246575343</v>
      </c>
      <c r="AQ1241" s="143">
        <f t="shared" si="675"/>
        <v>-104008.34</v>
      </c>
    </row>
    <row r="1242" spans="1:43" x14ac:dyDescent="0.35">
      <c r="A1242" s="69" t="s">
        <v>43</v>
      </c>
      <c r="B1242" s="15" t="s">
        <v>3938</v>
      </c>
      <c r="C1242" s="15"/>
      <c r="D1242" s="69"/>
      <c r="E1242" s="76">
        <v>0</v>
      </c>
      <c r="F1242" s="69" t="s">
        <v>2960</v>
      </c>
      <c r="G1242" s="132" t="s">
        <v>2961</v>
      </c>
      <c r="H1242" s="15">
        <v>9013000211</v>
      </c>
      <c r="I1242" s="92" t="s">
        <v>593</v>
      </c>
      <c r="J1242" s="92">
        <v>1202020101</v>
      </c>
      <c r="K1242" s="41"/>
      <c r="L1242" s="95" t="s">
        <v>3939</v>
      </c>
      <c r="M1242" s="69" t="s">
        <v>3940</v>
      </c>
      <c r="N1242" s="69"/>
      <c r="O1242" s="94">
        <v>2</v>
      </c>
      <c r="P1242" s="69" t="s">
        <v>50</v>
      </c>
      <c r="Q1242" s="69" t="s">
        <v>51</v>
      </c>
      <c r="R1242" s="69"/>
      <c r="S1242" s="46">
        <v>45405</v>
      </c>
      <c r="T1242" s="48">
        <v>45405</v>
      </c>
      <c r="U1242" s="69"/>
      <c r="V1242" s="69"/>
      <c r="W1242" s="69"/>
      <c r="X1242" s="69"/>
      <c r="Y1242" s="69" t="s">
        <v>4130</v>
      </c>
      <c r="Z1242" s="43">
        <v>604700</v>
      </c>
      <c r="AA1242" s="43" t="s">
        <v>52</v>
      </c>
      <c r="AB1242" s="43" t="s">
        <v>53</v>
      </c>
      <c r="AC1242" s="43">
        <v>1460</v>
      </c>
      <c r="AD1242" s="141">
        <v>4</v>
      </c>
      <c r="AE1242" s="142">
        <v>0</v>
      </c>
      <c r="AF1242" s="142"/>
      <c r="AG1242" s="69" t="str">
        <f t="shared" si="672"/>
        <v>0 years 253 days</v>
      </c>
      <c r="AH1242" s="69">
        <v>0</v>
      </c>
      <c r="AI1242" s="69">
        <v>253</v>
      </c>
      <c r="AJ1242" s="69">
        <v>0</v>
      </c>
      <c r="AK1242" s="69">
        <v>0</v>
      </c>
      <c r="AL1242" s="60">
        <v>604700</v>
      </c>
      <c r="AM1242" s="60">
        <f t="shared" si="673"/>
        <v>604700</v>
      </c>
      <c r="AN1242" s="59">
        <v>104787</v>
      </c>
      <c r="AO1242" s="148">
        <f t="shared" si="674"/>
        <v>-104787</v>
      </c>
      <c r="AP1242" s="58">
        <v>74966.287671232887</v>
      </c>
      <c r="AQ1242" s="143">
        <f t="shared" si="675"/>
        <v>-74966.289999999994</v>
      </c>
    </row>
    <row r="1243" spans="1:43" x14ac:dyDescent="0.35">
      <c r="A1243" s="69" t="s">
        <v>43</v>
      </c>
      <c r="B1243" s="15" t="s">
        <v>3941</v>
      </c>
      <c r="C1243" s="15"/>
      <c r="D1243" s="69"/>
      <c r="E1243" s="76">
        <v>0</v>
      </c>
      <c r="F1243" s="69" t="s">
        <v>2960</v>
      </c>
      <c r="G1243" s="132" t="s">
        <v>2961</v>
      </c>
      <c r="H1243" s="15">
        <v>9013000211</v>
      </c>
      <c r="I1243" s="92" t="s">
        <v>593</v>
      </c>
      <c r="J1243" s="92">
        <v>1202020101</v>
      </c>
      <c r="K1243" s="41"/>
      <c r="L1243" s="95" t="s">
        <v>3942</v>
      </c>
      <c r="M1243" s="69" t="s">
        <v>3943</v>
      </c>
      <c r="N1243" s="69"/>
      <c r="O1243" s="94">
        <v>76</v>
      </c>
      <c r="P1243" s="69" t="s">
        <v>50</v>
      </c>
      <c r="Q1243" s="69" t="s">
        <v>51</v>
      </c>
      <c r="R1243" s="69"/>
      <c r="S1243" s="46">
        <v>45435</v>
      </c>
      <c r="T1243" s="48">
        <v>45435</v>
      </c>
      <c r="U1243" s="69"/>
      <c r="V1243" s="69"/>
      <c r="W1243" s="69"/>
      <c r="X1243" s="69"/>
      <c r="Y1243" s="69" t="s">
        <v>4130</v>
      </c>
      <c r="Z1243" s="43">
        <v>186200</v>
      </c>
      <c r="AA1243" s="43" t="s">
        <v>52</v>
      </c>
      <c r="AB1243" s="43" t="s">
        <v>53</v>
      </c>
      <c r="AC1243" s="43">
        <v>1460</v>
      </c>
      <c r="AD1243" s="141">
        <v>4</v>
      </c>
      <c r="AE1243" s="142">
        <v>0</v>
      </c>
      <c r="AF1243" s="142"/>
      <c r="AG1243" s="69" t="str">
        <f t="shared" si="672"/>
        <v>0 years 223 days</v>
      </c>
      <c r="AH1243" s="69">
        <v>0</v>
      </c>
      <c r="AI1243" s="69">
        <v>223</v>
      </c>
      <c r="AJ1243" s="69">
        <v>0</v>
      </c>
      <c r="AK1243" s="69">
        <v>0</v>
      </c>
      <c r="AL1243" s="60">
        <v>186200</v>
      </c>
      <c r="AM1243" s="60">
        <f t="shared" si="673"/>
        <v>186200</v>
      </c>
      <c r="AN1243" s="59">
        <v>28440</v>
      </c>
      <c r="AO1243" s="148">
        <f t="shared" si="674"/>
        <v>-28440</v>
      </c>
      <c r="AP1243" s="58">
        <v>23083.835616438351</v>
      </c>
      <c r="AQ1243" s="143">
        <f t="shared" si="675"/>
        <v>-23083.84</v>
      </c>
    </row>
    <row r="1244" spans="1:43" x14ac:dyDescent="0.35">
      <c r="A1244" s="69" t="s">
        <v>43</v>
      </c>
      <c r="B1244" s="15" t="s">
        <v>3944</v>
      </c>
      <c r="C1244" s="15"/>
      <c r="D1244" s="69"/>
      <c r="E1244" s="76">
        <v>0</v>
      </c>
      <c r="F1244" s="69" t="s">
        <v>2960</v>
      </c>
      <c r="G1244" s="132" t="s">
        <v>2961</v>
      </c>
      <c r="H1244" s="15">
        <v>9013000211</v>
      </c>
      <c r="I1244" s="92" t="s">
        <v>593</v>
      </c>
      <c r="J1244" s="92">
        <v>1202020101</v>
      </c>
      <c r="K1244" s="41"/>
      <c r="L1244" s="95" t="s">
        <v>3945</v>
      </c>
      <c r="M1244" s="69" t="s">
        <v>3946</v>
      </c>
      <c r="N1244" s="69"/>
      <c r="O1244" s="94">
        <v>2</v>
      </c>
      <c r="P1244" s="69" t="s">
        <v>50</v>
      </c>
      <c r="Q1244" s="69" t="s">
        <v>51</v>
      </c>
      <c r="R1244" s="69"/>
      <c r="S1244" s="46">
        <v>45475</v>
      </c>
      <c r="T1244" s="48">
        <v>45475</v>
      </c>
      <c r="U1244" s="69"/>
      <c r="V1244" s="69"/>
      <c r="W1244" s="69"/>
      <c r="X1244" s="69"/>
      <c r="Y1244" s="69" t="s">
        <v>4130</v>
      </c>
      <c r="Z1244" s="43">
        <v>482328</v>
      </c>
      <c r="AA1244" s="43" t="s">
        <v>52</v>
      </c>
      <c r="AB1244" s="43" t="s">
        <v>53</v>
      </c>
      <c r="AC1244" s="43">
        <v>1460</v>
      </c>
      <c r="AD1244" s="141">
        <v>4</v>
      </c>
      <c r="AE1244" s="142">
        <v>0</v>
      </c>
      <c r="AF1244" s="142"/>
      <c r="AG1244" s="69" t="str">
        <f t="shared" si="672"/>
        <v>0 years 183 days</v>
      </c>
      <c r="AH1244" s="69">
        <v>0</v>
      </c>
      <c r="AI1244" s="69">
        <v>183</v>
      </c>
      <c r="AJ1244" s="69">
        <v>0</v>
      </c>
      <c r="AK1244" s="69">
        <v>0</v>
      </c>
      <c r="AL1244" s="60">
        <v>482328</v>
      </c>
      <c r="AM1244" s="60">
        <f t="shared" si="673"/>
        <v>482328</v>
      </c>
      <c r="AN1244" s="59">
        <v>60456</v>
      </c>
      <c r="AO1244" s="148">
        <f t="shared" si="674"/>
        <v>-60456</v>
      </c>
      <c r="AP1244" s="58">
        <v>59795.638356164389</v>
      </c>
      <c r="AQ1244" s="143">
        <f t="shared" si="675"/>
        <v>-59795.64</v>
      </c>
    </row>
    <row r="1245" spans="1:43" x14ac:dyDescent="0.35">
      <c r="A1245" s="69" t="s">
        <v>43</v>
      </c>
      <c r="B1245" s="15" t="s">
        <v>3947</v>
      </c>
      <c r="C1245" s="15"/>
      <c r="D1245" s="69"/>
      <c r="E1245" s="76">
        <v>0</v>
      </c>
      <c r="F1245" s="69" t="s">
        <v>2960</v>
      </c>
      <c r="G1245" s="132" t="s">
        <v>2961</v>
      </c>
      <c r="H1245" s="15">
        <v>9013000211</v>
      </c>
      <c r="I1245" s="92" t="s">
        <v>593</v>
      </c>
      <c r="J1245" s="92">
        <v>1202020101</v>
      </c>
      <c r="K1245" s="41"/>
      <c r="L1245" s="95" t="s">
        <v>3948</v>
      </c>
      <c r="M1245" s="69" t="s">
        <v>3949</v>
      </c>
      <c r="N1245" s="69"/>
      <c r="O1245" s="94">
        <v>1</v>
      </c>
      <c r="P1245" s="69" t="s">
        <v>50</v>
      </c>
      <c r="Q1245" s="69" t="s">
        <v>51</v>
      </c>
      <c r="R1245" s="69"/>
      <c r="S1245" s="46">
        <v>45481</v>
      </c>
      <c r="T1245" s="48">
        <v>45481</v>
      </c>
      <c r="U1245" s="69"/>
      <c r="V1245" s="69"/>
      <c r="W1245" s="69"/>
      <c r="X1245" s="69"/>
      <c r="Y1245" s="69" t="s">
        <v>4130</v>
      </c>
      <c r="Z1245" s="43">
        <v>767000</v>
      </c>
      <c r="AA1245" s="43" t="s">
        <v>52</v>
      </c>
      <c r="AB1245" s="43" t="s">
        <v>53</v>
      </c>
      <c r="AC1245" s="43">
        <v>1460</v>
      </c>
      <c r="AD1245" s="141">
        <v>4</v>
      </c>
      <c r="AE1245" s="142">
        <v>0</v>
      </c>
      <c r="AF1245" s="142"/>
      <c r="AG1245" s="69" t="str">
        <f t="shared" si="672"/>
        <v>0 years 177 days</v>
      </c>
      <c r="AH1245" s="69">
        <v>0</v>
      </c>
      <c r="AI1245" s="69">
        <v>177</v>
      </c>
      <c r="AJ1245" s="69">
        <v>0</v>
      </c>
      <c r="AK1245" s="69">
        <v>0</v>
      </c>
      <c r="AL1245" s="60">
        <v>767000</v>
      </c>
      <c r="AM1245" s="60">
        <f t="shared" si="673"/>
        <v>767000</v>
      </c>
      <c r="AN1245" s="59">
        <v>92986</v>
      </c>
      <c r="AO1245" s="148">
        <f t="shared" si="674"/>
        <v>-92986</v>
      </c>
      <c r="AP1245" s="58">
        <v>95086.602739726019</v>
      </c>
      <c r="AQ1245" s="143">
        <f t="shared" si="675"/>
        <v>-95086.6</v>
      </c>
    </row>
    <row r="1246" spans="1:43" x14ac:dyDescent="0.35">
      <c r="A1246" s="69" t="s">
        <v>43</v>
      </c>
      <c r="B1246" s="15" t="s">
        <v>3950</v>
      </c>
      <c r="C1246" s="15"/>
      <c r="D1246" s="69"/>
      <c r="E1246" s="76">
        <v>0</v>
      </c>
      <c r="F1246" s="69" t="s">
        <v>2960</v>
      </c>
      <c r="G1246" s="132" t="s">
        <v>2961</v>
      </c>
      <c r="H1246" s="15">
        <v>9013000211</v>
      </c>
      <c r="I1246" s="92" t="s">
        <v>593</v>
      </c>
      <c r="J1246" s="92">
        <v>1202020101</v>
      </c>
      <c r="K1246" s="41"/>
      <c r="L1246" s="95" t="s">
        <v>3951</v>
      </c>
      <c r="M1246" s="69" t="s">
        <v>3952</v>
      </c>
      <c r="N1246" s="69"/>
      <c r="O1246" s="94">
        <v>2</v>
      </c>
      <c r="P1246" s="69" t="s">
        <v>50</v>
      </c>
      <c r="Q1246" s="69" t="s">
        <v>51</v>
      </c>
      <c r="R1246" s="69"/>
      <c r="S1246" s="46">
        <v>45485</v>
      </c>
      <c r="T1246" s="48">
        <v>45485</v>
      </c>
      <c r="U1246" s="69"/>
      <c r="V1246" s="69"/>
      <c r="W1246" s="69"/>
      <c r="X1246" s="69"/>
      <c r="Y1246" s="69" t="s">
        <v>4130</v>
      </c>
      <c r="Z1246" s="43">
        <v>517408</v>
      </c>
      <c r="AA1246" s="43" t="s">
        <v>52</v>
      </c>
      <c r="AB1246" s="43" t="s">
        <v>53</v>
      </c>
      <c r="AC1246" s="43">
        <v>1460</v>
      </c>
      <c r="AD1246" s="141">
        <v>4</v>
      </c>
      <c r="AE1246" s="142">
        <v>0</v>
      </c>
      <c r="AF1246" s="142"/>
      <c r="AG1246" s="69" t="str">
        <f t="shared" si="672"/>
        <v>0 years 173 days</v>
      </c>
      <c r="AH1246" s="69">
        <v>0</v>
      </c>
      <c r="AI1246" s="69">
        <v>173</v>
      </c>
      <c r="AJ1246" s="69">
        <v>0</v>
      </c>
      <c r="AK1246" s="69">
        <v>0</v>
      </c>
      <c r="AL1246" s="60">
        <v>517408</v>
      </c>
      <c r="AM1246" s="60">
        <f t="shared" si="673"/>
        <v>517408</v>
      </c>
      <c r="AN1246" s="59">
        <v>61309</v>
      </c>
      <c r="AO1246" s="148">
        <f t="shared" si="674"/>
        <v>-61309</v>
      </c>
      <c r="AP1246" s="58">
        <v>64144.72054794521</v>
      </c>
      <c r="AQ1246" s="143">
        <f t="shared" si="675"/>
        <v>-64144.72</v>
      </c>
    </row>
    <row r="1247" spans="1:43" x14ac:dyDescent="0.35">
      <c r="A1247" s="69" t="s">
        <v>43</v>
      </c>
      <c r="B1247" s="15" t="s">
        <v>3953</v>
      </c>
      <c r="C1247" s="15"/>
      <c r="D1247" s="69"/>
      <c r="E1247" s="76">
        <v>0</v>
      </c>
      <c r="F1247" s="69" t="s">
        <v>2960</v>
      </c>
      <c r="G1247" s="132" t="s">
        <v>2961</v>
      </c>
      <c r="H1247" s="15">
        <v>9013000211</v>
      </c>
      <c r="I1247" s="92" t="s">
        <v>593</v>
      </c>
      <c r="J1247" s="92">
        <v>1202020101</v>
      </c>
      <c r="K1247" s="41"/>
      <c r="L1247" s="95" t="s">
        <v>3954</v>
      </c>
      <c r="M1247" s="69" t="s">
        <v>49</v>
      </c>
      <c r="N1247" s="69"/>
      <c r="O1247" s="94">
        <v>1</v>
      </c>
      <c r="P1247" s="69" t="s">
        <v>50</v>
      </c>
      <c r="Q1247" s="69" t="s">
        <v>51</v>
      </c>
      <c r="R1247" s="69"/>
      <c r="S1247" s="46">
        <v>45555</v>
      </c>
      <c r="T1247" s="48">
        <v>45555</v>
      </c>
      <c r="U1247" s="69"/>
      <c r="V1247" s="69"/>
      <c r="W1247" s="69"/>
      <c r="X1247" s="69"/>
      <c r="Y1247" s="69" t="s">
        <v>4130</v>
      </c>
      <c r="Z1247" s="43">
        <v>160000</v>
      </c>
      <c r="AA1247" s="43" t="s">
        <v>52</v>
      </c>
      <c r="AB1247" s="43" t="s">
        <v>53</v>
      </c>
      <c r="AC1247" s="43">
        <v>1460</v>
      </c>
      <c r="AD1247" s="141">
        <v>4</v>
      </c>
      <c r="AE1247" s="142">
        <v>0</v>
      </c>
      <c r="AF1247" s="142"/>
      <c r="AG1247" s="69" t="str">
        <f t="shared" si="672"/>
        <v>0 years 103 days</v>
      </c>
      <c r="AH1247" s="69">
        <v>0</v>
      </c>
      <c r="AI1247" s="69">
        <v>103</v>
      </c>
      <c r="AJ1247" s="69">
        <v>0</v>
      </c>
      <c r="AK1247" s="69">
        <v>0</v>
      </c>
      <c r="AL1247" s="60">
        <v>160000</v>
      </c>
      <c r="AM1247" s="60">
        <f t="shared" si="673"/>
        <v>160000</v>
      </c>
      <c r="AN1247" s="59">
        <v>160000</v>
      </c>
      <c r="AO1247" s="148">
        <f t="shared" si="674"/>
        <v>-160000</v>
      </c>
      <c r="AP1247" s="58">
        <v>0</v>
      </c>
      <c r="AQ1247" s="143">
        <f t="shared" si="675"/>
        <v>0</v>
      </c>
    </row>
    <row r="1248" spans="1:43" x14ac:dyDescent="0.35">
      <c r="A1248" s="69" t="s">
        <v>43</v>
      </c>
      <c r="B1248" s="15" t="s">
        <v>3955</v>
      </c>
      <c r="C1248" s="15"/>
      <c r="D1248" s="69"/>
      <c r="E1248" s="76">
        <v>0</v>
      </c>
      <c r="F1248" s="69" t="s">
        <v>2960</v>
      </c>
      <c r="G1248" s="132" t="s">
        <v>2961</v>
      </c>
      <c r="H1248" s="15">
        <v>9013000211</v>
      </c>
      <c r="I1248" s="92" t="s">
        <v>593</v>
      </c>
      <c r="J1248" s="92">
        <v>1202020101</v>
      </c>
      <c r="K1248" s="41"/>
      <c r="L1248" s="95" t="s">
        <v>3956</v>
      </c>
      <c r="M1248" s="69" t="s">
        <v>49</v>
      </c>
      <c r="N1248" s="69"/>
      <c r="O1248" s="94">
        <v>1</v>
      </c>
      <c r="P1248" s="69" t="s">
        <v>50</v>
      </c>
      <c r="Q1248" s="69" t="s">
        <v>51</v>
      </c>
      <c r="R1248" s="69"/>
      <c r="S1248" s="46">
        <v>45555</v>
      </c>
      <c r="T1248" s="48">
        <v>45555</v>
      </c>
      <c r="U1248" s="69"/>
      <c r="V1248" s="69"/>
      <c r="W1248" s="69"/>
      <c r="X1248" s="69"/>
      <c r="Y1248" s="69" t="s">
        <v>4130</v>
      </c>
      <c r="Z1248" s="43">
        <v>175000</v>
      </c>
      <c r="AA1248" s="43" t="s">
        <v>52</v>
      </c>
      <c r="AB1248" s="43" t="s">
        <v>53</v>
      </c>
      <c r="AC1248" s="43">
        <v>1460</v>
      </c>
      <c r="AD1248" s="141">
        <v>4</v>
      </c>
      <c r="AE1248" s="142">
        <v>0</v>
      </c>
      <c r="AF1248" s="142"/>
      <c r="AG1248" s="69" t="str">
        <f t="shared" si="672"/>
        <v>0 years 103 days</v>
      </c>
      <c r="AH1248" s="69">
        <v>0</v>
      </c>
      <c r="AI1248" s="69">
        <v>103</v>
      </c>
      <c r="AJ1248" s="69">
        <v>0</v>
      </c>
      <c r="AK1248" s="69">
        <v>0</v>
      </c>
      <c r="AL1248" s="60">
        <v>175000</v>
      </c>
      <c r="AM1248" s="60">
        <f t="shared" si="673"/>
        <v>175000</v>
      </c>
      <c r="AN1248" s="59">
        <v>175000</v>
      </c>
      <c r="AO1248" s="148">
        <f t="shared" si="674"/>
        <v>-175000</v>
      </c>
      <c r="AP1248" s="58">
        <v>0</v>
      </c>
      <c r="AQ1248" s="143">
        <f t="shared" si="675"/>
        <v>0</v>
      </c>
    </row>
    <row r="1249" spans="1:43" x14ac:dyDescent="0.35">
      <c r="A1249" s="69" t="s">
        <v>43</v>
      </c>
      <c r="B1249" s="15" t="s">
        <v>3957</v>
      </c>
      <c r="C1249" s="15"/>
      <c r="D1249" s="69"/>
      <c r="E1249" s="76">
        <v>0</v>
      </c>
      <c r="F1249" s="69" t="s">
        <v>2960</v>
      </c>
      <c r="G1249" s="132" t="s">
        <v>2961</v>
      </c>
      <c r="H1249" s="15">
        <v>9013000211</v>
      </c>
      <c r="I1249" s="92" t="s">
        <v>593</v>
      </c>
      <c r="J1249" s="92">
        <v>1202020101</v>
      </c>
      <c r="K1249" s="41"/>
      <c r="L1249" s="95" t="s">
        <v>3958</v>
      </c>
      <c r="M1249" s="69" t="s">
        <v>3959</v>
      </c>
      <c r="N1249" s="69"/>
      <c r="O1249" s="94">
        <v>1</v>
      </c>
      <c r="P1249" s="69" t="s">
        <v>50</v>
      </c>
      <c r="Q1249" s="69" t="s">
        <v>51</v>
      </c>
      <c r="R1249" s="69"/>
      <c r="S1249" s="46">
        <v>45653</v>
      </c>
      <c r="T1249" s="48">
        <v>45653</v>
      </c>
      <c r="U1249" s="69"/>
      <c r="V1249" s="69"/>
      <c r="W1249" s="69"/>
      <c r="X1249" s="69"/>
      <c r="Y1249" s="69" t="s">
        <v>4130</v>
      </c>
      <c r="Z1249" s="43">
        <v>318500</v>
      </c>
      <c r="AA1249" s="43" t="s">
        <v>52</v>
      </c>
      <c r="AB1249" s="43" t="s">
        <v>53</v>
      </c>
      <c r="AC1249" s="43">
        <v>1460</v>
      </c>
      <c r="AD1249" s="141">
        <v>4</v>
      </c>
      <c r="AE1249" s="142">
        <v>0</v>
      </c>
      <c r="AF1249" s="142"/>
      <c r="AG1249" s="69" t="str">
        <f t="shared" si="672"/>
        <v>0 years 5 days</v>
      </c>
      <c r="AH1249" s="69">
        <v>0</v>
      </c>
      <c r="AI1249" s="69">
        <v>5</v>
      </c>
      <c r="AJ1249" s="69">
        <v>0</v>
      </c>
      <c r="AK1249" s="69">
        <v>0</v>
      </c>
      <c r="AL1249" s="60">
        <v>318500</v>
      </c>
      <c r="AM1249" s="60">
        <f t="shared" si="673"/>
        <v>318500</v>
      </c>
      <c r="AN1249" s="59">
        <v>1091</v>
      </c>
      <c r="AO1249" s="148">
        <f t="shared" si="674"/>
        <v>-1091</v>
      </c>
      <c r="AP1249" s="58">
        <v>39485.027397260274</v>
      </c>
      <c r="AQ1249" s="143">
        <f t="shared" si="675"/>
        <v>-39485.03</v>
      </c>
    </row>
    <row r="1250" spans="1:43" x14ac:dyDescent="0.35">
      <c r="A1250" s="69" t="s">
        <v>43</v>
      </c>
      <c r="B1250" s="15" t="s">
        <v>3960</v>
      </c>
      <c r="C1250" s="15"/>
      <c r="D1250" s="69"/>
      <c r="E1250" s="76">
        <v>0</v>
      </c>
      <c r="F1250" s="69" t="s">
        <v>2960</v>
      </c>
      <c r="G1250" s="132" t="s">
        <v>2961</v>
      </c>
      <c r="H1250" s="15">
        <v>9013000211</v>
      </c>
      <c r="I1250" s="92" t="s">
        <v>593</v>
      </c>
      <c r="J1250" s="92">
        <v>1202020101</v>
      </c>
      <c r="K1250" s="41"/>
      <c r="L1250" s="95" t="s">
        <v>3961</v>
      </c>
      <c r="M1250" s="69" t="s">
        <v>3962</v>
      </c>
      <c r="N1250" s="69"/>
      <c r="O1250" s="94">
        <v>1</v>
      </c>
      <c r="P1250" s="69" t="s">
        <v>50</v>
      </c>
      <c r="Q1250" s="69" t="s">
        <v>51</v>
      </c>
      <c r="R1250" s="69"/>
      <c r="S1250" s="46">
        <v>45725</v>
      </c>
      <c r="T1250" s="48">
        <v>44682</v>
      </c>
      <c r="U1250" s="69"/>
      <c r="V1250" s="69"/>
      <c r="W1250" s="69"/>
      <c r="X1250" s="69"/>
      <c r="Y1250" s="69" t="s">
        <v>4131</v>
      </c>
      <c r="Z1250" s="43">
        <v>88000</v>
      </c>
      <c r="AA1250" s="43" t="s">
        <v>52</v>
      </c>
      <c r="AB1250" s="43" t="s">
        <v>53</v>
      </c>
      <c r="AC1250" s="43">
        <v>1460</v>
      </c>
      <c r="AD1250" s="141">
        <v>4</v>
      </c>
      <c r="AE1250" s="142">
        <v>0</v>
      </c>
      <c r="AF1250" s="142"/>
      <c r="AG1250" s="69" t="str">
        <f t="shared" si="672"/>
        <v>2 years 246 days</v>
      </c>
      <c r="AH1250" s="69">
        <v>2</v>
      </c>
      <c r="AI1250" s="69">
        <v>246</v>
      </c>
      <c r="AJ1250" s="69">
        <v>0</v>
      </c>
      <c r="AK1250" s="69">
        <v>0</v>
      </c>
      <c r="AL1250" s="60">
        <v>88000</v>
      </c>
      <c r="AM1250" s="60">
        <f t="shared" si="673"/>
        <v>88000</v>
      </c>
      <c r="AN1250" s="59">
        <v>58827</v>
      </c>
      <c r="AO1250" s="148">
        <f t="shared" si="674"/>
        <v>-58827</v>
      </c>
      <c r="AP1250" s="58">
        <v>10910.232876712325</v>
      </c>
      <c r="AQ1250" s="143">
        <f t="shared" si="675"/>
        <v>-10910.23</v>
      </c>
    </row>
    <row r="1251" spans="1:43" x14ac:dyDescent="0.35">
      <c r="A1251" s="69" t="s">
        <v>43</v>
      </c>
      <c r="B1251" s="15" t="s">
        <v>3963</v>
      </c>
      <c r="C1251" s="15"/>
      <c r="D1251" s="69"/>
      <c r="E1251" s="76">
        <v>0</v>
      </c>
      <c r="F1251" s="69" t="s">
        <v>2960</v>
      </c>
      <c r="G1251" s="132" t="s">
        <v>2961</v>
      </c>
      <c r="H1251" s="15">
        <v>9013000211</v>
      </c>
      <c r="I1251" s="92" t="s">
        <v>593</v>
      </c>
      <c r="J1251" s="92">
        <v>1202020101</v>
      </c>
      <c r="K1251" s="41"/>
      <c r="L1251" s="95" t="s">
        <v>3964</v>
      </c>
      <c r="M1251" s="69" t="s">
        <v>3965</v>
      </c>
      <c r="N1251" s="69"/>
      <c r="O1251" s="94">
        <v>1</v>
      </c>
      <c r="P1251" s="69" t="s">
        <v>50</v>
      </c>
      <c r="Q1251" s="69" t="s">
        <v>51</v>
      </c>
      <c r="R1251" s="69"/>
      <c r="S1251" s="46">
        <v>45725</v>
      </c>
      <c r="T1251" s="48">
        <v>44682</v>
      </c>
      <c r="U1251" s="69"/>
      <c r="V1251" s="69"/>
      <c r="W1251" s="69"/>
      <c r="X1251" s="69"/>
      <c r="Y1251" s="69" t="s">
        <v>4131</v>
      </c>
      <c r="Z1251" s="43">
        <v>142000</v>
      </c>
      <c r="AA1251" s="43" t="s">
        <v>52</v>
      </c>
      <c r="AB1251" s="43" t="s">
        <v>53</v>
      </c>
      <c r="AC1251" s="43">
        <v>1460</v>
      </c>
      <c r="AD1251" s="141">
        <v>4</v>
      </c>
      <c r="AE1251" s="142">
        <v>0</v>
      </c>
      <c r="AF1251" s="142"/>
      <c r="AG1251" s="69" t="str">
        <f t="shared" si="672"/>
        <v>2 years 246 days</v>
      </c>
      <c r="AH1251" s="69">
        <v>2</v>
      </c>
      <c r="AI1251" s="69">
        <v>246</v>
      </c>
      <c r="AJ1251" s="69">
        <v>0</v>
      </c>
      <c r="AK1251" s="69">
        <v>0</v>
      </c>
      <c r="AL1251" s="60">
        <v>142000</v>
      </c>
      <c r="AM1251" s="60">
        <f t="shared" si="673"/>
        <v>142000</v>
      </c>
      <c r="AN1251" s="59">
        <v>94148</v>
      </c>
      <c r="AO1251" s="148">
        <f t="shared" si="674"/>
        <v>-94148</v>
      </c>
      <c r="AP1251" s="58">
        <v>17603.671232876717</v>
      </c>
      <c r="AQ1251" s="143">
        <f t="shared" si="675"/>
        <v>-17603.669999999998</v>
      </c>
    </row>
    <row r="1252" spans="1:43" x14ac:dyDescent="0.35">
      <c r="A1252" s="69" t="s">
        <v>43</v>
      </c>
      <c r="B1252" s="15" t="s">
        <v>3966</v>
      </c>
      <c r="C1252" s="15"/>
      <c r="D1252" s="69"/>
      <c r="E1252" s="76">
        <v>0</v>
      </c>
      <c r="F1252" s="69" t="s">
        <v>2960</v>
      </c>
      <c r="G1252" s="132" t="s">
        <v>2961</v>
      </c>
      <c r="H1252" s="15">
        <v>9013000211</v>
      </c>
      <c r="I1252" s="92" t="s">
        <v>593</v>
      </c>
      <c r="J1252" s="92">
        <v>1202020101</v>
      </c>
      <c r="K1252" s="41"/>
      <c r="L1252" s="95" t="s">
        <v>3967</v>
      </c>
      <c r="M1252" s="69" t="s">
        <v>3968</v>
      </c>
      <c r="N1252" s="69"/>
      <c r="O1252" s="94">
        <v>1</v>
      </c>
      <c r="P1252" s="69" t="s">
        <v>50</v>
      </c>
      <c r="Q1252" s="69" t="s">
        <v>51</v>
      </c>
      <c r="R1252" s="69"/>
      <c r="S1252" s="46">
        <v>45717</v>
      </c>
      <c r="T1252" s="48">
        <v>45717</v>
      </c>
      <c r="U1252" s="69"/>
      <c r="V1252" s="69"/>
      <c r="W1252" s="69"/>
      <c r="X1252" s="69"/>
      <c r="Y1252" s="69" t="s">
        <v>4132</v>
      </c>
      <c r="Z1252" s="43">
        <v>197200</v>
      </c>
      <c r="AA1252" s="43" t="s">
        <v>52</v>
      </c>
      <c r="AB1252" s="43" t="s">
        <v>53</v>
      </c>
      <c r="AC1252" s="43">
        <v>1460</v>
      </c>
      <c r="AD1252" s="141">
        <v>4</v>
      </c>
      <c r="AE1252" s="142">
        <v>0</v>
      </c>
      <c r="AF1252" s="142"/>
      <c r="AG1252" s="69" t="str">
        <f t="shared" si="672"/>
        <v>0 years 0 days</v>
      </c>
      <c r="AH1252" s="69">
        <v>0</v>
      </c>
      <c r="AI1252" s="69">
        <v>0</v>
      </c>
      <c r="AJ1252" s="69">
        <v>0</v>
      </c>
      <c r="AK1252" s="69">
        <v>0</v>
      </c>
      <c r="AL1252" s="60">
        <v>197200</v>
      </c>
      <c r="AM1252" s="60">
        <f t="shared" si="673"/>
        <v>197200</v>
      </c>
      <c r="AN1252" s="59">
        <v>0</v>
      </c>
      <c r="AO1252" s="148">
        <f t="shared" si="674"/>
        <v>0</v>
      </c>
      <c r="AP1252" s="58">
        <v>16478.356164383564</v>
      </c>
      <c r="AQ1252" s="143">
        <f t="shared" si="675"/>
        <v>-16478.36</v>
      </c>
    </row>
    <row r="1253" spans="1:43" x14ac:dyDescent="0.35">
      <c r="A1253" s="69" t="s">
        <v>43</v>
      </c>
      <c r="B1253" s="15" t="s">
        <v>3969</v>
      </c>
      <c r="C1253" s="15"/>
      <c r="D1253" s="69"/>
      <c r="E1253" s="76">
        <v>0</v>
      </c>
      <c r="F1253" s="69" t="s">
        <v>2960</v>
      </c>
      <c r="G1253" s="132" t="s">
        <v>2961</v>
      </c>
      <c r="H1253" s="15">
        <v>9013000211</v>
      </c>
      <c r="I1253" s="92" t="s">
        <v>593</v>
      </c>
      <c r="J1253" s="92">
        <v>1202020101</v>
      </c>
      <c r="K1253" s="41"/>
      <c r="L1253" s="95" t="s">
        <v>3970</v>
      </c>
      <c r="M1253" s="69" t="s">
        <v>3971</v>
      </c>
      <c r="N1253" s="69"/>
      <c r="O1253" s="94">
        <v>1</v>
      </c>
      <c r="P1253" s="69" t="s">
        <v>50</v>
      </c>
      <c r="Q1253" s="69" t="s">
        <v>51</v>
      </c>
      <c r="R1253" s="69"/>
      <c r="S1253" s="46">
        <v>45809</v>
      </c>
      <c r="T1253" s="48">
        <v>45809</v>
      </c>
      <c r="U1253" s="69"/>
      <c r="V1253" s="69"/>
      <c r="W1253" s="69"/>
      <c r="X1253" s="69"/>
      <c r="Y1253" s="69" t="s">
        <v>4132</v>
      </c>
      <c r="Z1253" s="43">
        <v>0</v>
      </c>
      <c r="AA1253" s="43" t="s">
        <v>52</v>
      </c>
      <c r="AB1253" s="43" t="s">
        <v>53</v>
      </c>
      <c r="AC1253" s="43">
        <v>1460</v>
      </c>
      <c r="AD1253" s="141">
        <v>4</v>
      </c>
      <c r="AE1253" s="142">
        <v>0</v>
      </c>
      <c r="AF1253" s="142"/>
      <c r="AG1253" s="69" t="str">
        <f t="shared" si="672"/>
        <v>0 years 0 days</v>
      </c>
      <c r="AH1253" s="69">
        <v>0</v>
      </c>
      <c r="AI1253" s="69">
        <v>0</v>
      </c>
      <c r="AJ1253" s="69">
        <v>0</v>
      </c>
      <c r="AK1253" s="69">
        <v>0</v>
      </c>
      <c r="AL1253" s="60">
        <v>250000</v>
      </c>
      <c r="AM1253" s="60">
        <f t="shared" si="673"/>
        <v>250000</v>
      </c>
      <c r="AN1253" s="59">
        <v>0</v>
      </c>
      <c r="AO1253" s="148">
        <f t="shared" si="674"/>
        <v>0</v>
      </c>
      <c r="AP1253" s="58">
        <v>5136.9863013698632</v>
      </c>
      <c r="AQ1253" s="143">
        <f t="shared" si="675"/>
        <v>-5136.99</v>
      </c>
    </row>
    <row r="1254" spans="1:43" x14ac:dyDescent="0.35">
      <c r="A1254" s="69" t="s">
        <v>43</v>
      </c>
      <c r="B1254" s="15" t="s">
        <v>3972</v>
      </c>
      <c r="C1254" s="15"/>
      <c r="D1254" s="69"/>
      <c r="E1254" s="76">
        <v>0</v>
      </c>
      <c r="F1254" s="69" t="s">
        <v>2960</v>
      </c>
      <c r="G1254" s="132" t="s">
        <v>2961</v>
      </c>
      <c r="H1254" s="15">
        <v>9013000211</v>
      </c>
      <c r="I1254" s="92" t="s">
        <v>593</v>
      </c>
      <c r="J1254" s="92">
        <v>1202020101</v>
      </c>
      <c r="K1254" s="41"/>
      <c r="L1254" s="95" t="s">
        <v>3973</v>
      </c>
      <c r="M1254" s="69" t="s">
        <v>3974</v>
      </c>
      <c r="N1254" s="69"/>
      <c r="O1254" s="94">
        <v>1</v>
      </c>
      <c r="P1254" s="69" t="s">
        <v>50</v>
      </c>
      <c r="Q1254" s="69" t="s">
        <v>51</v>
      </c>
      <c r="R1254" s="69"/>
      <c r="S1254" s="46">
        <v>45821</v>
      </c>
      <c r="T1254" s="48">
        <v>45821</v>
      </c>
      <c r="U1254" s="69"/>
      <c r="V1254" s="69"/>
      <c r="W1254" s="69"/>
      <c r="X1254" s="69"/>
      <c r="Y1254" s="69" t="s">
        <v>4132</v>
      </c>
      <c r="Z1254" s="43">
        <v>0</v>
      </c>
      <c r="AA1254" s="43" t="s">
        <v>52</v>
      </c>
      <c r="AB1254" s="43" t="s">
        <v>53</v>
      </c>
      <c r="AC1254" s="43">
        <v>1460</v>
      </c>
      <c r="AD1254" s="141">
        <v>4</v>
      </c>
      <c r="AE1254" s="142">
        <v>0</v>
      </c>
      <c r="AF1254" s="142"/>
      <c r="AG1254" s="69" t="str">
        <f t="shared" si="672"/>
        <v>0 years 0 days</v>
      </c>
      <c r="AH1254" s="69">
        <v>0</v>
      </c>
      <c r="AI1254" s="69">
        <v>0</v>
      </c>
      <c r="AJ1254" s="69">
        <v>0</v>
      </c>
      <c r="AK1254" s="69">
        <v>0</v>
      </c>
      <c r="AL1254" s="60">
        <v>141000</v>
      </c>
      <c r="AM1254" s="60">
        <f t="shared" si="673"/>
        <v>141000</v>
      </c>
      <c r="AN1254" s="59">
        <v>0</v>
      </c>
      <c r="AO1254" s="148">
        <f t="shared" si="674"/>
        <v>0</v>
      </c>
      <c r="AP1254" s="58">
        <v>1738.3561643835617</v>
      </c>
      <c r="AQ1254" s="143">
        <f t="shared" si="675"/>
        <v>-1738.36</v>
      </c>
    </row>
    <row r="1255" spans="1:43" x14ac:dyDescent="0.35">
      <c r="A1255" s="69" t="s">
        <v>43</v>
      </c>
      <c r="B1255" s="15" t="s">
        <v>3975</v>
      </c>
      <c r="C1255" s="15"/>
      <c r="D1255" s="69"/>
      <c r="E1255" s="76">
        <v>0</v>
      </c>
      <c r="F1255" s="69" t="s">
        <v>2960</v>
      </c>
      <c r="G1255" s="132" t="s">
        <v>2961</v>
      </c>
      <c r="H1255" s="15">
        <v>9013000211</v>
      </c>
      <c r="I1255" s="92" t="s">
        <v>593</v>
      </c>
      <c r="J1255" s="92">
        <v>1202020101</v>
      </c>
      <c r="K1255" s="41"/>
      <c r="L1255" s="95" t="s">
        <v>3976</v>
      </c>
      <c r="M1255" s="69" t="s">
        <v>3977</v>
      </c>
      <c r="N1255" s="69"/>
      <c r="O1255" s="94">
        <v>1</v>
      </c>
      <c r="P1255" s="69" t="s">
        <v>50</v>
      </c>
      <c r="Q1255" s="69" t="s">
        <v>51</v>
      </c>
      <c r="R1255" s="69"/>
      <c r="S1255" s="46">
        <v>45834</v>
      </c>
      <c r="T1255" s="48">
        <v>45834</v>
      </c>
      <c r="U1255" s="69"/>
      <c r="V1255" s="69"/>
      <c r="W1255" s="69"/>
      <c r="X1255" s="69"/>
      <c r="Y1255" s="69" t="s">
        <v>4132</v>
      </c>
      <c r="Z1255" s="43">
        <v>0</v>
      </c>
      <c r="AA1255" s="43" t="s">
        <v>52</v>
      </c>
      <c r="AB1255" s="43" t="s">
        <v>53</v>
      </c>
      <c r="AC1255" s="43">
        <v>1460</v>
      </c>
      <c r="AD1255" s="141">
        <v>4</v>
      </c>
      <c r="AE1255" s="142">
        <v>0</v>
      </c>
      <c r="AF1255" s="142"/>
      <c r="AG1255" s="69" t="str">
        <f t="shared" si="672"/>
        <v>0 years 0 days</v>
      </c>
      <c r="AH1255" s="69">
        <v>0</v>
      </c>
      <c r="AI1255" s="69">
        <v>0</v>
      </c>
      <c r="AJ1255" s="69">
        <v>0</v>
      </c>
      <c r="AK1255" s="69">
        <v>0</v>
      </c>
      <c r="AL1255" s="60">
        <v>302400</v>
      </c>
      <c r="AM1255" s="60">
        <f t="shared" si="673"/>
        <v>302400</v>
      </c>
      <c r="AN1255" s="59">
        <v>0</v>
      </c>
      <c r="AO1255" s="148">
        <f t="shared" si="674"/>
        <v>0</v>
      </c>
      <c r="AP1255" s="58">
        <v>1035.6164383561643</v>
      </c>
      <c r="AQ1255" s="143">
        <f t="shared" si="675"/>
        <v>-1035.6199999999999</v>
      </c>
    </row>
    <row r="1256" spans="1:43" x14ac:dyDescent="0.35">
      <c r="A1256" s="69" t="s">
        <v>43</v>
      </c>
      <c r="B1256" s="15" t="s">
        <v>3978</v>
      </c>
      <c r="C1256" s="15"/>
      <c r="D1256" s="69"/>
      <c r="E1256" s="76">
        <v>0</v>
      </c>
      <c r="F1256" s="69" t="s">
        <v>2960</v>
      </c>
      <c r="G1256" s="132" t="s">
        <v>2961</v>
      </c>
      <c r="H1256" s="15">
        <v>9013000211</v>
      </c>
      <c r="I1256" s="92" t="s">
        <v>593</v>
      </c>
      <c r="J1256" s="92">
        <v>1202020101</v>
      </c>
      <c r="K1256" s="41"/>
      <c r="L1256" s="95" t="s">
        <v>3979</v>
      </c>
      <c r="M1256" s="69" t="s">
        <v>3980</v>
      </c>
      <c r="N1256" s="69"/>
      <c r="O1256" s="94">
        <v>1</v>
      </c>
      <c r="P1256" s="69" t="s">
        <v>50</v>
      </c>
      <c r="Q1256" s="69" t="s">
        <v>51</v>
      </c>
      <c r="R1256" s="69"/>
      <c r="S1256" s="46">
        <v>43214</v>
      </c>
      <c r="T1256" s="48">
        <v>43214</v>
      </c>
      <c r="U1256" s="69"/>
      <c r="V1256" s="69"/>
      <c r="W1256" s="69"/>
      <c r="X1256" s="69"/>
      <c r="Y1256" s="69" t="s">
        <v>4125</v>
      </c>
      <c r="Z1256" s="43">
        <v>86000</v>
      </c>
      <c r="AA1256" s="43" t="s">
        <v>52</v>
      </c>
      <c r="AB1256" s="43" t="s">
        <v>53</v>
      </c>
      <c r="AC1256" s="43">
        <v>1460</v>
      </c>
      <c r="AD1256" s="141">
        <v>4</v>
      </c>
      <c r="AE1256" s="142">
        <v>0</v>
      </c>
      <c r="AF1256" s="142"/>
      <c r="AG1256" s="69" t="str">
        <f t="shared" si="672"/>
        <v>4 years 0 days</v>
      </c>
      <c r="AH1256" s="69">
        <v>4</v>
      </c>
      <c r="AI1256" s="69">
        <v>0</v>
      </c>
      <c r="AJ1256" s="69">
        <v>0</v>
      </c>
      <c r="AK1256" s="69">
        <v>0</v>
      </c>
      <c r="AL1256" s="60">
        <v>86000</v>
      </c>
      <c r="AM1256" s="60">
        <f t="shared" si="673"/>
        <v>86000</v>
      </c>
      <c r="AN1256" s="59">
        <v>86000</v>
      </c>
      <c r="AO1256" s="148">
        <f t="shared" si="674"/>
        <v>-86000</v>
      </c>
      <c r="AP1256" s="58">
        <v>0</v>
      </c>
      <c r="AQ1256" s="143">
        <f t="shared" si="675"/>
        <v>0</v>
      </c>
    </row>
    <row r="1257" spans="1:43" x14ac:dyDescent="0.35">
      <c r="A1257" s="69" t="s">
        <v>43</v>
      </c>
      <c r="B1257" s="15" t="s">
        <v>3981</v>
      </c>
      <c r="C1257" s="15"/>
      <c r="D1257" s="69"/>
      <c r="E1257" s="76">
        <v>0</v>
      </c>
      <c r="F1257" s="69" t="s">
        <v>2960</v>
      </c>
      <c r="G1257" s="132" t="s">
        <v>2961</v>
      </c>
      <c r="H1257" s="15">
        <v>9013000211</v>
      </c>
      <c r="I1257" s="92" t="s">
        <v>593</v>
      </c>
      <c r="J1257" s="92">
        <v>1202020101</v>
      </c>
      <c r="K1257" s="41"/>
      <c r="L1257" s="95" t="s">
        <v>3982</v>
      </c>
      <c r="M1257" s="69" t="s">
        <v>49</v>
      </c>
      <c r="N1257" s="69"/>
      <c r="O1257" s="94">
        <v>1</v>
      </c>
      <c r="P1257" s="69" t="s">
        <v>50</v>
      </c>
      <c r="Q1257" s="69" t="s">
        <v>51</v>
      </c>
      <c r="R1257" s="69"/>
      <c r="S1257" s="46">
        <v>43345</v>
      </c>
      <c r="T1257" s="48">
        <v>43345</v>
      </c>
      <c r="U1257" s="69"/>
      <c r="V1257" s="69"/>
      <c r="W1257" s="69"/>
      <c r="X1257" s="69"/>
      <c r="Y1257" s="69" t="s">
        <v>4125</v>
      </c>
      <c r="Z1257" s="43">
        <v>70000</v>
      </c>
      <c r="AA1257" s="43" t="s">
        <v>52</v>
      </c>
      <c r="AB1257" s="43" t="s">
        <v>53</v>
      </c>
      <c r="AC1257" s="43">
        <v>1460</v>
      </c>
      <c r="AD1257" s="141">
        <v>4</v>
      </c>
      <c r="AE1257" s="142">
        <v>0</v>
      </c>
      <c r="AF1257" s="142"/>
      <c r="AG1257" s="69" t="str">
        <f t="shared" si="672"/>
        <v>4 years 0 days</v>
      </c>
      <c r="AH1257" s="69">
        <v>4</v>
      </c>
      <c r="AI1257" s="69">
        <v>0</v>
      </c>
      <c r="AJ1257" s="69">
        <v>0</v>
      </c>
      <c r="AK1257" s="69">
        <v>0</v>
      </c>
      <c r="AL1257" s="60">
        <v>70000</v>
      </c>
      <c r="AM1257" s="60">
        <f t="shared" si="673"/>
        <v>70000</v>
      </c>
      <c r="AN1257" s="59">
        <v>70000</v>
      </c>
      <c r="AO1257" s="148">
        <f t="shared" si="674"/>
        <v>-70000</v>
      </c>
      <c r="AP1257" s="58">
        <v>0</v>
      </c>
      <c r="AQ1257" s="143">
        <f t="shared" si="675"/>
        <v>0</v>
      </c>
    </row>
    <row r="1258" spans="1:43" x14ac:dyDescent="0.35">
      <c r="A1258" s="69" t="s">
        <v>43</v>
      </c>
      <c r="B1258" s="15" t="s">
        <v>3983</v>
      </c>
      <c r="C1258" s="15"/>
      <c r="D1258" s="69"/>
      <c r="E1258" s="76">
        <v>0</v>
      </c>
      <c r="F1258" s="69" t="s">
        <v>2960</v>
      </c>
      <c r="G1258" s="132" t="s">
        <v>2961</v>
      </c>
      <c r="H1258" s="15">
        <v>9013000211</v>
      </c>
      <c r="I1258" s="92" t="s">
        <v>593</v>
      </c>
      <c r="J1258" s="92">
        <v>1202020101</v>
      </c>
      <c r="K1258" s="41"/>
      <c r="L1258" s="95" t="s">
        <v>3984</v>
      </c>
      <c r="M1258" s="69" t="s">
        <v>3985</v>
      </c>
      <c r="N1258" s="69"/>
      <c r="O1258" s="94">
        <v>1</v>
      </c>
      <c r="P1258" s="69" t="s">
        <v>50</v>
      </c>
      <c r="Q1258" s="69" t="s">
        <v>51</v>
      </c>
      <c r="R1258" s="69"/>
      <c r="S1258" s="46">
        <v>43423</v>
      </c>
      <c r="T1258" s="48">
        <v>43423</v>
      </c>
      <c r="U1258" s="69"/>
      <c r="V1258" s="69"/>
      <c r="W1258" s="69"/>
      <c r="X1258" s="69"/>
      <c r="Y1258" s="69" t="s">
        <v>4125</v>
      </c>
      <c r="Z1258" s="43">
        <v>80550</v>
      </c>
      <c r="AA1258" s="43" t="s">
        <v>52</v>
      </c>
      <c r="AB1258" s="43" t="s">
        <v>53</v>
      </c>
      <c r="AC1258" s="43">
        <v>1460</v>
      </c>
      <c r="AD1258" s="141">
        <v>4</v>
      </c>
      <c r="AE1258" s="142">
        <v>0</v>
      </c>
      <c r="AF1258" s="142"/>
      <c r="AG1258" s="69" t="str">
        <f t="shared" si="672"/>
        <v>4 years 0 days</v>
      </c>
      <c r="AH1258" s="69">
        <v>4</v>
      </c>
      <c r="AI1258" s="69">
        <v>0</v>
      </c>
      <c r="AJ1258" s="69">
        <v>0</v>
      </c>
      <c r="AK1258" s="69">
        <v>0</v>
      </c>
      <c r="AL1258" s="60">
        <v>80550</v>
      </c>
      <c r="AM1258" s="60">
        <f t="shared" si="673"/>
        <v>80550</v>
      </c>
      <c r="AN1258" s="59">
        <v>80550</v>
      </c>
      <c r="AO1258" s="148">
        <f t="shared" si="674"/>
        <v>-80550</v>
      </c>
      <c r="AP1258" s="58">
        <v>0</v>
      </c>
      <c r="AQ1258" s="143">
        <f t="shared" si="675"/>
        <v>0</v>
      </c>
    </row>
    <row r="1259" spans="1:43" x14ac:dyDescent="0.35">
      <c r="A1259" s="69" t="s">
        <v>43</v>
      </c>
      <c r="B1259" s="15" t="s">
        <v>3986</v>
      </c>
      <c r="C1259" s="15"/>
      <c r="D1259" s="69"/>
      <c r="E1259" s="76">
        <v>0</v>
      </c>
      <c r="F1259" s="69" t="s">
        <v>2960</v>
      </c>
      <c r="G1259" s="132" t="s">
        <v>2961</v>
      </c>
      <c r="H1259" s="15">
        <v>9013000211</v>
      </c>
      <c r="I1259" s="92" t="s">
        <v>593</v>
      </c>
      <c r="J1259" s="92">
        <v>1202020101</v>
      </c>
      <c r="K1259" s="41"/>
      <c r="L1259" s="95" t="s">
        <v>3987</v>
      </c>
      <c r="M1259" s="69" t="s">
        <v>3988</v>
      </c>
      <c r="N1259" s="69"/>
      <c r="O1259" s="94">
        <v>1</v>
      </c>
      <c r="P1259" s="69" t="s">
        <v>50</v>
      </c>
      <c r="Q1259" s="69" t="s">
        <v>51</v>
      </c>
      <c r="R1259" s="69"/>
      <c r="S1259" s="46">
        <v>43423</v>
      </c>
      <c r="T1259" s="48">
        <v>43423</v>
      </c>
      <c r="U1259" s="69"/>
      <c r="V1259" s="69"/>
      <c r="W1259" s="69"/>
      <c r="X1259" s="69"/>
      <c r="Y1259" s="69" t="s">
        <v>4125</v>
      </c>
      <c r="Z1259" s="43">
        <v>34650</v>
      </c>
      <c r="AA1259" s="43" t="s">
        <v>52</v>
      </c>
      <c r="AB1259" s="43" t="s">
        <v>53</v>
      </c>
      <c r="AC1259" s="43">
        <v>1460</v>
      </c>
      <c r="AD1259" s="141">
        <v>4</v>
      </c>
      <c r="AE1259" s="142">
        <v>0</v>
      </c>
      <c r="AF1259" s="142"/>
      <c r="AG1259" s="69" t="str">
        <f t="shared" si="672"/>
        <v>4 years 0 days</v>
      </c>
      <c r="AH1259" s="69">
        <v>4</v>
      </c>
      <c r="AI1259" s="69">
        <v>0</v>
      </c>
      <c r="AJ1259" s="69">
        <v>0</v>
      </c>
      <c r="AK1259" s="69">
        <v>0</v>
      </c>
      <c r="AL1259" s="60">
        <v>34650</v>
      </c>
      <c r="AM1259" s="60">
        <f t="shared" si="673"/>
        <v>34650</v>
      </c>
      <c r="AN1259" s="59">
        <v>34650</v>
      </c>
      <c r="AO1259" s="148">
        <f t="shared" si="674"/>
        <v>-34650</v>
      </c>
      <c r="AP1259" s="58">
        <v>0</v>
      </c>
      <c r="AQ1259" s="143">
        <f t="shared" si="675"/>
        <v>0</v>
      </c>
    </row>
    <row r="1260" spans="1:43" x14ac:dyDescent="0.35">
      <c r="A1260" s="69" t="s">
        <v>43</v>
      </c>
      <c r="B1260" s="15" t="s">
        <v>3989</v>
      </c>
      <c r="C1260" s="15"/>
      <c r="D1260" s="69"/>
      <c r="E1260" s="76">
        <v>0</v>
      </c>
      <c r="F1260" s="69" t="s">
        <v>2960</v>
      </c>
      <c r="G1260" s="132" t="s">
        <v>2961</v>
      </c>
      <c r="H1260" s="15">
        <v>9013000211</v>
      </c>
      <c r="I1260" s="92" t="s">
        <v>593</v>
      </c>
      <c r="J1260" s="92">
        <v>1202020101</v>
      </c>
      <c r="K1260" s="41"/>
      <c r="L1260" s="95" t="s">
        <v>3990</v>
      </c>
      <c r="M1260" s="69" t="s">
        <v>3991</v>
      </c>
      <c r="N1260" s="69"/>
      <c r="O1260" s="94">
        <v>1</v>
      </c>
      <c r="P1260" s="69" t="s">
        <v>50</v>
      </c>
      <c r="Q1260" s="69" t="s">
        <v>51</v>
      </c>
      <c r="R1260" s="69"/>
      <c r="S1260" s="46">
        <v>43465</v>
      </c>
      <c r="T1260" s="48">
        <v>43465</v>
      </c>
      <c r="U1260" s="69"/>
      <c r="V1260" s="69"/>
      <c r="W1260" s="69"/>
      <c r="X1260" s="69"/>
      <c r="Y1260" s="69" t="s">
        <v>4125</v>
      </c>
      <c r="Z1260" s="43">
        <v>23000</v>
      </c>
      <c r="AA1260" s="43" t="s">
        <v>52</v>
      </c>
      <c r="AB1260" s="43" t="s">
        <v>53</v>
      </c>
      <c r="AC1260" s="43">
        <v>1460</v>
      </c>
      <c r="AD1260" s="141">
        <v>4</v>
      </c>
      <c r="AE1260" s="142">
        <v>0</v>
      </c>
      <c r="AF1260" s="142"/>
      <c r="AG1260" s="69" t="str">
        <f t="shared" si="672"/>
        <v>4 years 0 days</v>
      </c>
      <c r="AH1260" s="69">
        <v>4</v>
      </c>
      <c r="AI1260" s="69">
        <v>0</v>
      </c>
      <c r="AJ1260" s="69">
        <v>0</v>
      </c>
      <c r="AK1260" s="69">
        <v>0</v>
      </c>
      <c r="AL1260" s="60">
        <v>23000</v>
      </c>
      <c r="AM1260" s="60">
        <f t="shared" si="673"/>
        <v>23000</v>
      </c>
      <c r="AN1260" s="59">
        <v>23000</v>
      </c>
      <c r="AO1260" s="148">
        <f t="shared" si="674"/>
        <v>-23000</v>
      </c>
      <c r="AP1260" s="58">
        <v>0</v>
      </c>
      <c r="AQ1260" s="143">
        <f t="shared" si="675"/>
        <v>0</v>
      </c>
    </row>
    <row r="1261" spans="1:43" x14ac:dyDescent="0.35">
      <c r="A1261" s="69" t="s">
        <v>43</v>
      </c>
      <c r="B1261" s="15" t="s">
        <v>3992</v>
      </c>
      <c r="C1261" s="15"/>
      <c r="D1261" s="69"/>
      <c r="E1261" s="76">
        <v>0</v>
      </c>
      <c r="F1261" s="69" t="s">
        <v>2960</v>
      </c>
      <c r="G1261" s="132" t="s">
        <v>2961</v>
      </c>
      <c r="H1261" s="15">
        <v>9013000211</v>
      </c>
      <c r="I1261" s="92" t="s">
        <v>593</v>
      </c>
      <c r="J1261" s="92">
        <v>1202020101</v>
      </c>
      <c r="K1261" s="41"/>
      <c r="L1261" s="95" t="s">
        <v>3993</v>
      </c>
      <c r="M1261" s="69" t="s">
        <v>49</v>
      </c>
      <c r="N1261" s="69"/>
      <c r="O1261" s="94">
        <v>1</v>
      </c>
      <c r="P1261" s="69" t="s">
        <v>50</v>
      </c>
      <c r="Q1261" s="69" t="s">
        <v>51</v>
      </c>
      <c r="R1261" s="69"/>
      <c r="S1261" s="46">
        <v>43465</v>
      </c>
      <c r="T1261" s="48">
        <v>43465</v>
      </c>
      <c r="U1261" s="69"/>
      <c r="V1261" s="69"/>
      <c r="W1261" s="69"/>
      <c r="X1261" s="69"/>
      <c r="Y1261" s="69" t="s">
        <v>4125</v>
      </c>
      <c r="Z1261" s="43">
        <v>7250</v>
      </c>
      <c r="AA1261" s="43" t="s">
        <v>52</v>
      </c>
      <c r="AB1261" s="43" t="s">
        <v>53</v>
      </c>
      <c r="AC1261" s="43">
        <v>1460</v>
      </c>
      <c r="AD1261" s="141">
        <v>4</v>
      </c>
      <c r="AE1261" s="142">
        <v>0</v>
      </c>
      <c r="AF1261" s="142"/>
      <c r="AG1261" s="69" t="str">
        <f t="shared" si="672"/>
        <v>4 years 0 days</v>
      </c>
      <c r="AH1261" s="69">
        <v>4</v>
      </c>
      <c r="AI1261" s="69">
        <v>0</v>
      </c>
      <c r="AJ1261" s="69">
        <v>0</v>
      </c>
      <c r="AK1261" s="69">
        <v>0</v>
      </c>
      <c r="AL1261" s="60">
        <v>7250</v>
      </c>
      <c r="AM1261" s="60">
        <f t="shared" si="673"/>
        <v>7250</v>
      </c>
      <c r="AN1261" s="59">
        <v>7250</v>
      </c>
      <c r="AO1261" s="148">
        <f t="shared" si="674"/>
        <v>-7250</v>
      </c>
      <c r="AP1261" s="58">
        <v>0</v>
      </c>
      <c r="AQ1261" s="143">
        <f t="shared" si="675"/>
        <v>0</v>
      </c>
    </row>
    <row r="1262" spans="1:43" x14ac:dyDescent="0.35">
      <c r="A1262" s="69" t="s">
        <v>43</v>
      </c>
      <c r="B1262" s="15" t="s">
        <v>3994</v>
      </c>
      <c r="C1262" s="15"/>
      <c r="D1262" s="69"/>
      <c r="E1262" s="76">
        <v>0</v>
      </c>
      <c r="F1262" s="69" t="s">
        <v>2960</v>
      </c>
      <c r="G1262" s="132" t="s">
        <v>2961</v>
      </c>
      <c r="H1262" s="15">
        <v>9013000211</v>
      </c>
      <c r="I1262" s="92" t="s">
        <v>593</v>
      </c>
      <c r="J1262" s="92">
        <v>1202020101</v>
      </c>
      <c r="K1262" s="41"/>
      <c r="L1262" s="95" t="s">
        <v>3995</v>
      </c>
      <c r="M1262" s="69" t="s">
        <v>49</v>
      </c>
      <c r="N1262" s="69"/>
      <c r="O1262" s="94">
        <v>1</v>
      </c>
      <c r="P1262" s="69" t="s">
        <v>50</v>
      </c>
      <c r="Q1262" s="69" t="s">
        <v>51</v>
      </c>
      <c r="R1262" s="69"/>
      <c r="S1262" s="46">
        <v>43465</v>
      </c>
      <c r="T1262" s="48">
        <v>43465</v>
      </c>
      <c r="U1262" s="69"/>
      <c r="V1262" s="69"/>
      <c r="W1262" s="69"/>
      <c r="X1262" s="69"/>
      <c r="Y1262" s="69" t="s">
        <v>4125</v>
      </c>
      <c r="Z1262" s="43">
        <v>5500</v>
      </c>
      <c r="AA1262" s="43" t="s">
        <v>52</v>
      </c>
      <c r="AB1262" s="43" t="s">
        <v>53</v>
      </c>
      <c r="AC1262" s="43">
        <v>1460</v>
      </c>
      <c r="AD1262" s="141">
        <v>4</v>
      </c>
      <c r="AE1262" s="142">
        <v>0</v>
      </c>
      <c r="AF1262" s="142"/>
      <c r="AG1262" s="69" t="str">
        <f t="shared" si="672"/>
        <v>4 years 0 days</v>
      </c>
      <c r="AH1262" s="69">
        <v>4</v>
      </c>
      <c r="AI1262" s="69">
        <v>0</v>
      </c>
      <c r="AJ1262" s="69">
        <v>0</v>
      </c>
      <c r="AK1262" s="69">
        <v>0</v>
      </c>
      <c r="AL1262" s="60">
        <v>5500</v>
      </c>
      <c r="AM1262" s="60">
        <f t="shared" si="673"/>
        <v>5500</v>
      </c>
      <c r="AN1262" s="59">
        <v>5500</v>
      </c>
      <c r="AO1262" s="148">
        <f t="shared" si="674"/>
        <v>-5500</v>
      </c>
      <c r="AP1262" s="58">
        <v>0</v>
      </c>
      <c r="AQ1262" s="143">
        <f t="shared" si="675"/>
        <v>0</v>
      </c>
    </row>
    <row r="1263" spans="1:43" x14ac:dyDescent="0.35">
      <c r="A1263" s="69" t="s">
        <v>43</v>
      </c>
      <c r="B1263" s="15" t="s">
        <v>3996</v>
      </c>
      <c r="C1263" s="15"/>
      <c r="D1263" s="69"/>
      <c r="E1263" s="76">
        <v>0</v>
      </c>
      <c r="F1263" s="69" t="s">
        <v>2960</v>
      </c>
      <c r="G1263" s="132" t="s">
        <v>2961</v>
      </c>
      <c r="H1263" s="15">
        <v>9013000211</v>
      </c>
      <c r="I1263" s="92" t="s">
        <v>593</v>
      </c>
      <c r="J1263" s="92">
        <v>1202020101</v>
      </c>
      <c r="K1263" s="41"/>
      <c r="L1263" s="95" t="s">
        <v>3997</v>
      </c>
      <c r="M1263" s="69" t="s">
        <v>49</v>
      </c>
      <c r="N1263" s="69"/>
      <c r="O1263" s="94">
        <v>1</v>
      </c>
      <c r="P1263" s="69" t="s">
        <v>50</v>
      </c>
      <c r="Q1263" s="69" t="s">
        <v>51</v>
      </c>
      <c r="R1263" s="69"/>
      <c r="S1263" s="46">
        <v>43465</v>
      </c>
      <c r="T1263" s="48">
        <v>43465</v>
      </c>
      <c r="U1263" s="69"/>
      <c r="V1263" s="69"/>
      <c r="W1263" s="69"/>
      <c r="X1263" s="69"/>
      <c r="Y1263" s="69" t="s">
        <v>4125</v>
      </c>
      <c r="Z1263" s="43">
        <v>5000</v>
      </c>
      <c r="AA1263" s="43" t="s">
        <v>52</v>
      </c>
      <c r="AB1263" s="43" t="s">
        <v>53</v>
      </c>
      <c r="AC1263" s="43">
        <v>1460</v>
      </c>
      <c r="AD1263" s="141">
        <v>4</v>
      </c>
      <c r="AE1263" s="142">
        <v>0</v>
      </c>
      <c r="AF1263" s="142"/>
      <c r="AG1263" s="69" t="str">
        <f t="shared" si="672"/>
        <v>4 years 0 days</v>
      </c>
      <c r="AH1263" s="69">
        <v>4</v>
      </c>
      <c r="AI1263" s="69">
        <v>0</v>
      </c>
      <c r="AJ1263" s="69">
        <v>0</v>
      </c>
      <c r="AK1263" s="69">
        <v>0</v>
      </c>
      <c r="AL1263" s="60">
        <v>5000</v>
      </c>
      <c r="AM1263" s="60">
        <f t="shared" si="673"/>
        <v>5000</v>
      </c>
      <c r="AN1263" s="59">
        <v>5000</v>
      </c>
      <c r="AO1263" s="148">
        <f t="shared" si="674"/>
        <v>-5000</v>
      </c>
      <c r="AP1263" s="58">
        <v>0</v>
      </c>
      <c r="AQ1263" s="143">
        <f t="shared" si="675"/>
        <v>0</v>
      </c>
    </row>
    <row r="1264" spans="1:43" x14ac:dyDescent="0.35">
      <c r="A1264" s="69" t="s">
        <v>43</v>
      </c>
      <c r="B1264" s="15" t="s">
        <v>3998</v>
      </c>
      <c r="C1264" s="15"/>
      <c r="D1264" s="69"/>
      <c r="E1264" s="76">
        <v>0</v>
      </c>
      <c r="F1264" s="69" t="s">
        <v>2960</v>
      </c>
      <c r="G1264" s="132" t="s">
        <v>2961</v>
      </c>
      <c r="H1264" s="15">
        <v>9013000211</v>
      </c>
      <c r="I1264" s="92" t="s">
        <v>593</v>
      </c>
      <c r="J1264" s="92">
        <v>1202020101</v>
      </c>
      <c r="K1264" s="41"/>
      <c r="L1264" s="95" t="s">
        <v>3999</v>
      </c>
      <c r="M1264" s="69" t="s">
        <v>49</v>
      </c>
      <c r="N1264" s="69"/>
      <c r="O1264" s="94">
        <v>1</v>
      </c>
      <c r="P1264" s="69" t="s">
        <v>50</v>
      </c>
      <c r="Q1264" s="69" t="s">
        <v>51</v>
      </c>
      <c r="R1264" s="69"/>
      <c r="S1264" s="46">
        <v>43465</v>
      </c>
      <c r="T1264" s="48">
        <v>43465</v>
      </c>
      <c r="U1264" s="69"/>
      <c r="V1264" s="69"/>
      <c r="W1264" s="69"/>
      <c r="X1264" s="69"/>
      <c r="Y1264" s="69" t="s">
        <v>4125</v>
      </c>
      <c r="Z1264" s="43">
        <v>4600</v>
      </c>
      <c r="AA1264" s="43" t="s">
        <v>52</v>
      </c>
      <c r="AB1264" s="43" t="s">
        <v>53</v>
      </c>
      <c r="AC1264" s="43">
        <v>1460</v>
      </c>
      <c r="AD1264" s="141">
        <v>4</v>
      </c>
      <c r="AE1264" s="142">
        <v>0</v>
      </c>
      <c r="AF1264" s="142"/>
      <c r="AG1264" s="69" t="str">
        <f t="shared" si="672"/>
        <v>4 years 0 days</v>
      </c>
      <c r="AH1264" s="69">
        <v>4</v>
      </c>
      <c r="AI1264" s="69">
        <v>0</v>
      </c>
      <c r="AJ1264" s="69">
        <v>0</v>
      </c>
      <c r="AK1264" s="69">
        <v>0</v>
      </c>
      <c r="AL1264" s="60">
        <v>4600</v>
      </c>
      <c r="AM1264" s="60">
        <f t="shared" si="673"/>
        <v>4600</v>
      </c>
      <c r="AN1264" s="59">
        <v>4600</v>
      </c>
      <c r="AO1264" s="148">
        <f t="shared" si="674"/>
        <v>-4600</v>
      </c>
      <c r="AP1264" s="58">
        <v>0</v>
      </c>
      <c r="AQ1264" s="143">
        <f t="shared" si="675"/>
        <v>0</v>
      </c>
    </row>
    <row r="1265" spans="1:43" x14ac:dyDescent="0.35">
      <c r="A1265" s="69" t="s">
        <v>43</v>
      </c>
      <c r="B1265" s="15" t="s">
        <v>4000</v>
      </c>
      <c r="C1265" s="15"/>
      <c r="D1265" s="69"/>
      <c r="E1265" s="76">
        <v>0</v>
      </c>
      <c r="F1265" s="69" t="s">
        <v>2960</v>
      </c>
      <c r="G1265" s="132" t="s">
        <v>2961</v>
      </c>
      <c r="H1265" s="15">
        <v>9013000211</v>
      </c>
      <c r="I1265" s="92" t="s">
        <v>593</v>
      </c>
      <c r="J1265" s="92">
        <v>1202020101</v>
      </c>
      <c r="K1265" s="41"/>
      <c r="L1265" s="95" t="s">
        <v>4001</v>
      </c>
      <c r="M1265" s="69" t="s">
        <v>4002</v>
      </c>
      <c r="N1265" s="69"/>
      <c r="O1265" s="94">
        <v>1</v>
      </c>
      <c r="P1265" s="69" t="s">
        <v>50</v>
      </c>
      <c r="Q1265" s="69" t="s">
        <v>51</v>
      </c>
      <c r="R1265" s="69"/>
      <c r="S1265" s="46">
        <v>43465</v>
      </c>
      <c r="T1265" s="48">
        <v>43465</v>
      </c>
      <c r="U1265" s="69"/>
      <c r="V1265" s="69"/>
      <c r="W1265" s="69"/>
      <c r="X1265" s="69"/>
      <c r="Y1265" s="69" t="s">
        <v>4125</v>
      </c>
      <c r="Z1265" s="43">
        <v>4000</v>
      </c>
      <c r="AA1265" s="43" t="s">
        <v>52</v>
      </c>
      <c r="AB1265" s="43" t="s">
        <v>53</v>
      </c>
      <c r="AC1265" s="43">
        <v>1460</v>
      </c>
      <c r="AD1265" s="141">
        <v>4</v>
      </c>
      <c r="AE1265" s="142">
        <v>0</v>
      </c>
      <c r="AF1265" s="142"/>
      <c r="AG1265" s="69" t="str">
        <f t="shared" si="672"/>
        <v>4 years 0 days</v>
      </c>
      <c r="AH1265" s="69">
        <v>4</v>
      </c>
      <c r="AI1265" s="69">
        <v>0</v>
      </c>
      <c r="AJ1265" s="69">
        <v>0</v>
      </c>
      <c r="AK1265" s="69">
        <v>0</v>
      </c>
      <c r="AL1265" s="60">
        <v>4000</v>
      </c>
      <c r="AM1265" s="60">
        <f t="shared" si="673"/>
        <v>4000</v>
      </c>
      <c r="AN1265" s="59">
        <v>4000</v>
      </c>
      <c r="AO1265" s="148">
        <f t="shared" si="674"/>
        <v>-4000</v>
      </c>
      <c r="AP1265" s="58">
        <v>0</v>
      </c>
      <c r="AQ1265" s="143">
        <f t="shared" si="675"/>
        <v>0</v>
      </c>
    </row>
    <row r="1266" spans="1:43" x14ac:dyDescent="0.35">
      <c r="A1266" s="69" t="s">
        <v>43</v>
      </c>
      <c r="B1266" s="15" t="s">
        <v>4003</v>
      </c>
      <c r="C1266" s="15"/>
      <c r="D1266" s="69"/>
      <c r="E1266" s="76">
        <v>0</v>
      </c>
      <c r="F1266" s="69" t="s">
        <v>2960</v>
      </c>
      <c r="G1266" s="132" t="s">
        <v>2961</v>
      </c>
      <c r="H1266" s="15">
        <v>9013000211</v>
      </c>
      <c r="I1266" s="92" t="s">
        <v>593</v>
      </c>
      <c r="J1266" s="92">
        <v>1202020101</v>
      </c>
      <c r="K1266" s="41"/>
      <c r="L1266" s="95" t="s">
        <v>4004</v>
      </c>
      <c r="M1266" s="69" t="s">
        <v>49</v>
      </c>
      <c r="N1266" s="69"/>
      <c r="O1266" s="94">
        <v>1</v>
      </c>
      <c r="P1266" s="69" t="s">
        <v>50</v>
      </c>
      <c r="Q1266" s="69" t="s">
        <v>51</v>
      </c>
      <c r="R1266" s="69"/>
      <c r="S1266" s="46">
        <v>43465</v>
      </c>
      <c r="T1266" s="48">
        <v>43465</v>
      </c>
      <c r="U1266" s="69"/>
      <c r="V1266" s="69"/>
      <c r="W1266" s="69"/>
      <c r="X1266" s="69"/>
      <c r="Y1266" s="69" t="s">
        <v>4125</v>
      </c>
      <c r="Z1266" s="43">
        <v>6250</v>
      </c>
      <c r="AA1266" s="43" t="s">
        <v>52</v>
      </c>
      <c r="AB1266" s="43" t="s">
        <v>53</v>
      </c>
      <c r="AC1266" s="43">
        <v>1460</v>
      </c>
      <c r="AD1266" s="141">
        <v>4</v>
      </c>
      <c r="AE1266" s="142">
        <v>0</v>
      </c>
      <c r="AF1266" s="142"/>
      <c r="AG1266" s="69" t="str">
        <f t="shared" si="672"/>
        <v>4 years 0 days</v>
      </c>
      <c r="AH1266" s="69">
        <v>4</v>
      </c>
      <c r="AI1266" s="69">
        <v>0</v>
      </c>
      <c r="AJ1266" s="69">
        <v>0</v>
      </c>
      <c r="AK1266" s="69">
        <v>0</v>
      </c>
      <c r="AL1266" s="60">
        <v>6250</v>
      </c>
      <c r="AM1266" s="60">
        <f t="shared" si="673"/>
        <v>6250</v>
      </c>
      <c r="AN1266" s="59">
        <v>6250</v>
      </c>
      <c r="AO1266" s="148">
        <f t="shared" si="674"/>
        <v>-6250</v>
      </c>
      <c r="AP1266" s="58">
        <v>0</v>
      </c>
      <c r="AQ1266" s="143">
        <f t="shared" si="675"/>
        <v>0</v>
      </c>
    </row>
    <row r="1267" spans="1:43" x14ac:dyDescent="0.35">
      <c r="A1267" s="69" t="s">
        <v>43</v>
      </c>
      <c r="B1267" s="15" t="s">
        <v>4005</v>
      </c>
      <c r="C1267" s="15"/>
      <c r="D1267" s="69"/>
      <c r="E1267" s="76">
        <v>0</v>
      </c>
      <c r="F1267" s="69" t="s">
        <v>2960</v>
      </c>
      <c r="G1267" s="132" t="s">
        <v>2961</v>
      </c>
      <c r="H1267" s="15">
        <v>9013000211</v>
      </c>
      <c r="I1267" s="92" t="s">
        <v>593</v>
      </c>
      <c r="J1267" s="92">
        <v>1202020101</v>
      </c>
      <c r="K1267" s="41"/>
      <c r="L1267" s="95" t="s">
        <v>4006</v>
      </c>
      <c r="M1267" s="69" t="s">
        <v>49</v>
      </c>
      <c r="N1267" s="69"/>
      <c r="O1267" s="94">
        <v>1</v>
      </c>
      <c r="P1267" s="69" t="s">
        <v>50</v>
      </c>
      <c r="Q1267" s="69" t="s">
        <v>51</v>
      </c>
      <c r="R1267" s="69"/>
      <c r="S1267" s="46">
        <v>43465</v>
      </c>
      <c r="T1267" s="48">
        <v>43465</v>
      </c>
      <c r="U1267" s="69"/>
      <c r="V1267" s="69"/>
      <c r="W1267" s="69"/>
      <c r="X1267" s="69"/>
      <c r="Y1267" s="69" t="s">
        <v>4125</v>
      </c>
      <c r="Z1267" s="43">
        <v>6000</v>
      </c>
      <c r="AA1267" s="43" t="s">
        <v>52</v>
      </c>
      <c r="AB1267" s="43" t="s">
        <v>53</v>
      </c>
      <c r="AC1267" s="43">
        <v>1460</v>
      </c>
      <c r="AD1267" s="141">
        <v>4</v>
      </c>
      <c r="AE1267" s="142">
        <v>0</v>
      </c>
      <c r="AF1267" s="142"/>
      <c r="AG1267" s="69" t="str">
        <f t="shared" si="672"/>
        <v>4 years 0 days</v>
      </c>
      <c r="AH1267" s="69">
        <v>4</v>
      </c>
      <c r="AI1267" s="69">
        <v>0</v>
      </c>
      <c r="AJ1267" s="69">
        <v>0</v>
      </c>
      <c r="AK1267" s="69">
        <v>0</v>
      </c>
      <c r="AL1267" s="60">
        <v>6000</v>
      </c>
      <c r="AM1267" s="60">
        <f t="shared" si="673"/>
        <v>6000</v>
      </c>
      <c r="AN1267" s="59">
        <v>6000</v>
      </c>
      <c r="AO1267" s="148">
        <f t="shared" si="674"/>
        <v>-6000</v>
      </c>
      <c r="AP1267" s="58">
        <v>3.013698630638828E-3</v>
      </c>
      <c r="AQ1267" s="143">
        <f t="shared" si="675"/>
        <v>0</v>
      </c>
    </row>
    <row r="1268" spans="1:43" x14ac:dyDescent="0.35">
      <c r="A1268" s="69" t="s">
        <v>43</v>
      </c>
      <c r="B1268" s="15" t="s">
        <v>4007</v>
      </c>
      <c r="C1268" s="15"/>
      <c r="D1268" s="69"/>
      <c r="E1268" s="76">
        <v>0</v>
      </c>
      <c r="F1268" s="69" t="s">
        <v>2960</v>
      </c>
      <c r="G1268" s="132" t="s">
        <v>2961</v>
      </c>
      <c r="H1268" s="15">
        <v>9013000211</v>
      </c>
      <c r="I1268" s="92" t="s">
        <v>593</v>
      </c>
      <c r="J1268" s="92">
        <v>1202020101</v>
      </c>
      <c r="K1268" s="41"/>
      <c r="L1268" s="95" t="s">
        <v>4008</v>
      </c>
      <c r="M1268" s="69" t="s">
        <v>4009</v>
      </c>
      <c r="N1268" s="69"/>
      <c r="O1268" s="94">
        <v>1</v>
      </c>
      <c r="P1268" s="69" t="s">
        <v>50</v>
      </c>
      <c r="Q1268" s="69" t="s">
        <v>51</v>
      </c>
      <c r="R1268" s="69"/>
      <c r="S1268" s="46">
        <v>43469</v>
      </c>
      <c r="T1268" s="48">
        <v>43469</v>
      </c>
      <c r="U1268" s="69"/>
      <c r="V1268" s="69"/>
      <c r="W1268" s="69"/>
      <c r="X1268" s="69"/>
      <c r="Y1268" s="69" t="s">
        <v>4126</v>
      </c>
      <c r="Z1268" s="43">
        <v>34650</v>
      </c>
      <c r="AA1268" s="43" t="s">
        <v>52</v>
      </c>
      <c r="AB1268" s="43" t="s">
        <v>53</v>
      </c>
      <c r="AC1268" s="43">
        <v>1460</v>
      </c>
      <c r="AD1268" s="141">
        <v>4</v>
      </c>
      <c r="AE1268" s="142">
        <v>0</v>
      </c>
      <c r="AF1268" s="142"/>
      <c r="AG1268" s="69" t="str">
        <f t="shared" si="672"/>
        <v>4 years 0 days</v>
      </c>
      <c r="AH1268" s="69">
        <v>4</v>
      </c>
      <c r="AI1268" s="69">
        <v>0</v>
      </c>
      <c r="AJ1268" s="69">
        <v>0</v>
      </c>
      <c r="AK1268" s="69">
        <v>0</v>
      </c>
      <c r="AL1268" s="60">
        <v>34650</v>
      </c>
      <c r="AM1268" s="60">
        <f t="shared" si="673"/>
        <v>34650</v>
      </c>
      <c r="AN1268" s="59">
        <v>34650</v>
      </c>
      <c r="AO1268" s="148">
        <f t="shared" si="674"/>
        <v>-34650</v>
      </c>
      <c r="AP1268" s="58">
        <v>0</v>
      </c>
      <c r="AQ1268" s="143">
        <f t="shared" si="675"/>
        <v>0</v>
      </c>
    </row>
    <row r="1269" spans="1:43" x14ac:dyDescent="0.35">
      <c r="A1269" s="69" t="s">
        <v>43</v>
      </c>
      <c r="B1269" s="15" t="s">
        <v>4010</v>
      </c>
      <c r="C1269" s="15"/>
      <c r="D1269" s="69"/>
      <c r="E1269" s="76">
        <v>0</v>
      </c>
      <c r="F1269" s="69" t="s">
        <v>2960</v>
      </c>
      <c r="G1269" s="132" t="s">
        <v>2961</v>
      </c>
      <c r="H1269" s="15">
        <v>9013000211</v>
      </c>
      <c r="I1269" s="92" t="s">
        <v>593</v>
      </c>
      <c r="J1269" s="92">
        <v>1202020101</v>
      </c>
      <c r="K1269" s="41"/>
      <c r="L1269" s="95" t="s">
        <v>4011</v>
      </c>
      <c r="M1269" s="69" t="s">
        <v>4012</v>
      </c>
      <c r="N1269" s="69"/>
      <c r="O1269" s="94">
        <v>1</v>
      </c>
      <c r="P1269" s="69" t="s">
        <v>50</v>
      </c>
      <c r="Q1269" s="69" t="s">
        <v>51</v>
      </c>
      <c r="R1269" s="69"/>
      <c r="S1269" s="46">
        <v>43470</v>
      </c>
      <c r="T1269" s="48">
        <v>43470</v>
      </c>
      <c r="U1269" s="69"/>
      <c r="V1269" s="69"/>
      <c r="W1269" s="69"/>
      <c r="X1269" s="69"/>
      <c r="Y1269" s="69" t="s">
        <v>4126</v>
      </c>
      <c r="Z1269" s="43">
        <v>62895</v>
      </c>
      <c r="AA1269" s="43" t="s">
        <v>52</v>
      </c>
      <c r="AB1269" s="43" t="s">
        <v>53</v>
      </c>
      <c r="AC1269" s="43">
        <v>1460</v>
      </c>
      <c r="AD1269" s="141">
        <v>4</v>
      </c>
      <c r="AE1269" s="142">
        <v>0</v>
      </c>
      <c r="AF1269" s="142"/>
      <c r="AG1269" s="69" t="str">
        <f t="shared" si="672"/>
        <v>4 years 0 days</v>
      </c>
      <c r="AH1269" s="69">
        <v>4</v>
      </c>
      <c r="AI1269" s="69">
        <v>0</v>
      </c>
      <c r="AJ1269" s="69">
        <v>0</v>
      </c>
      <c r="AK1269" s="69">
        <v>0</v>
      </c>
      <c r="AL1269" s="60">
        <v>62895</v>
      </c>
      <c r="AM1269" s="60">
        <f t="shared" si="673"/>
        <v>62895</v>
      </c>
      <c r="AN1269" s="59">
        <v>62895</v>
      </c>
      <c r="AO1269" s="148">
        <f t="shared" si="674"/>
        <v>-62895</v>
      </c>
      <c r="AP1269" s="58">
        <v>0</v>
      </c>
      <c r="AQ1269" s="143">
        <f t="shared" si="675"/>
        <v>0</v>
      </c>
    </row>
    <row r="1270" spans="1:43" x14ac:dyDescent="0.35">
      <c r="A1270" s="69" t="s">
        <v>43</v>
      </c>
      <c r="B1270" s="15" t="s">
        <v>4013</v>
      </c>
      <c r="C1270" s="15"/>
      <c r="D1270" s="69"/>
      <c r="E1270" s="76">
        <v>0</v>
      </c>
      <c r="F1270" s="69" t="s">
        <v>2960</v>
      </c>
      <c r="G1270" s="132" t="s">
        <v>2961</v>
      </c>
      <c r="H1270" s="15">
        <v>9013000211</v>
      </c>
      <c r="I1270" s="92" t="s">
        <v>593</v>
      </c>
      <c r="J1270" s="92">
        <v>1202020101</v>
      </c>
      <c r="K1270" s="41"/>
      <c r="L1270" s="95" t="s">
        <v>4014</v>
      </c>
      <c r="M1270" s="69" t="s">
        <v>4015</v>
      </c>
      <c r="N1270" s="69"/>
      <c r="O1270" s="94">
        <v>1</v>
      </c>
      <c r="P1270" s="69" t="s">
        <v>50</v>
      </c>
      <c r="Q1270" s="69" t="s">
        <v>51</v>
      </c>
      <c r="R1270" s="69"/>
      <c r="S1270" s="46">
        <v>43505</v>
      </c>
      <c r="T1270" s="48">
        <v>43505</v>
      </c>
      <c r="U1270" s="69"/>
      <c r="V1270" s="69"/>
      <c r="W1270" s="69"/>
      <c r="X1270" s="69"/>
      <c r="Y1270" s="69" t="s">
        <v>4126</v>
      </c>
      <c r="Z1270" s="43">
        <v>8840</v>
      </c>
      <c r="AA1270" s="43" t="s">
        <v>52</v>
      </c>
      <c r="AB1270" s="43" t="s">
        <v>53</v>
      </c>
      <c r="AC1270" s="43">
        <v>1460</v>
      </c>
      <c r="AD1270" s="141">
        <v>4</v>
      </c>
      <c r="AE1270" s="142">
        <v>0</v>
      </c>
      <c r="AF1270" s="142"/>
      <c r="AG1270" s="69" t="str">
        <f t="shared" si="672"/>
        <v>4 years 0 days</v>
      </c>
      <c r="AH1270" s="69">
        <v>4</v>
      </c>
      <c r="AI1270" s="69">
        <v>0</v>
      </c>
      <c r="AJ1270" s="69">
        <v>0</v>
      </c>
      <c r="AK1270" s="69">
        <v>0</v>
      </c>
      <c r="AL1270" s="60">
        <v>8840</v>
      </c>
      <c r="AM1270" s="60">
        <f t="shared" si="673"/>
        <v>8840</v>
      </c>
      <c r="AN1270" s="59">
        <v>8840</v>
      </c>
      <c r="AO1270" s="148">
        <f t="shared" si="674"/>
        <v>-8840</v>
      </c>
      <c r="AP1270" s="58">
        <v>0</v>
      </c>
      <c r="AQ1270" s="143">
        <f t="shared" si="675"/>
        <v>0</v>
      </c>
    </row>
    <row r="1271" spans="1:43" x14ac:dyDescent="0.35">
      <c r="A1271" s="69" t="s">
        <v>43</v>
      </c>
      <c r="B1271" s="15" t="s">
        <v>4016</v>
      </c>
      <c r="C1271" s="15"/>
      <c r="D1271" s="69"/>
      <c r="E1271" s="76">
        <v>0</v>
      </c>
      <c r="F1271" s="69" t="s">
        <v>2960</v>
      </c>
      <c r="G1271" s="132" t="s">
        <v>2961</v>
      </c>
      <c r="H1271" s="15">
        <v>9013000211</v>
      </c>
      <c r="I1271" s="92" t="s">
        <v>593</v>
      </c>
      <c r="J1271" s="92">
        <v>1202020101</v>
      </c>
      <c r="K1271" s="41"/>
      <c r="L1271" s="95" t="s">
        <v>4017</v>
      </c>
      <c r="M1271" s="69" t="s">
        <v>4018</v>
      </c>
      <c r="N1271" s="69"/>
      <c r="O1271" s="94">
        <v>1</v>
      </c>
      <c r="P1271" s="69" t="s">
        <v>50</v>
      </c>
      <c r="Q1271" s="69" t="s">
        <v>51</v>
      </c>
      <c r="R1271" s="69"/>
      <c r="S1271" s="46">
        <v>43516</v>
      </c>
      <c r="T1271" s="48">
        <v>43516</v>
      </c>
      <c r="U1271" s="69"/>
      <c r="V1271" s="69"/>
      <c r="W1271" s="69"/>
      <c r="X1271" s="69"/>
      <c r="Y1271" s="69" t="s">
        <v>4126</v>
      </c>
      <c r="Z1271" s="43">
        <v>41950</v>
      </c>
      <c r="AA1271" s="43" t="s">
        <v>52</v>
      </c>
      <c r="AB1271" s="43" t="s">
        <v>53</v>
      </c>
      <c r="AC1271" s="43">
        <v>1460</v>
      </c>
      <c r="AD1271" s="141">
        <v>4</v>
      </c>
      <c r="AE1271" s="142">
        <v>0</v>
      </c>
      <c r="AF1271" s="142"/>
      <c r="AG1271" s="69" t="str">
        <f t="shared" si="672"/>
        <v>4 years 0 days</v>
      </c>
      <c r="AH1271" s="69">
        <v>4</v>
      </c>
      <c r="AI1271" s="69">
        <v>0</v>
      </c>
      <c r="AJ1271" s="69">
        <v>0</v>
      </c>
      <c r="AK1271" s="69">
        <v>0</v>
      </c>
      <c r="AL1271" s="60">
        <v>41950</v>
      </c>
      <c r="AM1271" s="60">
        <f t="shared" si="673"/>
        <v>41950</v>
      </c>
      <c r="AN1271" s="59">
        <v>41950</v>
      </c>
      <c r="AO1271" s="148">
        <f t="shared" si="674"/>
        <v>-41950</v>
      </c>
      <c r="AP1271" s="58">
        <v>0</v>
      </c>
      <c r="AQ1271" s="143">
        <f t="shared" si="675"/>
        <v>0</v>
      </c>
    </row>
    <row r="1272" spans="1:43" x14ac:dyDescent="0.35">
      <c r="A1272" s="69" t="s">
        <v>43</v>
      </c>
      <c r="B1272" s="15" t="s">
        <v>4019</v>
      </c>
      <c r="C1272" s="15"/>
      <c r="D1272" s="69"/>
      <c r="E1272" s="76">
        <v>0</v>
      </c>
      <c r="F1272" s="69" t="s">
        <v>2960</v>
      </c>
      <c r="G1272" s="132" t="s">
        <v>2961</v>
      </c>
      <c r="H1272" s="15">
        <v>9013000211</v>
      </c>
      <c r="I1272" s="92" t="s">
        <v>593</v>
      </c>
      <c r="J1272" s="92">
        <v>1202020101</v>
      </c>
      <c r="K1272" s="41"/>
      <c r="L1272" s="95" t="s">
        <v>4020</v>
      </c>
      <c r="M1272" s="69" t="s">
        <v>4021</v>
      </c>
      <c r="N1272" s="69"/>
      <c r="O1272" s="94">
        <v>1</v>
      </c>
      <c r="P1272" s="69" t="s">
        <v>50</v>
      </c>
      <c r="Q1272" s="69" t="s">
        <v>51</v>
      </c>
      <c r="R1272" s="69"/>
      <c r="S1272" s="46">
        <v>43526</v>
      </c>
      <c r="T1272" s="48">
        <v>43526</v>
      </c>
      <c r="U1272" s="69"/>
      <c r="V1272" s="69"/>
      <c r="W1272" s="69"/>
      <c r="X1272" s="69"/>
      <c r="Y1272" s="69" t="s">
        <v>4126</v>
      </c>
      <c r="Z1272" s="43">
        <v>36100</v>
      </c>
      <c r="AA1272" s="43" t="s">
        <v>52</v>
      </c>
      <c r="AB1272" s="43" t="s">
        <v>53</v>
      </c>
      <c r="AC1272" s="43">
        <v>1460</v>
      </c>
      <c r="AD1272" s="141">
        <v>4</v>
      </c>
      <c r="AE1272" s="142">
        <v>0</v>
      </c>
      <c r="AF1272" s="142"/>
      <c r="AG1272" s="69" t="str">
        <f t="shared" si="672"/>
        <v>4 years 0 days</v>
      </c>
      <c r="AH1272" s="69">
        <v>4</v>
      </c>
      <c r="AI1272" s="69">
        <v>0</v>
      </c>
      <c r="AJ1272" s="69">
        <v>0</v>
      </c>
      <c r="AK1272" s="69">
        <v>0</v>
      </c>
      <c r="AL1272" s="60">
        <v>36100</v>
      </c>
      <c r="AM1272" s="60">
        <f t="shared" si="673"/>
        <v>36100</v>
      </c>
      <c r="AN1272" s="59">
        <v>36100</v>
      </c>
      <c r="AO1272" s="148">
        <f t="shared" si="674"/>
        <v>-36100</v>
      </c>
      <c r="AP1272" s="58">
        <v>0</v>
      </c>
      <c r="AQ1272" s="143">
        <f t="shared" si="675"/>
        <v>0</v>
      </c>
    </row>
    <row r="1273" spans="1:43" x14ac:dyDescent="0.35">
      <c r="A1273" s="69" t="s">
        <v>43</v>
      </c>
      <c r="B1273" s="15" t="s">
        <v>4022</v>
      </c>
      <c r="C1273" s="15"/>
      <c r="D1273" s="69"/>
      <c r="E1273" s="76">
        <v>0</v>
      </c>
      <c r="F1273" s="69" t="s">
        <v>2960</v>
      </c>
      <c r="G1273" s="132" t="s">
        <v>2961</v>
      </c>
      <c r="H1273" s="15">
        <v>9013000211</v>
      </c>
      <c r="I1273" s="92" t="s">
        <v>593</v>
      </c>
      <c r="J1273" s="92">
        <v>1202020101</v>
      </c>
      <c r="K1273" s="41"/>
      <c r="L1273" s="95" t="s">
        <v>4023</v>
      </c>
      <c r="M1273" s="69" t="s">
        <v>4024</v>
      </c>
      <c r="N1273" s="69"/>
      <c r="O1273" s="94">
        <v>1</v>
      </c>
      <c r="P1273" s="69" t="s">
        <v>50</v>
      </c>
      <c r="Q1273" s="69" t="s">
        <v>51</v>
      </c>
      <c r="R1273" s="69"/>
      <c r="S1273" s="46">
        <v>43574</v>
      </c>
      <c r="T1273" s="48">
        <v>43574</v>
      </c>
      <c r="U1273" s="69"/>
      <c r="V1273" s="69"/>
      <c r="W1273" s="69"/>
      <c r="X1273" s="69"/>
      <c r="Y1273" s="69" t="s">
        <v>4126</v>
      </c>
      <c r="Z1273" s="43">
        <v>38350</v>
      </c>
      <c r="AA1273" s="43" t="s">
        <v>52</v>
      </c>
      <c r="AB1273" s="43" t="s">
        <v>53</v>
      </c>
      <c r="AC1273" s="43">
        <v>1460</v>
      </c>
      <c r="AD1273" s="141">
        <v>4</v>
      </c>
      <c r="AE1273" s="142">
        <v>0</v>
      </c>
      <c r="AF1273" s="142"/>
      <c r="AG1273" s="69" t="str">
        <f t="shared" si="672"/>
        <v>4 years 0 days</v>
      </c>
      <c r="AH1273" s="69">
        <v>4</v>
      </c>
      <c r="AI1273" s="69">
        <v>0</v>
      </c>
      <c r="AJ1273" s="69">
        <v>0</v>
      </c>
      <c r="AK1273" s="69">
        <v>0</v>
      </c>
      <c r="AL1273" s="60">
        <v>38350</v>
      </c>
      <c r="AM1273" s="60">
        <f t="shared" si="673"/>
        <v>38350</v>
      </c>
      <c r="AN1273" s="59">
        <v>38350</v>
      </c>
      <c r="AO1273" s="148">
        <f t="shared" si="674"/>
        <v>-38350</v>
      </c>
      <c r="AP1273" s="58">
        <v>0</v>
      </c>
      <c r="AQ1273" s="143">
        <f t="shared" si="675"/>
        <v>0</v>
      </c>
    </row>
    <row r="1274" spans="1:43" x14ac:dyDescent="0.35">
      <c r="A1274" s="69" t="s">
        <v>43</v>
      </c>
      <c r="B1274" s="15" t="s">
        <v>4025</v>
      </c>
      <c r="C1274" s="15"/>
      <c r="D1274" s="69"/>
      <c r="E1274" s="76">
        <v>0</v>
      </c>
      <c r="F1274" s="69" t="s">
        <v>2960</v>
      </c>
      <c r="G1274" s="132" t="s">
        <v>2961</v>
      </c>
      <c r="H1274" s="15">
        <v>9013000211</v>
      </c>
      <c r="I1274" s="92" t="s">
        <v>593</v>
      </c>
      <c r="J1274" s="92">
        <v>1202020101</v>
      </c>
      <c r="K1274" s="41"/>
      <c r="L1274" s="95" t="s">
        <v>4026</v>
      </c>
      <c r="M1274" s="69" t="s">
        <v>4027</v>
      </c>
      <c r="N1274" s="69"/>
      <c r="O1274" s="94">
        <v>1</v>
      </c>
      <c r="P1274" s="69" t="s">
        <v>50</v>
      </c>
      <c r="Q1274" s="69" t="s">
        <v>51</v>
      </c>
      <c r="R1274" s="69"/>
      <c r="S1274" s="46">
        <v>43647</v>
      </c>
      <c r="T1274" s="48">
        <v>43647</v>
      </c>
      <c r="U1274" s="69"/>
      <c r="V1274" s="69"/>
      <c r="W1274" s="69"/>
      <c r="X1274" s="69"/>
      <c r="Y1274" s="69" t="s">
        <v>4126</v>
      </c>
      <c r="Z1274" s="43">
        <v>35550</v>
      </c>
      <c r="AA1274" s="43" t="s">
        <v>52</v>
      </c>
      <c r="AB1274" s="43" t="s">
        <v>53</v>
      </c>
      <c r="AC1274" s="43">
        <v>1460</v>
      </c>
      <c r="AD1274" s="141">
        <v>4</v>
      </c>
      <c r="AE1274" s="142">
        <v>0</v>
      </c>
      <c r="AF1274" s="142"/>
      <c r="AG1274" s="69" t="str">
        <f t="shared" si="672"/>
        <v>4 years 0 days</v>
      </c>
      <c r="AH1274" s="69">
        <v>4</v>
      </c>
      <c r="AI1274" s="69">
        <v>0</v>
      </c>
      <c r="AJ1274" s="69">
        <v>0</v>
      </c>
      <c r="AK1274" s="69">
        <v>0</v>
      </c>
      <c r="AL1274" s="60">
        <v>35550</v>
      </c>
      <c r="AM1274" s="60">
        <f t="shared" si="673"/>
        <v>35550</v>
      </c>
      <c r="AN1274" s="59">
        <v>35550</v>
      </c>
      <c r="AO1274" s="148">
        <f t="shared" si="674"/>
        <v>-35550</v>
      </c>
      <c r="AP1274" s="58">
        <v>0</v>
      </c>
      <c r="AQ1274" s="143">
        <f t="shared" si="675"/>
        <v>0</v>
      </c>
    </row>
    <row r="1275" spans="1:43" x14ac:dyDescent="0.35">
      <c r="A1275" s="69" t="s">
        <v>43</v>
      </c>
      <c r="B1275" s="15" t="s">
        <v>4028</v>
      </c>
      <c r="C1275" s="15"/>
      <c r="D1275" s="69"/>
      <c r="E1275" s="76">
        <v>0</v>
      </c>
      <c r="F1275" s="69" t="s">
        <v>2960</v>
      </c>
      <c r="G1275" s="132" t="s">
        <v>2961</v>
      </c>
      <c r="H1275" s="15">
        <v>9013000211</v>
      </c>
      <c r="I1275" s="92" t="s">
        <v>593</v>
      </c>
      <c r="J1275" s="92">
        <v>1202020101</v>
      </c>
      <c r="K1275" s="41"/>
      <c r="L1275" s="95" t="s">
        <v>4029</v>
      </c>
      <c r="M1275" s="69" t="s">
        <v>4030</v>
      </c>
      <c r="N1275" s="69"/>
      <c r="O1275" s="94">
        <v>1</v>
      </c>
      <c r="P1275" s="69" t="s">
        <v>50</v>
      </c>
      <c r="Q1275" s="69" t="s">
        <v>51</v>
      </c>
      <c r="R1275" s="69"/>
      <c r="S1275" s="46">
        <v>43647</v>
      </c>
      <c r="T1275" s="48">
        <v>43647</v>
      </c>
      <c r="U1275" s="69"/>
      <c r="V1275" s="69"/>
      <c r="W1275" s="69"/>
      <c r="X1275" s="69"/>
      <c r="Y1275" s="69" t="s">
        <v>4126</v>
      </c>
      <c r="Z1275" s="43">
        <v>24750</v>
      </c>
      <c r="AA1275" s="43" t="s">
        <v>52</v>
      </c>
      <c r="AB1275" s="43" t="s">
        <v>53</v>
      </c>
      <c r="AC1275" s="43">
        <v>1460</v>
      </c>
      <c r="AD1275" s="141">
        <v>4</v>
      </c>
      <c r="AE1275" s="142">
        <v>0</v>
      </c>
      <c r="AF1275" s="142"/>
      <c r="AG1275" s="69" t="str">
        <f t="shared" si="672"/>
        <v>4 years 0 days</v>
      </c>
      <c r="AH1275" s="69">
        <v>4</v>
      </c>
      <c r="AI1275" s="69">
        <v>0</v>
      </c>
      <c r="AJ1275" s="69">
        <v>0</v>
      </c>
      <c r="AK1275" s="69">
        <v>0</v>
      </c>
      <c r="AL1275" s="60">
        <v>24750</v>
      </c>
      <c r="AM1275" s="60">
        <f t="shared" si="673"/>
        <v>24750</v>
      </c>
      <c r="AN1275" s="59">
        <v>24750</v>
      </c>
      <c r="AO1275" s="148">
        <f t="shared" si="674"/>
        <v>-24750</v>
      </c>
      <c r="AP1275" s="58">
        <v>0</v>
      </c>
      <c r="AQ1275" s="143">
        <f t="shared" si="675"/>
        <v>0</v>
      </c>
    </row>
    <row r="1276" spans="1:43" x14ac:dyDescent="0.35">
      <c r="A1276" s="69" t="s">
        <v>43</v>
      </c>
      <c r="B1276" s="15" t="s">
        <v>4031</v>
      </c>
      <c r="C1276" s="15"/>
      <c r="D1276" s="69"/>
      <c r="E1276" s="76">
        <v>0</v>
      </c>
      <c r="F1276" s="69" t="s">
        <v>2960</v>
      </c>
      <c r="G1276" s="132" t="s">
        <v>2961</v>
      </c>
      <c r="H1276" s="15">
        <v>9013000211</v>
      </c>
      <c r="I1276" s="92" t="s">
        <v>593</v>
      </c>
      <c r="J1276" s="92">
        <v>1202020101</v>
      </c>
      <c r="K1276" s="41"/>
      <c r="L1276" s="95" t="s">
        <v>4032</v>
      </c>
      <c r="M1276" s="69" t="s">
        <v>4033</v>
      </c>
      <c r="N1276" s="69"/>
      <c r="O1276" s="94">
        <v>1</v>
      </c>
      <c r="P1276" s="69" t="s">
        <v>50</v>
      </c>
      <c r="Q1276" s="69" t="s">
        <v>51</v>
      </c>
      <c r="R1276" s="69"/>
      <c r="S1276" s="46">
        <v>43790</v>
      </c>
      <c r="T1276" s="48">
        <v>43790</v>
      </c>
      <c r="U1276" s="69"/>
      <c r="V1276" s="69"/>
      <c r="W1276" s="69"/>
      <c r="X1276" s="69"/>
      <c r="Y1276" s="69" t="s">
        <v>4126</v>
      </c>
      <c r="Z1276" s="43">
        <v>66000</v>
      </c>
      <c r="AA1276" s="43" t="s">
        <v>52</v>
      </c>
      <c r="AB1276" s="43" t="s">
        <v>53</v>
      </c>
      <c r="AC1276" s="43">
        <v>1460</v>
      </c>
      <c r="AD1276" s="141">
        <v>4</v>
      </c>
      <c r="AE1276" s="142">
        <v>0</v>
      </c>
      <c r="AF1276" s="142"/>
      <c r="AG1276" s="69" t="str">
        <f t="shared" si="672"/>
        <v>4 years 0 days</v>
      </c>
      <c r="AH1276" s="69">
        <v>4</v>
      </c>
      <c r="AI1276" s="69">
        <v>0</v>
      </c>
      <c r="AJ1276" s="69">
        <v>0</v>
      </c>
      <c r="AK1276" s="69">
        <v>0</v>
      </c>
      <c r="AL1276" s="60">
        <v>66000</v>
      </c>
      <c r="AM1276" s="60">
        <f t="shared" si="673"/>
        <v>66000</v>
      </c>
      <c r="AN1276" s="59">
        <v>66000</v>
      </c>
      <c r="AO1276" s="148">
        <f t="shared" si="674"/>
        <v>-66000</v>
      </c>
      <c r="AP1276" s="58">
        <v>0</v>
      </c>
      <c r="AQ1276" s="143">
        <f t="shared" si="675"/>
        <v>0</v>
      </c>
    </row>
    <row r="1277" spans="1:43" x14ac:dyDescent="0.35">
      <c r="A1277" s="69" t="s">
        <v>43</v>
      </c>
      <c r="B1277" s="15" t="s">
        <v>4034</v>
      </c>
      <c r="C1277" s="15"/>
      <c r="D1277" s="69"/>
      <c r="E1277" s="76">
        <v>0</v>
      </c>
      <c r="F1277" s="69" t="s">
        <v>2960</v>
      </c>
      <c r="G1277" s="132" t="s">
        <v>2961</v>
      </c>
      <c r="H1277" s="15">
        <v>9013000211</v>
      </c>
      <c r="I1277" s="92" t="s">
        <v>593</v>
      </c>
      <c r="J1277" s="92">
        <v>1202020101</v>
      </c>
      <c r="K1277" s="41"/>
      <c r="L1277" s="95" t="s">
        <v>4035</v>
      </c>
      <c r="M1277" s="69" t="s">
        <v>4036</v>
      </c>
      <c r="N1277" s="69"/>
      <c r="O1277" s="94">
        <v>1</v>
      </c>
      <c r="P1277" s="69" t="s">
        <v>50</v>
      </c>
      <c r="Q1277" s="69" t="s">
        <v>51</v>
      </c>
      <c r="R1277" s="69"/>
      <c r="S1277" s="46">
        <v>43831</v>
      </c>
      <c r="T1277" s="48">
        <v>43831</v>
      </c>
      <c r="U1277" s="69"/>
      <c r="V1277" s="69"/>
      <c r="W1277" s="69"/>
      <c r="X1277" s="69"/>
      <c r="Y1277" s="69" t="s">
        <v>4127</v>
      </c>
      <c r="Z1277" s="43">
        <v>34920</v>
      </c>
      <c r="AA1277" s="43" t="s">
        <v>52</v>
      </c>
      <c r="AB1277" s="43" t="s">
        <v>53</v>
      </c>
      <c r="AC1277" s="43">
        <v>1460</v>
      </c>
      <c r="AD1277" s="141">
        <v>4</v>
      </c>
      <c r="AE1277" s="142">
        <v>0</v>
      </c>
      <c r="AF1277" s="142"/>
      <c r="AG1277" s="69" t="str">
        <f t="shared" si="672"/>
        <v>4 years 0 days</v>
      </c>
      <c r="AH1277" s="69">
        <v>4</v>
      </c>
      <c r="AI1277" s="69">
        <v>0</v>
      </c>
      <c r="AJ1277" s="69">
        <v>0</v>
      </c>
      <c r="AK1277" s="69">
        <v>0</v>
      </c>
      <c r="AL1277" s="60">
        <v>34920</v>
      </c>
      <c r="AM1277" s="60">
        <f t="shared" si="673"/>
        <v>34920</v>
      </c>
      <c r="AN1277" s="59">
        <v>34920</v>
      </c>
      <c r="AO1277" s="148">
        <f t="shared" si="674"/>
        <v>-34920</v>
      </c>
      <c r="AP1277" s="58">
        <v>0</v>
      </c>
      <c r="AQ1277" s="143">
        <f t="shared" si="675"/>
        <v>0</v>
      </c>
    </row>
    <row r="1278" spans="1:43" x14ac:dyDescent="0.35">
      <c r="A1278" s="69" t="s">
        <v>43</v>
      </c>
      <c r="B1278" s="15" t="s">
        <v>4037</v>
      </c>
      <c r="C1278" s="15"/>
      <c r="D1278" s="69"/>
      <c r="E1278" s="76">
        <v>0</v>
      </c>
      <c r="F1278" s="69" t="s">
        <v>2960</v>
      </c>
      <c r="G1278" s="132" t="s">
        <v>2961</v>
      </c>
      <c r="H1278" s="15">
        <v>9013000211</v>
      </c>
      <c r="I1278" s="92" t="s">
        <v>593</v>
      </c>
      <c r="J1278" s="92">
        <v>1202020101</v>
      </c>
      <c r="K1278" s="41"/>
      <c r="L1278" s="95" t="s">
        <v>4038</v>
      </c>
      <c r="M1278" s="69" t="s">
        <v>4039</v>
      </c>
      <c r="N1278" s="69"/>
      <c r="O1278" s="94">
        <v>3</v>
      </c>
      <c r="P1278" s="69" t="s">
        <v>50</v>
      </c>
      <c r="Q1278" s="69" t="s">
        <v>51</v>
      </c>
      <c r="R1278" s="69"/>
      <c r="S1278" s="46">
        <v>43835</v>
      </c>
      <c r="T1278" s="48">
        <v>43835</v>
      </c>
      <c r="U1278" s="69"/>
      <c r="V1278" s="69"/>
      <c r="W1278" s="69"/>
      <c r="X1278" s="69"/>
      <c r="Y1278" s="69" t="s">
        <v>4127</v>
      </c>
      <c r="Z1278" s="43">
        <v>60000</v>
      </c>
      <c r="AA1278" s="43" t="s">
        <v>52</v>
      </c>
      <c r="AB1278" s="43" t="s">
        <v>53</v>
      </c>
      <c r="AC1278" s="43">
        <v>1460</v>
      </c>
      <c r="AD1278" s="141">
        <v>4</v>
      </c>
      <c r="AE1278" s="142">
        <v>0</v>
      </c>
      <c r="AF1278" s="142"/>
      <c r="AG1278" s="69" t="str">
        <f t="shared" si="672"/>
        <v>4 years 0 days</v>
      </c>
      <c r="AH1278" s="69">
        <v>4</v>
      </c>
      <c r="AI1278" s="69">
        <v>0</v>
      </c>
      <c r="AJ1278" s="69">
        <v>0</v>
      </c>
      <c r="AK1278" s="69">
        <v>0</v>
      </c>
      <c r="AL1278" s="60">
        <v>60000</v>
      </c>
      <c r="AM1278" s="60">
        <f t="shared" si="673"/>
        <v>60000</v>
      </c>
      <c r="AN1278" s="59">
        <v>60000</v>
      </c>
      <c r="AO1278" s="148">
        <f t="shared" si="674"/>
        <v>-60000</v>
      </c>
      <c r="AP1278" s="58">
        <v>0</v>
      </c>
      <c r="AQ1278" s="143">
        <f t="shared" si="675"/>
        <v>0</v>
      </c>
    </row>
    <row r="1279" spans="1:43" x14ac:dyDescent="0.35">
      <c r="A1279" s="69" t="s">
        <v>43</v>
      </c>
      <c r="B1279" s="15" t="s">
        <v>4040</v>
      </c>
      <c r="C1279" s="15"/>
      <c r="D1279" s="69"/>
      <c r="E1279" s="76">
        <v>0</v>
      </c>
      <c r="F1279" s="69" t="s">
        <v>2960</v>
      </c>
      <c r="G1279" s="132" t="s">
        <v>2961</v>
      </c>
      <c r="H1279" s="15">
        <v>9013000211</v>
      </c>
      <c r="I1279" s="92" t="s">
        <v>593</v>
      </c>
      <c r="J1279" s="92">
        <v>1202020101</v>
      </c>
      <c r="K1279" s="41"/>
      <c r="L1279" s="95" t="s">
        <v>4041</v>
      </c>
      <c r="M1279" s="69" t="s">
        <v>4042</v>
      </c>
      <c r="N1279" s="69"/>
      <c r="O1279" s="94">
        <v>1</v>
      </c>
      <c r="P1279" s="69" t="s">
        <v>50</v>
      </c>
      <c r="Q1279" s="69" t="s">
        <v>51</v>
      </c>
      <c r="R1279" s="69"/>
      <c r="S1279" s="46">
        <v>43850</v>
      </c>
      <c r="T1279" s="48">
        <v>43850</v>
      </c>
      <c r="U1279" s="69"/>
      <c r="V1279" s="69"/>
      <c r="W1279" s="69"/>
      <c r="X1279" s="69"/>
      <c r="Y1279" s="69" t="s">
        <v>4127</v>
      </c>
      <c r="Z1279" s="43">
        <v>45450</v>
      </c>
      <c r="AA1279" s="43" t="s">
        <v>52</v>
      </c>
      <c r="AB1279" s="43" t="s">
        <v>53</v>
      </c>
      <c r="AC1279" s="43">
        <v>1460</v>
      </c>
      <c r="AD1279" s="141">
        <v>4</v>
      </c>
      <c r="AE1279" s="142">
        <v>0</v>
      </c>
      <c r="AF1279" s="142"/>
      <c r="AG1279" s="69" t="str">
        <f t="shared" si="672"/>
        <v>4 years 0 days</v>
      </c>
      <c r="AH1279" s="69">
        <v>4</v>
      </c>
      <c r="AI1279" s="69">
        <v>0</v>
      </c>
      <c r="AJ1279" s="69">
        <v>0</v>
      </c>
      <c r="AK1279" s="69">
        <v>0</v>
      </c>
      <c r="AL1279" s="60">
        <v>45450</v>
      </c>
      <c r="AM1279" s="60">
        <f t="shared" si="673"/>
        <v>45450</v>
      </c>
      <c r="AN1279" s="59">
        <v>45450</v>
      </c>
      <c r="AO1279" s="148">
        <f t="shared" si="674"/>
        <v>-45450</v>
      </c>
      <c r="AP1279" s="58">
        <v>0</v>
      </c>
      <c r="AQ1279" s="143">
        <f t="shared" si="675"/>
        <v>0</v>
      </c>
    </row>
    <row r="1280" spans="1:43" x14ac:dyDescent="0.35">
      <c r="A1280" s="69" t="s">
        <v>43</v>
      </c>
      <c r="B1280" s="15" t="s">
        <v>4043</v>
      </c>
      <c r="C1280" s="15"/>
      <c r="D1280" s="69"/>
      <c r="E1280" s="76">
        <v>0</v>
      </c>
      <c r="F1280" s="69" t="s">
        <v>2960</v>
      </c>
      <c r="G1280" s="132" t="s">
        <v>2961</v>
      </c>
      <c r="H1280" s="15">
        <v>9013000211</v>
      </c>
      <c r="I1280" s="92" t="s">
        <v>593</v>
      </c>
      <c r="J1280" s="92">
        <v>1202020101</v>
      </c>
      <c r="K1280" s="41"/>
      <c r="L1280" s="95" t="s">
        <v>4044</v>
      </c>
      <c r="M1280" s="69" t="s">
        <v>4045</v>
      </c>
      <c r="N1280" s="69"/>
      <c r="O1280" s="94">
        <v>1</v>
      </c>
      <c r="P1280" s="69" t="s">
        <v>50</v>
      </c>
      <c r="Q1280" s="69" t="s">
        <v>51</v>
      </c>
      <c r="R1280" s="69"/>
      <c r="S1280" s="46">
        <v>43855</v>
      </c>
      <c r="T1280" s="48">
        <v>43855</v>
      </c>
      <c r="U1280" s="69"/>
      <c r="V1280" s="69"/>
      <c r="W1280" s="69"/>
      <c r="X1280" s="69"/>
      <c r="Y1280" s="69" t="s">
        <v>4127</v>
      </c>
      <c r="Z1280" s="43">
        <v>29250</v>
      </c>
      <c r="AA1280" s="43" t="s">
        <v>52</v>
      </c>
      <c r="AB1280" s="43" t="s">
        <v>53</v>
      </c>
      <c r="AC1280" s="43">
        <v>1460</v>
      </c>
      <c r="AD1280" s="141">
        <v>4</v>
      </c>
      <c r="AE1280" s="142">
        <v>0</v>
      </c>
      <c r="AF1280" s="142"/>
      <c r="AG1280" s="69" t="str">
        <f t="shared" si="672"/>
        <v>4 years 0 days</v>
      </c>
      <c r="AH1280" s="69">
        <v>4</v>
      </c>
      <c r="AI1280" s="69">
        <v>0</v>
      </c>
      <c r="AJ1280" s="69">
        <v>0</v>
      </c>
      <c r="AK1280" s="69">
        <v>0</v>
      </c>
      <c r="AL1280" s="60">
        <v>29250</v>
      </c>
      <c r="AM1280" s="60">
        <f t="shared" si="673"/>
        <v>29250</v>
      </c>
      <c r="AN1280" s="59">
        <v>29250</v>
      </c>
      <c r="AO1280" s="148">
        <f t="shared" si="674"/>
        <v>-29250</v>
      </c>
      <c r="AP1280" s="58">
        <v>0</v>
      </c>
      <c r="AQ1280" s="143">
        <f t="shared" si="675"/>
        <v>0</v>
      </c>
    </row>
    <row r="1281" spans="1:43" x14ac:dyDescent="0.35">
      <c r="A1281" s="69" t="s">
        <v>43</v>
      </c>
      <c r="B1281" s="15" t="s">
        <v>4046</v>
      </c>
      <c r="C1281" s="15"/>
      <c r="D1281" s="69"/>
      <c r="E1281" s="76">
        <v>0</v>
      </c>
      <c r="F1281" s="69" t="s">
        <v>2960</v>
      </c>
      <c r="G1281" s="132" t="s">
        <v>2961</v>
      </c>
      <c r="H1281" s="15">
        <v>9013000211</v>
      </c>
      <c r="I1281" s="92" t="s">
        <v>593</v>
      </c>
      <c r="J1281" s="92">
        <v>1202020101</v>
      </c>
      <c r="K1281" s="41"/>
      <c r="L1281" s="95" t="s">
        <v>4047</v>
      </c>
      <c r="M1281" s="69" t="s">
        <v>4048</v>
      </c>
      <c r="N1281" s="69"/>
      <c r="O1281" s="94">
        <v>1</v>
      </c>
      <c r="P1281" s="69" t="s">
        <v>50</v>
      </c>
      <c r="Q1281" s="69" t="s">
        <v>51</v>
      </c>
      <c r="R1281" s="69"/>
      <c r="S1281" s="46">
        <v>43858</v>
      </c>
      <c r="T1281" s="48">
        <v>43858</v>
      </c>
      <c r="U1281" s="69"/>
      <c r="V1281" s="69"/>
      <c r="W1281" s="69"/>
      <c r="X1281" s="69"/>
      <c r="Y1281" s="69" t="s">
        <v>4127</v>
      </c>
      <c r="Z1281" s="43">
        <v>39150</v>
      </c>
      <c r="AA1281" s="43" t="s">
        <v>52</v>
      </c>
      <c r="AB1281" s="43" t="s">
        <v>53</v>
      </c>
      <c r="AC1281" s="43">
        <v>1460</v>
      </c>
      <c r="AD1281" s="141">
        <v>4</v>
      </c>
      <c r="AE1281" s="142">
        <v>0</v>
      </c>
      <c r="AF1281" s="142"/>
      <c r="AG1281" s="69" t="str">
        <f t="shared" si="672"/>
        <v>4 years 0 days</v>
      </c>
      <c r="AH1281" s="69">
        <v>4</v>
      </c>
      <c r="AI1281" s="69">
        <v>0</v>
      </c>
      <c r="AJ1281" s="69">
        <v>0</v>
      </c>
      <c r="AK1281" s="69">
        <v>0</v>
      </c>
      <c r="AL1281" s="60">
        <v>39150</v>
      </c>
      <c r="AM1281" s="60">
        <f t="shared" si="673"/>
        <v>39150</v>
      </c>
      <c r="AN1281" s="59">
        <v>39150</v>
      </c>
      <c r="AO1281" s="148">
        <f t="shared" si="674"/>
        <v>-39150</v>
      </c>
      <c r="AP1281" s="58">
        <v>0</v>
      </c>
      <c r="AQ1281" s="143">
        <f t="shared" si="675"/>
        <v>0</v>
      </c>
    </row>
    <row r="1282" spans="1:43" x14ac:dyDescent="0.35">
      <c r="A1282" s="69" t="s">
        <v>43</v>
      </c>
      <c r="B1282" s="15" t="s">
        <v>4049</v>
      </c>
      <c r="C1282" s="15"/>
      <c r="D1282" s="69"/>
      <c r="E1282" s="76">
        <v>0</v>
      </c>
      <c r="F1282" s="69" t="s">
        <v>2960</v>
      </c>
      <c r="G1282" s="132" t="s">
        <v>2961</v>
      </c>
      <c r="H1282" s="15">
        <v>9013000211</v>
      </c>
      <c r="I1282" s="92" t="s">
        <v>593</v>
      </c>
      <c r="J1282" s="92">
        <v>1202020101</v>
      </c>
      <c r="K1282" s="41"/>
      <c r="L1282" s="95" t="s">
        <v>4050</v>
      </c>
      <c r="M1282" s="69" t="s">
        <v>4051</v>
      </c>
      <c r="N1282" s="69"/>
      <c r="O1282" s="94">
        <v>1</v>
      </c>
      <c r="P1282" s="69" t="s">
        <v>50</v>
      </c>
      <c r="Q1282" s="69" t="s">
        <v>51</v>
      </c>
      <c r="R1282" s="69"/>
      <c r="S1282" s="46">
        <v>44116</v>
      </c>
      <c r="T1282" s="48">
        <v>44116</v>
      </c>
      <c r="U1282" s="69"/>
      <c r="V1282" s="69"/>
      <c r="W1282" s="69"/>
      <c r="X1282" s="69"/>
      <c r="Y1282" s="69" t="s">
        <v>4127</v>
      </c>
      <c r="Z1282" s="43">
        <v>39150</v>
      </c>
      <c r="AA1282" s="43" t="s">
        <v>52</v>
      </c>
      <c r="AB1282" s="43" t="s">
        <v>53</v>
      </c>
      <c r="AC1282" s="43">
        <v>1460</v>
      </c>
      <c r="AD1282" s="141">
        <v>4</v>
      </c>
      <c r="AE1282" s="142">
        <v>0</v>
      </c>
      <c r="AF1282" s="142"/>
      <c r="AG1282" s="69" t="str">
        <f t="shared" si="672"/>
        <v>4 years 0 days</v>
      </c>
      <c r="AH1282" s="69">
        <v>4</v>
      </c>
      <c r="AI1282" s="69">
        <v>0</v>
      </c>
      <c r="AJ1282" s="69">
        <v>0</v>
      </c>
      <c r="AK1282" s="69">
        <v>0</v>
      </c>
      <c r="AL1282" s="60">
        <v>39150</v>
      </c>
      <c r="AM1282" s="60">
        <f t="shared" si="673"/>
        <v>39150</v>
      </c>
      <c r="AN1282" s="59">
        <v>39150</v>
      </c>
      <c r="AO1282" s="148">
        <f t="shared" si="674"/>
        <v>-39150</v>
      </c>
      <c r="AP1282" s="58">
        <v>0</v>
      </c>
      <c r="AQ1282" s="143">
        <f t="shared" si="675"/>
        <v>0</v>
      </c>
    </row>
    <row r="1283" spans="1:43" x14ac:dyDescent="0.35">
      <c r="A1283" s="69" t="s">
        <v>43</v>
      </c>
      <c r="B1283" s="15" t="s">
        <v>4052</v>
      </c>
      <c r="C1283" s="15"/>
      <c r="D1283" s="69"/>
      <c r="E1283" s="76">
        <v>0</v>
      </c>
      <c r="F1283" s="69" t="s">
        <v>2960</v>
      </c>
      <c r="G1283" s="132" t="s">
        <v>2961</v>
      </c>
      <c r="H1283" s="15">
        <v>9013000211</v>
      </c>
      <c r="I1283" s="92" t="s">
        <v>593</v>
      </c>
      <c r="J1283" s="92">
        <v>1202020101</v>
      </c>
      <c r="K1283" s="41"/>
      <c r="L1283" s="95" t="s">
        <v>4053</v>
      </c>
      <c r="M1283" s="69" t="s">
        <v>4054</v>
      </c>
      <c r="N1283" s="69"/>
      <c r="O1283" s="94">
        <v>1</v>
      </c>
      <c r="P1283" s="69" t="s">
        <v>50</v>
      </c>
      <c r="Q1283" s="69" t="s">
        <v>51</v>
      </c>
      <c r="R1283" s="69"/>
      <c r="S1283" s="46">
        <v>44119</v>
      </c>
      <c r="T1283" s="48">
        <v>44119</v>
      </c>
      <c r="U1283" s="69"/>
      <c r="V1283" s="69"/>
      <c r="W1283" s="69"/>
      <c r="X1283" s="69"/>
      <c r="Y1283" s="69" t="s">
        <v>4127</v>
      </c>
      <c r="Z1283" s="43">
        <v>50850</v>
      </c>
      <c r="AA1283" s="43" t="s">
        <v>52</v>
      </c>
      <c r="AB1283" s="43" t="s">
        <v>53</v>
      </c>
      <c r="AC1283" s="43">
        <v>1460</v>
      </c>
      <c r="AD1283" s="141">
        <v>4</v>
      </c>
      <c r="AE1283" s="142">
        <v>0</v>
      </c>
      <c r="AF1283" s="142"/>
      <c r="AG1283" s="69" t="str">
        <f t="shared" si="672"/>
        <v>4 years 0 days</v>
      </c>
      <c r="AH1283" s="69">
        <v>4</v>
      </c>
      <c r="AI1283" s="69">
        <v>0</v>
      </c>
      <c r="AJ1283" s="69">
        <v>0</v>
      </c>
      <c r="AK1283" s="69">
        <v>0</v>
      </c>
      <c r="AL1283" s="60">
        <v>50850</v>
      </c>
      <c r="AM1283" s="60">
        <f t="shared" si="673"/>
        <v>50850</v>
      </c>
      <c r="AN1283" s="59">
        <v>50850</v>
      </c>
      <c r="AO1283" s="148">
        <f t="shared" si="674"/>
        <v>-50850</v>
      </c>
      <c r="AP1283" s="58">
        <v>0</v>
      </c>
      <c r="AQ1283" s="143">
        <f t="shared" si="675"/>
        <v>0</v>
      </c>
    </row>
    <row r="1284" spans="1:43" x14ac:dyDescent="0.35">
      <c r="A1284" s="69" t="s">
        <v>43</v>
      </c>
      <c r="B1284" s="15" t="s">
        <v>4055</v>
      </c>
      <c r="C1284" s="15"/>
      <c r="D1284" s="69"/>
      <c r="E1284" s="76">
        <v>0</v>
      </c>
      <c r="F1284" s="69" t="s">
        <v>2960</v>
      </c>
      <c r="G1284" s="132" t="s">
        <v>2961</v>
      </c>
      <c r="H1284" s="15">
        <v>9013000211</v>
      </c>
      <c r="I1284" s="92" t="s">
        <v>593</v>
      </c>
      <c r="J1284" s="92">
        <v>1202020101</v>
      </c>
      <c r="K1284" s="41"/>
      <c r="L1284" s="95" t="s">
        <v>4056</v>
      </c>
      <c r="M1284" s="69" t="s">
        <v>4057</v>
      </c>
      <c r="N1284" s="69"/>
      <c r="O1284" s="94">
        <v>1</v>
      </c>
      <c r="P1284" s="69" t="s">
        <v>50</v>
      </c>
      <c r="Q1284" s="69" t="s">
        <v>51</v>
      </c>
      <c r="R1284" s="69"/>
      <c r="S1284" s="46">
        <v>44166</v>
      </c>
      <c r="T1284" s="48">
        <v>44166</v>
      </c>
      <c r="U1284" s="69"/>
      <c r="V1284" s="69"/>
      <c r="W1284" s="69"/>
      <c r="X1284" s="69"/>
      <c r="Y1284" s="69" t="s">
        <v>4127</v>
      </c>
      <c r="Z1284" s="43">
        <v>20250</v>
      </c>
      <c r="AA1284" s="43" t="s">
        <v>52</v>
      </c>
      <c r="AB1284" s="43" t="s">
        <v>53</v>
      </c>
      <c r="AC1284" s="43">
        <v>1460</v>
      </c>
      <c r="AD1284" s="141">
        <v>4</v>
      </c>
      <c r="AE1284" s="142">
        <v>0</v>
      </c>
      <c r="AF1284" s="142"/>
      <c r="AG1284" s="69" t="str">
        <f t="shared" si="672"/>
        <v>4 years 0 days</v>
      </c>
      <c r="AH1284" s="69">
        <v>4</v>
      </c>
      <c r="AI1284" s="69">
        <v>0</v>
      </c>
      <c r="AJ1284" s="69">
        <v>0</v>
      </c>
      <c r="AK1284" s="69">
        <v>0</v>
      </c>
      <c r="AL1284" s="60">
        <v>20250</v>
      </c>
      <c r="AM1284" s="60">
        <f t="shared" si="673"/>
        <v>20250</v>
      </c>
      <c r="AN1284" s="59">
        <v>20250</v>
      </c>
      <c r="AO1284" s="148">
        <f t="shared" si="674"/>
        <v>-20250</v>
      </c>
      <c r="AP1284" s="58">
        <v>0</v>
      </c>
      <c r="AQ1284" s="143">
        <f t="shared" si="675"/>
        <v>0</v>
      </c>
    </row>
    <row r="1285" spans="1:43" x14ac:dyDescent="0.35">
      <c r="A1285" s="69" t="s">
        <v>43</v>
      </c>
      <c r="B1285" s="15" t="s">
        <v>4058</v>
      </c>
      <c r="C1285" s="15"/>
      <c r="D1285" s="69"/>
      <c r="E1285" s="76">
        <v>0</v>
      </c>
      <c r="F1285" s="69" t="s">
        <v>2960</v>
      </c>
      <c r="G1285" s="132" t="s">
        <v>2961</v>
      </c>
      <c r="H1285" s="15">
        <v>9013000211</v>
      </c>
      <c r="I1285" s="92" t="s">
        <v>593</v>
      </c>
      <c r="J1285" s="92">
        <v>1202020101</v>
      </c>
      <c r="K1285" s="41"/>
      <c r="L1285" s="95" t="s">
        <v>4059</v>
      </c>
      <c r="M1285" s="69" t="s">
        <v>4060</v>
      </c>
      <c r="N1285" s="69"/>
      <c r="O1285" s="94">
        <v>1</v>
      </c>
      <c r="P1285" s="69" t="s">
        <v>50</v>
      </c>
      <c r="Q1285" s="69" t="s">
        <v>51</v>
      </c>
      <c r="R1285" s="69"/>
      <c r="S1285" s="46">
        <v>44231</v>
      </c>
      <c r="T1285" s="48">
        <v>44231</v>
      </c>
      <c r="U1285" s="69"/>
      <c r="V1285" s="69"/>
      <c r="W1285" s="69"/>
      <c r="X1285" s="69"/>
      <c r="Y1285" s="69" t="s">
        <v>4128</v>
      </c>
      <c r="Z1285" s="43">
        <v>11600</v>
      </c>
      <c r="AA1285" s="43" t="s">
        <v>52</v>
      </c>
      <c r="AB1285" s="43" t="s">
        <v>53</v>
      </c>
      <c r="AC1285" s="43">
        <v>1460</v>
      </c>
      <c r="AD1285" s="141">
        <v>4</v>
      </c>
      <c r="AE1285" s="142">
        <v>0</v>
      </c>
      <c r="AF1285" s="142"/>
      <c r="AG1285" s="69" t="str">
        <f t="shared" si="672"/>
        <v>3 years 332 days</v>
      </c>
      <c r="AH1285" s="69">
        <v>3</v>
      </c>
      <c r="AI1285" s="69">
        <v>332</v>
      </c>
      <c r="AJ1285" s="69">
        <v>0</v>
      </c>
      <c r="AK1285" s="69">
        <v>0</v>
      </c>
      <c r="AL1285" s="60">
        <v>11600</v>
      </c>
      <c r="AM1285" s="60">
        <f t="shared" si="673"/>
        <v>11600</v>
      </c>
      <c r="AN1285" s="59">
        <v>11338</v>
      </c>
      <c r="AO1285" s="148">
        <f t="shared" si="674"/>
        <v>-11338</v>
      </c>
      <c r="AP1285" s="58">
        <v>262</v>
      </c>
      <c r="AQ1285" s="143">
        <f t="shared" si="675"/>
        <v>-262</v>
      </c>
    </row>
    <row r="1286" spans="1:43" x14ac:dyDescent="0.35">
      <c r="A1286" s="69" t="s">
        <v>43</v>
      </c>
      <c r="B1286" s="15" t="s">
        <v>4061</v>
      </c>
      <c r="C1286" s="15"/>
      <c r="D1286" s="69"/>
      <c r="E1286" s="76">
        <v>0</v>
      </c>
      <c r="F1286" s="69" t="s">
        <v>2960</v>
      </c>
      <c r="G1286" s="10" t="s">
        <v>2961</v>
      </c>
      <c r="H1286" s="15">
        <v>9013000211</v>
      </c>
      <c r="I1286" s="92" t="s">
        <v>593</v>
      </c>
      <c r="J1286" s="92">
        <v>1202020101</v>
      </c>
      <c r="K1286" s="19"/>
      <c r="L1286" s="95" t="s">
        <v>4062</v>
      </c>
      <c r="M1286" s="69" t="s">
        <v>4063</v>
      </c>
      <c r="N1286" s="69"/>
      <c r="O1286" s="94">
        <v>1</v>
      </c>
      <c r="P1286" s="69" t="s">
        <v>50</v>
      </c>
      <c r="Q1286" s="69" t="s">
        <v>51</v>
      </c>
      <c r="R1286" s="69"/>
      <c r="S1286" s="46">
        <v>44253</v>
      </c>
      <c r="T1286" s="48">
        <v>44253</v>
      </c>
      <c r="U1286" s="69"/>
      <c r="V1286" s="69"/>
      <c r="W1286" s="69"/>
      <c r="X1286" s="69"/>
      <c r="Y1286" s="69" t="s">
        <v>4128</v>
      </c>
      <c r="Z1286" s="43">
        <v>35573</v>
      </c>
      <c r="AA1286" s="43" t="s">
        <v>52</v>
      </c>
      <c r="AB1286" s="43" t="s">
        <v>53</v>
      </c>
      <c r="AC1286" s="43">
        <v>3650</v>
      </c>
      <c r="AD1286" s="141">
        <v>10</v>
      </c>
      <c r="AE1286" s="142">
        <v>0</v>
      </c>
      <c r="AF1286" s="142"/>
      <c r="AG1286" s="69" t="str">
        <f t="shared" si="672"/>
        <v>3 years 310 days</v>
      </c>
      <c r="AH1286" s="69">
        <v>3</v>
      </c>
      <c r="AI1286" s="69">
        <v>310</v>
      </c>
      <c r="AJ1286" s="69">
        <v>0</v>
      </c>
      <c r="AK1286" s="69">
        <v>0</v>
      </c>
      <c r="AL1286" s="60">
        <v>35573</v>
      </c>
      <c r="AM1286" s="60">
        <f t="shared" si="673"/>
        <v>35573</v>
      </c>
      <c r="AN1286" s="59">
        <v>13693</v>
      </c>
      <c r="AO1286" s="148">
        <f t="shared" si="674"/>
        <v>-13693</v>
      </c>
      <c r="AP1286" s="58">
        <v>1764.1994520547942</v>
      </c>
      <c r="AQ1286" s="143">
        <f t="shared" si="675"/>
        <v>-1764.2</v>
      </c>
    </row>
    <row r="1287" spans="1:43" x14ac:dyDescent="0.35">
      <c r="A1287" s="69" t="s">
        <v>43</v>
      </c>
      <c r="B1287" s="15" t="s">
        <v>4064</v>
      </c>
      <c r="C1287" s="15"/>
      <c r="D1287" s="69"/>
      <c r="E1287" s="76">
        <v>0</v>
      </c>
      <c r="F1287" s="69" t="s">
        <v>2960</v>
      </c>
      <c r="G1287" s="132" t="s">
        <v>2961</v>
      </c>
      <c r="H1287" s="15">
        <v>9013000211</v>
      </c>
      <c r="I1287" s="92" t="s">
        <v>593</v>
      </c>
      <c r="J1287" s="92">
        <v>1202020101</v>
      </c>
      <c r="K1287" s="41"/>
      <c r="L1287" s="95" t="s">
        <v>4065</v>
      </c>
      <c r="M1287" s="69" t="s">
        <v>4066</v>
      </c>
      <c r="N1287" s="69"/>
      <c r="O1287" s="94">
        <v>1</v>
      </c>
      <c r="P1287" s="69" t="s">
        <v>50</v>
      </c>
      <c r="Q1287" s="69" t="s">
        <v>51</v>
      </c>
      <c r="R1287" s="69"/>
      <c r="S1287" s="46">
        <v>44378</v>
      </c>
      <c r="T1287" s="48">
        <v>44378</v>
      </c>
      <c r="U1287" s="69"/>
      <c r="V1287" s="69"/>
      <c r="W1287" s="69"/>
      <c r="X1287" s="69"/>
      <c r="Y1287" s="69" t="s">
        <v>4128</v>
      </c>
      <c r="Z1287" s="43">
        <v>6460</v>
      </c>
      <c r="AA1287" s="43" t="s">
        <v>52</v>
      </c>
      <c r="AB1287" s="43" t="s">
        <v>53</v>
      </c>
      <c r="AC1287" s="43">
        <v>1460</v>
      </c>
      <c r="AD1287" s="141">
        <v>4</v>
      </c>
      <c r="AE1287" s="142">
        <v>0</v>
      </c>
      <c r="AF1287" s="142"/>
      <c r="AG1287" s="69" t="str">
        <f t="shared" si="672"/>
        <v>3 years 185 days</v>
      </c>
      <c r="AH1287" s="69">
        <v>3</v>
      </c>
      <c r="AI1287" s="69">
        <v>185</v>
      </c>
      <c r="AJ1287" s="69">
        <v>0</v>
      </c>
      <c r="AK1287" s="69">
        <v>0</v>
      </c>
      <c r="AL1287" s="60">
        <v>6460</v>
      </c>
      <c r="AM1287" s="60">
        <f t="shared" si="673"/>
        <v>6460</v>
      </c>
      <c r="AN1287" s="59">
        <v>5664</v>
      </c>
      <c r="AO1287" s="148">
        <f t="shared" si="674"/>
        <v>-5664</v>
      </c>
      <c r="AP1287" s="58">
        <v>796</v>
      </c>
      <c r="AQ1287" s="143">
        <f t="shared" si="675"/>
        <v>-796</v>
      </c>
    </row>
    <row r="1288" spans="1:43" x14ac:dyDescent="0.35">
      <c r="A1288" s="69" t="s">
        <v>43</v>
      </c>
      <c r="B1288" s="15" t="s">
        <v>4067</v>
      </c>
      <c r="C1288" s="15"/>
      <c r="D1288" s="69"/>
      <c r="E1288" s="76">
        <v>0</v>
      </c>
      <c r="F1288" s="69" t="s">
        <v>2960</v>
      </c>
      <c r="G1288" s="132" t="s">
        <v>2961</v>
      </c>
      <c r="H1288" s="15">
        <v>9013000211</v>
      </c>
      <c r="I1288" s="92" t="s">
        <v>593</v>
      </c>
      <c r="J1288" s="92">
        <v>1202020101</v>
      </c>
      <c r="K1288" s="41"/>
      <c r="L1288" s="95" t="s">
        <v>4068</v>
      </c>
      <c r="M1288" s="69" t="s">
        <v>4069</v>
      </c>
      <c r="N1288" s="69"/>
      <c r="O1288" s="94">
        <v>1</v>
      </c>
      <c r="P1288" s="69" t="s">
        <v>50</v>
      </c>
      <c r="Q1288" s="69" t="s">
        <v>51</v>
      </c>
      <c r="R1288" s="69"/>
      <c r="S1288" s="46">
        <v>44378</v>
      </c>
      <c r="T1288" s="48">
        <v>44378</v>
      </c>
      <c r="U1288" s="69"/>
      <c r="V1288" s="69"/>
      <c r="W1288" s="69"/>
      <c r="X1288" s="69"/>
      <c r="Y1288" s="69" t="s">
        <v>4128</v>
      </c>
      <c r="Z1288" s="43">
        <v>150000</v>
      </c>
      <c r="AA1288" s="43" t="s">
        <v>52</v>
      </c>
      <c r="AB1288" s="43" t="s">
        <v>53</v>
      </c>
      <c r="AC1288" s="43">
        <v>1460</v>
      </c>
      <c r="AD1288" s="141">
        <v>4</v>
      </c>
      <c r="AE1288" s="142">
        <v>0</v>
      </c>
      <c r="AF1288" s="142"/>
      <c r="AG1288" s="69" t="str">
        <f t="shared" si="672"/>
        <v>3 years 185 days</v>
      </c>
      <c r="AH1288" s="69">
        <v>3</v>
      </c>
      <c r="AI1288" s="69">
        <v>185</v>
      </c>
      <c r="AJ1288" s="69">
        <v>0</v>
      </c>
      <c r="AK1288" s="69">
        <v>0</v>
      </c>
      <c r="AL1288" s="60">
        <v>150000</v>
      </c>
      <c r="AM1288" s="60">
        <f t="shared" si="673"/>
        <v>150000</v>
      </c>
      <c r="AN1288" s="59">
        <v>131507</v>
      </c>
      <c r="AO1288" s="148">
        <f t="shared" si="674"/>
        <v>-131507</v>
      </c>
      <c r="AP1288" s="58">
        <v>18493</v>
      </c>
      <c r="AQ1288" s="143">
        <f t="shared" si="675"/>
        <v>-18493</v>
      </c>
    </row>
    <row r="1289" spans="1:43" x14ac:dyDescent="0.35">
      <c r="A1289" s="69" t="s">
        <v>43</v>
      </c>
      <c r="B1289" s="15" t="s">
        <v>4070</v>
      </c>
      <c r="C1289" s="15"/>
      <c r="D1289" s="69"/>
      <c r="E1289" s="76">
        <v>0</v>
      </c>
      <c r="F1289" s="69" t="s">
        <v>2960</v>
      </c>
      <c r="G1289" s="10" t="s">
        <v>2961</v>
      </c>
      <c r="H1289" s="15">
        <v>9013000211</v>
      </c>
      <c r="I1289" s="92" t="s">
        <v>593</v>
      </c>
      <c r="J1289" s="92">
        <v>1202020101</v>
      </c>
      <c r="K1289" s="19"/>
      <c r="L1289" s="95" t="s">
        <v>4071</v>
      </c>
      <c r="M1289" s="69" t="s">
        <v>4072</v>
      </c>
      <c r="N1289" s="69"/>
      <c r="O1289" s="94">
        <v>1</v>
      </c>
      <c r="P1289" s="69" t="s">
        <v>50</v>
      </c>
      <c r="Q1289" s="69" t="s">
        <v>51</v>
      </c>
      <c r="R1289" s="69"/>
      <c r="S1289" s="46">
        <v>44622</v>
      </c>
      <c r="T1289" s="48">
        <v>44622</v>
      </c>
      <c r="U1289" s="69"/>
      <c r="V1289" s="69"/>
      <c r="W1289" s="69"/>
      <c r="X1289" s="69"/>
      <c r="Y1289" s="69" t="s">
        <v>4131</v>
      </c>
      <c r="Z1289" s="43">
        <v>626724</v>
      </c>
      <c r="AA1289" s="43" t="s">
        <v>52</v>
      </c>
      <c r="AB1289" s="43" t="s">
        <v>53</v>
      </c>
      <c r="AC1289" s="43">
        <v>3650</v>
      </c>
      <c r="AD1289" s="141">
        <v>10</v>
      </c>
      <c r="AE1289" s="142">
        <v>0</v>
      </c>
      <c r="AF1289" s="142"/>
      <c r="AG1289" s="69" t="str">
        <f t="shared" si="672"/>
        <v>2 years 306 days</v>
      </c>
      <c r="AH1289" s="69">
        <v>2</v>
      </c>
      <c r="AI1289" s="69">
        <v>306</v>
      </c>
      <c r="AJ1289" s="69">
        <v>0</v>
      </c>
      <c r="AK1289" s="69">
        <v>0</v>
      </c>
      <c r="AL1289" s="60">
        <v>626724</v>
      </c>
      <c r="AM1289" s="60">
        <f t="shared" si="673"/>
        <v>626724</v>
      </c>
      <c r="AN1289" s="59">
        <v>177887</v>
      </c>
      <c r="AO1289" s="148">
        <f t="shared" si="674"/>
        <v>-177887</v>
      </c>
      <c r="AP1289" s="58">
        <v>31078.235068493144</v>
      </c>
      <c r="AQ1289" s="143">
        <f t="shared" si="675"/>
        <v>-31078.240000000002</v>
      </c>
    </row>
    <row r="1290" spans="1:43" x14ac:dyDescent="0.35">
      <c r="A1290" s="69" t="s">
        <v>43</v>
      </c>
      <c r="B1290" s="15" t="s">
        <v>4073</v>
      </c>
      <c r="C1290" s="15"/>
      <c r="D1290" s="69"/>
      <c r="E1290" s="76">
        <v>0</v>
      </c>
      <c r="F1290" s="69" t="s">
        <v>2960</v>
      </c>
      <c r="G1290" s="10" t="s">
        <v>2961</v>
      </c>
      <c r="H1290" s="15">
        <v>9013000211</v>
      </c>
      <c r="I1290" s="92" t="s">
        <v>593</v>
      </c>
      <c r="J1290" s="92">
        <v>1202020101</v>
      </c>
      <c r="K1290" s="19"/>
      <c r="L1290" s="95" t="s">
        <v>4074</v>
      </c>
      <c r="M1290" s="69" t="s">
        <v>4075</v>
      </c>
      <c r="N1290" s="69"/>
      <c r="O1290" s="94">
        <v>1</v>
      </c>
      <c r="P1290" s="69" t="s">
        <v>50</v>
      </c>
      <c r="Q1290" s="69" t="s">
        <v>51</v>
      </c>
      <c r="R1290" s="69"/>
      <c r="S1290" s="46">
        <v>44713</v>
      </c>
      <c r="T1290" s="48">
        <v>44713</v>
      </c>
      <c r="U1290" s="69"/>
      <c r="V1290" s="69"/>
      <c r="W1290" s="69"/>
      <c r="X1290" s="69"/>
      <c r="Y1290" s="69" t="s">
        <v>4131</v>
      </c>
      <c r="Z1290" s="43">
        <v>609800</v>
      </c>
      <c r="AA1290" s="43" t="s">
        <v>52</v>
      </c>
      <c r="AB1290" s="43" t="s">
        <v>53</v>
      </c>
      <c r="AC1290" s="43">
        <v>3650</v>
      </c>
      <c r="AD1290" s="141">
        <v>10</v>
      </c>
      <c r="AE1290" s="142">
        <v>0</v>
      </c>
      <c r="AF1290" s="142"/>
      <c r="AG1290" s="69" t="str">
        <f t="shared" si="672"/>
        <v>2 years 215 days</v>
      </c>
      <c r="AH1290" s="69">
        <v>2</v>
      </c>
      <c r="AI1290" s="69">
        <v>215</v>
      </c>
      <c r="AJ1290" s="69">
        <v>0</v>
      </c>
      <c r="AK1290" s="69">
        <v>0</v>
      </c>
      <c r="AL1290" s="60">
        <v>609800</v>
      </c>
      <c r="AM1290" s="60">
        <f t="shared" si="673"/>
        <v>609800</v>
      </c>
      <c r="AN1290" s="59">
        <v>157880</v>
      </c>
      <c r="AO1290" s="148">
        <f t="shared" si="674"/>
        <v>-157880</v>
      </c>
      <c r="AP1290" s="58">
        <v>30239.123287671246</v>
      </c>
      <c r="AQ1290" s="143">
        <f t="shared" si="675"/>
        <v>-30239.119999999999</v>
      </c>
    </row>
    <row r="1291" spans="1:43" x14ac:dyDescent="0.35">
      <c r="A1291" s="69" t="s">
        <v>43</v>
      </c>
      <c r="B1291" s="15" t="s">
        <v>4076</v>
      </c>
      <c r="C1291" s="15"/>
      <c r="D1291" s="69"/>
      <c r="E1291" s="76">
        <v>0</v>
      </c>
      <c r="F1291" s="69" t="s">
        <v>2960</v>
      </c>
      <c r="G1291" s="132" t="s">
        <v>2961</v>
      </c>
      <c r="H1291" s="15">
        <v>9013000211</v>
      </c>
      <c r="I1291" s="92" t="s">
        <v>593</v>
      </c>
      <c r="J1291" s="92">
        <v>1202020101</v>
      </c>
      <c r="K1291" s="41"/>
      <c r="L1291" s="95" t="s">
        <v>4077</v>
      </c>
      <c r="M1291" s="69" t="s">
        <v>4078</v>
      </c>
      <c r="N1291" s="69"/>
      <c r="O1291" s="94">
        <v>1</v>
      </c>
      <c r="P1291" s="69" t="s">
        <v>50</v>
      </c>
      <c r="Q1291" s="69" t="s">
        <v>51</v>
      </c>
      <c r="R1291" s="69"/>
      <c r="S1291" s="46">
        <v>44865</v>
      </c>
      <c r="T1291" s="48">
        <v>44865</v>
      </c>
      <c r="U1291" s="69"/>
      <c r="V1291" s="69"/>
      <c r="W1291" s="69"/>
      <c r="X1291" s="69"/>
      <c r="Y1291" s="69" t="s">
        <v>4131</v>
      </c>
      <c r="Z1291" s="43">
        <v>320000</v>
      </c>
      <c r="AA1291" s="43" t="s">
        <v>52</v>
      </c>
      <c r="AB1291" s="43" t="s">
        <v>53</v>
      </c>
      <c r="AC1291" s="43">
        <v>1460</v>
      </c>
      <c r="AD1291" s="141">
        <v>4</v>
      </c>
      <c r="AE1291" s="142">
        <v>0</v>
      </c>
      <c r="AF1291" s="142"/>
      <c r="AG1291" s="69" t="str">
        <f t="shared" si="672"/>
        <v>2 years 63 days</v>
      </c>
      <c r="AH1291" s="69">
        <v>2</v>
      </c>
      <c r="AI1291" s="69">
        <v>63</v>
      </c>
      <c r="AJ1291" s="69">
        <v>0</v>
      </c>
      <c r="AK1291" s="69">
        <v>0</v>
      </c>
      <c r="AL1291" s="60">
        <v>320000</v>
      </c>
      <c r="AM1291" s="60">
        <f t="shared" si="673"/>
        <v>320000</v>
      </c>
      <c r="AN1291" s="59">
        <v>220712</v>
      </c>
      <c r="AO1291" s="148">
        <f t="shared" si="674"/>
        <v>-220712</v>
      </c>
      <c r="AP1291" s="58">
        <v>39671.561643835623</v>
      </c>
      <c r="AQ1291" s="143">
        <f t="shared" si="675"/>
        <v>-39671.56</v>
      </c>
    </row>
    <row r="1292" spans="1:43" x14ac:dyDescent="0.35">
      <c r="A1292" s="69" t="s">
        <v>43</v>
      </c>
      <c r="B1292" s="15" t="s">
        <v>4079</v>
      </c>
      <c r="C1292" s="15"/>
      <c r="D1292" s="69"/>
      <c r="E1292" s="76">
        <v>0</v>
      </c>
      <c r="F1292" s="69" t="s">
        <v>2960</v>
      </c>
      <c r="G1292" s="132" t="s">
        <v>2961</v>
      </c>
      <c r="H1292" s="15">
        <v>9013000211</v>
      </c>
      <c r="I1292" s="92" t="s">
        <v>593</v>
      </c>
      <c r="J1292" s="92">
        <v>1202020101</v>
      </c>
      <c r="K1292" s="41"/>
      <c r="L1292" s="95" t="s">
        <v>4080</v>
      </c>
      <c r="M1292" s="69" t="s">
        <v>4081</v>
      </c>
      <c r="N1292" s="69"/>
      <c r="O1292" s="94">
        <v>1</v>
      </c>
      <c r="P1292" s="69" t="s">
        <v>50</v>
      </c>
      <c r="Q1292" s="69" t="s">
        <v>51</v>
      </c>
      <c r="R1292" s="69"/>
      <c r="S1292" s="46">
        <v>44869</v>
      </c>
      <c r="T1292" s="48">
        <v>44869</v>
      </c>
      <c r="U1292" s="69"/>
      <c r="V1292" s="69"/>
      <c r="W1292" s="69"/>
      <c r="X1292" s="69"/>
      <c r="Y1292" s="69" t="s">
        <v>4131</v>
      </c>
      <c r="Z1292" s="43">
        <v>210000</v>
      </c>
      <c r="AA1292" s="43" t="s">
        <v>52</v>
      </c>
      <c r="AB1292" s="43" t="s">
        <v>53</v>
      </c>
      <c r="AC1292" s="43">
        <v>1460</v>
      </c>
      <c r="AD1292" s="141">
        <v>4</v>
      </c>
      <c r="AE1292" s="142">
        <v>0</v>
      </c>
      <c r="AF1292" s="142"/>
      <c r="AG1292" s="69" t="str">
        <f t="shared" si="672"/>
        <v>2 years 59 days</v>
      </c>
      <c r="AH1292" s="69">
        <v>2</v>
      </c>
      <c r="AI1292" s="69">
        <v>59</v>
      </c>
      <c r="AJ1292" s="69">
        <v>0</v>
      </c>
      <c r="AK1292" s="69">
        <v>0</v>
      </c>
      <c r="AL1292" s="60">
        <v>210000</v>
      </c>
      <c r="AM1292" s="60">
        <f t="shared" si="673"/>
        <v>210000</v>
      </c>
      <c r="AN1292" s="59">
        <v>193315</v>
      </c>
      <c r="AO1292" s="148">
        <f t="shared" si="674"/>
        <v>-193315</v>
      </c>
      <c r="AP1292" s="58">
        <v>16685</v>
      </c>
      <c r="AQ1292" s="143">
        <f t="shared" si="675"/>
        <v>-16685</v>
      </c>
    </row>
    <row r="1293" spans="1:43" x14ac:dyDescent="0.35">
      <c r="A1293" s="69" t="s">
        <v>43</v>
      </c>
      <c r="B1293" s="15" t="s">
        <v>4082</v>
      </c>
      <c r="C1293" s="15"/>
      <c r="D1293" s="69"/>
      <c r="E1293" s="76">
        <v>0</v>
      </c>
      <c r="F1293" s="69" t="s">
        <v>2960</v>
      </c>
      <c r="G1293" s="132" t="s">
        <v>2961</v>
      </c>
      <c r="H1293" s="15">
        <v>9013000211</v>
      </c>
      <c r="I1293" s="92" t="s">
        <v>593</v>
      </c>
      <c r="J1293" s="92">
        <v>1202020101</v>
      </c>
      <c r="K1293" s="41"/>
      <c r="L1293" s="95" t="s">
        <v>4083</v>
      </c>
      <c r="M1293" s="69" t="s">
        <v>4084</v>
      </c>
      <c r="N1293" s="69"/>
      <c r="O1293" s="94">
        <v>1</v>
      </c>
      <c r="P1293" s="69" t="s">
        <v>50</v>
      </c>
      <c r="Q1293" s="69" t="s">
        <v>51</v>
      </c>
      <c r="R1293" s="69"/>
      <c r="S1293" s="46">
        <v>44865</v>
      </c>
      <c r="T1293" s="48">
        <v>44865</v>
      </c>
      <c r="U1293" s="69"/>
      <c r="V1293" s="69"/>
      <c r="W1293" s="69"/>
      <c r="X1293" s="69"/>
      <c r="Y1293" s="69" t="s">
        <v>4131</v>
      </c>
      <c r="Z1293" s="43">
        <v>186500</v>
      </c>
      <c r="AA1293" s="43" t="s">
        <v>52</v>
      </c>
      <c r="AB1293" s="43" t="s">
        <v>53</v>
      </c>
      <c r="AC1293" s="43">
        <v>1460</v>
      </c>
      <c r="AD1293" s="141">
        <v>4</v>
      </c>
      <c r="AE1293" s="142">
        <v>0</v>
      </c>
      <c r="AF1293" s="142"/>
      <c r="AG1293" s="69" t="str">
        <f t="shared" si="672"/>
        <v>2 years 63 days</v>
      </c>
      <c r="AH1293" s="69">
        <v>2</v>
      </c>
      <c r="AI1293" s="69">
        <v>63</v>
      </c>
      <c r="AJ1293" s="69">
        <v>0</v>
      </c>
      <c r="AK1293" s="69">
        <v>0</v>
      </c>
      <c r="AL1293" s="60">
        <v>186500</v>
      </c>
      <c r="AM1293" s="60">
        <f t="shared" si="673"/>
        <v>186500</v>
      </c>
      <c r="AN1293" s="59">
        <v>129503</v>
      </c>
      <c r="AO1293" s="148">
        <f t="shared" si="674"/>
        <v>-129503</v>
      </c>
      <c r="AP1293" s="58">
        <v>23120.424657534255</v>
      </c>
      <c r="AQ1293" s="143">
        <f t="shared" si="675"/>
        <v>-23120.42</v>
      </c>
    </row>
    <row r="1294" spans="1:43" x14ac:dyDescent="0.35">
      <c r="A1294" s="69" t="s">
        <v>43</v>
      </c>
      <c r="B1294" s="15" t="s">
        <v>4085</v>
      </c>
      <c r="C1294" s="15"/>
      <c r="D1294" s="69"/>
      <c r="E1294" s="76">
        <v>0</v>
      </c>
      <c r="F1294" s="69" t="s">
        <v>2960</v>
      </c>
      <c r="G1294" s="132" t="s">
        <v>2961</v>
      </c>
      <c r="H1294" s="15">
        <v>9013000211</v>
      </c>
      <c r="I1294" s="92" t="s">
        <v>593</v>
      </c>
      <c r="J1294" s="92">
        <v>1202020101</v>
      </c>
      <c r="K1294" s="41"/>
      <c r="L1294" s="95" t="s">
        <v>4086</v>
      </c>
      <c r="M1294" s="69" t="s">
        <v>4087</v>
      </c>
      <c r="N1294" s="69"/>
      <c r="O1294" s="94">
        <v>1</v>
      </c>
      <c r="P1294" s="69" t="s">
        <v>50</v>
      </c>
      <c r="Q1294" s="69" t="s">
        <v>51</v>
      </c>
      <c r="R1294" s="69"/>
      <c r="S1294" s="46">
        <v>44870</v>
      </c>
      <c r="T1294" s="48">
        <v>44870</v>
      </c>
      <c r="U1294" s="69"/>
      <c r="V1294" s="69"/>
      <c r="W1294" s="69"/>
      <c r="X1294" s="69"/>
      <c r="Y1294" s="69" t="s">
        <v>4131</v>
      </c>
      <c r="Z1294" s="43">
        <v>200000</v>
      </c>
      <c r="AA1294" s="43" t="s">
        <v>52</v>
      </c>
      <c r="AB1294" s="43" t="s">
        <v>53</v>
      </c>
      <c r="AC1294" s="43">
        <v>1460</v>
      </c>
      <c r="AD1294" s="141">
        <v>4</v>
      </c>
      <c r="AE1294" s="142">
        <v>0</v>
      </c>
      <c r="AF1294" s="142"/>
      <c r="AG1294" s="69" t="str">
        <f t="shared" si="672"/>
        <v>2 years 58 days</v>
      </c>
      <c r="AH1294" s="69">
        <v>2</v>
      </c>
      <c r="AI1294" s="69">
        <v>58</v>
      </c>
      <c r="AJ1294" s="69">
        <v>0</v>
      </c>
      <c r="AK1294" s="69">
        <v>0</v>
      </c>
      <c r="AL1294" s="60">
        <v>200000</v>
      </c>
      <c r="AM1294" s="60">
        <f t="shared" si="673"/>
        <v>200000</v>
      </c>
      <c r="AN1294" s="59">
        <v>200000</v>
      </c>
      <c r="AO1294" s="148">
        <f t="shared" si="674"/>
        <v>-200000</v>
      </c>
      <c r="AP1294" s="58">
        <v>0</v>
      </c>
      <c r="AQ1294" s="143">
        <f t="shared" si="675"/>
        <v>0</v>
      </c>
    </row>
    <row r="1295" spans="1:43" x14ac:dyDescent="0.35">
      <c r="A1295" s="69" t="s">
        <v>43</v>
      </c>
      <c r="B1295" s="15" t="s">
        <v>4088</v>
      </c>
      <c r="C1295" s="15"/>
      <c r="D1295" s="69"/>
      <c r="E1295" s="76">
        <v>0</v>
      </c>
      <c r="F1295" s="69" t="s">
        <v>2960</v>
      </c>
      <c r="G1295" s="132" t="s">
        <v>2961</v>
      </c>
      <c r="H1295" s="15">
        <v>9013000211</v>
      </c>
      <c r="I1295" s="92" t="s">
        <v>593</v>
      </c>
      <c r="J1295" s="92">
        <v>1202020101</v>
      </c>
      <c r="K1295" s="41"/>
      <c r="L1295" s="95" t="s">
        <v>4089</v>
      </c>
      <c r="M1295" s="69" t="s">
        <v>49</v>
      </c>
      <c r="N1295" s="69"/>
      <c r="O1295" s="94">
        <v>1</v>
      </c>
      <c r="P1295" s="69" t="s">
        <v>50</v>
      </c>
      <c r="Q1295" s="69" t="s">
        <v>51</v>
      </c>
      <c r="R1295" s="69"/>
      <c r="S1295" s="46">
        <v>44865</v>
      </c>
      <c r="T1295" s="48">
        <v>44865</v>
      </c>
      <c r="U1295" s="69"/>
      <c r="V1295" s="69"/>
      <c r="W1295" s="69"/>
      <c r="X1295" s="69"/>
      <c r="Y1295" s="69" t="s">
        <v>4131</v>
      </c>
      <c r="Z1295" s="43">
        <v>92500</v>
      </c>
      <c r="AA1295" s="43" t="s">
        <v>52</v>
      </c>
      <c r="AB1295" s="43" t="s">
        <v>53</v>
      </c>
      <c r="AC1295" s="43">
        <v>1460</v>
      </c>
      <c r="AD1295" s="141">
        <v>4</v>
      </c>
      <c r="AE1295" s="142">
        <v>0</v>
      </c>
      <c r="AF1295" s="142"/>
      <c r="AG1295" s="69" t="str">
        <f t="shared" si="672"/>
        <v>2 years 63 days</v>
      </c>
      <c r="AH1295" s="69">
        <v>2</v>
      </c>
      <c r="AI1295" s="69">
        <v>63</v>
      </c>
      <c r="AJ1295" s="69">
        <v>0</v>
      </c>
      <c r="AK1295" s="69">
        <v>0</v>
      </c>
      <c r="AL1295" s="60">
        <v>92500</v>
      </c>
      <c r="AM1295" s="60">
        <f t="shared" si="673"/>
        <v>92500</v>
      </c>
      <c r="AN1295" s="59">
        <v>92500</v>
      </c>
      <c r="AO1295" s="148">
        <f t="shared" si="674"/>
        <v>-92500</v>
      </c>
      <c r="AP1295" s="58">
        <v>0</v>
      </c>
      <c r="AQ1295" s="143">
        <f t="shared" si="675"/>
        <v>0</v>
      </c>
    </row>
    <row r="1296" spans="1:43" x14ac:dyDescent="0.35">
      <c r="A1296" s="69" t="s">
        <v>43</v>
      </c>
      <c r="B1296" s="15" t="s">
        <v>4090</v>
      </c>
      <c r="C1296" s="15"/>
      <c r="D1296" s="69"/>
      <c r="E1296" s="76">
        <v>0</v>
      </c>
      <c r="F1296" s="69" t="s">
        <v>2960</v>
      </c>
      <c r="G1296" s="132" t="s">
        <v>2961</v>
      </c>
      <c r="H1296" s="15">
        <v>9013000211</v>
      </c>
      <c r="I1296" s="92" t="s">
        <v>593</v>
      </c>
      <c r="J1296" s="92">
        <v>1202020101</v>
      </c>
      <c r="K1296" s="41"/>
      <c r="L1296" s="95" t="s">
        <v>4091</v>
      </c>
      <c r="M1296" s="69" t="s">
        <v>4092</v>
      </c>
      <c r="N1296" s="69"/>
      <c r="O1296" s="94">
        <v>1</v>
      </c>
      <c r="P1296" s="69" t="s">
        <v>50</v>
      </c>
      <c r="Q1296" s="69" t="s">
        <v>51</v>
      </c>
      <c r="R1296" s="69"/>
      <c r="S1296" s="46">
        <v>44870</v>
      </c>
      <c r="T1296" s="48">
        <v>44870</v>
      </c>
      <c r="U1296" s="69"/>
      <c r="V1296" s="69"/>
      <c r="W1296" s="69"/>
      <c r="X1296" s="69"/>
      <c r="Y1296" s="69" t="s">
        <v>4131</v>
      </c>
      <c r="Z1296" s="43">
        <v>84000</v>
      </c>
      <c r="AA1296" s="43" t="s">
        <v>52</v>
      </c>
      <c r="AB1296" s="43" t="s">
        <v>53</v>
      </c>
      <c r="AC1296" s="43">
        <v>1460</v>
      </c>
      <c r="AD1296" s="141">
        <v>4</v>
      </c>
      <c r="AE1296" s="142">
        <v>0</v>
      </c>
      <c r="AF1296" s="142"/>
      <c r="AG1296" s="69" t="str">
        <f t="shared" si="672"/>
        <v>2 years 58 days</v>
      </c>
      <c r="AH1296" s="69">
        <v>2</v>
      </c>
      <c r="AI1296" s="69">
        <v>58</v>
      </c>
      <c r="AJ1296" s="69">
        <v>0</v>
      </c>
      <c r="AK1296" s="69">
        <v>0</v>
      </c>
      <c r="AL1296" s="60">
        <v>84000</v>
      </c>
      <c r="AM1296" s="60">
        <f t="shared" si="673"/>
        <v>84000</v>
      </c>
      <c r="AN1296" s="59">
        <v>84000</v>
      </c>
      <c r="AO1296" s="148">
        <f t="shared" si="674"/>
        <v>-84000</v>
      </c>
      <c r="AP1296" s="58">
        <v>0</v>
      </c>
      <c r="AQ1296" s="143">
        <f t="shared" si="675"/>
        <v>0</v>
      </c>
    </row>
    <row r="1297" spans="1:43" x14ac:dyDescent="0.35">
      <c r="A1297" s="69" t="s">
        <v>43</v>
      </c>
      <c r="B1297" s="15" t="s">
        <v>4093</v>
      </c>
      <c r="C1297" s="15"/>
      <c r="D1297" s="69"/>
      <c r="E1297" s="76">
        <v>0</v>
      </c>
      <c r="F1297" s="69" t="s">
        <v>2960</v>
      </c>
      <c r="G1297" s="132" t="s">
        <v>2961</v>
      </c>
      <c r="H1297" s="15">
        <v>9013000211</v>
      </c>
      <c r="I1297" s="92" t="s">
        <v>593</v>
      </c>
      <c r="J1297" s="92">
        <v>1202020101</v>
      </c>
      <c r="K1297" s="41"/>
      <c r="L1297" s="95" t="s">
        <v>4094</v>
      </c>
      <c r="M1297" s="69" t="s">
        <v>4095</v>
      </c>
      <c r="N1297" s="69"/>
      <c r="O1297" s="94">
        <v>1</v>
      </c>
      <c r="P1297" s="69" t="s">
        <v>50</v>
      </c>
      <c r="Q1297" s="69" t="s">
        <v>51</v>
      </c>
      <c r="R1297" s="69"/>
      <c r="S1297" s="46">
        <v>44865</v>
      </c>
      <c r="T1297" s="48">
        <v>44865</v>
      </c>
      <c r="U1297" s="69"/>
      <c r="V1297" s="69"/>
      <c r="W1297" s="69"/>
      <c r="X1297" s="69"/>
      <c r="Y1297" s="69" t="s">
        <v>4131</v>
      </c>
      <c r="Z1297" s="43">
        <v>62500</v>
      </c>
      <c r="AA1297" s="43" t="s">
        <v>52</v>
      </c>
      <c r="AB1297" s="43" t="s">
        <v>53</v>
      </c>
      <c r="AC1297" s="43">
        <v>1460</v>
      </c>
      <c r="AD1297" s="141">
        <v>4</v>
      </c>
      <c r="AE1297" s="142">
        <v>0</v>
      </c>
      <c r="AF1297" s="142"/>
      <c r="AG1297" s="69" t="str">
        <f t="shared" ref="AG1297:AG1308" si="676">_xlfn.CONCAT(AH1297," years ",AI1297," days")</f>
        <v>2 years 63 days</v>
      </c>
      <c r="AH1297" s="69">
        <v>2</v>
      </c>
      <c r="AI1297" s="69">
        <v>63</v>
      </c>
      <c r="AJ1297" s="69">
        <v>0</v>
      </c>
      <c r="AK1297" s="69">
        <v>0</v>
      </c>
      <c r="AL1297" s="60">
        <v>62500</v>
      </c>
      <c r="AM1297" s="60">
        <f t="shared" ref="AM1297:AM1308" si="677">ROUND(AL1297,2)</f>
        <v>62500</v>
      </c>
      <c r="AN1297" s="59">
        <v>52055</v>
      </c>
      <c r="AO1297" s="148">
        <f t="shared" ref="AO1297:AO1308" si="678">ROUND(AN1297,2)*-1</f>
        <v>-52055</v>
      </c>
      <c r="AP1297" s="58">
        <v>7748.082191780828</v>
      </c>
      <c r="AQ1297" s="143">
        <f t="shared" ref="AQ1297:AQ1308" si="679">ROUND(AP1297,2)*-1</f>
        <v>-7748.08</v>
      </c>
    </row>
    <row r="1298" spans="1:43" x14ac:dyDescent="0.35">
      <c r="A1298" s="69" t="s">
        <v>43</v>
      </c>
      <c r="B1298" s="15" t="s">
        <v>4096</v>
      </c>
      <c r="C1298" s="15"/>
      <c r="D1298" s="69"/>
      <c r="E1298" s="76">
        <v>0</v>
      </c>
      <c r="F1298" s="69" t="s">
        <v>2960</v>
      </c>
      <c r="G1298" s="132" t="s">
        <v>2961</v>
      </c>
      <c r="H1298" s="15">
        <v>9013000211</v>
      </c>
      <c r="I1298" s="92" t="s">
        <v>593</v>
      </c>
      <c r="J1298" s="92">
        <v>1202020101</v>
      </c>
      <c r="K1298" s="41"/>
      <c r="L1298" s="95" t="s">
        <v>4097</v>
      </c>
      <c r="M1298" s="69" t="s">
        <v>4098</v>
      </c>
      <c r="N1298" s="69"/>
      <c r="O1298" s="94">
        <v>1</v>
      </c>
      <c r="P1298" s="69" t="s">
        <v>50</v>
      </c>
      <c r="Q1298" s="69" t="s">
        <v>51</v>
      </c>
      <c r="R1298" s="69"/>
      <c r="S1298" s="46">
        <v>44840</v>
      </c>
      <c r="T1298" s="48">
        <v>44840</v>
      </c>
      <c r="U1298" s="69"/>
      <c r="V1298" s="69"/>
      <c r="W1298" s="69"/>
      <c r="X1298" s="69"/>
      <c r="Y1298" s="69" t="s">
        <v>4131</v>
      </c>
      <c r="Z1298" s="43">
        <v>518538</v>
      </c>
      <c r="AA1298" s="43" t="s">
        <v>52</v>
      </c>
      <c r="AB1298" s="43" t="s">
        <v>53</v>
      </c>
      <c r="AC1298" s="43">
        <v>1460</v>
      </c>
      <c r="AD1298" s="141">
        <v>4</v>
      </c>
      <c r="AE1298" s="142">
        <v>0</v>
      </c>
      <c r="AF1298" s="142"/>
      <c r="AG1298" s="69" t="str">
        <f t="shared" si="676"/>
        <v>2 years 88 days</v>
      </c>
      <c r="AH1298" s="69">
        <v>2</v>
      </c>
      <c r="AI1298" s="69">
        <v>88</v>
      </c>
      <c r="AJ1298" s="69">
        <v>0</v>
      </c>
      <c r="AK1298" s="69">
        <v>0</v>
      </c>
      <c r="AL1298" s="60">
        <v>518538</v>
      </c>
      <c r="AM1298" s="60">
        <f t="shared" si="677"/>
        <v>518538</v>
      </c>
      <c r="AN1298" s="59">
        <v>518538</v>
      </c>
      <c r="AO1298" s="148">
        <f t="shared" si="678"/>
        <v>-518538</v>
      </c>
      <c r="AP1298" s="58">
        <v>0</v>
      </c>
      <c r="AQ1298" s="143">
        <f t="shared" si="679"/>
        <v>0</v>
      </c>
    </row>
    <row r="1299" spans="1:43" x14ac:dyDescent="0.35">
      <c r="A1299" s="69" t="s">
        <v>43</v>
      </c>
      <c r="B1299" s="15" t="s">
        <v>4099</v>
      </c>
      <c r="C1299" s="15"/>
      <c r="D1299" s="69"/>
      <c r="E1299" s="76">
        <v>0</v>
      </c>
      <c r="F1299" s="69" t="s">
        <v>2960</v>
      </c>
      <c r="G1299" s="132" t="s">
        <v>2961</v>
      </c>
      <c r="H1299" s="15">
        <v>9013000211</v>
      </c>
      <c r="I1299" s="92" t="s">
        <v>593</v>
      </c>
      <c r="J1299" s="92">
        <v>1202020101</v>
      </c>
      <c r="K1299" s="41"/>
      <c r="L1299" s="95" t="s">
        <v>4100</v>
      </c>
      <c r="M1299" s="69" t="s">
        <v>49</v>
      </c>
      <c r="N1299" s="69"/>
      <c r="O1299" s="94">
        <v>1</v>
      </c>
      <c r="P1299" s="69" t="s">
        <v>50</v>
      </c>
      <c r="Q1299" s="69" t="s">
        <v>51</v>
      </c>
      <c r="R1299" s="69"/>
      <c r="S1299" s="46">
        <v>44865</v>
      </c>
      <c r="T1299" s="48">
        <v>44865</v>
      </c>
      <c r="U1299" s="69"/>
      <c r="V1299" s="69"/>
      <c r="W1299" s="69"/>
      <c r="X1299" s="69"/>
      <c r="Y1299" s="69" t="s">
        <v>4131</v>
      </c>
      <c r="Z1299" s="43">
        <v>5500</v>
      </c>
      <c r="AA1299" s="43" t="s">
        <v>52</v>
      </c>
      <c r="AB1299" s="43" t="s">
        <v>53</v>
      </c>
      <c r="AC1299" s="43">
        <v>1460</v>
      </c>
      <c r="AD1299" s="141">
        <v>4</v>
      </c>
      <c r="AE1299" s="142">
        <v>0</v>
      </c>
      <c r="AF1299" s="142"/>
      <c r="AG1299" s="69" t="str">
        <f t="shared" si="676"/>
        <v>2 years 63 days</v>
      </c>
      <c r="AH1299" s="69">
        <v>2</v>
      </c>
      <c r="AI1299" s="69">
        <v>63</v>
      </c>
      <c r="AJ1299" s="69">
        <v>0</v>
      </c>
      <c r="AK1299" s="69">
        <v>0</v>
      </c>
      <c r="AL1299" s="60">
        <v>5500</v>
      </c>
      <c r="AM1299" s="60">
        <f t="shared" si="677"/>
        <v>5500</v>
      </c>
      <c r="AN1299" s="59">
        <v>5500</v>
      </c>
      <c r="AO1299" s="148">
        <f t="shared" si="678"/>
        <v>-5500</v>
      </c>
      <c r="AP1299" s="58">
        <v>0</v>
      </c>
      <c r="AQ1299" s="143">
        <f t="shared" si="679"/>
        <v>0</v>
      </c>
    </row>
    <row r="1300" spans="1:43" x14ac:dyDescent="0.35">
      <c r="A1300" s="69" t="s">
        <v>43</v>
      </c>
      <c r="B1300" s="15" t="s">
        <v>4101</v>
      </c>
      <c r="C1300" s="15"/>
      <c r="D1300" s="69"/>
      <c r="E1300" s="76">
        <v>0</v>
      </c>
      <c r="F1300" s="69" t="s">
        <v>2960</v>
      </c>
      <c r="G1300" s="132" t="s">
        <v>2961</v>
      </c>
      <c r="H1300" s="15">
        <v>9013000211</v>
      </c>
      <c r="I1300" s="92" t="s">
        <v>593</v>
      </c>
      <c r="J1300" s="92">
        <v>1202020101</v>
      </c>
      <c r="K1300" s="41"/>
      <c r="L1300" s="95" t="s">
        <v>4102</v>
      </c>
      <c r="M1300" s="69" t="s">
        <v>4103</v>
      </c>
      <c r="N1300" s="69"/>
      <c r="O1300" s="94">
        <v>1</v>
      </c>
      <c r="P1300" s="69" t="s">
        <v>50</v>
      </c>
      <c r="Q1300" s="69" t="s">
        <v>51</v>
      </c>
      <c r="R1300" s="69"/>
      <c r="S1300" s="46">
        <v>44865</v>
      </c>
      <c r="T1300" s="48">
        <v>44865</v>
      </c>
      <c r="U1300" s="69"/>
      <c r="V1300" s="69"/>
      <c r="W1300" s="69"/>
      <c r="X1300" s="69"/>
      <c r="Y1300" s="69" t="s">
        <v>4131</v>
      </c>
      <c r="Z1300" s="43">
        <v>16500</v>
      </c>
      <c r="AA1300" s="43" t="s">
        <v>52</v>
      </c>
      <c r="AB1300" s="43" t="s">
        <v>53</v>
      </c>
      <c r="AC1300" s="43">
        <v>1460</v>
      </c>
      <c r="AD1300" s="141">
        <v>4</v>
      </c>
      <c r="AE1300" s="142">
        <v>0</v>
      </c>
      <c r="AF1300" s="142"/>
      <c r="AG1300" s="69" t="str">
        <f t="shared" si="676"/>
        <v>2 years 63 days</v>
      </c>
      <c r="AH1300" s="69">
        <v>2</v>
      </c>
      <c r="AI1300" s="69">
        <v>63</v>
      </c>
      <c r="AJ1300" s="69">
        <v>0</v>
      </c>
      <c r="AK1300" s="69">
        <v>0</v>
      </c>
      <c r="AL1300" s="60">
        <v>16500</v>
      </c>
      <c r="AM1300" s="60">
        <f t="shared" si="677"/>
        <v>16500</v>
      </c>
      <c r="AN1300" s="59">
        <v>16500</v>
      </c>
      <c r="AO1300" s="148">
        <f t="shared" si="678"/>
        <v>-16500</v>
      </c>
      <c r="AP1300" s="58">
        <v>0</v>
      </c>
      <c r="AQ1300" s="143">
        <f t="shared" si="679"/>
        <v>0</v>
      </c>
    </row>
    <row r="1301" spans="1:43" x14ac:dyDescent="0.35">
      <c r="A1301" s="69" t="s">
        <v>43</v>
      </c>
      <c r="B1301" s="15" t="s">
        <v>4104</v>
      </c>
      <c r="C1301" s="15"/>
      <c r="D1301" s="69"/>
      <c r="E1301" s="76">
        <v>0</v>
      </c>
      <c r="F1301" s="69" t="s">
        <v>2960</v>
      </c>
      <c r="G1301" s="132" t="s">
        <v>2961</v>
      </c>
      <c r="H1301" s="15">
        <v>9013000211</v>
      </c>
      <c r="I1301" s="92" t="s">
        <v>593</v>
      </c>
      <c r="J1301" s="92">
        <v>1202020101</v>
      </c>
      <c r="K1301" s="41"/>
      <c r="L1301" s="95" t="s">
        <v>4105</v>
      </c>
      <c r="M1301" s="69" t="s">
        <v>4106</v>
      </c>
      <c r="N1301" s="69"/>
      <c r="O1301" s="94">
        <v>1</v>
      </c>
      <c r="P1301" s="69" t="s">
        <v>50</v>
      </c>
      <c r="Q1301" s="69" t="s">
        <v>51</v>
      </c>
      <c r="R1301" s="69"/>
      <c r="S1301" s="46">
        <v>44869</v>
      </c>
      <c r="T1301" s="48">
        <v>44869</v>
      </c>
      <c r="U1301" s="69"/>
      <c r="V1301" s="69"/>
      <c r="W1301" s="69"/>
      <c r="X1301" s="69"/>
      <c r="Y1301" s="69" t="s">
        <v>4131</v>
      </c>
      <c r="Z1301" s="43">
        <v>390000</v>
      </c>
      <c r="AA1301" s="43" t="s">
        <v>52</v>
      </c>
      <c r="AB1301" s="43" t="s">
        <v>53</v>
      </c>
      <c r="AC1301" s="43">
        <v>1460</v>
      </c>
      <c r="AD1301" s="141">
        <v>4</v>
      </c>
      <c r="AE1301" s="142">
        <v>0</v>
      </c>
      <c r="AF1301" s="142"/>
      <c r="AG1301" s="69" t="str">
        <f t="shared" si="676"/>
        <v>2 years 59 days</v>
      </c>
      <c r="AH1301" s="69">
        <v>2</v>
      </c>
      <c r="AI1301" s="69">
        <v>59</v>
      </c>
      <c r="AJ1301" s="69">
        <v>0</v>
      </c>
      <c r="AK1301" s="69">
        <v>0</v>
      </c>
      <c r="AL1301" s="60">
        <v>390000</v>
      </c>
      <c r="AM1301" s="60">
        <f t="shared" si="677"/>
        <v>390000</v>
      </c>
      <c r="AN1301" s="59">
        <v>390000</v>
      </c>
      <c r="AO1301" s="148">
        <f t="shared" si="678"/>
        <v>-390000</v>
      </c>
      <c r="AP1301" s="58">
        <v>0</v>
      </c>
      <c r="AQ1301" s="143">
        <f t="shared" si="679"/>
        <v>0</v>
      </c>
    </row>
    <row r="1302" spans="1:43" x14ac:dyDescent="0.35">
      <c r="A1302" s="69" t="s">
        <v>43</v>
      </c>
      <c r="B1302" s="15" t="s">
        <v>4107</v>
      </c>
      <c r="C1302" s="15"/>
      <c r="D1302" s="69"/>
      <c r="E1302" s="76">
        <v>0</v>
      </c>
      <c r="F1302" s="69" t="s">
        <v>2960</v>
      </c>
      <c r="G1302" s="132" t="s">
        <v>2961</v>
      </c>
      <c r="H1302" s="15">
        <v>9013000211</v>
      </c>
      <c r="I1302" s="92" t="s">
        <v>593</v>
      </c>
      <c r="J1302" s="92">
        <v>1202020101</v>
      </c>
      <c r="K1302" s="41"/>
      <c r="L1302" s="95" t="s">
        <v>4108</v>
      </c>
      <c r="M1302" s="69" t="s">
        <v>49</v>
      </c>
      <c r="N1302" s="69"/>
      <c r="O1302" s="94">
        <v>1</v>
      </c>
      <c r="P1302" s="69" t="s">
        <v>50</v>
      </c>
      <c r="Q1302" s="69" t="s">
        <v>51</v>
      </c>
      <c r="R1302" s="69"/>
      <c r="S1302" s="46">
        <v>44870</v>
      </c>
      <c r="T1302" s="48">
        <v>44870</v>
      </c>
      <c r="U1302" s="69"/>
      <c r="V1302" s="69"/>
      <c r="W1302" s="69"/>
      <c r="X1302" s="69"/>
      <c r="Y1302" s="69" t="s">
        <v>4131</v>
      </c>
      <c r="Z1302" s="43">
        <v>8000</v>
      </c>
      <c r="AA1302" s="43" t="s">
        <v>52</v>
      </c>
      <c r="AB1302" s="43" t="s">
        <v>53</v>
      </c>
      <c r="AC1302" s="43">
        <v>1460</v>
      </c>
      <c r="AD1302" s="141">
        <v>4</v>
      </c>
      <c r="AE1302" s="142">
        <v>0</v>
      </c>
      <c r="AF1302" s="142"/>
      <c r="AG1302" s="69" t="str">
        <f t="shared" si="676"/>
        <v>2 years 58 days</v>
      </c>
      <c r="AH1302" s="69">
        <v>2</v>
      </c>
      <c r="AI1302" s="69">
        <v>58</v>
      </c>
      <c r="AJ1302" s="69">
        <v>0</v>
      </c>
      <c r="AK1302" s="69">
        <v>0</v>
      </c>
      <c r="AL1302" s="60">
        <v>8000</v>
      </c>
      <c r="AM1302" s="60">
        <f t="shared" si="677"/>
        <v>8000</v>
      </c>
      <c r="AN1302" s="59">
        <v>8000</v>
      </c>
      <c r="AO1302" s="148">
        <f t="shared" si="678"/>
        <v>-8000</v>
      </c>
      <c r="AP1302" s="58">
        <v>0</v>
      </c>
      <c r="AQ1302" s="143">
        <f t="shared" si="679"/>
        <v>0</v>
      </c>
    </row>
    <row r="1303" spans="1:43" x14ac:dyDescent="0.35">
      <c r="A1303" s="69" t="s">
        <v>43</v>
      </c>
      <c r="B1303" s="15" t="s">
        <v>4109</v>
      </c>
      <c r="C1303" s="15"/>
      <c r="D1303" s="69"/>
      <c r="E1303" s="76">
        <v>0</v>
      </c>
      <c r="F1303" s="69" t="s">
        <v>2960</v>
      </c>
      <c r="G1303" s="132" t="s">
        <v>2961</v>
      </c>
      <c r="H1303" s="15">
        <v>9013000211</v>
      </c>
      <c r="I1303" s="92" t="s">
        <v>593</v>
      </c>
      <c r="J1303" s="92">
        <v>1202020101</v>
      </c>
      <c r="K1303" s="41"/>
      <c r="L1303" s="95" t="s">
        <v>4110</v>
      </c>
      <c r="M1303" s="69" t="s">
        <v>49</v>
      </c>
      <c r="N1303" s="69"/>
      <c r="O1303" s="94">
        <v>1</v>
      </c>
      <c r="P1303" s="69" t="s">
        <v>50</v>
      </c>
      <c r="Q1303" s="69" t="s">
        <v>51</v>
      </c>
      <c r="R1303" s="69"/>
      <c r="S1303" s="46">
        <v>44869</v>
      </c>
      <c r="T1303" s="48">
        <v>44869</v>
      </c>
      <c r="U1303" s="69"/>
      <c r="V1303" s="69"/>
      <c r="W1303" s="69"/>
      <c r="X1303" s="69"/>
      <c r="Y1303" s="69" t="s">
        <v>4131</v>
      </c>
      <c r="Z1303" s="43">
        <v>57500</v>
      </c>
      <c r="AA1303" s="43" t="s">
        <v>52</v>
      </c>
      <c r="AB1303" s="43" t="s">
        <v>53</v>
      </c>
      <c r="AC1303" s="43">
        <v>1460</v>
      </c>
      <c r="AD1303" s="141">
        <v>4</v>
      </c>
      <c r="AE1303" s="142">
        <v>0</v>
      </c>
      <c r="AF1303" s="142"/>
      <c r="AG1303" s="69" t="str">
        <f t="shared" si="676"/>
        <v>2 years 59 days</v>
      </c>
      <c r="AH1303" s="69">
        <v>2</v>
      </c>
      <c r="AI1303" s="69">
        <v>59</v>
      </c>
      <c r="AJ1303" s="69">
        <v>0</v>
      </c>
      <c r="AK1303" s="69">
        <v>0</v>
      </c>
      <c r="AL1303" s="60">
        <v>57500</v>
      </c>
      <c r="AM1303" s="60">
        <f t="shared" si="677"/>
        <v>57500</v>
      </c>
      <c r="AN1303" s="59">
        <v>57500</v>
      </c>
      <c r="AO1303" s="148">
        <f t="shared" si="678"/>
        <v>-57500</v>
      </c>
      <c r="AP1303" s="58">
        <v>0</v>
      </c>
      <c r="AQ1303" s="143">
        <f t="shared" si="679"/>
        <v>0</v>
      </c>
    </row>
    <row r="1304" spans="1:43" x14ac:dyDescent="0.35">
      <c r="A1304" s="69" t="s">
        <v>43</v>
      </c>
      <c r="B1304" s="15" t="s">
        <v>4111</v>
      </c>
      <c r="C1304" s="15"/>
      <c r="D1304" s="69"/>
      <c r="E1304" s="76">
        <v>0</v>
      </c>
      <c r="F1304" s="69" t="s">
        <v>2960</v>
      </c>
      <c r="G1304" s="132" t="s">
        <v>2961</v>
      </c>
      <c r="H1304" s="15">
        <v>9013000211</v>
      </c>
      <c r="I1304" s="92" t="s">
        <v>593</v>
      </c>
      <c r="J1304" s="92">
        <v>1202020101</v>
      </c>
      <c r="K1304" s="41"/>
      <c r="L1304" s="95" t="s">
        <v>4112</v>
      </c>
      <c r="M1304" s="69" t="s">
        <v>49</v>
      </c>
      <c r="N1304" s="69"/>
      <c r="O1304" s="94">
        <v>1</v>
      </c>
      <c r="P1304" s="69" t="s">
        <v>50</v>
      </c>
      <c r="Q1304" s="69" t="s">
        <v>51</v>
      </c>
      <c r="R1304" s="69"/>
      <c r="S1304" s="46">
        <v>44869</v>
      </c>
      <c r="T1304" s="48">
        <v>44869</v>
      </c>
      <c r="U1304" s="69"/>
      <c r="V1304" s="69"/>
      <c r="W1304" s="69"/>
      <c r="X1304" s="69"/>
      <c r="Y1304" s="69" t="s">
        <v>4131</v>
      </c>
      <c r="Z1304" s="43">
        <v>400000</v>
      </c>
      <c r="AA1304" s="43" t="s">
        <v>52</v>
      </c>
      <c r="AB1304" s="43" t="s">
        <v>53</v>
      </c>
      <c r="AC1304" s="43">
        <v>1460</v>
      </c>
      <c r="AD1304" s="141">
        <v>4</v>
      </c>
      <c r="AE1304" s="142">
        <v>0</v>
      </c>
      <c r="AF1304" s="142"/>
      <c r="AG1304" s="69" t="str">
        <f t="shared" si="676"/>
        <v>2 years 59 days</v>
      </c>
      <c r="AH1304" s="69">
        <v>2</v>
      </c>
      <c r="AI1304" s="69">
        <v>59</v>
      </c>
      <c r="AJ1304" s="69">
        <v>0</v>
      </c>
      <c r="AK1304" s="69">
        <v>0</v>
      </c>
      <c r="AL1304" s="60">
        <v>400000</v>
      </c>
      <c r="AM1304" s="60">
        <f t="shared" si="677"/>
        <v>400000</v>
      </c>
      <c r="AN1304" s="59">
        <v>400000</v>
      </c>
      <c r="AO1304" s="148">
        <f t="shared" si="678"/>
        <v>-400000</v>
      </c>
      <c r="AP1304" s="58">
        <v>0</v>
      </c>
      <c r="AQ1304" s="143">
        <f t="shared" si="679"/>
        <v>0</v>
      </c>
    </row>
    <row r="1305" spans="1:43" x14ac:dyDescent="0.35">
      <c r="A1305" s="69" t="s">
        <v>43</v>
      </c>
      <c r="B1305" s="15" t="s">
        <v>4113</v>
      </c>
      <c r="C1305" s="15"/>
      <c r="D1305" s="69"/>
      <c r="E1305" s="76">
        <v>0</v>
      </c>
      <c r="F1305" s="69" t="s">
        <v>4114</v>
      </c>
      <c r="G1305" s="10" t="s">
        <v>4115</v>
      </c>
      <c r="H1305" s="76">
        <v>9014000001</v>
      </c>
      <c r="I1305" s="92" t="s">
        <v>47</v>
      </c>
      <c r="J1305" s="92">
        <v>1202010202</v>
      </c>
      <c r="K1305" s="15"/>
      <c r="L1305" s="95" t="s">
        <v>4116</v>
      </c>
      <c r="M1305" s="69" t="s">
        <v>49</v>
      </c>
      <c r="N1305" s="69"/>
      <c r="O1305" s="94">
        <v>1</v>
      </c>
      <c r="P1305" s="69" t="s">
        <v>50</v>
      </c>
      <c r="Q1305" s="69" t="s">
        <v>51</v>
      </c>
      <c r="R1305" s="69"/>
      <c r="S1305" s="46">
        <v>40959</v>
      </c>
      <c r="T1305" s="48">
        <v>43191</v>
      </c>
      <c r="U1305" s="69"/>
      <c r="V1305" s="69"/>
      <c r="W1305" s="69"/>
      <c r="X1305" s="69"/>
      <c r="Y1305" s="69" t="s">
        <v>4125</v>
      </c>
      <c r="Z1305" s="43">
        <v>57500</v>
      </c>
      <c r="AA1305" s="43" t="s">
        <v>52</v>
      </c>
      <c r="AB1305" s="43" t="s">
        <v>53</v>
      </c>
      <c r="AC1305" s="43">
        <v>329</v>
      </c>
      <c r="AD1305" s="141">
        <v>0</v>
      </c>
      <c r="AE1305" s="142">
        <v>11</v>
      </c>
      <c r="AF1305" s="142"/>
      <c r="AG1305" s="69" t="str">
        <f t="shared" si="676"/>
        <v>0 years 329 days</v>
      </c>
      <c r="AH1305" s="69">
        <v>0</v>
      </c>
      <c r="AI1305" s="69">
        <v>329</v>
      </c>
      <c r="AJ1305" s="69">
        <v>0</v>
      </c>
      <c r="AK1305" s="69">
        <v>0</v>
      </c>
      <c r="AL1305" s="60">
        <v>57500</v>
      </c>
      <c r="AM1305" s="60">
        <f t="shared" si="677"/>
        <v>57500</v>
      </c>
      <c r="AN1305" s="59">
        <v>57500</v>
      </c>
      <c r="AO1305" s="148">
        <f t="shared" si="678"/>
        <v>-57500</v>
      </c>
      <c r="AP1305" s="58">
        <v>0</v>
      </c>
      <c r="AQ1305" s="143">
        <f t="shared" si="679"/>
        <v>0</v>
      </c>
    </row>
    <row r="1306" spans="1:43" x14ac:dyDescent="0.35">
      <c r="A1306" s="69" t="s">
        <v>43</v>
      </c>
      <c r="B1306" s="15" t="s">
        <v>4117</v>
      </c>
      <c r="C1306" s="15"/>
      <c r="D1306" s="69"/>
      <c r="E1306" s="76">
        <v>0</v>
      </c>
      <c r="F1306" s="69" t="s">
        <v>4114</v>
      </c>
      <c r="G1306" s="10" t="s">
        <v>4115</v>
      </c>
      <c r="H1306" s="76">
        <v>9014000002</v>
      </c>
      <c r="I1306" s="92" t="s">
        <v>47</v>
      </c>
      <c r="J1306" s="92">
        <v>1202010202</v>
      </c>
      <c r="K1306" s="15"/>
      <c r="L1306" s="95" t="s">
        <v>4118</v>
      </c>
      <c r="M1306" s="69" t="s">
        <v>49</v>
      </c>
      <c r="N1306" s="69"/>
      <c r="O1306" s="94">
        <v>1</v>
      </c>
      <c r="P1306" s="69" t="s">
        <v>50</v>
      </c>
      <c r="Q1306" s="69" t="s">
        <v>51</v>
      </c>
      <c r="R1306" s="69"/>
      <c r="S1306" s="46">
        <v>41801</v>
      </c>
      <c r="T1306" s="48">
        <v>43191</v>
      </c>
      <c r="U1306" s="69"/>
      <c r="V1306" s="69"/>
      <c r="W1306" s="69"/>
      <c r="X1306" s="69"/>
      <c r="Y1306" s="69" t="s">
        <v>4125</v>
      </c>
      <c r="Z1306" s="43">
        <v>360000</v>
      </c>
      <c r="AA1306" s="43" t="s">
        <v>52</v>
      </c>
      <c r="AB1306" s="43" t="s">
        <v>53</v>
      </c>
      <c r="AC1306" s="43">
        <v>1168</v>
      </c>
      <c r="AD1306" s="141">
        <v>3</v>
      </c>
      <c r="AE1306" s="142">
        <v>2</v>
      </c>
      <c r="AF1306" s="142"/>
      <c r="AG1306" s="69" t="str">
        <f t="shared" si="676"/>
        <v>3 years 73 days</v>
      </c>
      <c r="AH1306" s="69">
        <v>3</v>
      </c>
      <c r="AI1306" s="69">
        <v>73</v>
      </c>
      <c r="AJ1306" s="69">
        <v>0</v>
      </c>
      <c r="AK1306" s="69">
        <v>0</v>
      </c>
      <c r="AL1306" s="60">
        <v>360000</v>
      </c>
      <c r="AM1306" s="60">
        <f t="shared" si="677"/>
        <v>360000</v>
      </c>
      <c r="AN1306" s="59">
        <v>360000</v>
      </c>
      <c r="AO1306" s="148">
        <f t="shared" si="678"/>
        <v>-360000</v>
      </c>
      <c r="AP1306" s="58">
        <v>0</v>
      </c>
      <c r="AQ1306" s="143">
        <f t="shared" si="679"/>
        <v>0</v>
      </c>
    </row>
    <row r="1307" spans="1:43" x14ac:dyDescent="0.35">
      <c r="A1307" s="69" t="s">
        <v>43</v>
      </c>
      <c r="B1307" s="15" t="s">
        <v>4119</v>
      </c>
      <c r="C1307" s="15"/>
      <c r="D1307" s="69"/>
      <c r="E1307" s="76">
        <v>0</v>
      </c>
      <c r="F1307" s="69" t="s">
        <v>4114</v>
      </c>
      <c r="G1307" s="10" t="s">
        <v>4115</v>
      </c>
      <c r="H1307" s="76">
        <v>9014000003</v>
      </c>
      <c r="I1307" s="92" t="s">
        <v>47</v>
      </c>
      <c r="J1307" s="92">
        <v>1202010202</v>
      </c>
      <c r="K1307" s="15"/>
      <c r="L1307" s="95" t="s">
        <v>4120</v>
      </c>
      <c r="M1307" s="69" t="s">
        <v>4121</v>
      </c>
      <c r="N1307" s="69"/>
      <c r="O1307" s="94">
        <v>1</v>
      </c>
      <c r="P1307" s="69" t="s">
        <v>50</v>
      </c>
      <c r="Q1307" s="69" t="s">
        <v>51</v>
      </c>
      <c r="R1307" s="69"/>
      <c r="S1307" s="46">
        <v>42838</v>
      </c>
      <c r="T1307" s="48">
        <v>43191</v>
      </c>
      <c r="U1307" s="69"/>
      <c r="V1307" s="69"/>
      <c r="W1307" s="69"/>
      <c r="X1307" s="69"/>
      <c r="Y1307" s="69" t="s">
        <v>4125</v>
      </c>
      <c r="Z1307" s="43">
        <v>470000</v>
      </c>
      <c r="AA1307" s="43" t="s">
        <v>52</v>
      </c>
      <c r="AB1307" s="43" t="s">
        <v>53</v>
      </c>
      <c r="AC1307" s="43">
        <v>2190</v>
      </c>
      <c r="AD1307" s="141">
        <v>6</v>
      </c>
      <c r="AE1307" s="142">
        <v>0</v>
      </c>
      <c r="AF1307" s="142"/>
      <c r="AG1307" s="69" t="str">
        <f t="shared" si="676"/>
        <v>6 years 0 days</v>
      </c>
      <c r="AH1307" s="69">
        <v>6</v>
      </c>
      <c r="AI1307" s="69">
        <v>0</v>
      </c>
      <c r="AJ1307" s="69">
        <v>0</v>
      </c>
      <c r="AK1307" s="69">
        <v>0</v>
      </c>
      <c r="AL1307" s="60">
        <v>470000</v>
      </c>
      <c r="AM1307" s="60">
        <f t="shared" si="677"/>
        <v>470000</v>
      </c>
      <c r="AN1307" s="59">
        <v>470000</v>
      </c>
      <c r="AO1307" s="148">
        <f t="shared" si="678"/>
        <v>-470000</v>
      </c>
      <c r="AP1307" s="58">
        <v>0</v>
      </c>
      <c r="AQ1307" s="143">
        <f t="shared" si="679"/>
        <v>0</v>
      </c>
    </row>
    <row r="1308" spans="1:43" x14ac:dyDescent="0.35">
      <c r="A1308" s="69" t="s">
        <v>43</v>
      </c>
      <c r="B1308" s="15" t="s">
        <v>4122</v>
      </c>
      <c r="C1308" s="15"/>
      <c r="D1308" s="69"/>
      <c r="E1308" s="76">
        <v>0</v>
      </c>
      <c r="F1308" s="69" t="s">
        <v>4114</v>
      </c>
      <c r="G1308" s="10" t="s">
        <v>4115</v>
      </c>
      <c r="H1308" s="76">
        <v>9014000004</v>
      </c>
      <c r="I1308" s="92" t="s">
        <v>47</v>
      </c>
      <c r="J1308" s="92">
        <v>1202010202</v>
      </c>
      <c r="K1308" s="15"/>
      <c r="L1308" s="95" t="s">
        <v>4123</v>
      </c>
      <c r="M1308" s="69" t="s">
        <v>49</v>
      </c>
      <c r="N1308" s="69"/>
      <c r="O1308" s="94">
        <v>1</v>
      </c>
      <c r="P1308" s="69" t="s">
        <v>50</v>
      </c>
      <c r="Q1308" s="69" t="s">
        <v>51</v>
      </c>
      <c r="R1308" s="69"/>
      <c r="S1308" s="46">
        <v>40856</v>
      </c>
      <c r="T1308" s="48">
        <v>43191</v>
      </c>
      <c r="U1308" s="69"/>
      <c r="V1308" s="69"/>
      <c r="W1308" s="69"/>
      <c r="X1308" s="69"/>
      <c r="Y1308" s="69" t="s">
        <v>4125</v>
      </c>
      <c r="Z1308" s="43">
        <v>75000</v>
      </c>
      <c r="AA1308" s="43" t="s">
        <v>52</v>
      </c>
      <c r="AB1308" s="43" t="s">
        <v>53</v>
      </c>
      <c r="AC1308" s="43">
        <v>256</v>
      </c>
      <c r="AD1308" s="141">
        <v>0</v>
      </c>
      <c r="AE1308" s="142">
        <v>9</v>
      </c>
      <c r="AF1308" s="142"/>
      <c r="AG1308" s="69" t="str">
        <f t="shared" si="676"/>
        <v>0 years 256 days</v>
      </c>
      <c r="AH1308" s="69">
        <v>0</v>
      </c>
      <c r="AI1308" s="69">
        <v>256</v>
      </c>
      <c r="AJ1308" s="69">
        <v>0</v>
      </c>
      <c r="AK1308" s="69">
        <v>0</v>
      </c>
      <c r="AL1308" s="60">
        <v>75000</v>
      </c>
      <c r="AM1308" s="60">
        <f t="shared" si="677"/>
        <v>75000</v>
      </c>
      <c r="AN1308" s="59">
        <v>75000</v>
      </c>
      <c r="AO1308" s="148">
        <f t="shared" si="678"/>
        <v>-75000</v>
      </c>
      <c r="AP1308" s="58">
        <v>0</v>
      </c>
      <c r="AQ1308" s="143">
        <f t="shared" si="679"/>
        <v>0</v>
      </c>
    </row>
  </sheetData>
  <autoFilter ref="A5:AQ1308" xr:uid="{F26630D3-49FA-4687-A476-1850C15743F3}"/>
  <phoneticPr fontId="15" type="noConversion"/>
  <conditionalFormatting sqref="J1">
    <cfRule type="duplicateValues" dxfId="4" priority="2"/>
    <cfRule type="duplicateValues" dxfId="3" priority="3"/>
  </conditionalFormatting>
  <conditionalFormatting sqref="L1:L3 L6:L1048576">
    <cfRule type="duplicateValues" dxfId="2" priority="4"/>
    <cfRule type="duplicateValues" dxfId="1" priority="756"/>
  </conditionalFormatting>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CA2CD-2100-46C6-AF35-CC6EC128C0D2}">
  <dimension ref="A1:AM1304"/>
  <sheetViews>
    <sheetView tabSelected="1" workbookViewId="0">
      <pane ySplit="1" topLeftCell="A2" activePane="bottomLeft" state="frozen"/>
      <selection pane="bottomLeft" activeCell="G6" sqref="G6"/>
    </sheetView>
  </sheetViews>
  <sheetFormatPr defaultRowHeight="14.5" x14ac:dyDescent="0.35"/>
  <cols>
    <col min="2" max="2" width="12.7265625" style="72" bestFit="1" customWidth="1"/>
    <col min="3" max="3" width="12.7265625" style="72" customWidth="1"/>
    <col min="4" max="4" width="12.54296875" bestFit="1" customWidth="1"/>
    <col min="5" max="5" width="7" style="99" customWidth="1"/>
    <col min="6" max="6" width="24.7265625" style="72" customWidth="1"/>
    <col min="7" max="7" width="15.54296875" customWidth="1"/>
    <col min="8" max="8" width="15.81640625" style="72" bestFit="1" customWidth="1"/>
    <col min="9" max="10" width="17.7265625" style="72" customWidth="1"/>
    <col min="11" max="11" width="6.90625" style="72" customWidth="1"/>
    <col min="12" max="12" width="19.7265625" style="81" customWidth="1"/>
    <col min="13" max="13" width="13.26953125" customWidth="1"/>
    <col min="17" max="17" width="12.1796875" customWidth="1"/>
    <col min="19" max="19" width="10.26953125" style="47" customWidth="1"/>
    <col min="20" max="20" width="13.54296875" bestFit="1" customWidth="1"/>
    <col min="26" max="26" width="16.453125" style="81" customWidth="1"/>
    <col min="27" max="27" width="30.81640625" bestFit="1" customWidth="1"/>
    <col min="28" max="28" width="13.54296875" bestFit="1" customWidth="1"/>
    <col min="29" max="29" width="20.1796875" style="81" bestFit="1" customWidth="1"/>
    <col min="32" max="32" width="15.26953125" bestFit="1" customWidth="1"/>
    <col min="33" max="33" width="15.26953125" customWidth="1"/>
    <col min="35" max="35" width="14.7265625" bestFit="1" customWidth="1"/>
    <col min="36" max="36" width="16.453125" style="86" bestFit="1" customWidth="1"/>
    <col min="37" max="37" width="10.7265625" customWidth="1"/>
    <col min="38" max="38" width="28.453125" bestFit="1" customWidth="1"/>
  </cols>
  <sheetData>
    <row r="1" spans="1:39" ht="30" customHeight="1" x14ac:dyDescent="0.35">
      <c r="A1" s="2" t="s">
        <v>4</v>
      </c>
      <c r="B1" s="2" t="s">
        <v>5</v>
      </c>
      <c r="C1" s="2" t="s">
        <v>6</v>
      </c>
      <c r="D1" s="127" t="s">
        <v>7</v>
      </c>
      <c r="E1" s="100" t="s">
        <v>8</v>
      </c>
      <c r="F1" s="9" t="s">
        <v>10</v>
      </c>
      <c r="G1" s="2" t="s">
        <v>10</v>
      </c>
      <c r="H1" s="2"/>
      <c r="I1" s="2" t="s">
        <v>11</v>
      </c>
      <c r="J1" s="2" t="s">
        <v>12</v>
      </c>
      <c r="K1" s="2" t="s">
        <v>13</v>
      </c>
      <c r="L1" s="91" t="s">
        <v>14</v>
      </c>
      <c r="M1" s="2" t="s">
        <v>15</v>
      </c>
      <c r="N1" s="2" t="s">
        <v>16</v>
      </c>
      <c r="O1" s="2" t="s">
        <v>17</v>
      </c>
      <c r="P1" s="2" t="s">
        <v>18</v>
      </c>
      <c r="Q1" s="2" t="s">
        <v>19</v>
      </c>
      <c r="R1" s="2" t="s">
        <v>20</v>
      </c>
      <c r="S1" s="70" t="s">
        <v>21</v>
      </c>
      <c r="T1" s="2" t="s">
        <v>22</v>
      </c>
      <c r="U1" s="2" t="s">
        <v>23</v>
      </c>
      <c r="V1" s="2" t="s">
        <v>24</v>
      </c>
      <c r="W1" s="2" t="s">
        <v>25</v>
      </c>
      <c r="X1" s="2" t="s">
        <v>26</v>
      </c>
      <c r="Y1" s="2" t="s">
        <v>27</v>
      </c>
      <c r="Z1" s="2" t="s">
        <v>28</v>
      </c>
      <c r="AA1" s="4" t="s">
        <v>29</v>
      </c>
      <c r="AB1" s="5" t="s">
        <v>30</v>
      </c>
      <c r="AC1" s="82" t="s">
        <v>31</v>
      </c>
      <c r="AD1" s="5" t="s">
        <v>32</v>
      </c>
      <c r="AE1" s="4" t="s">
        <v>33</v>
      </c>
      <c r="AF1" s="71" t="s">
        <v>34</v>
      </c>
      <c r="AG1" s="4" t="s">
        <v>35</v>
      </c>
      <c r="AH1" s="4" t="s">
        <v>36</v>
      </c>
      <c r="AI1" s="6" t="s">
        <v>39</v>
      </c>
      <c r="AJ1" s="3" t="s">
        <v>40</v>
      </c>
      <c r="AK1" s="7" t="s">
        <v>41</v>
      </c>
      <c r="AL1" s="4" t="s">
        <v>42</v>
      </c>
    </row>
    <row r="2" spans="1:39" x14ac:dyDescent="0.35">
      <c r="A2" s="69" t="s">
        <v>4124</v>
      </c>
      <c r="B2" s="41">
        <v>1131100078</v>
      </c>
      <c r="C2" s="41"/>
      <c r="D2" s="69"/>
      <c r="E2" s="41">
        <v>0</v>
      </c>
      <c r="F2" s="41" t="s">
        <v>46</v>
      </c>
      <c r="G2" s="69" t="s">
        <v>45</v>
      </c>
      <c r="H2" s="41">
        <v>9001000001</v>
      </c>
      <c r="I2" s="41" t="s">
        <v>47</v>
      </c>
      <c r="J2" s="41">
        <v>1202010202</v>
      </c>
      <c r="K2" s="41"/>
      <c r="L2" s="52" t="s">
        <v>68</v>
      </c>
      <c r="M2" s="69" t="s">
        <v>49</v>
      </c>
      <c r="N2" s="69"/>
      <c r="O2" s="69">
        <v>1</v>
      </c>
      <c r="P2" s="69" t="s">
        <v>50</v>
      </c>
      <c r="Q2" s="69" t="s">
        <v>51</v>
      </c>
      <c r="R2" s="69"/>
      <c r="S2" s="48">
        <v>38078</v>
      </c>
      <c r="T2" s="48">
        <v>43340</v>
      </c>
      <c r="U2" s="69"/>
      <c r="V2" s="69"/>
      <c r="W2" s="69"/>
      <c r="X2" s="69"/>
      <c r="Y2" s="69" t="s">
        <v>4125</v>
      </c>
      <c r="Z2" s="52">
        <v>22874755.911931358</v>
      </c>
      <c r="AA2" s="43" t="s">
        <v>52</v>
      </c>
      <c r="AB2" s="43" t="s">
        <v>53</v>
      </c>
      <c r="AC2" s="85">
        <v>5694</v>
      </c>
      <c r="AD2" s="141">
        <v>15</v>
      </c>
      <c r="AE2" s="142">
        <v>7</v>
      </c>
      <c r="AF2" s="69" t="str">
        <f>_xlfn.CONCAT(AG2," years ",AH2," days")</f>
        <v>6 years 128 days</v>
      </c>
      <c r="AG2" s="69">
        <v>6</v>
      </c>
      <c r="AH2" s="69">
        <v>128</v>
      </c>
      <c r="AI2" s="69">
        <v>22874755.911931358</v>
      </c>
      <c r="AJ2" s="67">
        <v>9308186</v>
      </c>
      <c r="AK2" s="69">
        <v>2025</v>
      </c>
      <c r="AL2" s="61">
        <v>727138.97639753856</v>
      </c>
      <c r="AM2" s="143"/>
    </row>
    <row r="3" spans="1:39" x14ac:dyDescent="0.35">
      <c r="A3" s="69" t="s">
        <v>4124</v>
      </c>
      <c r="B3" s="41">
        <v>1131100083</v>
      </c>
      <c r="C3" s="41"/>
      <c r="D3" s="69"/>
      <c r="E3" s="41">
        <v>0</v>
      </c>
      <c r="F3" s="41" t="s">
        <v>46</v>
      </c>
      <c r="G3" s="69" t="s">
        <v>45</v>
      </c>
      <c r="H3" s="41">
        <v>9001000001</v>
      </c>
      <c r="I3" s="41" t="s">
        <v>47</v>
      </c>
      <c r="J3" s="41">
        <v>1202010202</v>
      </c>
      <c r="K3" s="41"/>
      <c r="L3" s="52" t="s">
        <v>70</v>
      </c>
      <c r="M3" s="69" t="s">
        <v>49</v>
      </c>
      <c r="N3" s="69"/>
      <c r="O3" s="69">
        <v>1</v>
      </c>
      <c r="P3" s="69" t="s">
        <v>50</v>
      </c>
      <c r="Q3" s="69" t="s">
        <v>51</v>
      </c>
      <c r="R3" s="69"/>
      <c r="S3" s="48">
        <v>38107</v>
      </c>
      <c r="T3" s="48">
        <v>43340</v>
      </c>
      <c r="U3" s="69"/>
      <c r="V3" s="69"/>
      <c r="W3" s="69"/>
      <c r="X3" s="69"/>
      <c r="Y3" s="69" t="s">
        <v>4125</v>
      </c>
      <c r="Z3" s="52">
        <v>131423.55856499486</v>
      </c>
      <c r="AA3" s="43" t="s">
        <v>52</v>
      </c>
      <c r="AB3" s="43" t="s">
        <v>53</v>
      </c>
      <c r="AC3" s="85">
        <v>5731</v>
      </c>
      <c r="AD3" s="141">
        <v>15</v>
      </c>
      <c r="AE3" s="142">
        <v>9</v>
      </c>
      <c r="AF3" s="69" t="str">
        <f t="shared" ref="AF3:AF66" si="0">_xlfn.CONCAT(AG3," years ",AH3," days")</f>
        <v>6 years 128 days</v>
      </c>
      <c r="AG3" s="69">
        <v>6</v>
      </c>
      <c r="AH3" s="69">
        <v>128</v>
      </c>
      <c r="AI3" s="69">
        <v>131423.55856499486</v>
      </c>
      <c r="AJ3" s="67">
        <v>53134</v>
      </c>
      <c r="AK3" s="69">
        <v>2025</v>
      </c>
      <c r="AL3" s="61">
        <v>4150.3812843178821</v>
      </c>
      <c r="AM3" s="143"/>
    </row>
    <row r="4" spans="1:39" x14ac:dyDescent="0.35">
      <c r="A4" s="69" t="s">
        <v>4124</v>
      </c>
      <c r="B4" s="41">
        <v>1131100087</v>
      </c>
      <c r="C4" s="41"/>
      <c r="D4" s="69"/>
      <c r="E4" s="41">
        <v>0</v>
      </c>
      <c r="F4" s="41" t="s">
        <v>46</v>
      </c>
      <c r="G4" s="69" t="s">
        <v>45</v>
      </c>
      <c r="H4" s="41">
        <v>9001000001</v>
      </c>
      <c r="I4" s="41" t="s">
        <v>47</v>
      </c>
      <c r="J4" s="41">
        <v>1202010202</v>
      </c>
      <c r="K4" s="41"/>
      <c r="L4" s="52" t="s">
        <v>72</v>
      </c>
      <c r="M4" s="69" t="s">
        <v>49</v>
      </c>
      <c r="N4" s="69"/>
      <c r="O4" s="69">
        <v>1</v>
      </c>
      <c r="P4" s="69" t="s">
        <v>50</v>
      </c>
      <c r="Q4" s="69" t="s">
        <v>51</v>
      </c>
      <c r="R4" s="69"/>
      <c r="S4" s="48">
        <v>38138</v>
      </c>
      <c r="T4" s="48">
        <v>43340</v>
      </c>
      <c r="U4" s="69"/>
      <c r="V4" s="69"/>
      <c r="W4" s="69"/>
      <c r="X4" s="69"/>
      <c r="Y4" s="69" t="s">
        <v>4125</v>
      </c>
      <c r="Z4" s="52">
        <v>385260.70516948315</v>
      </c>
      <c r="AA4" s="43" t="s">
        <v>52</v>
      </c>
      <c r="AB4" s="43" t="s">
        <v>53</v>
      </c>
      <c r="AC4" s="85">
        <v>5767</v>
      </c>
      <c r="AD4" s="141">
        <v>15</v>
      </c>
      <c r="AE4" s="142">
        <v>10</v>
      </c>
      <c r="AF4" s="69" t="str">
        <f t="shared" si="0"/>
        <v>6 years 128 days</v>
      </c>
      <c r="AG4" s="69">
        <v>6</v>
      </c>
      <c r="AH4" s="69">
        <v>128</v>
      </c>
      <c r="AI4" s="69">
        <v>385260.70516948315</v>
      </c>
      <c r="AJ4" s="67">
        <v>154786</v>
      </c>
      <c r="AK4" s="69">
        <v>2025</v>
      </c>
      <c r="AL4" s="61">
        <v>12091.360091783426</v>
      </c>
      <c r="AM4" s="143"/>
    </row>
    <row r="5" spans="1:39" x14ac:dyDescent="0.35">
      <c r="A5" s="69" t="s">
        <v>4124</v>
      </c>
      <c r="B5" s="41">
        <v>1131100092</v>
      </c>
      <c r="C5" s="41"/>
      <c r="D5" s="69"/>
      <c r="E5" s="41">
        <v>0</v>
      </c>
      <c r="F5" s="41" t="s">
        <v>46</v>
      </c>
      <c r="G5" s="69" t="s">
        <v>45</v>
      </c>
      <c r="H5" s="41">
        <v>9001000001</v>
      </c>
      <c r="I5" s="41" t="s">
        <v>47</v>
      </c>
      <c r="J5" s="41">
        <v>1202010202</v>
      </c>
      <c r="K5" s="41"/>
      <c r="L5" s="52" t="s">
        <v>74</v>
      </c>
      <c r="M5" s="69" t="s">
        <v>49</v>
      </c>
      <c r="N5" s="69"/>
      <c r="O5" s="69">
        <v>1</v>
      </c>
      <c r="P5" s="69" t="s">
        <v>50</v>
      </c>
      <c r="Q5" s="69" t="s">
        <v>51</v>
      </c>
      <c r="R5" s="69"/>
      <c r="S5" s="48">
        <v>38168</v>
      </c>
      <c r="T5" s="48">
        <v>43340</v>
      </c>
      <c r="U5" s="69"/>
      <c r="V5" s="69"/>
      <c r="W5" s="69"/>
      <c r="X5" s="69"/>
      <c r="Y5" s="69" t="s">
        <v>4125</v>
      </c>
      <c r="Z5" s="52">
        <v>104811.21521942208</v>
      </c>
      <c r="AA5" s="43" t="s">
        <v>52</v>
      </c>
      <c r="AB5" s="43" t="s">
        <v>53</v>
      </c>
      <c r="AC5" s="85">
        <v>5767</v>
      </c>
      <c r="AD5" s="141">
        <v>15</v>
      </c>
      <c r="AE5" s="142">
        <v>10</v>
      </c>
      <c r="AF5" s="69" t="str">
        <f t="shared" si="0"/>
        <v>6 years 128 days</v>
      </c>
      <c r="AG5" s="69">
        <v>6</v>
      </c>
      <c r="AH5" s="69">
        <v>128</v>
      </c>
      <c r="AI5" s="69">
        <v>104811.21521942208</v>
      </c>
      <c r="AJ5" s="67">
        <v>42110</v>
      </c>
      <c r="AK5" s="69">
        <v>2025</v>
      </c>
      <c r="AL5" s="61">
        <v>3289.3506000285997</v>
      </c>
      <c r="AM5" s="143"/>
    </row>
    <row r="6" spans="1:39" x14ac:dyDescent="0.35">
      <c r="A6" s="69" t="s">
        <v>4124</v>
      </c>
      <c r="B6" s="41">
        <v>1131100094</v>
      </c>
      <c r="C6" s="41"/>
      <c r="D6" s="69"/>
      <c r="E6" s="41">
        <v>0</v>
      </c>
      <c r="F6" s="41" t="s">
        <v>46</v>
      </c>
      <c r="G6" s="69" t="s">
        <v>45</v>
      </c>
      <c r="H6" s="41">
        <v>9001000001</v>
      </c>
      <c r="I6" s="41" t="s">
        <v>47</v>
      </c>
      <c r="J6" s="41">
        <v>1202010202</v>
      </c>
      <c r="K6" s="41"/>
      <c r="L6" s="52" t="s">
        <v>76</v>
      </c>
      <c r="M6" s="69" t="s">
        <v>49</v>
      </c>
      <c r="N6" s="69"/>
      <c r="O6" s="69">
        <v>1</v>
      </c>
      <c r="P6" s="69" t="s">
        <v>50</v>
      </c>
      <c r="Q6" s="69" t="s">
        <v>51</v>
      </c>
      <c r="R6" s="69"/>
      <c r="S6" s="48">
        <v>38220</v>
      </c>
      <c r="T6" s="48">
        <v>43340</v>
      </c>
      <c r="U6" s="69"/>
      <c r="V6" s="69"/>
      <c r="W6" s="69"/>
      <c r="X6" s="69"/>
      <c r="Y6" s="69" t="s">
        <v>4125</v>
      </c>
      <c r="Z6" s="52">
        <v>525905.99736217631</v>
      </c>
      <c r="AA6" s="43" t="s">
        <v>52</v>
      </c>
      <c r="AB6" s="43" t="s">
        <v>53</v>
      </c>
      <c r="AC6" s="85">
        <v>5840</v>
      </c>
      <c r="AD6" s="141">
        <v>16</v>
      </c>
      <c r="AE6" s="142">
        <v>0</v>
      </c>
      <c r="AF6" s="69" t="str">
        <f t="shared" si="0"/>
        <v>6 years 128 days</v>
      </c>
      <c r="AG6" s="69">
        <v>6</v>
      </c>
      <c r="AH6" s="69">
        <v>128</v>
      </c>
      <c r="AI6" s="69">
        <v>525905.99736217631</v>
      </c>
      <c r="AJ6" s="67">
        <v>208651</v>
      </c>
      <c r="AK6" s="69">
        <v>2025</v>
      </c>
      <c r="AL6" s="61">
        <v>16299.887984881672</v>
      </c>
      <c r="AM6" s="143"/>
    </row>
    <row r="7" spans="1:39" x14ac:dyDescent="0.35">
      <c r="A7" s="69" t="s">
        <v>4124</v>
      </c>
      <c r="B7" s="41">
        <v>1131100100</v>
      </c>
      <c r="C7" s="41"/>
      <c r="D7" s="69"/>
      <c r="E7" s="41">
        <v>0</v>
      </c>
      <c r="F7" s="41" t="s">
        <v>46</v>
      </c>
      <c r="G7" s="69" t="s">
        <v>45</v>
      </c>
      <c r="H7" s="41">
        <v>9001000001</v>
      </c>
      <c r="I7" s="41" t="s">
        <v>47</v>
      </c>
      <c r="J7" s="41">
        <v>1202010202</v>
      </c>
      <c r="K7" s="41"/>
      <c r="L7" s="52" t="s">
        <v>78</v>
      </c>
      <c r="M7" s="69" t="s">
        <v>49</v>
      </c>
      <c r="N7" s="69"/>
      <c r="O7" s="69">
        <v>1</v>
      </c>
      <c r="P7" s="69" t="s">
        <v>50</v>
      </c>
      <c r="Q7" s="69" t="s">
        <v>51</v>
      </c>
      <c r="R7" s="69"/>
      <c r="S7" s="48">
        <v>38260</v>
      </c>
      <c r="T7" s="48">
        <v>43340</v>
      </c>
      <c r="U7" s="69"/>
      <c r="V7" s="69"/>
      <c r="W7" s="69"/>
      <c r="X7" s="69"/>
      <c r="Y7" s="69" t="s">
        <v>4125</v>
      </c>
      <c r="Z7" s="52">
        <v>522189.82418987411</v>
      </c>
      <c r="AA7" s="43" t="s">
        <v>52</v>
      </c>
      <c r="AB7" s="43" t="s">
        <v>53</v>
      </c>
      <c r="AC7" s="85">
        <v>5877</v>
      </c>
      <c r="AD7" s="141">
        <v>16</v>
      </c>
      <c r="AE7" s="142">
        <v>1</v>
      </c>
      <c r="AF7" s="69" t="str">
        <f t="shared" si="0"/>
        <v>6 years 128 days</v>
      </c>
      <c r="AG7" s="69">
        <v>6</v>
      </c>
      <c r="AH7" s="69">
        <v>128</v>
      </c>
      <c r="AI7" s="69">
        <v>522189.82418987411</v>
      </c>
      <c r="AJ7" s="67">
        <v>205873</v>
      </c>
      <c r="AK7" s="69">
        <v>2025</v>
      </c>
      <c r="AL7" s="61">
        <v>16082.160027918406</v>
      </c>
      <c r="AM7" s="143"/>
    </row>
    <row r="8" spans="1:39" x14ac:dyDescent="0.35">
      <c r="A8" s="69" t="s">
        <v>4124</v>
      </c>
      <c r="B8" s="41">
        <v>1131100110</v>
      </c>
      <c r="C8" s="41"/>
      <c r="D8" s="69"/>
      <c r="E8" s="41">
        <v>0</v>
      </c>
      <c r="F8" s="41" t="s">
        <v>46</v>
      </c>
      <c r="G8" s="69" t="s">
        <v>45</v>
      </c>
      <c r="H8" s="41">
        <v>9001000001</v>
      </c>
      <c r="I8" s="41" t="s">
        <v>47</v>
      </c>
      <c r="J8" s="41">
        <v>1202010202</v>
      </c>
      <c r="K8" s="41"/>
      <c r="L8" s="52" t="s">
        <v>80</v>
      </c>
      <c r="M8" s="69" t="s">
        <v>49</v>
      </c>
      <c r="N8" s="69"/>
      <c r="O8" s="69">
        <v>1</v>
      </c>
      <c r="P8" s="69" t="s">
        <v>50</v>
      </c>
      <c r="Q8" s="69" t="s">
        <v>51</v>
      </c>
      <c r="R8" s="69"/>
      <c r="S8" s="48">
        <v>38352</v>
      </c>
      <c r="T8" s="48">
        <v>43340</v>
      </c>
      <c r="U8" s="69"/>
      <c r="V8" s="69"/>
      <c r="W8" s="69"/>
      <c r="X8" s="69"/>
      <c r="Y8" s="69" t="s">
        <v>4125</v>
      </c>
      <c r="Z8" s="52">
        <v>161919.78058486004</v>
      </c>
      <c r="AA8" s="43" t="s">
        <v>52</v>
      </c>
      <c r="AB8" s="43" t="s">
        <v>53</v>
      </c>
      <c r="AC8" s="85">
        <v>5950</v>
      </c>
      <c r="AD8" s="141">
        <v>16</v>
      </c>
      <c r="AE8" s="142">
        <v>4</v>
      </c>
      <c r="AF8" s="69" t="str">
        <f t="shared" si="0"/>
        <v>6 years 128 days</v>
      </c>
      <c r="AG8" s="69">
        <v>6</v>
      </c>
      <c r="AH8" s="69">
        <v>128</v>
      </c>
      <c r="AI8" s="69">
        <v>161919.78058486004</v>
      </c>
      <c r="AJ8" s="67">
        <v>63054</v>
      </c>
      <c r="AK8" s="69">
        <v>2025</v>
      </c>
      <c r="AL8" s="61">
        <v>4925.1562421436975</v>
      </c>
      <c r="AM8" s="143"/>
    </row>
    <row r="9" spans="1:39" x14ac:dyDescent="0.35">
      <c r="A9" s="69" t="s">
        <v>4124</v>
      </c>
      <c r="B9" s="41">
        <v>1131100116</v>
      </c>
      <c r="C9" s="41"/>
      <c r="D9" s="69"/>
      <c r="E9" s="41">
        <v>0</v>
      </c>
      <c r="F9" s="41" t="s">
        <v>46</v>
      </c>
      <c r="G9" s="69" t="s">
        <v>45</v>
      </c>
      <c r="H9" s="41">
        <v>9001000001</v>
      </c>
      <c r="I9" s="41" t="s">
        <v>47</v>
      </c>
      <c r="J9" s="41">
        <v>1202010202</v>
      </c>
      <c r="K9" s="41"/>
      <c r="L9" s="52" t="s">
        <v>82</v>
      </c>
      <c r="M9" s="69" t="s">
        <v>49</v>
      </c>
      <c r="N9" s="69"/>
      <c r="O9" s="69">
        <v>1</v>
      </c>
      <c r="P9" s="69" t="s">
        <v>50</v>
      </c>
      <c r="Q9" s="69" t="s">
        <v>51</v>
      </c>
      <c r="R9" s="69"/>
      <c r="S9" s="48">
        <v>38383</v>
      </c>
      <c r="T9" s="48">
        <v>43340</v>
      </c>
      <c r="U9" s="69"/>
      <c r="V9" s="69"/>
      <c r="W9" s="69"/>
      <c r="X9" s="69"/>
      <c r="Y9" s="69" t="s">
        <v>4125</v>
      </c>
      <c r="Z9" s="52">
        <v>114680.73788877943</v>
      </c>
      <c r="AA9" s="43" t="s">
        <v>52</v>
      </c>
      <c r="AB9" s="43" t="s">
        <v>53</v>
      </c>
      <c r="AC9" s="85">
        <v>5986</v>
      </c>
      <c r="AD9" s="141">
        <v>16</v>
      </c>
      <c r="AE9" s="142">
        <v>5</v>
      </c>
      <c r="AF9" s="69" t="str">
        <f t="shared" si="0"/>
        <v>6 years 128 days</v>
      </c>
      <c r="AG9" s="69">
        <v>6</v>
      </c>
      <c r="AH9" s="69">
        <v>128</v>
      </c>
      <c r="AI9" s="69">
        <v>114680.73788877943</v>
      </c>
      <c r="AJ9" s="67">
        <v>44390</v>
      </c>
      <c r="AK9" s="69">
        <v>2025</v>
      </c>
      <c r="AL9" s="61">
        <v>3467.1537829229346</v>
      </c>
      <c r="AM9" s="143"/>
    </row>
    <row r="10" spans="1:39" x14ac:dyDescent="0.35">
      <c r="A10" s="69" t="s">
        <v>4124</v>
      </c>
      <c r="B10" s="41">
        <v>1131100119</v>
      </c>
      <c r="C10" s="41"/>
      <c r="D10" s="69"/>
      <c r="E10" s="41">
        <v>0</v>
      </c>
      <c r="F10" s="41" t="s">
        <v>46</v>
      </c>
      <c r="G10" s="69" t="s">
        <v>45</v>
      </c>
      <c r="H10" s="41">
        <v>9001000001</v>
      </c>
      <c r="I10" s="41" t="s">
        <v>47</v>
      </c>
      <c r="J10" s="41">
        <v>1202010202</v>
      </c>
      <c r="K10" s="41"/>
      <c r="L10" s="52" t="s">
        <v>84</v>
      </c>
      <c r="M10" s="69" t="s">
        <v>49</v>
      </c>
      <c r="N10" s="69"/>
      <c r="O10" s="69">
        <v>1</v>
      </c>
      <c r="P10" s="69" t="s">
        <v>50</v>
      </c>
      <c r="Q10" s="69" t="s">
        <v>51</v>
      </c>
      <c r="R10" s="69"/>
      <c r="S10" s="48">
        <v>38411</v>
      </c>
      <c r="T10" s="48">
        <v>43340</v>
      </c>
      <c r="U10" s="69"/>
      <c r="V10" s="69"/>
      <c r="W10" s="69"/>
      <c r="X10" s="69"/>
      <c r="Y10" s="69" t="s">
        <v>4125</v>
      </c>
      <c r="Z10" s="52">
        <v>632764.31332267064</v>
      </c>
      <c r="AA10" s="43" t="s">
        <v>52</v>
      </c>
      <c r="AB10" s="43" t="s">
        <v>53</v>
      </c>
      <c r="AC10" s="85">
        <v>6023</v>
      </c>
      <c r="AD10" s="141">
        <v>16</v>
      </c>
      <c r="AE10" s="142">
        <v>6</v>
      </c>
      <c r="AF10" s="69" t="str">
        <f t="shared" si="0"/>
        <v>6 years 128 days</v>
      </c>
      <c r="AG10" s="69">
        <v>6</v>
      </c>
      <c r="AH10" s="69">
        <v>128</v>
      </c>
      <c r="AI10" s="69">
        <v>632764.31332267064</v>
      </c>
      <c r="AJ10" s="67">
        <v>243419</v>
      </c>
      <c r="AK10" s="69">
        <v>2025</v>
      </c>
      <c r="AL10" s="61">
        <v>19015.788236964203</v>
      </c>
      <c r="AM10" s="143"/>
    </row>
    <row r="11" spans="1:39" x14ac:dyDescent="0.35">
      <c r="A11" s="69" t="s">
        <v>4124</v>
      </c>
      <c r="B11" s="41">
        <v>1131100122</v>
      </c>
      <c r="C11" s="41"/>
      <c r="D11" s="69"/>
      <c r="E11" s="41">
        <v>0</v>
      </c>
      <c r="F11" s="41" t="s">
        <v>46</v>
      </c>
      <c r="G11" s="69" t="s">
        <v>45</v>
      </c>
      <c r="H11" s="41">
        <v>9001000001</v>
      </c>
      <c r="I11" s="41" t="s">
        <v>47</v>
      </c>
      <c r="J11" s="41">
        <v>1202010202</v>
      </c>
      <c r="K11" s="41"/>
      <c r="L11" s="52" t="s">
        <v>86</v>
      </c>
      <c r="M11" s="69" t="s">
        <v>49</v>
      </c>
      <c r="N11" s="69"/>
      <c r="O11" s="69">
        <v>1</v>
      </c>
      <c r="P11" s="69" t="s">
        <v>50</v>
      </c>
      <c r="Q11" s="69" t="s">
        <v>51</v>
      </c>
      <c r="R11" s="69"/>
      <c r="S11" s="48">
        <v>38442</v>
      </c>
      <c r="T11" s="48">
        <v>43340</v>
      </c>
      <c r="U11" s="69"/>
      <c r="V11" s="69"/>
      <c r="W11" s="69"/>
      <c r="X11" s="69"/>
      <c r="Y11" s="69" t="s">
        <v>4125</v>
      </c>
      <c r="Z11" s="52">
        <v>536344.2637486771</v>
      </c>
      <c r="AA11" s="43" t="s">
        <v>52</v>
      </c>
      <c r="AB11" s="43" t="s">
        <v>53</v>
      </c>
      <c r="AC11" s="85">
        <v>6059</v>
      </c>
      <c r="AD11" s="141">
        <v>16</v>
      </c>
      <c r="AE11" s="142">
        <v>7</v>
      </c>
      <c r="AF11" s="69" t="str">
        <f t="shared" si="0"/>
        <v>6 years 128 days</v>
      </c>
      <c r="AG11" s="69">
        <v>6</v>
      </c>
      <c r="AH11" s="69">
        <v>128</v>
      </c>
      <c r="AI11" s="69">
        <v>536344.2637486771</v>
      </c>
      <c r="AJ11" s="67">
        <v>205101</v>
      </c>
      <c r="AK11" s="69">
        <v>2025</v>
      </c>
      <c r="AL11" s="61">
        <v>16022.539990330522</v>
      </c>
      <c r="AM11" s="143"/>
    </row>
    <row r="12" spans="1:39" x14ac:dyDescent="0.35">
      <c r="A12" s="69" t="s">
        <v>4124</v>
      </c>
      <c r="B12" s="41">
        <v>1131100400</v>
      </c>
      <c r="C12" s="41"/>
      <c r="D12" s="69"/>
      <c r="E12" s="41">
        <v>0</v>
      </c>
      <c r="F12" s="41" t="s">
        <v>46</v>
      </c>
      <c r="G12" s="69" t="s">
        <v>45</v>
      </c>
      <c r="H12" s="41">
        <v>9001000001</v>
      </c>
      <c r="I12" s="41" t="s">
        <v>47</v>
      </c>
      <c r="J12" s="41">
        <v>1202010202</v>
      </c>
      <c r="K12" s="41"/>
      <c r="L12" s="52" t="s">
        <v>88</v>
      </c>
      <c r="M12" s="69" t="s">
        <v>49</v>
      </c>
      <c r="N12" s="69"/>
      <c r="O12" s="69">
        <v>1</v>
      </c>
      <c r="P12" s="69" t="s">
        <v>50</v>
      </c>
      <c r="Q12" s="69" t="s">
        <v>51</v>
      </c>
      <c r="R12" s="69"/>
      <c r="S12" s="48">
        <v>40147</v>
      </c>
      <c r="T12" s="48">
        <v>43340</v>
      </c>
      <c r="U12" s="69"/>
      <c r="V12" s="69"/>
      <c r="W12" s="69"/>
      <c r="X12" s="69"/>
      <c r="Y12" s="69" t="s">
        <v>4125</v>
      </c>
      <c r="Z12" s="52">
        <v>2765865.0698026284</v>
      </c>
      <c r="AA12" s="43" t="s">
        <v>52</v>
      </c>
      <c r="AB12" s="43" t="s">
        <v>53</v>
      </c>
      <c r="AC12" s="85">
        <v>7775</v>
      </c>
      <c r="AD12" s="141">
        <v>21</v>
      </c>
      <c r="AE12" s="142">
        <v>4</v>
      </c>
      <c r="AF12" s="69" t="str">
        <f t="shared" si="0"/>
        <v>6 years 128 days</v>
      </c>
      <c r="AG12" s="69">
        <v>6</v>
      </c>
      <c r="AH12" s="69">
        <v>128</v>
      </c>
      <c r="AI12" s="69">
        <v>2765865.0698026284</v>
      </c>
      <c r="AJ12" s="67">
        <v>824246</v>
      </c>
      <c r="AK12" s="69">
        <v>2025</v>
      </c>
      <c r="AL12" s="61">
        <v>64388.1900164322</v>
      </c>
      <c r="AM12" s="143"/>
    </row>
    <row r="13" spans="1:39" x14ac:dyDescent="0.35">
      <c r="A13" s="69" t="s">
        <v>4124</v>
      </c>
      <c r="B13" s="41">
        <v>1131100497</v>
      </c>
      <c r="C13" s="41"/>
      <c r="D13" s="69"/>
      <c r="E13" s="41">
        <v>0</v>
      </c>
      <c r="F13" s="41" t="s">
        <v>46</v>
      </c>
      <c r="G13" s="69" t="s">
        <v>45</v>
      </c>
      <c r="H13" s="41">
        <v>9001000001</v>
      </c>
      <c r="I13" s="41" t="s">
        <v>47</v>
      </c>
      <c r="J13" s="41">
        <v>1202010202</v>
      </c>
      <c r="K13" s="41"/>
      <c r="L13" s="52" t="s">
        <v>90</v>
      </c>
      <c r="M13" s="69" t="s">
        <v>49</v>
      </c>
      <c r="N13" s="69"/>
      <c r="O13" s="69">
        <v>1</v>
      </c>
      <c r="P13" s="69" t="s">
        <v>50</v>
      </c>
      <c r="Q13" s="69" t="s">
        <v>51</v>
      </c>
      <c r="R13" s="69"/>
      <c r="S13" s="48">
        <v>40446</v>
      </c>
      <c r="T13" s="48">
        <v>43340</v>
      </c>
      <c r="U13" s="69"/>
      <c r="V13" s="69"/>
      <c r="W13" s="69"/>
      <c r="X13" s="69"/>
      <c r="Y13" s="69" t="s">
        <v>4125</v>
      </c>
      <c r="Z13" s="52">
        <v>1886825.8757210013</v>
      </c>
      <c r="AA13" s="43" t="s">
        <v>52</v>
      </c>
      <c r="AB13" s="43" t="s">
        <v>53</v>
      </c>
      <c r="AC13" s="85">
        <v>8067</v>
      </c>
      <c r="AD13" s="141">
        <v>22</v>
      </c>
      <c r="AE13" s="142">
        <v>1</v>
      </c>
      <c r="AF13" s="69" t="str">
        <f t="shared" si="0"/>
        <v>6 years 128 days</v>
      </c>
      <c r="AG13" s="69">
        <v>6</v>
      </c>
      <c r="AH13" s="69">
        <v>128</v>
      </c>
      <c r="AI13" s="69">
        <v>1886825.8757210013</v>
      </c>
      <c r="AJ13" s="67">
        <v>541933</v>
      </c>
      <c r="AK13" s="69">
        <v>2025</v>
      </c>
      <c r="AL13" s="61">
        <v>42335.159891243791</v>
      </c>
      <c r="AM13" s="143"/>
    </row>
    <row r="14" spans="1:39" x14ac:dyDescent="0.35">
      <c r="A14" s="69" t="s">
        <v>4124</v>
      </c>
      <c r="B14" s="41">
        <v>1131100965</v>
      </c>
      <c r="C14" s="41"/>
      <c r="D14" s="69"/>
      <c r="E14" s="41">
        <v>0</v>
      </c>
      <c r="F14" s="41" t="s">
        <v>46</v>
      </c>
      <c r="G14" s="69" t="s">
        <v>45</v>
      </c>
      <c r="H14" s="41">
        <v>9001000001</v>
      </c>
      <c r="I14" s="41" t="s">
        <v>47</v>
      </c>
      <c r="J14" s="41">
        <v>1202010202</v>
      </c>
      <c r="K14" s="41"/>
      <c r="L14" s="52" t="s">
        <v>92</v>
      </c>
      <c r="M14" s="69" t="s">
        <v>49</v>
      </c>
      <c r="N14" s="69"/>
      <c r="O14" s="69">
        <v>1</v>
      </c>
      <c r="P14" s="69" t="s">
        <v>50</v>
      </c>
      <c r="Q14" s="69" t="s">
        <v>51</v>
      </c>
      <c r="R14" s="69"/>
      <c r="S14" s="48">
        <v>41359</v>
      </c>
      <c r="T14" s="48">
        <v>43340</v>
      </c>
      <c r="U14" s="69"/>
      <c r="V14" s="69"/>
      <c r="W14" s="69"/>
      <c r="X14" s="69"/>
      <c r="Y14" s="69" t="s">
        <v>4125</v>
      </c>
      <c r="Z14" s="52">
        <v>17988032.133486465</v>
      </c>
      <c r="AA14" s="43" t="s">
        <v>52</v>
      </c>
      <c r="AB14" s="43" t="s">
        <v>53</v>
      </c>
      <c r="AC14" s="85">
        <v>8979</v>
      </c>
      <c r="AD14" s="141">
        <v>24</v>
      </c>
      <c r="AE14" s="142">
        <v>7</v>
      </c>
      <c r="AF14" s="69" t="str">
        <f t="shared" si="0"/>
        <v>6 years 128 days</v>
      </c>
      <c r="AG14" s="69">
        <v>6</v>
      </c>
      <c r="AH14" s="69">
        <v>128</v>
      </c>
      <c r="AI14" s="69">
        <v>17988032.133486465</v>
      </c>
      <c r="AJ14" s="67">
        <v>4291906</v>
      </c>
      <c r="AK14" s="69">
        <v>2025</v>
      </c>
      <c r="AL14" s="61">
        <v>362605.38234281167</v>
      </c>
      <c r="AM14" s="143"/>
    </row>
    <row r="15" spans="1:39" x14ac:dyDescent="0.35">
      <c r="A15" s="69" t="s">
        <v>4124</v>
      </c>
      <c r="B15" s="41">
        <v>1131101359</v>
      </c>
      <c r="C15" s="41"/>
      <c r="D15" s="69"/>
      <c r="E15" s="41">
        <v>0</v>
      </c>
      <c r="F15" s="41" t="s">
        <v>46</v>
      </c>
      <c r="G15" s="69" t="s">
        <v>45</v>
      </c>
      <c r="H15" s="41">
        <v>9001000001</v>
      </c>
      <c r="I15" s="41" t="s">
        <v>47</v>
      </c>
      <c r="J15" s="41">
        <v>1202010202</v>
      </c>
      <c r="K15" s="41"/>
      <c r="L15" s="52" t="s">
        <v>94</v>
      </c>
      <c r="M15" s="69" t="s">
        <v>49</v>
      </c>
      <c r="N15" s="69"/>
      <c r="O15" s="69">
        <v>1</v>
      </c>
      <c r="P15" s="69" t="s">
        <v>50</v>
      </c>
      <c r="Q15" s="69" t="s">
        <v>51</v>
      </c>
      <c r="R15" s="69"/>
      <c r="S15" s="48">
        <v>41716</v>
      </c>
      <c r="T15" s="48">
        <v>43340</v>
      </c>
      <c r="U15" s="69"/>
      <c r="V15" s="69"/>
      <c r="W15" s="69"/>
      <c r="X15" s="69"/>
      <c r="Y15" s="69" t="s">
        <v>4125</v>
      </c>
      <c r="Z15" s="52">
        <v>516385.83629453729</v>
      </c>
      <c r="AA15" s="43" t="s">
        <v>52</v>
      </c>
      <c r="AB15" s="43" t="s">
        <v>53</v>
      </c>
      <c r="AC15" s="85">
        <v>9344</v>
      </c>
      <c r="AD15" s="141">
        <v>25</v>
      </c>
      <c r="AE15" s="142">
        <v>7</v>
      </c>
      <c r="AF15" s="69" t="str">
        <f t="shared" si="0"/>
        <v>6 years 128 days</v>
      </c>
      <c r="AG15" s="69">
        <v>6</v>
      </c>
      <c r="AH15" s="69">
        <v>128</v>
      </c>
      <c r="AI15" s="69">
        <v>516385.83629453729</v>
      </c>
      <c r="AJ15" s="67">
        <v>128046</v>
      </c>
      <c r="AK15" s="69">
        <v>2025</v>
      </c>
      <c r="AL15" s="61">
        <v>10003.239451424393</v>
      </c>
      <c r="AM15" s="143"/>
    </row>
    <row r="16" spans="1:39" x14ac:dyDescent="0.35">
      <c r="A16" s="69" t="s">
        <v>4124</v>
      </c>
      <c r="B16" s="41">
        <v>1131400080</v>
      </c>
      <c r="C16" s="41"/>
      <c r="D16" s="69"/>
      <c r="E16" s="41">
        <v>0</v>
      </c>
      <c r="F16" s="41" t="s">
        <v>46</v>
      </c>
      <c r="G16" s="69" t="s">
        <v>45</v>
      </c>
      <c r="H16" s="41">
        <v>9001000001</v>
      </c>
      <c r="I16" s="41" t="s">
        <v>47</v>
      </c>
      <c r="J16" s="41">
        <v>1202010202</v>
      </c>
      <c r="K16" s="41"/>
      <c r="L16" s="52" t="s">
        <v>48</v>
      </c>
      <c r="M16" s="69" t="s">
        <v>49</v>
      </c>
      <c r="N16" s="69"/>
      <c r="O16" s="69">
        <v>1</v>
      </c>
      <c r="P16" s="69" t="s">
        <v>50</v>
      </c>
      <c r="Q16" s="69" t="s">
        <v>51</v>
      </c>
      <c r="R16" s="69"/>
      <c r="S16" s="48">
        <v>38078</v>
      </c>
      <c r="T16" s="48">
        <v>43340</v>
      </c>
      <c r="U16" s="69"/>
      <c r="V16" s="69"/>
      <c r="W16" s="69"/>
      <c r="X16" s="69"/>
      <c r="Y16" s="69" t="s">
        <v>4125</v>
      </c>
      <c r="Z16" s="52">
        <v>6300000</v>
      </c>
      <c r="AA16" s="43" t="s">
        <v>52</v>
      </c>
      <c r="AB16" s="43" t="s">
        <v>53</v>
      </c>
      <c r="AC16" s="85">
        <v>5694</v>
      </c>
      <c r="AD16" s="141">
        <v>15</v>
      </c>
      <c r="AE16" s="142">
        <v>7</v>
      </c>
      <c r="AF16" s="69" t="str">
        <f t="shared" si="0"/>
        <v>6 years 128 days</v>
      </c>
      <c r="AG16" s="69">
        <v>6</v>
      </c>
      <c r="AH16" s="69">
        <v>128</v>
      </c>
      <c r="AI16" s="69">
        <v>6300000</v>
      </c>
      <c r="AJ16" s="67">
        <v>2563593</v>
      </c>
      <c r="AK16" s="69">
        <v>2025</v>
      </c>
      <c r="AL16" s="61">
        <v>200263.69125395175</v>
      </c>
      <c r="AM16" s="143"/>
    </row>
    <row r="17" spans="1:39" x14ac:dyDescent="0.35">
      <c r="A17" s="69" t="s">
        <v>4124</v>
      </c>
      <c r="B17" s="41">
        <v>1131400212</v>
      </c>
      <c r="C17" s="41"/>
      <c r="D17" s="69"/>
      <c r="E17" s="41">
        <v>0</v>
      </c>
      <c r="F17" s="41" t="s">
        <v>46</v>
      </c>
      <c r="G17" s="69" t="s">
        <v>45</v>
      </c>
      <c r="H17" s="41">
        <v>9001000001</v>
      </c>
      <c r="I17" s="41" t="s">
        <v>47</v>
      </c>
      <c r="J17" s="41">
        <v>1202010202</v>
      </c>
      <c r="K17" s="41"/>
      <c r="L17" s="52" t="s">
        <v>55</v>
      </c>
      <c r="M17" s="69" t="s">
        <v>49</v>
      </c>
      <c r="N17" s="69"/>
      <c r="O17" s="69">
        <v>1</v>
      </c>
      <c r="P17" s="69" t="s">
        <v>50</v>
      </c>
      <c r="Q17" s="69" t="s">
        <v>51</v>
      </c>
      <c r="R17" s="69"/>
      <c r="S17" s="48">
        <v>39142</v>
      </c>
      <c r="T17" s="48">
        <v>43340</v>
      </c>
      <c r="U17" s="69"/>
      <c r="V17" s="69"/>
      <c r="W17" s="69"/>
      <c r="X17" s="69"/>
      <c r="Y17" s="69" t="s">
        <v>4125</v>
      </c>
      <c r="Z17" s="52">
        <v>4925000</v>
      </c>
      <c r="AA17" s="43" t="s">
        <v>52</v>
      </c>
      <c r="AB17" s="43" t="s">
        <v>53</v>
      </c>
      <c r="AC17" s="85">
        <v>6753</v>
      </c>
      <c r="AD17" s="141">
        <v>18</v>
      </c>
      <c r="AE17" s="142">
        <v>6</v>
      </c>
      <c r="AF17" s="69" t="str">
        <f t="shared" si="0"/>
        <v>6 years 128 days</v>
      </c>
      <c r="AG17" s="69">
        <v>6</v>
      </c>
      <c r="AH17" s="69">
        <v>128</v>
      </c>
      <c r="AI17" s="69">
        <v>4925000</v>
      </c>
      <c r="AJ17" s="67">
        <v>1689801</v>
      </c>
      <c r="AK17" s="69">
        <v>2025</v>
      </c>
      <c r="AL17" s="61">
        <v>132004.12364874873</v>
      </c>
      <c r="AM17" s="143"/>
    </row>
    <row r="18" spans="1:39" x14ac:dyDescent="0.35">
      <c r="A18" s="69" t="s">
        <v>4124</v>
      </c>
      <c r="B18" s="41">
        <v>1131400574</v>
      </c>
      <c r="C18" s="41"/>
      <c r="D18" s="69"/>
      <c r="E18" s="41">
        <v>0</v>
      </c>
      <c r="F18" s="41" t="s">
        <v>46</v>
      </c>
      <c r="G18" s="69" t="s">
        <v>45</v>
      </c>
      <c r="H18" s="41">
        <v>9001000001</v>
      </c>
      <c r="I18" s="41" t="s">
        <v>47</v>
      </c>
      <c r="J18" s="41">
        <v>1202010202</v>
      </c>
      <c r="K18" s="41"/>
      <c r="L18" s="52" t="s">
        <v>57</v>
      </c>
      <c r="M18" s="69" t="s">
        <v>49</v>
      </c>
      <c r="N18" s="69"/>
      <c r="O18" s="69">
        <v>1</v>
      </c>
      <c r="P18" s="69" t="s">
        <v>50</v>
      </c>
      <c r="Q18" s="69" t="s">
        <v>51</v>
      </c>
      <c r="R18" s="69"/>
      <c r="S18" s="48">
        <v>40574</v>
      </c>
      <c r="T18" s="48">
        <v>43340</v>
      </c>
      <c r="U18" s="69"/>
      <c r="V18" s="69"/>
      <c r="W18" s="69"/>
      <c r="X18" s="69"/>
      <c r="Y18" s="69" t="s">
        <v>4125</v>
      </c>
      <c r="Z18" s="52">
        <v>1375000</v>
      </c>
      <c r="AA18" s="43" t="s">
        <v>52</v>
      </c>
      <c r="AB18" s="43" t="s">
        <v>53</v>
      </c>
      <c r="AC18" s="85">
        <v>8176</v>
      </c>
      <c r="AD18" s="141">
        <v>22</v>
      </c>
      <c r="AE18" s="142">
        <v>5</v>
      </c>
      <c r="AF18" s="69" t="str">
        <f t="shared" si="0"/>
        <v>6 years 128 days</v>
      </c>
      <c r="AG18" s="69">
        <v>6</v>
      </c>
      <c r="AH18" s="69">
        <v>128</v>
      </c>
      <c r="AI18" s="69">
        <v>1375000</v>
      </c>
      <c r="AJ18" s="67">
        <v>389662</v>
      </c>
      <c r="AK18" s="69">
        <v>2025</v>
      </c>
      <c r="AL18" s="61">
        <v>30439.516634050873</v>
      </c>
      <c r="AM18" s="143"/>
    </row>
    <row r="19" spans="1:39" x14ac:dyDescent="0.35">
      <c r="A19" s="69" t="s">
        <v>4124</v>
      </c>
      <c r="B19" s="41">
        <v>1131400670</v>
      </c>
      <c r="C19" s="41"/>
      <c r="D19" s="69"/>
      <c r="E19" s="41">
        <v>0</v>
      </c>
      <c r="F19" s="41" t="s">
        <v>46</v>
      </c>
      <c r="G19" s="69" t="s">
        <v>45</v>
      </c>
      <c r="H19" s="41">
        <v>9001000001</v>
      </c>
      <c r="I19" s="41" t="s">
        <v>47</v>
      </c>
      <c r="J19" s="41">
        <v>1202010202</v>
      </c>
      <c r="K19" s="41"/>
      <c r="L19" s="52" t="s">
        <v>59</v>
      </c>
      <c r="M19" s="69" t="s">
        <v>49</v>
      </c>
      <c r="N19" s="69"/>
      <c r="O19" s="69">
        <v>1</v>
      </c>
      <c r="P19" s="69" t="s">
        <v>50</v>
      </c>
      <c r="Q19" s="69" t="s">
        <v>51</v>
      </c>
      <c r="R19" s="69"/>
      <c r="S19" s="48">
        <v>40847</v>
      </c>
      <c r="T19" s="48">
        <v>43340</v>
      </c>
      <c r="U19" s="69"/>
      <c r="V19" s="69"/>
      <c r="W19" s="69"/>
      <c r="X19" s="69"/>
      <c r="Y19" s="69" t="s">
        <v>4125</v>
      </c>
      <c r="Z19" s="52">
        <v>2525000</v>
      </c>
      <c r="AA19" s="43" t="s">
        <v>52</v>
      </c>
      <c r="AB19" s="43" t="s">
        <v>53</v>
      </c>
      <c r="AC19" s="85">
        <v>8468</v>
      </c>
      <c r="AD19" s="141">
        <v>23</v>
      </c>
      <c r="AE19" s="142">
        <v>2</v>
      </c>
      <c r="AF19" s="69" t="str">
        <f t="shared" si="0"/>
        <v>6 years 128 days</v>
      </c>
      <c r="AG19" s="69">
        <v>6</v>
      </c>
      <c r="AH19" s="69">
        <v>128</v>
      </c>
      <c r="AI19" s="69">
        <v>2525000</v>
      </c>
      <c r="AJ19" s="67">
        <v>690886</v>
      </c>
      <c r="AK19" s="69">
        <v>2025</v>
      </c>
      <c r="AL19" s="61">
        <v>53971.109116674634</v>
      </c>
      <c r="AM19" s="143"/>
    </row>
    <row r="20" spans="1:39" x14ac:dyDescent="0.35">
      <c r="A20" s="69" t="s">
        <v>4124</v>
      </c>
      <c r="B20" s="41">
        <v>1131400713</v>
      </c>
      <c r="C20" s="41"/>
      <c r="D20" s="69"/>
      <c r="E20" s="41">
        <v>0</v>
      </c>
      <c r="F20" s="41" t="s">
        <v>46</v>
      </c>
      <c r="G20" s="69" t="s">
        <v>45</v>
      </c>
      <c r="H20" s="41">
        <v>9001000001</v>
      </c>
      <c r="I20" s="41" t="s">
        <v>47</v>
      </c>
      <c r="J20" s="41">
        <v>1202010202</v>
      </c>
      <c r="K20" s="41"/>
      <c r="L20" s="52" t="s">
        <v>61</v>
      </c>
      <c r="M20" s="69" t="s">
        <v>49</v>
      </c>
      <c r="N20" s="69"/>
      <c r="O20" s="69">
        <v>1</v>
      </c>
      <c r="P20" s="69" t="s">
        <v>50</v>
      </c>
      <c r="Q20" s="69" t="s">
        <v>51</v>
      </c>
      <c r="R20" s="69"/>
      <c r="S20" s="48">
        <v>40999</v>
      </c>
      <c r="T20" s="48">
        <v>43340</v>
      </c>
      <c r="U20" s="69"/>
      <c r="V20" s="69"/>
      <c r="W20" s="69"/>
      <c r="X20" s="69"/>
      <c r="Y20" s="69" t="s">
        <v>4125</v>
      </c>
      <c r="Z20" s="52">
        <v>3200000</v>
      </c>
      <c r="AA20" s="43" t="s">
        <v>52</v>
      </c>
      <c r="AB20" s="43" t="s">
        <v>53</v>
      </c>
      <c r="AC20" s="85">
        <v>8614</v>
      </c>
      <c r="AD20" s="141">
        <v>23</v>
      </c>
      <c r="AE20" s="142">
        <v>7</v>
      </c>
      <c r="AF20" s="69" t="str">
        <f t="shared" si="0"/>
        <v>6 years 128 days</v>
      </c>
      <c r="AG20" s="69">
        <v>6</v>
      </c>
      <c r="AH20" s="69">
        <v>128</v>
      </c>
      <c r="AI20" s="69">
        <v>3200000</v>
      </c>
      <c r="AJ20" s="67">
        <v>860738</v>
      </c>
      <c r="AK20" s="69">
        <v>2025</v>
      </c>
      <c r="AL20" s="61">
        <v>67239.710703506018</v>
      </c>
      <c r="AM20" s="143"/>
    </row>
    <row r="21" spans="1:39" x14ac:dyDescent="0.35">
      <c r="A21" s="69" t="s">
        <v>4124</v>
      </c>
      <c r="B21" s="41">
        <v>1131400975</v>
      </c>
      <c r="C21" s="41"/>
      <c r="D21" s="69"/>
      <c r="E21" s="41">
        <v>0</v>
      </c>
      <c r="F21" s="41" t="s">
        <v>46</v>
      </c>
      <c r="G21" s="69" t="s">
        <v>45</v>
      </c>
      <c r="H21" s="41">
        <v>9001000001</v>
      </c>
      <c r="I21" s="41" t="s">
        <v>47</v>
      </c>
      <c r="J21" s="41">
        <v>1202010202</v>
      </c>
      <c r="K21" s="41"/>
      <c r="L21" s="52" t="s">
        <v>63</v>
      </c>
      <c r="M21" s="69" t="s">
        <v>49</v>
      </c>
      <c r="N21" s="69"/>
      <c r="O21" s="69">
        <v>1</v>
      </c>
      <c r="P21" s="69" t="s">
        <v>50</v>
      </c>
      <c r="Q21" s="69" t="s">
        <v>51</v>
      </c>
      <c r="R21" s="69"/>
      <c r="S21" s="48">
        <v>41364</v>
      </c>
      <c r="T21" s="48">
        <v>43340</v>
      </c>
      <c r="U21" s="69"/>
      <c r="V21" s="69"/>
      <c r="W21" s="69"/>
      <c r="X21" s="69"/>
      <c r="Y21" s="69" t="s">
        <v>4125</v>
      </c>
      <c r="Z21" s="52">
        <v>16675000</v>
      </c>
      <c r="AA21" s="43" t="s">
        <v>52</v>
      </c>
      <c r="AB21" s="43" t="s">
        <v>53</v>
      </c>
      <c r="AC21" s="85">
        <v>8979</v>
      </c>
      <c r="AD21" s="141">
        <v>24</v>
      </c>
      <c r="AE21" s="142">
        <v>7</v>
      </c>
      <c r="AF21" s="69" t="str">
        <f t="shared" si="0"/>
        <v>6 years 128 days</v>
      </c>
      <c r="AG21" s="69">
        <v>6</v>
      </c>
      <c r="AH21" s="69">
        <v>128</v>
      </c>
      <c r="AI21" s="69">
        <v>16675000</v>
      </c>
      <c r="AJ21" s="67">
        <v>4302926</v>
      </c>
      <c r="AK21" s="69">
        <v>2025</v>
      </c>
      <c r="AL21" s="61">
        <v>336137.37008575536</v>
      </c>
      <c r="AM21" s="143"/>
    </row>
    <row r="22" spans="1:39" x14ac:dyDescent="0.35">
      <c r="A22" s="69" t="s">
        <v>4124</v>
      </c>
      <c r="B22" s="41">
        <v>1131401678</v>
      </c>
      <c r="C22" s="41"/>
      <c r="D22" s="69"/>
      <c r="E22" s="41">
        <v>0</v>
      </c>
      <c r="F22" s="41" t="s">
        <v>46</v>
      </c>
      <c r="G22" s="69" t="s">
        <v>45</v>
      </c>
      <c r="H22" s="41">
        <v>9001000001</v>
      </c>
      <c r="I22" s="41" t="s">
        <v>47</v>
      </c>
      <c r="J22" s="41">
        <v>1202010202</v>
      </c>
      <c r="K22" s="41"/>
      <c r="L22" s="52" t="s">
        <v>65</v>
      </c>
      <c r="M22" s="69" t="s">
        <v>66</v>
      </c>
      <c r="N22" s="69"/>
      <c r="O22" s="69">
        <v>4</v>
      </c>
      <c r="P22" s="69" t="s">
        <v>50</v>
      </c>
      <c r="Q22" s="69" t="s">
        <v>51</v>
      </c>
      <c r="R22" s="69"/>
      <c r="S22" s="48">
        <v>42217</v>
      </c>
      <c r="T22" s="48">
        <v>43340</v>
      </c>
      <c r="U22" s="69"/>
      <c r="V22" s="69"/>
      <c r="W22" s="69"/>
      <c r="X22" s="69"/>
      <c r="Y22" s="69" t="s">
        <v>4125</v>
      </c>
      <c r="Z22" s="52">
        <v>55000</v>
      </c>
      <c r="AA22" s="43" t="s">
        <v>52</v>
      </c>
      <c r="AB22" s="43" t="s">
        <v>53</v>
      </c>
      <c r="AC22" s="85">
        <v>9819</v>
      </c>
      <c r="AD22" s="141">
        <v>26</v>
      </c>
      <c r="AE22" s="142">
        <v>11</v>
      </c>
      <c r="AF22" s="69" t="str">
        <f t="shared" si="0"/>
        <v>6 years 128 days</v>
      </c>
      <c r="AG22" s="69">
        <v>6</v>
      </c>
      <c r="AH22" s="69">
        <v>128</v>
      </c>
      <c r="AI22" s="69">
        <v>55000</v>
      </c>
      <c r="AJ22" s="67">
        <v>12978</v>
      </c>
      <c r="AK22" s="69">
        <v>2025</v>
      </c>
      <c r="AL22" s="61">
        <v>1014.2599042672373</v>
      </c>
      <c r="AM22" s="143"/>
    </row>
    <row r="23" spans="1:39" x14ac:dyDescent="0.35">
      <c r="A23" s="69" t="s">
        <v>4124</v>
      </c>
      <c r="B23" s="41">
        <v>1131402939</v>
      </c>
      <c r="C23" s="41"/>
      <c r="D23" s="69"/>
      <c r="E23" s="41">
        <v>0</v>
      </c>
      <c r="F23" s="41" t="s">
        <v>46</v>
      </c>
      <c r="G23" s="69" t="s">
        <v>45</v>
      </c>
      <c r="H23" s="41">
        <v>9001000002</v>
      </c>
      <c r="I23" s="41" t="s">
        <v>47</v>
      </c>
      <c r="J23" s="41">
        <v>1202010202</v>
      </c>
      <c r="K23" s="41"/>
      <c r="L23" s="52" t="s">
        <v>96</v>
      </c>
      <c r="M23" s="69" t="s">
        <v>97</v>
      </c>
      <c r="N23" s="69"/>
      <c r="O23" s="69">
        <v>1</v>
      </c>
      <c r="P23" s="69" t="s">
        <v>50</v>
      </c>
      <c r="Q23" s="69" t="s">
        <v>51</v>
      </c>
      <c r="R23" s="69"/>
      <c r="S23" s="48">
        <v>43577</v>
      </c>
      <c r="T23" s="48">
        <v>43577</v>
      </c>
      <c r="U23" s="69"/>
      <c r="V23" s="69"/>
      <c r="W23" s="69"/>
      <c r="X23" s="69"/>
      <c r="Y23" s="69" t="s">
        <v>4126</v>
      </c>
      <c r="Z23" s="52">
        <v>103395</v>
      </c>
      <c r="AA23" s="43" t="s">
        <v>52</v>
      </c>
      <c r="AB23" s="43" t="s">
        <v>53</v>
      </c>
      <c r="AC23" s="85">
        <v>10950</v>
      </c>
      <c r="AD23" s="141">
        <v>30</v>
      </c>
      <c r="AE23" s="142">
        <v>0</v>
      </c>
      <c r="AF23" s="69" t="str">
        <f t="shared" si="0"/>
        <v>5 years 256 days</v>
      </c>
      <c r="AG23" s="69">
        <v>5</v>
      </c>
      <c r="AH23" s="69">
        <v>256</v>
      </c>
      <c r="AI23" s="69">
        <v>103395</v>
      </c>
      <c r="AJ23" s="67">
        <v>19650</v>
      </c>
      <c r="AK23" s="69">
        <v>2025</v>
      </c>
      <c r="AL23" s="61">
        <v>1708.8575342465738</v>
      </c>
      <c r="AM23" s="143"/>
    </row>
    <row r="24" spans="1:39" x14ac:dyDescent="0.35">
      <c r="A24" s="69" t="s">
        <v>4124</v>
      </c>
      <c r="B24" s="41">
        <v>1131403183</v>
      </c>
      <c r="C24" s="41"/>
      <c r="D24" s="69"/>
      <c r="E24" s="41">
        <v>0</v>
      </c>
      <c r="F24" s="41" t="s">
        <v>46</v>
      </c>
      <c r="G24" s="69" t="s">
        <v>45</v>
      </c>
      <c r="H24" s="41">
        <v>9001000002</v>
      </c>
      <c r="I24" s="41" t="s">
        <v>47</v>
      </c>
      <c r="J24" s="41">
        <v>1202010202</v>
      </c>
      <c r="K24" s="41"/>
      <c r="L24" s="52" t="s">
        <v>99</v>
      </c>
      <c r="M24" s="69" t="s">
        <v>100</v>
      </c>
      <c r="N24" s="69"/>
      <c r="O24" s="69">
        <v>1</v>
      </c>
      <c r="P24" s="69" t="s">
        <v>50</v>
      </c>
      <c r="Q24" s="69" t="s">
        <v>51</v>
      </c>
      <c r="R24" s="69"/>
      <c r="S24" s="48">
        <v>43817</v>
      </c>
      <c r="T24" s="48">
        <v>43817</v>
      </c>
      <c r="U24" s="69"/>
      <c r="V24" s="69"/>
      <c r="W24" s="69"/>
      <c r="X24" s="69"/>
      <c r="Y24" s="69" t="s">
        <v>4126</v>
      </c>
      <c r="Z24" s="52">
        <v>576753</v>
      </c>
      <c r="AA24" s="43" t="s">
        <v>52</v>
      </c>
      <c r="AB24" s="43" t="s">
        <v>53</v>
      </c>
      <c r="AC24" s="85">
        <v>10950</v>
      </c>
      <c r="AD24" s="141">
        <v>30</v>
      </c>
      <c r="AE24" s="142">
        <v>0</v>
      </c>
      <c r="AF24" s="69" t="str">
        <f t="shared" si="0"/>
        <v>5 years 16 days</v>
      </c>
      <c r="AG24" s="69">
        <v>5</v>
      </c>
      <c r="AH24" s="69">
        <v>16</v>
      </c>
      <c r="AI24" s="69">
        <v>576753</v>
      </c>
      <c r="AJ24" s="67">
        <v>96968</v>
      </c>
      <c r="AK24" s="69">
        <v>2025</v>
      </c>
      <c r="AL24" s="61">
        <v>9533.78684931506</v>
      </c>
      <c r="AM24" s="143"/>
    </row>
    <row r="25" spans="1:39" x14ac:dyDescent="0.35">
      <c r="A25" s="69" t="s">
        <v>4124</v>
      </c>
      <c r="B25" s="41">
        <v>1131403175</v>
      </c>
      <c r="C25" s="41"/>
      <c r="D25" s="69"/>
      <c r="E25" s="41">
        <v>0</v>
      </c>
      <c r="F25" s="41" t="s">
        <v>46</v>
      </c>
      <c r="G25" s="69" t="s">
        <v>45</v>
      </c>
      <c r="H25" s="41">
        <v>9001000002</v>
      </c>
      <c r="I25" s="41" t="s">
        <v>47</v>
      </c>
      <c r="J25" s="41">
        <v>1202010202</v>
      </c>
      <c r="K25" s="41"/>
      <c r="L25" s="52" t="s">
        <v>102</v>
      </c>
      <c r="M25" s="69" t="s">
        <v>103</v>
      </c>
      <c r="N25" s="69"/>
      <c r="O25" s="69">
        <v>1</v>
      </c>
      <c r="P25" s="69" t="s">
        <v>50</v>
      </c>
      <c r="Q25" s="69" t="s">
        <v>51</v>
      </c>
      <c r="R25" s="69"/>
      <c r="S25" s="48">
        <v>43801</v>
      </c>
      <c r="T25" s="48">
        <v>43801</v>
      </c>
      <c r="U25" s="69"/>
      <c r="V25" s="69"/>
      <c r="W25" s="69"/>
      <c r="X25" s="69"/>
      <c r="Y25" s="69" t="s">
        <v>4126</v>
      </c>
      <c r="Z25" s="52">
        <v>200669</v>
      </c>
      <c r="AA25" s="43" t="s">
        <v>52</v>
      </c>
      <c r="AB25" s="43" t="s">
        <v>53</v>
      </c>
      <c r="AC25" s="85">
        <v>10950</v>
      </c>
      <c r="AD25" s="141">
        <v>30</v>
      </c>
      <c r="AE25" s="142">
        <v>0</v>
      </c>
      <c r="AF25" s="69" t="str">
        <f t="shared" si="0"/>
        <v>5 years 32 days</v>
      </c>
      <c r="AG25" s="69">
        <v>5</v>
      </c>
      <c r="AH25" s="69">
        <v>32</v>
      </c>
      <c r="AI25" s="69">
        <v>200669</v>
      </c>
      <c r="AJ25" s="67">
        <v>33143</v>
      </c>
      <c r="AK25" s="69">
        <v>2025</v>
      </c>
      <c r="AL25" s="61">
        <v>3317.2282191780832</v>
      </c>
      <c r="AM25" s="143"/>
    </row>
    <row r="26" spans="1:39" x14ac:dyDescent="0.35">
      <c r="A26" s="69" t="s">
        <v>4124</v>
      </c>
      <c r="B26" s="41">
        <v>1131403093</v>
      </c>
      <c r="C26" s="41"/>
      <c r="D26" s="69"/>
      <c r="E26" s="41">
        <v>0</v>
      </c>
      <c r="F26" s="41" t="s">
        <v>46</v>
      </c>
      <c r="G26" s="69" t="s">
        <v>45</v>
      </c>
      <c r="H26" s="41">
        <v>9001000003</v>
      </c>
      <c r="I26" s="41" t="s">
        <v>47</v>
      </c>
      <c r="J26" s="41">
        <v>1202010202</v>
      </c>
      <c r="K26" s="41"/>
      <c r="L26" s="52" t="s">
        <v>105</v>
      </c>
      <c r="M26" s="69" t="s">
        <v>106</v>
      </c>
      <c r="N26" s="69"/>
      <c r="O26" s="69">
        <v>1</v>
      </c>
      <c r="P26" s="69" t="s">
        <v>50</v>
      </c>
      <c r="Q26" s="69" t="s">
        <v>51</v>
      </c>
      <c r="R26" s="69"/>
      <c r="S26" s="48">
        <v>43781</v>
      </c>
      <c r="T26" s="48">
        <v>43781</v>
      </c>
      <c r="U26" s="69"/>
      <c r="V26" s="69"/>
      <c r="W26" s="69"/>
      <c r="X26" s="69"/>
      <c r="Y26" s="69" t="s">
        <v>4126</v>
      </c>
      <c r="Z26" s="52">
        <v>733982</v>
      </c>
      <c r="AA26" s="43" t="s">
        <v>52</v>
      </c>
      <c r="AB26" s="43" t="s">
        <v>53</v>
      </c>
      <c r="AC26" s="85">
        <v>10950</v>
      </c>
      <c r="AD26" s="141">
        <v>30</v>
      </c>
      <c r="AE26" s="142">
        <v>0</v>
      </c>
      <c r="AF26" s="69" t="str">
        <f t="shared" si="0"/>
        <v>5 years 52 days</v>
      </c>
      <c r="AG26" s="69">
        <v>5</v>
      </c>
      <c r="AH26" s="69">
        <v>52</v>
      </c>
      <c r="AI26" s="69">
        <v>733982</v>
      </c>
      <c r="AJ26" s="67">
        <v>125816</v>
      </c>
      <c r="AK26" s="69">
        <v>2025</v>
      </c>
      <c r="AL26" s="61">
        <v>12132.397808219161</v>
      </c>
      <c r="AM26" s="143"/>
    </row>
    <row r="27" spans="1:39" x14ac:dyDescent="0.35">
      <c r="A27" s="69" t="s">
        <v>4124</v>
      </c>
      <c r="B27" s="41">
        <v>1131403088</v>
      </c>
      <c r="C27" s="41"/>
      <c r="D27" s="69"/>
      <c r="E27" s="41">
        <v>0</v>
      </c>
      <c r="F27" s="41" t="s">
        <v>46</v>
      </c>
      <c r="G27" s="69" t="s">
        <v>45</v>
      </c>
      <c r="H27" s="41">
        <v>9001000004</v>
      </c>
      <c r="I27" s="41" t="s">
        <v>47</v>
      </c>
      <c r="J27" s="41">
        <v>1202010202</v>
      </c>
      <c r="K27" s="41"/>
      <c r="L27" s="52" t="s">
        <v>108</v>
      </c>
      <c r="M27" s="69" t="s">
        <v>109</v>
      </c>
      <c r="N27" s="69"/>
      <c r="O27" s="69">
        <v>1</v>
      </c>
      <c r="P27" s="69" t="s">
        <v>50</v>
      </c>
      <c r="Q27" s="69" t="s">
        <v>51</v>
      </c>
      <c r="R27" s="69"/>
      <c r="S27" s="48">
        <v>43771</v>
      </c>
      <c r="T27" s="48">
        <v>43771</v>
      </c>
      <c r="U27" s="69"/>
      <c r="V27" s="69"/>
      <c r="W27" s="69"/>
      <c r="X27" s="69"/>
      <c r="Y27" s="69" t="s">
        <v>4126</v>
      </c>
      <c r="Z27" s="52">
        <v>457331</v>
      </c>
      <c r="AA27" s="43" t="s">
        <v>52</v>
      </c>
      <c r="AB27" s="43" t="s">
        <v>53</v>
      </c>
      <c r="AC27" s="85">
        <v>10950</v>
      </c>
      <c r="AD27" s="141">
        <v>30</v>
      </c>
      <c r="AE27" s="142">
        <v>0</v>
      </c>
      <c r="AF27" s="69" t="str">
        <f t="shared" si="0"/>
        <v>5 years 62 days</v>
      </c>
      <c r="AG27" s="69">
        <v>5</v>
      </c>
      <c r="AH27" s="69">
        <v>62</v>
      </c>
      <c r="AI27" s="69">
        <v>457331</v>
      </c>
      <c r="AJ27" s="67">
        <v>78811</v>
      </c>
      <c r="AK27" s="69">
        <v>2025</v>
      </c>
      <c r="AL27" s="61">
        <v>7559.8226484018232</v>
      </c>
      <c r="AM27" s="143"/>
    </row>
    <row r="28" spans="1:39" x14ac:dyDescent="0.35">
      <c r="A28" s="69" t="s">
        <v>4124</v>
      </c>
      <c r="B28" s="41">
        <v>1131403188</v>
      </c>
      <c r="C28" s="41"/>
      <c r="D28" s="69"/>
      <c r="E28" s="41">
        <v>0</v>
      </c>
      <c r="F28" s="41" t="s">
        <v>46</v>
      </c>
      <c r="G28" s="69" t="s">
        <v>45</v>
      </c>
      <c r="H28" s="41">
        <v>9001000004</v>
      </c>
      <c r="I28" s="41" t="s">
        <v>47</v>
      </c>
      <c r="J28" s="41">
        <v>1202010202</v>
      </c>
      <c r="K28" s="41"/>
      <c r="L28" s="52" t="s">
        <v>111</v>
      </c>
      <c r="M28" s="69" t="s">
        <v>112</v>
      </c>
      <c r="N28" s="69"/>
      <c r="O28" s="69">
        <v>1</v>
      </c>
      <c r="P28" s="69" t="s">
        <v>50</v>
      </c>
      <c r="Q28" s="69" t="s">
        <v>51</v>
      </c>
      <c r="R28" s="69"/>
      <c r="S28" s="48">
        <v>43821</v>
      </c>
      <c r="T28" s="48">
        <v>43821</v>
      </c>
      <c r="U28" s="69"/>
      <c r="V28" s="69"/>
      <c r="W28" s="69"/>
      <c r="X28" s="69"/>
      <c r="Y28" s="69" t="s">
        <v>4126</v>
      </c>
      <c r="Z28" s="52">
        <v>111953</v>
      </c>
      <c r="AA28" s="43" t="s">
        <v>52</v>
      </c>
      <c r="AB28" s="43" t="s">
        <v>53</v>
      </c>
      <c r="AC28" s="85">
        <v>10950</v>
      </c>
      <c r="AD28" s="141">
        <v>30</v>
      </c>
      <c r="AE28" s="142">
        <v>0</v>
      </c>
      <c r="AF28" s="69" t="str">
        <f t="shared" si="0"/>
        <v>5 years 12 days</v>
      </c>
      <c r="AG28" s="69">
        <v>5</v>
      </c>
      <c r="AH28" s="69">
        <v>12</v>
      </c>
      <c r="AI28" s="69">
        <v>111953</v>
      </c>
      <c r="AJ28" s="67">
        <v>18782</v>
      </c>
      <c r="AK28" s="69">
        <v>2025</v>
      </c>
      <c r="AL28" s="61">
        <v>1850.0688584474883</v>
      </c>
      <c r="AM28" s="143"/>
    </row>
    <row r="29" spans="1:39" x14ac:dyDescent="0.35">
      <c r="A29" s="69" t="s">
        <v>4124</v>
      </c>
      <c r="B29" s="41">
        <v>1131403286</v>
      </c>
      <c r="C29" s="41"/>
      <c r="D29" s="69"/>
      <c r="E29" s="41">
        <v>0</v>
      </c>
      <c r="F29" s="41" t="s">
        <v>46</v>
      </c>
      <c r="G29" s="69" t="s">
        <v>45</v>
      </c>
      <c r="H29" s="41">
        <v>9001000005</v>
      </c>
      <c r="I29" s="41" t="s">
        <v>47</v>
      </c>
      <c r="J29" s="41">
        <v>1202010202</v>
      </c>
      <c r="K29" s="41"/>
      <c r="L29" s="52" t="s">
        <v>114</v>
      </c>
      <c r="M29" s="69" t="s">
        <v>115</v>
      </c>
      <c r="N29" s="69"/>
      <c r="O29" s="69">
        <v>1</v>
      </c>
      <c r="P29" s="69" t="s">
        <v>50</v>
      </c>
      <c r="Q29" s="69" t="s">
        <v>51</v>
      </c>
      <c r="R29" s="69"/>
      <c r="S29" s="48">
        <v>43931</v>
      </c>
      <c r="T29" s="48">
        <v>43931</v>
      </c>
      <c r="U29" s="69"/>
      <c r="V29" s="69"/>
      <c r="W29" s="69"/>
      <c r="X29" s="69"/>
      <c r="Y29" s="69" t="s">
        <v>4127</v>
      </c>
      <c r="Z29" s="52">
        <v>790821</v>
      </c>
      <c r="AA29" s="43" t="s">
        <v>52</v>
      </c>
      <c r="AB29" s="43" t="s">
        <v>53</v>
      </c>
      <c r="AC29" s="85">
        <v>10950</v>
      </c>
      <c r="AD29" s="141">
        <v>30</v>
      </c>
      <c r="AE29" s="142">
        <v>0</v>
      </c>
      <c r="AF29" s="69" t="str">
        <f t="shared" si="0"/>
        <v>4 years 267 days</v>
      </c>
      <c r="AG29" s="69">
        <v>4</v>
      </c>
      <c r="AH29" s="69">
        <v>267</v>
      </c>
      <c r="AI29" s="69">
        <v>790821</v>
      </c>
      <c r="AJ29" s="67">
        <v>124726</v>
      </c>
      <c r="AK29" s="69">
        <v>2025</v>
      </c>
      <c r="AL29" s="61">
        <v>13071.850958904106</v>
      </c>
      <c r="AM29" s="143"/>
    </row>
    <row r="30" spans="1:39" x14ac:dyDescent="0.35">
      <c r="A30" s="69" t="s">
        <v>4124</v>
      </c>
      <c r="B30" s="41">
        <v>1131403288</v>
      </c>
      <c r="C30" s="41"/>
      <c r="D30" s="69"/>
      <c r="E30" s="41">
        <v>0</v>
      </c>
      <c r="F30" s="41" t="s">
        <v>46</v>
      </c>
      <c r="G30" s="69" t="s">
        <v>45</v>
      </c>
      <c r="H30" s="41">
        <v>9001000006</v>
      </c>
      <c r="I30" s="41" t="s">
        <v>47</v>
      </c>
      <c r="J30" s="41">
        <v>1202010202</v>
      </c>
      <c r="K30" s="41"/>
      <c r="L30" s="52" t="s">
        <v>117</v>
      </c>
      <c r="M30" s="69" t="s">
        <v>118</v>
      </c>
      <c r="N30" s="69"/>
      <c r="O30" s="69">
        <v>1</v>
      </c>
      <c r="P30" s="69" t="s">
        <v>50</v>
      </c>
      <c r="Q30" s="69" t="s">
        <v>51</v>
      </c>
      <c r="R30" s="69"/>
      <c r="S30" s="48">
        <v>43931</v>
      </c>
      <c r="T30" s="48">
        <v>43931</v>
      </c>
      <c r="U30" s="69"/>
      <c r="V30" s="69"/>
      <c r="W30" s="69"/>
      <c r="X30" s="69"/>
      <c r="Y30" s="69" t="s">
        <v>4127</v>
      </c>
      <c r="Z30" s="52">
        <v>32667</v>
      </c>
      <c r="AA30" s="43" t="s">
        <v>52</v>
      </c>
      <c r="AB30" s="43" t="s">
        <v>53</v>
      </c>
      <c r="AC30" s="85">
        <v>10950</v>
      </c>
      <c r="AD30" s="141">
        <v>30</v>
      </c>
      <c r="AE30" s="142">
        <v>0</v>
      </c>
      <c r="AF30" s="69" t="str">
        <f t="shared" si="0"/>
        <v>4 years 267 days</v>
      </c>
      <c r="AG30" s="69">
        <v>4</v>
      </c>
      <c r="AH30" s="69">
        <v>267</v>
      </c>
      <c r="AI30" s="69">
        <v>32667</v>
      </c>
      <c r="AJ30" s="67">
        <v>5152</v>
      </c>
      <c r="AK30" s="69">
        <v>2025</v>
      </c>
      <c r="AL30" s="61">
        <v>540.11287671232913</v>
      </c>
      <c r="AM30" s="143"/>
    </row>
    <row r="31" spans="1:39" x14ac:dyDescent="0.35">
      <c r="A31" s="69" t="s">
        <v>4124</v>
      </c>
      <c r="B31" s="41">
        <v>1131403289</v>
      </c>
      <c r="C31" s="41"/>
      <c r="D31" s="69"/>
      <c r="E31" s="41">
        <v>0</v>
      </c>
      <c r="F31" s="41" t="s">
        <v>46</v>
      </c>
      <c r="G31" s="69" t="s">
        <v>45</v>
      </c>
      <c r="H31" s="41">
        <v>9001000006</v>
      </c>
      <c r="I31" s="41" t="s">
        <v>47</v>
      </c>
      <c r="J31" s="41">
        <v>1202010202</v>
      </c>
      <c r="K31" s="41"/>
      <c r="L31" s="52" t="s">
        <v>120</v>
      </c>
      <c r="M31" s="69" t="s">
        <v>121</v>
      </c>
      <c r="N31" s="69"/>
      <c r="O31" s="69">
        <v>1</v>
      </c>
      <c r="P31" s="69" t="s">
        <v>50</v>
      </c>
      <c r="Q31" s="69" t="s">
        <v>51</v>
      </c>
      <c r="R31" s="69"/>
      <c r="S31" s="48">
        <v>43931</v>
      </c>
      <c r="T31" s="48">
        <v>43931</v>
      </c>
      <c r="U31" s="69"/>
      <c r="V31" s="69"/>
      <c r="W31" s="69"/>
      <c r="X31" s="69"/>
      <c r="Y31" s="69" t="s">
        <v>4127</v>
      </c>
      <c r="Z31" s="52">
        <v>216737</v>
      </c>
      <c r="AA31" s="43" t="s">
        <v>52</v>
      </c>
      <c r="AB31" s="43" t="s">
        <v>53</v>
      </c>
      <c r="AC31" s="85">
        <v>10950</v>
      </c>
      <c r="AD31" s="141">
        <v>30</v>
      </c>
      <c r="AE31" s="142">
        <v>0</v>
      </c>
      <c r="AF31" s="69" t="str">
        <f t="shared" si="0"/>
        <v>4 years 267 days</v>
      </c>
      <c r="AG31" s="69">
        <v>4</v>
      </c>
      <c r="AH31" s="69">
        <v>267</v>
      </c>
      <c r="AI31" s="69">
        <v>216737</v>
      </c>
      <c r="AJ31" s="67">
        <v>34183</v>
      </c>
      <c r="AK31" s="69">
        <v>2025</v>
      </c>
      <c r="AL31" s="61">
        <v>3582.6800000000003</v>
      </c>
      <c r="AM31" s="143"/>
    </row>
    <row r="32" spans="1:39" x14ac:dyDescent="0.35">
      <c r="A32" s="69" t="s">
        <v>4124</v>
      </c>
      <c r="B32" s="41">
        <v>1131403491</v>
      </c>
      <c r="C32" s="41"/>
      <c r="D32" s="69"/>
      <c r="E32" s="41">
        <v>0</v>
      </c>
      <c r="F32" s="41" t="s">
        <v>46</v>
      </c>
      <c r="G32" s="69" t="s">
        <v>45</v>
      </c>
      <c r="H32" s="41">
        <v>9001000007</v>
      </c>
      <c r="I32" s="41" t="s">
        <v>47</v>
      </c>
      <c r="J32" s="41">
        <v>1202010202</v>
      </c>
      <c r="K32" s="41"/>
      <c r="L32" s="52" t="s">
        <v>123</v>
      </c>
      <c r="M32" s="69" t="s">
        <v>124</v>
      </c>
      <c r="N32" s="69"/>
      <c r="O32" s="69">
        <v>1</v>
      </c>
      <c r="P32" s="69" t="s">
        <v>50</v>
      </c>
      <c r="Q32" s="69" t="s">
        <v>51</v>
      </c>
      <c r="R32" s="69"/>
      <c r="S32" s="48">
        <v>44183</v>
      </c>
      <c r="T32" s="48">
        <v>44183</v>
      </c>
      <c r="U32" s="69"/>
      <c r="V32" s="69"/>
      <c r="W32" s="69"/>
      <c r="X32" s="69"/>
      <c r="Y32" s="69" t="s">
        <v>4127</v>
      </c>
      <c r="Z32" s="52">
        <v>67468</v>
      </c>
      <c r="AA32" s="43" t="s">
        <v>52</v>
      </c>
      <c r="AB32" s="43" t="s">
        <v>53</v>
      </c>
      <c r="AC32" s="85">
        <v>10950</v>
      </c>
      <c r="AD32" s="141">
        <v>30</v>
      </c>
      <c r="AE32" s="142">
        <v>0</v>
      </c>
      <c r="AF32" s="69" t="str">
        <f t="shared" si="0"/>
        <v>4 years 15 days</v>
      </c>
      <c r="AG32" s="69">
        <v>4</v>
      </c>
      <c r="AH32" s="69">
        <v>15</v>
      </c>
      <c r="AI32" s="69">
        <v>67468</v>
      </c>
      <c r="AJ32" s="67">
        <v>9088</v>
      </c>
      <c r="AK32" s="69">
        <v>2025</v>
      </c>
      <c r="AL32" s="61">
        <v>1115.3797260273986</v>
      </c>
      <c r="AM32" s="143"/>
    </row>
    <row r="33" spans="1:39" x14ac:dyDescent="0.35">
      <c r="A33" s="69" t="s">
        <v>4124</v>
      </c>
      <c r="B33" s="41">
        <v>1131403492</v>
      </c>
      <c r="C33" s="41"/>
      <c r="D33" s="69"/>
      <c r="E33" s="41">
        <v>0</v>
      </c>
      <c r="F33" s="41" t="s">
        <v>46</v>
      </c>
      <c r="G33" s="69" t="s">
        <v>45</v>
      </c>
      <c r="H33" s="41">
        <v>9001000007</v>
      </c>
      <c r="I33" s="41" t="s">
        <v>47</v>
      </c>
      <c r="J33" s="41">
        <v>1202010202</v>
      </c>
      <c r="K33" s="41"/>
      <c r="L33" s="52" t="s">
        <v>126</v>
      </c>
      <c r="M33" s="69" t="s">
        <v>127</v>
      </c>
      <c r="N33" s="69"/>
      <c r="O33" s="69">
        <v>1</v>
      </c>
      <c r="P33" s="69" t="s">
        <v>50</v>
      </c>
      <c r="Q33" s="69" t="s">
        <v>51</v>
      </c>
      <c r="R33" s="69"/>
      <c r="S33" s="48">
        <v>44185</v>
      </c>
      <c r="T33" s="48">
        <v>44185</v>
      </c>
      <c r="U33" s="69"/>
      <c r="V33" s="69"/>
      <c r="W33" s="69"/>
      <c r="X33" s="69"/>
      <c r="Y33" s="69" t="s">
        <v>4127</v>
      </c>
      <c r="Z33" s="52">
        <v>19636</v>
      </c>
      <c r="AA33" s="43" t="s">
        <v>52</v>
      </c>
      <c r="AB33" s="43" t="s">
        <v>53</v>
      </c>
      <c r="AC33" s="85">
        <v>10950</v>
      </c>
      <c r="AD33" s="141">
        <v>30</v>
      </c>
      <c r="AE33" s="142">
        <v>0</v>
      </c>
      <c r="AF33" s="69" t="str">
        <f t="shared" si="0"/>
        <v>4 years 13 days</v>
      </c>
      <c r="AG33" s="69">
        <v>4</v>
      </c>
      <c r="AH33" s="69">
        <v>13</v>
      </c>
      <c r="AI33" s="69">
        <v>19636</v>
      </c>
      <c r="AJ33" s="67">
        <v>2641</v>
      </c>
      <c r="AK33" s="69">
        <v>2025</v>
      </c>
      <c r="AL33" s="61">
        <v>325.02228310502232</v>
      </c>
      <c r="AM33" s="143"/>
    </row>
    <row r="34" spans="1:39" x14ac:dyDescent="0.35">
      <c r="A34" s="69" t="s">
        <v>4124</v>
      </c>
      <c r="B34" s="41">
        <v>1131403486</v>
      </c>
      <c r="C34" s="41"/>
      <c r="D34" s="69"/>
      <c r="E34" s="41">
        <v>0</v>
      </c>
      <c r="F34" s="41" t="s">
        <v>46</v>
      </c>
      <c r="G34" s="69" t="s">
        <v>45</v>
      </c>
      <c r="H34" s="41">
        <v>9001000007</v>
      </c>
      <c r="I34" s="41" t="s">
        <v>47</v>
      </c>
      <c r="J34" s="41">
        <v>1202010202</v>
      </c>
      <c r="K34" s="41"/>
      <c r="L34" s="52" t="s">
        <v>129</v>
      </c>
      <c r="M34" s="69" t="s">
        <v>130</v>
      </c>
      <c r="N34" s="69"/>
      <c r="O34" s="69">
        <v>1</v>
      </c>
      <c r="P34" s="69" t="s">
        <v>50</v>
      </c>
      <c r="Q34" s="69" t="s">
        <v>51</v>
      </c>
      <c r="R34" s="69"/>
      <c r="S34" s="48">
        <v>44177</v>
      </c>
      <c r="T34" s="48">
        <v>44177</v>
      </c>
      <c r="U34" s="69"/>
      <c r="V34" s="69"/>
      <c r="W34" s="69"/>
      <c r="X34" s="69"/>
      <c r="Y34" s="69" t="s">
        <v>4127</v>
      </c>
      <c r="Z34" s="52">
        <v>31242</v>
      </c>
      <c r="AA34" s="43" t="s">
        <v>52</v>
      </c>
      <c r="AB34" s="43" t="s">
        <v>53</v>
      </c>
      <c r="AC34" s="85">
        <v>10950</v>
      </c>
      <c r="AD34" s="141">
        <v>30</v>
      </c>
      <c r="AE34" s="142">
        <v>0</v>
      </c>
      <c r="AF34" s="69" t="str">
        <f t="shared" si="0"/>
        <v>4 years 21 days</v>
      </c>
      <c r="AG34" s="69">
        <v>4</v>
      </c>
      <c r="AH34" s="69">
        <v>21</v>
      </c>
      <c r="AI34" s="69">
        <v>31242</v>
      </c>
      <c r="AJ34" s="67">
        <v>4226</v>
      </c>
      <c r="AK34" s="69">
        <v>2025</v>
      </c>
      <c r="AL34" s="61">
        <v>515.93643835616422</v>
      </c>
      <c r="AM34" s="143"/>
    </row>
    <row r="35" spans="1:39" x14ac:dyDescent="0.35">
      <c r="A35" s="69" t="s">
        <v>4124</v>
      </c>
      <c r="B35" s="41">
        <v>1131403631</v>
      </c>
      <c r="C35" s="41"/>
      <c r="D35" s="69"/>
      <c r="E35" s="41">
        <v>0</v>
      </c>
      <c r="F35" s="41" t="s">
        <v>46</v>
      </c>
      <c r="G35" s="69" t="s">
        <v>45</v>
      </c>
      <c r="H35" s="41">
        <v>9001000008</v>
      </c>
      <c r="I35" s="41" t="s">
        <v>47</v>
      </c>
      <c r="J35" s="41">
        <v>1202010202</v>
      </c>
      <c r="K35" s="41"/>
      <c r="L35" s="52" t="s">
        <v>132</v>
      </c>
      <c r="M35" s="69" t="s">
        <v>133</v>
      </c>
      <c r="N35" s="69"/>
      <c r="O35" s="69">
        <v>1</v>
      </c>
      <c r="P35" s="69" t="s">
        <v>50</v>
      </c>
      <c r="Q35" s="69" t="s">
        <v>51</v>
      </c>
      <c r="R35" s="69"/>
      <c r="S35" s="48">
        <v>44291</v>
      </c>
      <c r="T35" s="48">
        <v>44291</v>
      </c>
      <c r="U35" s="69"/>
      <c r="V35" s="69"/>
      <c r="W35" s="69"/>
      <c r="X35" s="69"/>
      <c r="Y35" s="69" t="s">
        <v>4128</v>
      </c>
      <c r="Z35" s="52">
        <v>1227340</v>
      </c>
      <c r="AA35" s="43" t="s">
        <v>52</v>
      </c>
      <c r="AB35" s="43" t="s">
        <v>53</v>
      </c>
      <c r="AC35" s="85">
        <v>10950</v>
      </c>
      <c r="AD35" s="141">
        <v>30</v>
      </c>
      <c r="AE35" s="142">
        <v>0</v>
      </c>
      <c r="AF35" s="69" t="str">
        <f t="shared" si="0"/>
        <v>3 years 272 days</v>
      </c>
      <c r="AG35" s="69">
        <v>3</v>
      </c>
      <c r="AH35" s="69">
        <v>272</v>
      </c>
      <c r="AI35" s="69">
        <v>1227340</v>
      </c>
      <c r="AJ35" s="67">
        <v>153221</v>
      </c>
      <c r="AK35" s="69">
        <v>2025</v>
      </c>
      <c r="AL35" s="61">
        <v>20287.887671232893</v>
      </c>
      <c r="AM35" s="143"/>
    </row>
    <row r="36" spans="1:39" x14ac:dyDescent="0.35">
      <c r="A36" s="69" t="s">
        <v>4124</v>
      </c>
      <c r="B36" s="41">
        <v>1131403671</v>
      </c>
      <c r="C36" s="41"/>
      <c r="D36" s="69"/>
      <c r="E36" s="41">
        <v>0</v>
      </c>
      <c r="F36" s="41" t="s">
        <v>46</v>
      </c>
      <c r="G36" s="69" t="s">
        <v>45</v>
      </c>
      <c r="H36" s="41">
        <v>9001000008</v>
      </c>
      <c r="I36" s="41" t="s">
        <v>47</v>
      </c>
      <c r="J36" s="41">
        <v>1202010202</v>
      </c>
      <c r="K36" s="41"/>
      <c r="L36" s="52" t="s">
        <v>135</v>
      </c>
      <c r="M36" s="69" t="s">
        <v>136</v>
      </c>
      <c r="N36" s="69"/>
      <c r="O36" s="69">
        <v>1</v>
      </c>
      <c r="P36" s="69" t="s">
        <v>50</v>
      </c>
      <c r="Q36" s="69" t="s">
        <v>51</v>
      </c>
      <c r="R36" s="69"/>
      <c r="S36" s="48">
        <v>44320</v>
      </c>
      <c r="T36" s="48">
        <v>44320</v>
      </c>
      <c r="U36" s="69"/>
      <c r="V36" s="69"/>
      <c r="W36" s="69"/>
      <c r="X36" s="69"/>
      <c r="Y36" s="69" t="s">
        <v>4128</v>
      </c>
      <c r="Z36" s="52">
        <v>161347</v>
      </c>
      <c r="AA36" s="43" t="s">
        <v>52</v>
      </c>
      <c r="AB36" s="43" t="s">
        <v>53</v>
      </c>
      <c r="AC36" s="85">
        <v>10950</v>
      </c>
      <c r="AD36" s="141">
        <v>30</v>
      </c>
      <c r="AE36" s="142">
        <v>0</v>
      </c>
      <c r="AF36" s="69" t="str">
        <f t="shared" si="0"/>
        <v>3 years 243 days</v>
      </c>
      <c r="AG36" s="69">
        <v>3</v>
      </c>
      <c r="AH36" s="69">
        <v>243</v>
      </c>
      <c r="AI36" s="69">
        <v>161347</v>
      </c>
      <c r="AJ36" s="67">
        <v>19715</v>
      </c>
      <c r="AK36" s="69">
        <v>2025</v>
      </c>
      <c r="AL36" s="61">
        <v>2667.2915981735168</v>
      </c>
      <c r="AM36" s="143"/>
    </row>
    <row r="37" spans="1:39" x14ac:dyDescent="0.35">
      <c r="A37" s="69" t="s">
        <v>4124</v>
      </c>
      <c r="B37" s="41">
        <v>1131403632</v>
      </c>
      <c r="C37" s="41"/>
      <c r="D37" s="69"/>
      <c r="E37" s="41">
        <v>0</v>
      </c>
      <c r="F37" s="41" t="s">
        <v>46</v>
      </c>
      <c r="G37" s="69" t="s">
        <v>45</v>
      </c>
      <c r="H37" s="41">
        <v>9001000008</v>
      </c>
      <c r="I37" s="41" t="s">
        <v>47</v>
      </c>
      <c r="J37" s="41">
        <v>1202010202</v>
      </c>
      <c r="K37" s="41"/>
      <c r="L37" s="52" t="s">
        <v>138</v>
      </c>
      <c r="M37" s="69" t="s">
        <v>139</v>
      </c>
      <c r="N37" s="69"/>
      <c r="O37" s="69">
        <v>1</v>
      </c>
      <c r="P37" s="69" t="s">
        <v>50</v>
      </c>
      <c r="Q37" s="69" t="s">
        <v>51</v>
      </c>
      <c r="R37" s="69"/>
      <c r="S37" s="48">
        <v>44291</v>
      </c>
      <c r="T37" s="48">
        <v>44291</v>
      </c>
      <c r="U37" s="69"/>
      <c r="V37" s="69"/>
      <c r="W37" s="69"/>
      <c r="X37" s="69"/>
      <c r="Y37" s="69" t="s">
        <v>4128</v>
      </c>
      <c r="Z37" s="52">
        <v>230780</v>
      </c>
      <c r="AA37" s="43" t="s">
        <v>52</v>
      </c>
      <c r="AB37" s="43" t="s">
        <v>53</v>
      </c>
      <c r="AC37" s="85">
        <v>10950</v>
      </c>
      <c r="AD37" s="141">
        <v>30</v>
      </c>
      <c r="AE37" s="142">
        <v>0</v>
      </c>
      <c r="AF37" s="69" t="str">
        <f t="shared" si="0"/>
        <v>3 years 272 days</v>
      </c>
      <c r="AG37" s="69">
        <v>3</v>
      </c>
      <c r="AH37" s="69">
        <v>272</v>
      </c>
      <c r="AI37" s="69">
        <v>230780</v>
      </c>
      <c r="AJ37" s="67">
        <v>28811</v>
      </c>
      <c r="AK37" s="69">
        <v>2025</v>
      </c>
      <c r="AL37" s="61">
        <v>3814.3369863013722</v>
      </c>
      <c r="AM37" s="143"/>
    </row>
    <row r="38" spans="1:39" x14ac:dyDescent="0.35">
      <c r="A38" s="69" t="s">
        <v>4124</v>
      </c>
      <c r="B38" s="41">
        <v>1131403724</v>
      </c>
      <c r="C38" s="41"/>
      <c r="D38" s="69"/>
      <c r="E38" s="41">
        <v>0</v>
      </c>
      <c r="F38" s="41" t="s">
        <v>46</v>
      </c>
      <c r="G38" s="69" t="s">
        <v>45</v>
      </c>
      <c r="H38" s="41">
        <v>9001000009</v>
      </c>
      <c r="I38" s="41" t="s">
        <v>47</v>
      </c>
      <c r="J38" s="41">
        <v>1202010202</v>
      </c>
      <c r="K38" s="41"/>
      <c r="L38" s="52" t="s">
        <v>141</v>
      </c>
      <c r="M38" s="69" t="s">
        <v>142</v>
      </c>
      <c r="N38" s="69"/>
      <c r="O38" s="69">
        <v>1</v>
      </c>
      <c r="P38" s="69" t="s">
        <v>50</v>
      </c>
      <c r="Q38" s="69" t="s">
        <v>51</v>
      </c>
      <c r="R38" s="69"/>
      <c r="S38" s="48">
        <v>44357</v>
      </c>
      <c r="T38" s="48">
        <v>44357</v>
      </c>
      <c r="U38" s="69"/>
      <c r="V38" s="69"/>
      <c r="W38" s="69"/>
      <c r="X38" s="69"/>
      <c r="Y38" s="69" t="s">
        <v>4128</v>
      </c>
      <c r="Z38" s="52">
        <v>294555</v>
      </c>
      <c r="AA38" s="43" t="s">
        <v>52</v>
      </c>
      <c r="AB38" s="43" t="s">
        <v>53</v>
      </c>
      <c r="AC38" s="85">
        <v>10950</v>
      </c>
      <c r="AD38" s="141">
        <v>30</v>
      </c>
      <c r="AE38" s="142">
        <v>0</v>
      </c>
      <c r="AF38" s="69" t="str">
        <f t="shared" si="0"/>
        <v>3 years 206 days</v>
      </c>
      <c r="AG38" s="69">
        <v>3</v>
      </c>
      <c r="AH38" s="69">
        <v>206</v>
      </c>
      <c r="AI38" s="69">
        <v>294555</v>
      </c>
      <c r="AJ38" s="67">
        <v>34997</v>
      </c>
      <c r="AK38" s="69">
        <v>2025</v>
      </c>
      <c r="AL38" s="61">
        <v>4868.8000000000029</v>
      </c>
      <c r="AM38" s="143"/>
    </row>
    <row r="39" spans="1:39" x14ac:dyDescent="0.35">
      <c r="A39" s="69" t="s">
        <v>4124</v>
      </c>
      <c r="B39" s="41">
        <v>1131403820</v>
      </c>
      <c r="C39" s="41"/>
      <c r="D39" s="69"/>
      <c r="E39" s="41">
        <v>0</v>
      </c>
      <c r="F39" s="41" t="s">
        <v>46</v>
      </c>
      <c r="G39" s="69" t="s">
        <v>45</v>
      </c>
      <c r="H39" s="41">
        <v>9001000009</v>
      </c>
      <c r="I39" s="41" t="s">
        <v>47</v>
      </c>
      <c r="J39" s="41">
        <v>1202010202</v>
      </c>
      <c r="K39" s="41"/>
      <c r="L39" s="52" t="s">
        <v>144</v>
      </c>
      <c r="M39" s="69" t="s">
        <v>145</v>
      </c>
      <c r="N39" s="69"/>
      <c r="O39" s="69">
        <v>1</v>
      </c>
      <c r="P39" s="69" t="s">
        <v>50</v>
      </c>
      <c r="Q39" s="69" t="s">
        <v>51</v>
      </c>
      <c r="R39" s="69"/>
      <c r="S39" s="48">
        <v>44434</v>
      </c>
      <c r="T39" s="48">
        <v>44434</v>
      </c>
      <c r="U39" s="69"/>
      <c r="V39" s="69"/>
      <c r="W39" s="69"/>
      <c r="X39" s="69"/>
      <c r="Y39" s="69" t="s">
        <v>4128</v>
      </c>
      <c r="Z39" s="52">
        <v>551206</v>
      </c>
      <c r="AA39" s="43" t="s">
        <v>52</v>
      </c>
      <c r="AB39" s="43" t="s">
        <v>53</v>
      </c>
      <c r="AC39" s="85">
        <v>10950</v>
      </c>
      <c r="AD39" s="141">
        <v>30</v>
      </c>
      <c r="AE39" s="142">
        <v>0</v>
      </c>
      <c r="AF39" s="69" t="str">
        <f t="shared" si="0"/>
        <v>3 years 129 days</v>
      </c>
      <c r="AG39" s="69">
        <v>3</v>
      </c>
      <c r="AH39" s="69">
        <v>129</v>
      </c>
      <c r="AI39" s="69">
        <v>551206</v>
      </c>
      <c r="AJ39" s="67">
        <v>61614</v>
      </c>
      <c r="AK39" s="69">
        <v>2025</v>
      </c>
      <c r="AL39" s="61">
        <v>9111.5187214611942</v>
      </c>
      <c r="AM39" s="143"/>
    </row>
    <row r="40" spans="1:39" x14ac:dyDescent="0.35">
      <c r="A40" s="69" t="s">
        <v>4124</v>
      </c>
      <c r="B40" s="41">
        <v>1131403854</v>
      </c>
      <c r="C40" s="41"/>
      <c r="D40" s="69"/>
      <c r="E40" s="41">
        <v>0</v>
      </c>
      <c r="F40" s="41" t="s">
        <v>46</v>
      </c>
      <c r="G40" s="69" t="s">
        <v>45</v>
      </c>
      <c r="H40" s="41">
        <v>9001000010</v>
      </c>
      <c r="I40" s="41" t="s">
        <v>47</v>
      </c>
      <c r="J40" s="41">
        <v>1202010202</v>
      </c>
      <c r="K40" s="41"/>
      <c r="L40" s="52" t="s">
        <v>147</v>
      </c>
      <c r="M40" s="69" t="s">
        <v>148</v>
      </c>
      <c r="N40" s="69"/>
      <c r="O40" s="69">
        <v>1</v>
      </c>
      <c r="P40" s="69" t="s">
        <v>50</v>
      </c>
      <c r="Q40" s="69" t="s">
        <v>51</v>
      </c>
      <c r="R40" s="69"/>
      <c r="S40" s="48">
        <v>44470</v>
      </c>
      <c r="T40" s="48">
        <v>44470</v>
      </c>
      <c r="U40" s="69"/>
      <c r="V40" s="69"/>
      <c r="W40" s="69"/>
      <c r="X40" s="69"/>
      <c r="Y40" s="69" t="s">
        <v>4128</v>
      </c>
      <c r="Z40" s="52">
        <v>179360</v>
      </c>
      <c r="AA40" s="43" t="s">
        <v>52</v>
      </c>
      <c r="AB40" s="43" t="s">
        <v>53</v>
      </c>
      <c r="AC40" s="85">
        <v>10950</v>
      </c>
      <c r="AD40" s="141">
        <v>30</v>
      </c>
      <c r="AE40" s="142">
        <v>0</v>
      </c>
      <c r="AF40" s="69" t="str">
        <f t="shared" si="0"/>
        <v>3 years 93 days</v>
      </c>
      <c r="AG40" s="69">
        <v>3</v>
      </c>
      <c r="AH40" s="69">
        <v>93</v>
      </c>
      <c r="AI40" s="69">
        <v>179360</v>
      </c>
      <c r="AJ40" s="67">
        <v>19459</v>
      </c>
      <c r="AK40" s="69">
        <v>2025</v>
      </c>
      <c r="AL40" s="61">
        <v>2965.094977168952</v>
      </c>
      <c r="AM40" s="143"/>
    </row>
    <row r="41" spans="1:39" x14ac:dyDescent="0.35">
      <c r="A41" s="69" t="s">
        <v>4124</v>
      </c>
      <c r="B41" s="41">
        <v>1131403864</v>
      </c>
      <c r="C41" s="41"/>
      <c r="D41" s="69"/>
      <c r="E41" s="41">
        <v>0</v>
      </c>
      <c r="F41" s="41" t="s">
        <v>46</v>
      </c>
      <c r="G41" s="69" t="s">
        <v>45</v>
      </c>
      <c r="H41" s="41">
        <v>9001000010</v>
      </c>
      <c r="I41" s="41" t="s">
        <v>47</v>
      </c>
      <c r="J41" s="41">
        <v>1202010202</v>
      </c>
      <c r="K41" s="41"/>
      <c r="L41" s="52" t="s">
        <v>150</v>
      </c>
      <c r="M41" s="69" t="s">
        <v>151</v>
      </c>
      <c r="N41" s="69"/>
      <c r="O41" s="69">
        <v>1</v>
      </c>
      <c r="P41" s="69" t="s">
        <v>50</v>
      </c>
      <c r="Q41" s="69" t="s">
        <v>51</v>
      </c>
      <c r="R41" s="69"/>
      <c r="S41" s="48">
        <v>44481</v>
      </c>
      <c r="T41" s="48">
        <v>44481</v>
      </c>
      <c r="U41" s="69"/>
      <c r="V41" s="69"/>
      <c r="W41" s="69"/>
      <c r="X41" s="69"/>
      <c r="Y41" s="69" t="s">
        <v>4128</v>
      </c>
      <c r="Z41" s="52">
        <v>307831</v>
      </c>
      <c r="AA41" s="43" t="s">
        <v>52</v>
      </c>
      <c r="AB41" s="43" t="s">
        <v>53</v>
      </c>
      <c r="AC41" s="85">
        <v>10950</v>
      </c>
      <c r="AD41" s="141">
        <v>30</v>
      </c>
      <c r="AE41" s="142">
        <v>0</v>
      </c>
      <c r="AF41" s="69" t="str">
        <f t="shared" si="0"/>
        <v>3 years 82 days</v>
      </c>
      <c r="AG41" s="69">
        <v>3</v>
      </c>
      <c r="AH41" s="69">
        <v>82</v>
      </c>
      <c r="AI41" s="69">
        <v>307831</v>
      </c>
      <c r="AJ41" s="67">
        <v>33088</v>
      </c>
      <c r="AK41" s="69">
        <v>2025</v>
      </c>
      <c r="AL41" s="61">
        <v>5088.6664840182639</v>
      </c>
      <c r="AM41" s="143"/>
    </row>
    <row r="42" spans="1:39" x14ac:dyDescent="0.35">
      <c r="A42" s="69" t="s">
        <v>4124</v>
      </c>
      <c r="B42" s="41">
        <v>1131404996</v>
      </c>
      <c r="C42" s="41"/>
      <c r="D42" s="69"/>
      <c r="E42" s="41">
        <v>0</v>
      </c>
      <c r="F42" s="41" t="s">
        <v>46</v>
      </c>
      <c r="G42" s="69" t="s">
        <v>45</v>
      </c>
      <c r="H42" s="41">
        <v>9001000011</v>
      </c>
      <c r="I42" s="41" t="s">
        <v>47</v>
      </c>
      <c r="J42" s="41">
        <v>1202010202</v>
      </c>
      <c r="K42" s="41"/>
      <c r="L42" s="52" t="s">
        <v>153</v>
      </c>
      <c r="M42" s="69" t="s">
        <v>154</v>
      </c>
      <c r="N42" s="69"/>
      <c r="O42" s="69">
        <v>1</v>
      </c>
      <c r="P42" s="69" t="s">
        <v>50</v>
      </c>
      <c r="Q42" s="69" t="s">
        <v>51</v>
      </c>
      <c r="R42" s="69"/>
      <c r="S42" s="48">
        <v>45245</v>
      </c>
      <c r="T42" s="48">
        <v>45245</v>
      </c>
      <c r="U42" s="69"/>
      <c r="V42" s="69"/>
      <c r="W42" s="69"/>
      <c r="X42" s="69"/>
      <c r="Y42" s="69" t="s">
        <v>4129</v>
      </c>
      <c r="Z42" s="52">
        <v>697558.3</v>
      </c>
      <c r="AA42" s="43" t="s">
        <v>52</v>
      </c>
      <c r="AB42" s="43" t="s">
        <v>53</v>
      </c>
      <c r="AC42" s="85">
        <v>10950</v>
      </c>
      <c r="AD42" s="141">
        <v>30</v>
      </c>
      <c r="AE42" s="142">
        <v>0</v>
      </c>
      <c r="AF42" s="69" t="str">
        <f t="shared" si="0"/>
        <v>1 years 48 days</v>
      </c>
      <c r="AG42" s="69">
        <v>1</v>
      </c>
      <c r="AH42" s="69">
        <v>48</v>
      </c>
      <c r="AI42" s="69">
        <v>697558.3</v>
      </c>
      <c r="AJ42" s="67">
        <v>26310</v>
      </c>
      <c r="AK42" s="69">
        <v>2025</v>
      </c>
      <c r="AL42" s="61">
        <v>11530.148876712337</v>
      </c>
      <c r="AM42" s="143"/>
    </row>
    <row r="43" spans="1:39" x14ac:dyDescent="0.35">
      <c r="A43" s="69" t="s">
        <v>4124</v>
      </c>
      <c r="B43" s="41">
        <v>1131405135</v>
      </c>
      <c r="C43" s="41"/>
      <c r="D43" s="69"/>
      <c r="E43" s="41">
        <v>0</v>
      </c>
      <c r="F43" s="41" t="s">
        <v>46</v>
      </c>
      <c r="G43" s="69" t="s">
        <v>45</v>
      </c>
      <c r="H43" s="41">
        <v>9001000012</v>
      </c>
      <c r="I43" s="41" t="s">
        <v>47</v>
      </c>
      <c r="J43" s="41">
        <v>1202010202</v>
      </c>
      <c r="K43" s="41"/>
      <c r="L43" s="52" t="s">
        <v>156</v>
      </c>
      <c r="M43" s="69" t="s">
        <v>157</v>
      </c>
      <c r="N43" s="69"/>
      <c r="O43" s="69">
        <v>1</v>
      </c>
      <c r="P43" s="69" t="s">
        <v>50</v>
      </c>
      <c r="Q43" s="69" t="s">
        <v>51</v>
      </c>
      <c r="R43" s="69"/>
      <c r="S43" s="48">
        <v>45382</v>
      </c>
      <c r="T43" s="48">
        <v>45382</v>
      </c>
      <c r="U43" s="69"/>
      <c r="V43" s="69"/>
      <c r="W43" s="69"/>
      <c r="X43" s="69"/>
      <c r="Y43" s="69" t="s">
        <v>4130</v>
      </c>
      <c r="Z43" s="52">
        <v>53730</v>
      </c>
      <c r="AA43" s="43" t="s">
        <v>52</v>
      </c>
      <c r="AB43" s="43" t="s">
        <v>53</v>
      </c>
      <c r="AC43" s="85">
        <v>10950</v>
      </c>
      <c r="AD43" s="141">
        <v>30</v>
      </c>
      <c r="AE43" s="142">
        <v>0</v>
      </c>
      <c r="AF43" s="69" t="str">
        <f t="shared" si="0"/>
        <v>0 years 276 days</v>
      </c>
      <c r="AG43" s="69">
        <v>0</v>
      </c>
      <c r="AH43" s="69">
        <v>276</v>
      </c>
      <c r="AI43" s="69">
        <v>53730</v>
      </c>
      <c r="AJ43" s="67">
        <v>1359</v>
      </c>
      <c r="AK43" s="69">
        <v>2025</v>
      </c>
      <c r="AL43" s="61">
        <v>888.33698630136996</v>
      </c>
      <c r="AM43" s="143"/>
    </row>
    <row r="44" spans="1:39" x14ac:dyDescent="0.35">
      <c r="A44" s="69" t="s">
        <v>4124</v>
      </c>
      <c r="B44" s="41">
        <v>1131405136</v>
      </c>
      <c r="C44" s="41"/>
      <c r="D44" s="69"/>
      <c r="E44" s="41">
        <v>0</v>
      </c>
      <c r="F44" s="41" t="s">
        <v>46</v>
      </c>
      <c r="G44" s="69" t="s">
        <v>45</v>
      </c>
      <c r="H44" s="41">
        <v>9001000012</v>
      </c>
      <c r="I44" s="41" t="s">
        <v>47</v>
      </c>
      <c r="J44" s="41">
        <v>1202010202</v>
      </c>
      <c r="K44" s="41"/>
      <c r="L44" s="52" t="s">
        <v>159</v>
      </c>
      <c r="M44" s="69" t="s">
        <v>160</v>
      </c>
      <c r="N44" s="69"/>
      <c r="O44" s="69">
        <v>1</v>
      </c>
      <c r="P44" s="69" t="s">
        <v>50</v>
      </c>
      <c r="Q44" s="69" t="s">
        <v>51</v>
      </c>
      <c r="R44" s="69"/>
      <c r="S44" s="48">
        <v>45382</v>
      </c>
      <c r="T44" s="48">
        <v>45382</v>
      </c>
      <c r="U44" s="69"/>
      <c r="V44" s="69"/>
      <c r="W44" s="69"/>
      <c r="X44" s="69"/>
      <c r="Y44" s="69" t="s">
        <v>4130</v>
      </c>
      <c r="Z44" s="52">
        <v>26621</v>
      </c>
      <c r="AA44" s="43" t="s">
        <v>52</v>
      </c>
      <c r="AB44" s="43" t="s">
        <v>53</v>
      </c>
      <c r="AC44" s="85">
        <v>10950</v>
      </c>
      <c r="AD44" s="141">
        <v>30</v>
      </c>
      <c r="AE44" s="142">
        <v>0</v>
      </c>
      <c r="AF44" s="69" t="str">
        <f t="shared" si="0"/>
        <v>0 years 276 days</v>
      </c>
      <c r="AG44" s="69">
        <v>0</v>
      </c>
      <c r="AH44" s="69">
        <v>276</v>
      </c>
      <c r="AI44" s="69">
        <v>26621</v>
      </c>
      <c r="AJ44" s="67">
        <v>673</v>
      </c>
      <c r="AK44" s="69">
        <v>2025</v>
      </c>
      <c r="AL44" s="61">
        <v>440.46283105022849</v>
      </c>
      <c r="AM44" s="143"/>
    </row>
    <row r="45" spans="1:39" x14ac:dyDescent="0.35">
      <c r="A45" s="69" t="s">
        <v>4124</v>
      </c>
      <c r="B45" s="41">
        <v>1131405137</v>
      </c>
      <c r="C45" s="41"/>
      <c r="D45" s="69"/>
      <c r="E45" s="41">
        <v>0</v>
      </c>
      <c r="F45" s="41" t="s">
        <v>46</v>
      </c>
      <c r="G45" s="69" t="s">
        <v>45</v>
      </c>
      <c r="H45" s="41">
        <v>9001000012</v>
      </c>
      <c r="I45" s="41" t="s">
        <v>47</v>
      </c>
      <c r="J45" s="41">
        <v>1202010202</v>
      </c>
      <c r="K45" s="41"/>
      <c r="L45" s="52" t="s">
        <v>162</v>
      </c>
      <c r="M45" s="69" t="s">
        <v>163</v>
      </c>
      <c r="N45" s="69"/>
      <c r="O45" s="69">
        <v>1</v>
      </c>
      <c r="P45" s="69" t="s">
        <v>50</v>
      </c>
      <c r="Q45" s="69" t="s">
        <v>51</v>
      </c>
      <c r="R45" s="69"/>
      <c r="S45" s="48">
        <v>45382</v>
      </c>
      <c r="T45" s="48">
        <v>45382</v>
      </c>
      <c r="U45" s="69"/>
      <c r="V45" s="69"/>
      <c r="W45" s="69"/>
      <c r="X45" s="69"/>
      <c r="Y45" s="69" t="s">
        <v>4130</v>
      </c>
      <c r="Z45" s="52">
        <v>429486</v>
      </c>
      <c r="AA45" s="43" t="s">
        <v>52</v>
      </c>
      <c r="AB45" s="43" t="s">
        <v>53</v>
      </c>
      <c r="AC45" s="85">
        <v>10950</v>
      </c>
      <c r="AD45" s="141">
        <v>30</v>
      </c>
      <c r="AE45" s="142">
        <v>0</v>
      </c>
      <c r="AF45" s="69" t="str">
        <f t="shared" si="0"/>
        <v>0 years 276 days</v>
      </c>
      <c r="AG45" s="69">
        <v>0</v>
      </c>
      <c r="AH45" s="69">
        <v>276</v>
      </c>
      <c r="AI45" s="69">
        <v>429486</v>
      </c>
      <c r="AJ45" s="67">
        <v>10865</v>
      </c>
      <c r="AK45" s="69">
        <v>2025</v>
      </c>
      <c r="AL45" s="61">
        <v>7098.8893150684926</v>
      </c>
      <c r="AM45" s="143"/>
    </row>
    <row r="46" spans="1:39" x14ac:dyDescent="0.35">
      <c r="A46" s="69" t="s">
        <v>4124</v>
      </c>
      <c r="B46" s="41">
        <v>1131405156</v>
      </c>
      <c r="C46" s="41"/>
      <c r="D46" s="69"/>
      <c r="E46" s="41">
        <v>0</v>
      </c>
      <c r="F46" s="41" t="s">
        <v>46</v>
      </c>
      <c r="G46" s="69" t="s">
        <v>45</v>
      </c>
      <c r="H46" s="41">
        <v>9001000013</v>
      </c>
      <c r="I46" s="41" t="s">
        <v>47</v>
      </c>
      <c r="J46" s="41">
        <v>1202010202</v>
      </c>
      <c r="K46" s="41"/>
      <c r="L46" s="52" t="s">
        <v>165</v>
      </c>
      <c r="M46" s="69" t="s">
        <v>166</v>
      </c>
      <c r="N46" s="69"/>
      <c r="O46" s="69">
        <v>1</v>
      </c>
      <c r="P46" s="69" t="s">
        <v>50</v>
      </c>
      <c r="Q46" s="69" t="s">
        <v>51</v>
      </c>
      <c r="R46" s="69"/>
      <c r="S46" s="48">
        <v>45392</v>
      </c>
      <c r="T46" s="48">
        <v>45392</v>
      </c>
      <c r="U46" s="69"/>
      <c r="V46" s="69"/>
      <c r="W46" s="69"/>
      <c r="X46" s="69"/>
      <c r="Y46" s="69" t="s">
        <v>4130</v>
      </c>
      <c r="Z46" s="83">
        <v>228623.44</v>
      </c>
      <c r="AA46" s="43" t="s">
        <v>52</v>
      </c>
      <c r="AB46" s="43" t="s">
        <v>53</v>
      </c>
      <c r="AC46" s="85">
        <v>10950</v>
      </c>
      <c r="AD46" s="141">
        <v>30</v>
      </c>
      <c r="AE46" s="142">
        <v>0</v>
      </c>
      <c r="AF46" s="69" t="str">
        <f t="shared" si="0"/>
        <v>0 years 266 days</v>
      </c>
      <c r="AG46" s="69">
        <v>0</v>
      </c>
      <c r="AH46" s="69">
        <v>266</v>
      </c>
      <c r="AI46" s="69">
        <v>228623.44</v>
      </c>
      <c r="AJ46" s="67">
        <v>5554</v>
      </c>
      <c r="AK46" s="69">
        <v>2025</v>
      </c>
      <c r="AL46" s="61">
        <v>3778.8472767123294</v>
      </c>
      <c r="AM46" s="143"/>
    </row>
    <row r="47" spans="1:39" x14ac:dyDescent="0.35">
      <c r="A47" s="69" t="s">
        <v>4124</v>
      </c>
      <c r="B47" s="41">
        <v>1131103866</v>
      </c>
      <c r="C47" s="41"/>
      <c r="D47" s="69"/>
      <c r="E47" s="41">
        <v>0</v>
      </c>
      <c r="F47" s="41" t="s">
        <v>46</v>
      </c>
      <c r="G47" s="69" t="s">
        <v>45</v>
      </c>
      <c r="H47" s="41">
        <v>9001000014</v>
      </c>
      <c r="I47" s="41" t="s">
        <v>47</v>
      </c>
      <c r="J47" s="41">
        <v>1202010202</v>
      </c>
      <c r="K47" s="41"/>
      <c r="L47" s="52" t="s">
        <v>168</v>
      </c>
      <c r="M47" s="69" t="s">
        <v>169</v>
      </c>
      <c r="N47" s="69"/>
      <c r="O47" s="69">
        <v>1</v>
      </c>
      <c r="P47" s="69" t="s">
        <v>50</v>
      </c>
      <c r="Q47" s="69" t="s">
        <v>51</v>
      </c>
      <c r="R47" s="69"/>
      <c r="S47" s="48">
        <v>44484</v>
      </c>
      <c r="T47" s="48">
        <v>44484</v>
      </c>
      <c r="U47" s="69"/>
      <c r="V47" s="69"/>
      <c r="W47" s="69"/>
      <c r="X47" s="69"/>
      <c r="Y47" s="69" t="s">
        <v>4128</v>
      </c>
      <c r="Z47" s="52">
        <v>100103</v>
      </c>
      <c r="AA47" s="43" t="s">
        <v>52</v>
      </c>
      <c r="AB47" s="43" t="s">
        <v>53</v>
      </c>
      <c r="AC47" s="85">
        <v>10950</v>
      </c>
      <c r="AD47" s="141">
        <v>30</v>
      </c>
      <c r="AE47" s="142">
        <v>0</v>
      </c>
      <c r="AF47" s="69" t="str">
        <f t="shared" si="0"/>
        <v>3 years 79 days</v>
      </c>
      <c r="AG47" s="69">
        <v>3</v>
      </c>
      <c r="AH47" s="69">
        <v>79</v>
      </c>
      <c r="AI47" s="69">
        <v>100103</v>
      </c>
      <c r="AJ47" s="67">
        <v>10733</v>
      </c>
      <c r="AK47" s="69">
        <v>2025</v>
      </c>
      <c r="AL47" s="61">
        <v>1654.1748858447481</v>
      </c>
      <c r="AM47" s="143"/>
    </row>
    <row r="48" spans="1:39" x14ac:dyDescent="0.35">
      <c r="A48" s="69" t="s">
        <v>4124</v>
      </c>
      <c r="B48" s="41">
        <v>1131504444</v>
      </c>
      <c r="C48" s="41"/>
      <c r="D48" s="69"/>
      <c r="E48" s="41">
        <v>0</v>
      </c>
      <c r="F48" s="41" t="s">
        <v>46</v>
      </c>
      <c r="G48" s="69" t="s">
        <v>45</v>
      </c>
      <c r="H48" s="41">
        <v>9001000015</v>
      </c>
      <c r="I48" s="41" t="s">
        <v>47</v>
      </c>
      <c r="J48" s="41">
        <v>1202010202</v>
      </c>
      <c r="K48" s="41"/>
      <c r="L48" s="52" t="s">
        <v>171</v>
      </c>
      <c r="M48" s="69" t="s">
        <v>172</v>
      </c>
      <c r="N48" s="69"/>
      <c r="O48" s="69">
        <v>1</v>
      </c>
      <c r="P48" s="69" t="s">
        <v>50</v>
      </c>
      <c r="Q48" s="69" t="s">
        <v>51</v>
      </c>
      <c r="R48" s="69"/>
      <c r="S48" s="48">
        <v>43542</v>
      </c>
      <c r="T48" s="48">
        <v>43542</v>
      </c>
      <c r="U48" s="69"/>
      <c r="V48" s="69"/>
      <c r="W48" s="69"/>
      <c r="X48" s="69"/>
      <c r="Y48" s="69" t="s">
        <v>4126</v>
      </c>
      <c r="Z48" s="52">
        <v>6597</v>
      </c>
      <c r="AA48" s="43" t="s">
        <v>52</v>
      </c>
      <c r="AB48" s="43" t="s">
        <v>53</v>
      </c>
      <c r="AC48" s="85">
        <v>10950</v>
      </c>
      <c r="AD48" s="141">
        <v>30</v>
      </c>
      <c r="AE48" s="142">
        <v>0</v>
      </c>
      <c r="AF48" s="69" t="str">
        <f t="shared" si="0"/>
        <v>5 years 291 days</v>
      </c>
      <c r="AG48" s="69">
        <v>5</v>
      </c>
      <c r="AH48" s="69">
        <v>291</v>
      </c>
      <c r="AI48" s="69">
        <v>6597</v>
      </c>
      <c r="AJ48" s="67">
        <v>6597</v>
      </c>
      <c r="AK48" s="69">
        <v>2025</v>
      </c>
      <c r="AL48" s="61">
        <v>0</v>
      </c>
      <c r="AM48" s="143"/>
    </row>
    <row r="49" spans="1:39" x14ac:dyDescent="0.35">
      <c r="A49" s="69" t="s">
        <v>4124</v>
      </c>
      <c r="B49" s="41">
        <v>1131404646</v>
      </c>
      <c r="C49" s="41"/>
      <c r="D49" s="69"/>
      <c r="E49" s="41">
        <v>0</v>
      </c>
      <c r="F49" s="41" t="s">
        <v>46</v>
      </c>
      <c r="G49" s="69" t="s">
        <v>45</v>
      </c>
      <c r="H49" s="41">
        <v>9001000016</v>
      </c>
      <c r="I49" s="41" t="s">
        <v>47</v>
      </c>
      <c r="J49" s="41">
        <v>1202010202</v>
      </c>
      <c r="K49" s="41"/>
      <c r="L49" s="52" t="s">
        <v>174</v>
      </c>
      <c r="M49" s="69" t="s">
        <v>175</v>
      </c>
      <c r="N49" s="69"/>
      <c r="O49" s="69">
        <v>1</v>
      </c>
      <c r="P49" s="69" t="s">
        <v>50</v>
      </c>
      <c r="Q49" s="69" t="s">
        <v>51</v>
      </c>
      <c r="R49" s="69"/>
      <c r="S49" s="48">
        <v>44986</v>
      </c>
      <c r="T49" s="48">
        <v>44986</v>
      </c>
      <c r="U49" s="69"/>
      <c r="V49" s="69"/>
      <c r="W49" s="69"/>
      <c r="X49" s="69"/>
      <c r="Y49" s="69" t="s">
        <v>4129</v>
      </c>
      <c r="Z49" s="52">
        <v>151466365.19999999</v>
      </c>
      <c r="AA49" s="43" t="s">
        <v>52</v>
      </c>
      <c r="AB49" s="43" t="s">
        <v>53</v>
      </c>
      <c r="AC49" s="85">
        <v>10950</v>
      </c>
      <c r="AD49" s="141">
        <v>30</v>
      </c>
      <c r="AE49" s="142">
        <v>0</v>
      </c>
      <c r="AF49" s="69" t="str">
        <f t="shared" si="0"/>
        <v>1 years 307 days</v>
      </c>
      <c r="AG49" s="69">
        <v>1</v>
      </c>
      <c r="AH49" s="69">
        <v>307</v>
      </c>
      <c r="AI49" s="69">
        <v>151466365.19999999</v>
      </c>
      <c r="AJ49" s="67">
        <v>9295470</v>
      </c>
      <c r="AK49" s="69">
        <v>2025</v>
      </c>
      <c r="AL49" s="61">
        <v>2503690.6857899539</v>
      </c>
      <c r="AM49" s="143"/>
    </row>
    <row r="50" spans="1:39" x14ac:dyDescent="0.35">
      <c r="A50" s="69" t="s">
        <v>4124</v>
      </c>
      <c r="B50" s="41">
        <v>1131404732</v>
      </c>
      <c r="C50" s="41"/>
      <c r="D50" s="69"/>
      <c r="E50" s="41">
        <v>0</v>
      </c>
      <c r="F50" s="41" t="s">
        <v>46</v>
      </c>
      <c r="G50" s="69" t="s">
        <v>45</v>
      </c>
      <c r="H50" s="41">
        <v>9001000017</v>
      </c>
      <c r="I50" s="41" t="s">
        <v>47</v>
      </c>
      <c r="J50" s="41">
        <v>1202010202</v>
      </c>
      <c r="K50" s="41"/>
      <c r="L50" s="52" t="s">
        <v>177</v>
      </c>
      <c r="M50" s="69" t="s">
        <v>49</v>
      </c>
      <c r="N50" s="69"/>
      <c r="O50" s="69">
        <v>1</v>
      </c>
      <c r="P50" s="69" t="s">
        <v>50</v>
      </c>
      <c r="Q50" s="69" t="s">
        <v>51</v>
      </c>
      <c r="R50" s="69"/>
      <c r="S50" s="48">
        <v>45047</v>
      </c>
      <c r="T50" s="48">
        <v>45047</v>
      </c>
      <c r="U50" s="69"/>
      <c r="V50" s="69"/>
      <c r="W50" s="69"/>
      <c r="X50" s="69"/>
      <c r="Y50" s="69" t="s">
        <v>4129</v>
      </c>
      <c r="Z50" s="52">
        <v>3552291.3000000003</v>
      </c>
      <c r="AA50" s="43" t="s">
        <v>52</v>
      </c>
      <c r="AB50" s="43" t="s">
        <v>53</v>
      </c>
      <c r="AC50" s="85">
        <v>10950</v>
      </c>
      <c r="AD50" s="141">
        <v>30</v>
      </c>
      <c r="AE50" s="142">
        <v>0</v>
      </c>
      <c r="AF50" s="69" t="str">
        <f t="shared" si="0"/>
        <v>1 years 246 days</v>
      </c>
      <c r="AG50" s="69">
        <v>1</v>
      </c>
      <c r="AH50" s="69">
        <v>246</v>
      </c>
      <c r="AI50" s="69">
        <v>3552291.3000000003</v>
      </c>
      <c r="AJ50" s="67">
        <v>198215</v>
      </c>
      <c r="AK50" s="69">
        <v>2025</v>
      </c>
      <c r="AL50" s="61">
        <v>58717.850191780861</v>
      </c>
      <c r="AM50" s="143"/>
    </row>
    <row r="51" spans="1:39" x14ac:dyDescent="0.35">
      <c r="A51" s="69" t="s">
        <v>4124</v>
      </c>
      <c r="B51" s="41">
        <v>1131404801</v>
      </c>
      <c r="C51" s="41"/>
      <c r="D51" s="69"/>
      <c r="E51" s="41">
        <v>0</v>
      </c>
      <c r="F51" s="41" t="s">
        <v>46</v>
      </c>
      <c r="G51" s="69" t="s">
        <v>45</v>
      </c>
      <c r="H51" s="41">
        <v>9001000017</v>
      </c>
      <c r="I51" s="41" t="s">
        <v>47</v>
      </c>
      <c r="J51" s="41">
        <v>1202010202</v>
      </c>
      <c r="K51" s="41"/>
      <c r="L51" s="52" t="s">
        <v>179</v>
      </c>
      <c r="M51" s="69" t="s">
        <v>180</v>
      </c>
      <c r="N51" s="69"/>
      <c r="O51" s="69">
        <v>1</v>
      </c>
      <c r="P51" s="69" t="s">
        <v>50</v>
      </c>
      <c r="Q51" s="69" t="s">
        <v>51</v>
      </c>
      <c r="R51" s="69"/>
      <c r="S51" s="48">
        <v>45108</v>
      </c>
      <c r="T51" s="48">
        <v>45108</v>
      </c>
      <c r="U51" s="69"/>
      <c r="V51" s="69"/>
      <c r="W51" s="69"/>
      <c r="X51" s="69"/>
      <c r="Y51" s="69" t="s">
        <v>4129</v>
      </c>
      <c r="Z51" s="52">
        <v>47780</v>
      </c>
      <c r="AA51" s="43" t="s">
        <v>52</v>
      </c>
      <c r="AB51" s="43" t="s">
        <v>53</v>
      </c>
      <c r="AC51" s="85">
        <v>10950</v>
      </c>
      <c r="AD51" s="141">
        <v>30</v>
      </c>
      <c r="AE51" s="142">
        <v>0</v>
      </c>
      <c r="AF51" s="69" t="str">
        <f t="shared" si="0"/>
        <v>1 years 185 days</v>
      </c>
      <c r="AG51" s="69">
        <v>1</v>
      </c>
      <c r="AH51" s="69">
        <v>185</v>
      </c>
      <c r="AI51" s="69">
        <v>47780</v>
      </c>
      <c r="AJ51" s="67">
        <v>2400</v>
      </c>
      <c r="AK51" s="69">
        <v>2025</v>
      </c>
      <c r="AL51" s="61">
        <v>789.6968036529679</v>
      </c>
      <c r="AM51" s="143"/>
    </row>
    <row r="52" spans="1:39" x14ac:dyDescent="0.35">
      <c r="A52" s="69" t="s">
        <v>4124</v>
      </c>
      <c r="B52" s="41">
        <v>1131404809</v>
      </c>
      <c r="C52" s="41"/>
      <c r="D52" s="69"/>
      <c r="E52" s="41">
        <v>0</v>
      </c>
      <c r="F52" s="41" t="s">
        <v>46</v>
      </c>
      <c r="G52" s="69" t="s">
        <v>45</v>
      </c>
      <c r="H52" s="41">
        <v>9001000017</v>
      </c>
      <c r="I52" s="41" t="s">
        <v>47</v>
      </c>
      <c r="J52" s="41">
        <v>1202010202</v>
      </c>
      <c r="K52" s="41"/>
      <c r="L52" s="52" t="s">
        <v>182</v>
      </c>
      <c r="M52" s="69" t="s">
        <v>183</v>
      </c>
      <c r="N52" s="69"/>
      <c r="O52" s="69">
        <v>1</v>
      </c>
      <c r="P52" s="69" t="s">
        <v>50</v>
      </c>
      <c r="Q52" s="69" t="s">
        <v>51</v>
      </c>
      <c r="R52" s="69"/>
      <c r="S52" s="48">
        <v>45111</v>
      </c>
      <c r="T52" s="48">
        <v>45111</v>
      </c>
      <c r="U52" s="69"/>
      <c r="V52" s="69"/>
      <c r="W52" s="69"/>
      <c r="X52" s="69"/>
      <c r="Y52" s="69" t="s">
        <v>4129</v>
      </c>
      <c r="Z52" s="52">
        <v>34522</v>
      </c>
      <c r="AA52" s="43" t="s">
        <v>52</v>
      </c>
      <c r="AB52" s="43" t="s">
        <v>53</v>
      </c>
      <c r="AC52" s="85">
        <v>10950</v>
      </c>
      <c r="AD52" s="141">
        <v>30</v>
      </c>
      <c r="AE52" s="142">
        <v>0</v>
      </c>
      <c r="AF52" s="69" t="str">
        <f t="shared" si="0"/>
        <v>1 years 182 days</v>
      </c>
      <c r="AG52" s="69">
        <v>1</v>
      </c>
      <c r="AH52" s="69">
        <v>182</v>
      </c>
      <c r="AI52" s="69">
        <v>34522</v>
      </c>
      <c r="AJ52" s="67">
        <v>1725</v>
      </c>
      <c r="AK52" s="69">
        <v>2025</v>
      </c>
      <c r="AL52" s="61">
        <v>570.16127853881289</v>
      </c>
      <c r="AM52" s="143"/>
    </row>
    <row r="53" spans="1:39" x14ac:dyDescent="0.35">
      <c r="A53" s="69" t="s">
        <v>4124</v>
      </c>
      <c r="B53" s="41">
        <v>1131404920</v>
      </c>
      <c r="C53" s="41"/>
      <c r="D53" s="69"/>
      <c r="E53" s="41">
        <v>0</v>
      </c>
      <c r="F53" s="41" t="s">
        <v>46</v>
      </c>
      <c r="G53" s="69" t="s">
        <v>45</v>
      </c>
      <c r="H53" s="41">
        <v>9001000018</v>
      </c>
      <c r="I53" s="41" t="s">
        <v>47</v>
      </c>
      <c r="J53" s="41">
        <v>1202010202</v>
      </c>
      <c r="K53" s="41"/>
      <c r="L53" s="52" t="s">
        <v>185</v>
      </c>
      <c r="M53" s="69" t="s">
        <v>49</v>
      </c>
      <c r="N53" s="69"/>
      <c r="O53" s="69">
        <v>1</v>
      </c>
      <c r="P53" s="69" t="s">
        <v>50</v>
      </c>
      <c r="Q53" s="69" t="s">
        <v>51</v>
      </c>
      <c r="R53" s="69"/>
      <c r="S53" s="48">
        <v>45199</v>
      </c>
      <c r="T53" s="48">
        <v>45199</v>
      </c>
      <c r="U53" s="69"/>
      <c r="V53" s="69"/>
      <c r="W53" s="69"/>
      <c r="X53" s="69"/>
      <c r="Y53" s="69" t="s">
        <v>4129</v>
      </c>
      <c r="Z53" s="52">
        <v>9299379.75</v>
      </c>
      <c r="AA53" s="43" t="s">
        <v>52</v>
      </c>
      <c r="AB53" s="43" t="s">
        <v>53</v>
      </c>
      <c r="AC53" s="85">
        <v>10950</v>
      </c>
      <c r="AD53" s="141">
        <v>30</v>
      </c>
      <c r="AE53" s="142">
        <v>0</v>
      </c>
      <c r="AF53" s="69" t="str">
        <f t="shared" si="0"/>
        <v>1 years 94 days</v>
      </c>
      <c r="AG53" s="69">
        <v>1</v>
      </c>
      <c r="AH53" s="69">
        <v>94</v>
      </c>
      <c r="AI53" s="69">
        <v>9299379.75</v>
      </c>
      <c r="AJ53" s="67">
        <v>389810</v>
      </c>
      <c r="AK53" s="69">
        <v>2025</v>
      </c>
      <c r="AL53" s="61">
        <v>153715.39178082196</v>
      </c>
      <c r="AM53" s="143"/>
    </row>
    <row r="54" spans="1:39" x14ac:dyDescent="0.35">
      <c r="A54" s="69" t="s">
        <v>4124</v>
      </c>
      <c r="B54" s="41">
        <v>1131404966</v>
      </c>
      <c r="C54" s="41"/>
      <c r="D54" s="69"/>
      <c r="E54" s="41">
        <v>0</v>
      </c>
      <c r="F54" s="41" t="s">
        <v>46</v>
      </c>
      <c r="G54" s="69" t="s">
        <v>45</v>
      </c>
      <c r="H54" s="41">
        <v>9001000019</v>
      </c>
      <c r="I54" s="41" t="s">
        <v>47</v>
      </c>
      <c r="J54" s="41">
        <v>1202010202</v>
      </c>
      <c r="K54" s="41"/>
      <c r="L54" s="52" t="s">
        <v>187</v>
      </c>
      <c r="M54" s="69" t="s">
        <v>188</v>
      </c>
      <c r="N54" s="69"/>
      <c r="O54" s="69">
        <v>10</v>
      </c>
      <c r="P54" s="69" t="s">
        <v>50</v>
      </c>
      <c r="Q54" s="69" t="s">
        <v>51</v>
      </c>
      <c r="R54" s="69"/>
      <c r="S54" s="48">
        <v>45231</v>
      </c>
      <c r="T54" s="48">
        <v>45231</v>
      </c>
      <c r="U54" s="69"/>
      <c r="V54" s="69"/>
      <c r="W54" s="69"/>
      <c r="X54" s="69"/>
      <c r="Y54" s="69" t="s">
        <v>4129</v>
      </c>
      <c r="Z54" s="52">
        <v>474388</v>
      </c>
      <c r="AA54" s="43" t="s">
        <v>52</v>
      </c>
      <c r="AB54" s="43" t="s">
        <v>53</v>
      </c>
      <c r="AC54" s="85">
        <v>10950</v>
      </c>
      <c r="AD54" s="141">
        <v>30</v>
      </c>
      <c r="AE54" s="142">
        <v>0</v>
      </c>
      <c r="AF54" s="69" t="str">
        <f t="shared" si="0"/>
        <v>1 years 62 days</v>
      </c>
      <c r="AG54" s="69">
        <v>1</v>
      </c>
      <c r="AH54" s="69">
        <v>62</v>
      </c>
      <c r="AI54" s="69">
        <v>474388</v>
      </c>
      <c r="AJ54" s="67">
        <v>18499</v>
      </c>
      <c r="AK54" s="69">
        <v>2025</v>
      </c>
      <c r="AL54" s="61">
        <v>7841.4478538812764</v>
      </c>
      <c r="AM54" s="143"/>
    </row>
    <row r="55" spans="1:39" x14ac:dyDescent="0.35">
      <c r="A55" s="69" t="s">
        <v>4124</v>
      </c>
      <c r="B55" s="41">
        <v>1131404967</v>
      </c>
      <c r="C55" s="41"/>
      <c r="D55" s="69"/>
      <c r="E55" s="41">
        <v>0</v>
      </c>
      <c r="F55" s="41" t="s">
        <v>46</v>
      </c>
      <c r="G55" s="69" t="s">
        <v>45</v>
      </c>
      <c r="H55" s="41">
        <v>9001000019</v>
      </c>
      <c r="I55" s="41" t="s">
        <v>47</v>
      </c>
      <c r="J55" s="41">
        <v>1202010202</v>
      </c>
      <c r="K55" s="41"/>
      <c r="L55" s="52" t="s">
        <v>190</v>
      </c>
      <c r="M55" s="69" t="s">
        <v>191</v>
      </c>
      <c r="N55" s="69"/>
      <c r="O55" s="69">
        <v>47</v>
      </c>
      <c r="P55" s="69" t="s">
        <v>50</v>
      </c>
      <c r="Q55" s="69" t="s">
        <v>51</v>
      </c>
      <c r="R55" s="69"/>
      <c r="S55" s="48">
        <v>45231</v>
      </c>
      <c r="T55" s="48">
        <v>45231</v>
      </c>
      <c r="U55" s="69"/>
      <c r="V55" s="69"/>
      <c r="W55" s="69"/>
      <c r="X55" s="69"/>
      <c r="Y55" s="69" t="s">
        <v>4129</v>
      </c>
      <c r="Z55" s="52">
        <v>153400</v>
      </c>
      <c r="AA55" s="43" t="s">
        <v>52</v>
      </c>
      <c r="AB55" s="43" t="s">
        <v>53</v>
      </c>
      <c r="AC55" s="85">
        <v>10950</v>
      </c>
      <c r="AD55" s="141">
        <v>30</v>
      </c>
      <c r="AE55" s="142">
        <v>0</v>
      </c>
      <c r="AF55" s="69" t="str">
        <f t="shared" si="0"/>
        <v>1 years 62 days</v>
      </c>
      <c r="AG55" s="69">
        <v>1</v>
      </c>
      <c r="AH55" s="69">
        <v>62</v>
      </c>
      <c r="AI55" s="69">
        <v>153400</v>
      </c>
      <c r="AJ55" s="67">
        <v>5982</v>
      </c>
      <c r="AK55" s="69">
        <v>2025</v>
      </c>
      <c r="AL55" s="61">
        <v>2535.5525114155244</v>
      </c>
      <c r="AM55" s="143"/>
    </row>
    <row r="56" spans="1:39" x14ac:dyDescent="0.35">
      <c r="A56" s="69" t="s">
        <v>4124</v>
      </c>
      <c r="B56" s="41">
        <v>1131404968</v>
      </c>
      <c r="C56" s="41"/>
      <c r="D56" s="69"/>
      <c r="E56" s="41">
        <v>0</v>
      </c>
      <c r="F56" s="41" t="s">
        <v>46</v>
      </c>
      <c r="G56" s="69" t="s">
        <v>45</v>
      </c>
      <c r="H56" s="41">
        <v>9001000019</v>
      </c>
      <c r="I56" s="41" t="s">
        <v>47</v>
      </c>
      <c r="J56" s="41">
        <v>1202010202</v>
      </c>
      <c r="K56" s="41"/>
      <c r="L56" s="52" t="s">
        <v>193</v>
      </c>
      <c r="M56" s="69" t="s">
        <v>194</v>
      </c>
      <c r="N56" s="69"/>
      <c r="O56" s="69">
        <v>1</v>
      </c>
      <c r="P56" s="69" t="s">
        <v>50</v>
      </c>
      <c r="Q56" s="69" t="s">
        <v>51</v>
      </c>
      <c r="R56" s="69"/>
      <c r="S56" s="48">
        <v>45231</v>
      </c>
      <c r="T56" s="48">
        <v>45231</v>
      </c>
      <c r="U56" s="69"/>
      <c r="V56" s="69"/>
      <c r="W56" s="69"/>
      <c r="X56" s="69"/>
      <c r="Y56" s="69" t="s">
        <v>4129</v>
      </c>
      <c r="Z56" s="52">
        <v>54042</v>
      </c>
      <c r="AA56" s="43" t="s">
        <v>52</v>
      </c>
      <c r="AB56" s="43" t="s">
        <v>53</v>
      </c>
      <c r="AC56" s="85">
        <v>10950</v>
      </c>
      <c r="AD56" s="141">
        <v>30</v>
      </c>
      <c r="AE56" s="142">
        <v>0</v>
      </c>
      <c r="AF56" s="69" t="str">
        <f t="shared" si="0"/>
        <v>1 years 62 days</v>
      </c>
      <c r="AG56" s="69">
        <v>1</v>
      </c>
      <c r="AH56" s="69">
        <v>62</v>
      </c>
      <c r="AI56" s="69">
        <v>54042</v>
      </c>
      <c r="AJ56" s="67">
        <v>2107</v>
      </c>
      <c r="AK56" s="69">
        <v>2025</v>
      </c>
      <c r="AL56" s="61">
        <v>893.68821917808236</v>
      </c>
      <c r="AM56" s="143"/>
    </row>
    <row r="57" spans="1:39" x14ac:dyDescent="0.35">
      <c r="A57" s="69" t="s">
        <v>4124</v>
      </c>
      <c r="B57" s="41">
        <v>1131404969</v>
      </c>
      <c r="C57" s="41"/>
      <c r="D57" s="69"/>
      <c r="E57" s="41">
        <v>0</v>
      </c>
      <c r="F57" s="41" t="s">
        <v>46</v>
      </c>
      <c r="G57" s="69" t="s">
        <v>45</v>
      </c>
      <c r="H57" s="41">
        <v>9001000019</v>
      </c>
      <c r="I57" s="41" t="s">
        <v>47</v>
      </c>
      <c r="J57" s="41">
        <v>1202010202</v>
      </c>
      <c r="K57" s="41"/>
      <c r="L57" s="52" t="s">
        <v>196</v>
      </c>
      <c r="M57" s="69" t="s">
        <v>197</v>
      </c>
      <c r="N57" s="69"/>
      <c r="O57" s="69">
        <v>1</v>
      </c>
      <c r="P57" s="69" t="s">
        <v>50</v>
      </c>
      <c r="Q57" s="69" t="s">
        <v>51</v>
      </c>
      <c r="R57" s="69"/>
      <c r="S57" s="48">
        <v>45231</v>
      </c>
      <c r="T57" s="48">
        <v>45231</v>
      </c>
      <c r="U57" s="69"/>
      <c r="V57" s="69"/>
      <c r="W57" s="69"/>
      <c r="X57" s="69"/>
      <c r="Y57" s="69" t="s">
        <v>4129</v>
      </c>
      <c r="Z57" s="52">
        <v>3211253</v>
      </c>
      <c r="AA57" s="43" t="s">
        <v>52</v>
      </c>
      <c r="AB57" s="43" t="s">
        <v>53</v>
      </c>
      <c r="AC57" s="85">
        <v>10950</v>
      </c>
      <c r="AD57" s="141">
        <v>30</v>
      </c>
      <c r="AE57" s="142">
        <v>0</v>
      </c>
      <c r="AF57" s="69" t="str">
        <f t="shared" si="0"/>
        <v>1 years 62 days</v>
      </c>
      <c r="AG57" s="69">
        <v>1</v>
      </c>
      <c r="AH57" s="69">
        <v>62</v>
      </c>
      <c r="AI57" s="69">
        <v>3211253</v>
      </c>
      <c r="AJ57" s="67">
        <v>125224</v>
      </c>
      <c r="AK57" s="69">
        <v>2025</v>
      </c>
      <c r="AL57" s="61">
        <v>53081.189406392688</v>
      </c>
      <c r="AM57" s="143"/>
    </row>
    <row r="58" spans="1:39" x14ac:dyDescent="0.35">
      <c r="A58" s="69" t="s">
        <v>4124</v>
      </c>
      <c r="B58" s="41">
        <v>1131404970</v>
      </c>
      <c r="C58" s="41"/>
      <c r="D58" s="69"/>
      <c r="E58" s="41">
        <v>0</v>
      </c>
      <c r="F58" s="41" t="s">
        <v>46</v>
      </c>
      <c r="G58" s="69" t="s">
        <v>45</v>
      </c>
      <c r="H58" s="41">
        <v>9001000019</v>
      </c>
      <c r="I58" s="41" t="s">
        <v>47</v>
      </c>
      <c r="J58" s="41">
        <v>1202010202</v>
      </c>
      <c r="K58" s="41"/>
      <c r="L58" s="52" t="s">
        <v>199</v>
      </c>
      <c r="M58" s="69" t="s">
        <v>200</v>
      </c>
      <c r="N58" s="69"/>
      <c r="O58" s="69">
        <v>1</v>
      </c>
      <c r="P58" s="69" t="s">
        <v>50</v>
      </c>
      <c r="Q58" s="69" t="s">
        <v>51</v>
      </c>
      <c r="R58" s="69"/>
      <c r="S58" s="48">
        <v>45231</v>
      </c>
      <c r="T58" s="48">
        <v>45231</v>
      </c>
      <c r="U58" s="69"/>
      <c r="V58" s="69"/>
      <c r="W58" s="69"/>
      <c r="X58" s="69"/>
      <c r="Y58" s="69" t="s">
        <v>4129</v>
      </c>
      <c r="Z58" s="52">
        <v>111523</v>
      </c>
      <c r="AA58" s="43" t="s">
        <v>52</v>
      </c>
      <c r="AB58" s="43" t="s">
        <v>53</v>
      </c>
      <c r="AC58" s="85">
        <v>10950</v>
      </c>
      <c r="AD58" s="141">
        <v>30</v>
      </c>
      <c r="AE58" s="142">
        <v>0</v>
      </c>
      <c r="AF58" s="69" t="str">
        <f t="shared" si="0"/>
        <v>1 years 62 days</v>
      </c>
      <c r="AG58" s="69">
        <v>1</v>
      </c>
      <c r="AH58" s="69">
        <v>62</v>
      </c>
      <c r="AI58" s="69">
        <v>111523</v>
      </c>
      <c r="AJ58" s="67">
        <v>4349</v>
      </c>
      <c r="AK58" s="69">
        <v>2025</v>
      </c>
      <c r="AL58" s="61">
        <v>1843.3273059360727</v>
      </c>
      <c r="AM58" s="143"/>
    </row>
    <row r="59" spans="1:39" x14ac:dyDescent="0.35">
      <c r="A59" s="69" t="s">
        <v>4124</v>
      </c>
      <c r="B59" s="41">
        <v>1131404971</v>
      </c>
      <c r="C59" s="41"/>
      <c r="D59" s="69"/>
      <c r="E59" s="41">
        <v>0</v>
      </c>
      <c r="F59" s="41" t="s">
        <v>46</v>
      </c>
      <c r="G59" s="69" t="s">
        <v>45</v>
      </c>
      <c r="H59" s="41">
        <v>9001000019</v>
      </c>
      <c r="I59" s="41" t="s">
        <v>47</v>
      </c>
      <c r="J59" s="41">
        <v>1202010202</v>
      </c>
      <c r="K59" s="41"/>
      <c r="L59" s="52" t="s">
        <v>202</v>
      </c>
      <c r="M59" s="69" t="s">
        <v>203</v>
      </c>
      <c r="N59" s="69"/>
      <c r="O59" s="69">
        <v>1</v>
      </c>
      <c r="P59" s="69" t="s">
        <v>50</v>
      </c>
      <c r="Q59" s="69" t="s">
        <v>51</v>
      </c>
      <c r="R59" s="69"/>
      <c r="S59" s="48">
        <v>45231</v>
      </c>
      <c r="T59" s="48">
        <v>45231</v>
      </c>
      <c r="U59" s="69"/>
      <c r="V59" s="69"/>
      <c r="W59" s="69"/>
      <c r="X59" s="69"/>
      <c r="Y59" s="69" t="s">
        <v>4129</v>
      </c>
      <c r="Z59" s="52">
        <v>625968</v>
      </c>
      <c r="AA59" s="43" t="s">
        <v>52</v>
      </c>
      <c r="AB59" s="43" t="s">
        <v>53</v>
      </c>
      <c r="AC59" s="85">
        <v>10950</v>
      </c>
      <c r="AD59" s="141">
        <v>30</v>
      </c>
      <c r="AE59" s="142">
        <v>0</v>
      </c>
      <c r="AF59" s="69" t="str">
        <f t="shared" si="0"/>
        <v>1 years 62 days</v>
      </c>
      <c r="AG59" s="69">
        <v>1</v>
      </c>
      <c r="AH59" s="69">
        <v>62</v>
      </c>
      <c r="AI59" s="69">
        <v>625968</v>
      </c>
      <c r="AJ59" s="67">
        <v>24410</v>
      </c>
      <c r="AK59" s="69">
        <v>2025</v>
      </c>
      <c r="AL59" s="61">
        <v>10346.944657534244</v>
      </c>
      <c r="AM59" s="143"/>
    </row>
    <row r="60" spans="1:39" x14ac:dyDescent="0.35">
      <c r="A60" s="69" t="s">
        <v>4124</v>
      </c>
      <c r="B60" s="41">
        <v>1131404972</v>
      </c>
      <c r="C60" s="41"/>
      <c r="D60" s="69"/>
      <c r="E60" s="41">
        <v>0</v>
      </c>
      <c r="F60" s="41" t="s">
        <v>46</v>
      </c>
      <c r="G60" s="69" t="s">
        <v>45</v>
      </c>
      <c r="H60" s="41">
        <v>9001000019</v>
      </c>
      <c r="I60" s="41" t="s">
        <v>47</v>
      </c>
      <c r="J60" s="41">
        <v>1202010202</v>
      </c>
      <c r="K60" s="41"/>
      <c r="L60" s="52" t="s">
        <v>205</v>
      </c>
      <c r="M60" s="69" t="s">
        <v>206</v>
      </c>
      <c r="N60" s="69"/>
      <c r="O60" s="69">
        <v>46</v>
      </c>
      <c r="P60" s="69" t="s">
        <v>50</v>
      </c>
      <c r="Q60" s="69" t="s">
        <v>51</v>
      </c>
      <c r="R60" s="69"/>
      <c r="S60" s="48">
        <v>45231</v>
      </c>
      <c r="T60" s="48">
        <v>45231</v>
      </c>
      <c r="U60" s="69"/>
      <c r="V60" s="69"/>
      <c r="W60" s="69"/>
      <c r="X60" s="69"/>
      <c r="Y60" s="69" t="s">
        <v>4129</v>
      </c>
      <c r="Z60" s="52">
        <v>80334</v>
      </c>
      <c r="AA60" s="43" t="s">
        <v>52</v>
      </c>
      <c r="AB60" s="43" t="s">
        <v>53</v>
      </c>
      <c r="AC60" s="85">
        <v>10950</v>
      </c>
      <c r="AD60" s="141">
        <v>30</v>
      </c>
      <c r="AE60" s="142">
        <v>0</v>
      </c>
      <c r="AF60" s="69" t="str">
        <f t="shared" si="0"/>
        <v>1 years 62 days</v>
      </c>
      <c r="AG60" s="69">
        <v>1</v>
      </c>
      <c r="AH60" s="69">
        <v>62</v>
      </c>
      <c r="AI60" s="69">
        <v>80334</v>
      </c>
      <c r="AJ60" s="67">
        <v>3133</v>
      </c>
      <c r="AK60" s="69">
        <v>2025</v>
      </c>
      <c r="AL60" s="61">
        <v>1327.5545205479448</v>
      </c>
      <c r="AM60" s="143"/>
    </row>
    <row r="61" spans="1:39" x14ac:dyDescent="0.35">
      <c r="A61" s="69" t="s">
        <v>4124</v>
      </c>
      <c r="B61" s="41">
        <v>1131404973</v>
      </c>
      <c r="C61" s="41"/>
      <c r="D61" s="69"/>
      <c r="E61" s="41">
        <v>0</v>
      </c>
      <c r="F61" s="41" t="s">
        <v>46</v>
      </c>
      <c r="G61" s="69" t="s">
        <v>45</v>
      </c>
      <c r="H61" s="41">
        <v>9001000019</v>
      </c>
      <c r="I61" s="41" t="s">
        <v>47</v>
      </c>
      <c r="J61" s="41">
        <v>1202010202</v>
      </c>
      <c r="K61" s="41"/>
      <c r="L61" s="52" t="s">
        <v>208</v>
      </c>
      <c r="M61" s="69" t="s">
        <v>209</v>
      </c>
      <c r="N61" s="69"/>
      <c r="O61" s="69">
        <v>1</v>
      </c>
      <c r="P61" s="69" t="s">
        <v>50</v>
      </c>
      <c r="Q61" s="69" t="s">
        <v>51</v>
      </c>
      <c r="R61" s="69"/>
      <c r="S61" s="48">
        <v>45231</v>
      </c>
      <c r="T61" s="48">
        <v>45231</v>
      </c>
      <c r="U61" s="69"/>
      <c r="V61" s="69"/>
      <c r="W61" s="69"/>
      <c r="X61" s="69"/>
      <c r="Y61" s="69" t="s">
        <v>4129</v>
      </c>
      <c r="Z61" s="52">
        <v>99120</v>
      </c>
      <c r="AA61" s="43" t="s">
        <v>52</v>
      </c>
      <c r="AB61" s="43" t="s">
        <v>53</v>
      </c>
      <c r="AC61" s="85">
        <v>10950</v>
      </c>
      <c r="AD61" s="141">
        <v>30</v>
      </c>
      <c r="AE61" s="142">
        <v>0</v>
      </c>
      <c r="AF61" s="69" t="str">
        <f t="shared" si="0"/>
        <v>1 years 62 days</v>
      </c>
      <c r="AG61" s="69">
        <v>1</v>
      </c>
      <c r="AH61" s="69">
        <v>62</v>
      </c>
      <c r="AI61" s="69">
        <v>99120</v>
      </c>
      <c r="AJ61" s="67">
        <v>3865</v>
      </c>
      <c r="AK61" s="69">
        <v>2025</v>
      </c>
      <c r="AL61" s="61">
        <v>1638.6493150684928</v>
      </c>
      <c r="AM61" s="143"/>
    </row>
    <row r="62" spans="1:39" x14ac:dyDescent="0.35">
      <c r="A62" s="69" t="s">
        <v>4124</v>
      </c>
      <c r="B62" s="41">
        <v>1131405014</v>
      </c>
      <c r="C62" s="41"/>
      <c r="D62" s="69"/>
      <c r="E62" s="41">
        <v>0</v>
      </c>
      <c r="F62" s="41" t="s">
        <v>46</v>
      </c>
      <c r="G62" s="69" t="s">
        <v>45</v>
      </c>
      <c r="H62" s="41">
        <v>9001000020</v>
      </c>
      <c r="I62" s="41" t="s">
        <v>47</v>
      </c>
      <c r="J62" s="41">
        <v>1202010202</v>
      </c>
      <c r="K62" s="41"/>
      <c r="L62" s="52" t="s">
        <v>211</v>
      </c>
      <c r="M62" s="69" t="s">
        <v>212</v>
      </c>
      <c r="N62" s="69"/>
      <c r="O62" s="69">
        <v>67</v>
      </c>
      <c r="P62" s="69" t="s">
        <v>50</v>
      </c>
      <c r="Q62" s="69" t="s">
        <v>51</v>
      </c>
      <c r="R62" s="69"/>
      <c r="S62" s="48">
        <v>45261</v>
      </c>
      <c r="T62" s="48">
        <v>45261</v>
      </c>
      <c r="U62" s="69"/>
      <c r="V62" s="69"/>
      <c r="W62" s="69"/>
      <c r="X62" s="69"/>
      <c r="Y62" s="69" t="s">
        <v>4129</v>
      </c>
      <c r="Z62" s="52">
        <v>100327</v>
      </c>
      <c r="AA62" s="43" t="s">
        <v>52</v>
      </c>
      <c r="AB62" s="43" t="s">
        <v>53</v>
      </c>
      <c r="AC62" s="85">
        <v>10950</v>
      </c>
      <c r="AD62" s="141">
        <v>30</v>
      </c>
      <c r="AE62" s="142">
        <v>0</v>
      </c>
      <c r="AF62" s="69" t="str">
        <f t="shared" si="0"/>
        <v>1 years 32 days</v>
      </c>
      <c r="AG62" s="69">
        <v>1</v>
      </c>
      <c r="AH62" s="69">
        <v>32</v>
      </c>
      <c r="AI62" s="69">
        <v>100327</v>
      </c>
      <c r="AJ62" s="67">
        <v>3637</v>
      </c>
      <c r="AK62" s="69">
        <v>2025</v>
      </c>
      <c r="AL62" s="61">
        <v>1658.7996347031967</v>
      </c>
      <c r="AM62" s="143"/>
    </row>
    <row r="63" spans="1:39" x14ac:dyDescent="0.35">
      <c r="A63" s="69" t="s">
        <v>4124</v>
      </c>
      <c r="B63" s="41">
        <v>1131405015</v>
      </c>
      <c r="C63" s="41"/>
      <c r="D63" s="69"/>
      <c r="E63" s="41">
        <v>0</v>
      </c>
      <c r="F63" s="41" t="s">
        <v>46</v>
      </c>
      <c r="G63" s="69" t="s">
        <v>45</v>
      </c>
      <c r="H63" s="41">
        <v>9001000020</v>
      </c>
      <c r="I63" s="41" t="s">
        <v>47</v>
      </c>
      <c r="J63" s="41">
        <v>1202010202</v>
      </c>
      <c r="K63" s="41"/>
      <c r="L63" s="52" t="s">
        <v>214</v>
      </c>
      <c r="M63" s="69" t="s">
        <v>215</v>
      </c>
      <c r="N63" s="69"/>
      <c r="O63" s="69">
        <v>2</v>
      </c>
      <c r="P63" s="69" t="s">
        <v>50</v>
      </c>
      <c r="Q63" s="69" t="s">
        <v>51</v>
      </c>
      <c r="R63" s="69"/>
      <c r="S63" s="48">
        <v>45261</v>
      </c>
      <c r="T63" s="48">
        <v>45261</v>
      </c>
      <c r="U63" s="69"/>
      <c r="V63" s="69"/>
      <c r="W63" s="69"/>
      <c r="X63" s="69"/>
      <c r="Y63" s="69" t="s">
        <v>4129</v>
      </c>
      <c r="Z63" s="52">
        <v>14160</v>
      </c>
      <c r="AA63" s="43" t="s">
        <v>52</v>
      </c>
      <c r="AB63" s="43" t="s">
        <v>53</v>
      </c>
      <c r="AC63" s="85">
        <v>10950</v>
      </c>
      <c r="AD63" s="141">
        <v>30</v>
      </c>
      <c r="AE63" s="142">
        <v>0</v>
      </c>
      <c r="AF63" s="69" t="str">
        <f t="shared" si="0"/>
        <v>1 years 32 days</v>
      </c>
      <c r="AG63" s="69">
        <v>1</v>
      </c>
      <c r="AH63" s="69">
        <v>32</v>
      </c>
      <c r="AI63" s="69">
        <v>14160</v>
      </c>
      <c r="AJ63" s="67">
        <v>513</v>
      </c>
      <c r="AK63" s="69">
        <v>2025</v>
      </c>
      <c r="AL63" s="61">
        <v>234.44109589041102</v>
      </c>
      <c r="AM63" s="143"/>
    </row>
    <row r="64" spans="1:39" x14ac:dyDescent="0.35">
      <c r="A64" s="69" t="s">
        <v>4124</v>
      </c>
      <c r="B64" s="41">
        <v>1131405075</v>
      </c>
      <c r="C64" s="41"/>
      <c r="D64" s="69"/>
      <c r="E64" s="41">
        <v>0</v>
      </c>
      <c r="F64" s="41" t="s">
        <v>46</v>
      </c>
      <c r="G64" s="69" t="s">
        <v>45</v>
      </c>
      <c r="H64" s="41">
        <v>9001000021</v>
      </c>
      <c r="I64" s="41" t="s">
        <v>47</v>
      </c>
      <c r="J64" s="41">
        <v>1202010202</v>
      </c>
      <c r="K64" s="41"/>
      <c r="L64" s="52" t="s">
        <v>217</v>
      </c>
      <c r="M64" s="69" t="s">
        <v>218</v>
      </c>
      <c r="N64" s="69"/>
      <c r="O64" s="69">
        <v>1</v>
      </c>
      <c r="P64" s="69" t="s">
        <v>50</v>
      </c>
      <c r="Q64" s="69" t="s">
        <v>51</v>
      </c>
      <c r="R64" s="69"/>
      <c r="S64" s="48">
        <v>45314</v>
      </c>
      <c r="T64" s="48">
        <v>45314</v>
      </c>
      <c r="U64" s="69"/>
      <c r="V64" s="69"/>
      <c r="W64" s="69"/>
      <c r="X64" s="69"/>
      <c r="Y64" s="69" t="s">
        <v>4130</v>
      </c>
      <c r="Z64" s="52">
        <v>30007</v>
      </c>
      <c r="AA64" s="43" t="s">
        <v>52</v>
      </c>
      <c r="AB64" s="43" t="s">
        <v>53</v>
      </c>
      <c r="AC64" s="85">
        <v>10950</v>
      </c>
      <c r="AD64" s="141">
        <v>30</v>
      </c>
      <c r="AE64" s="142">
        <v>0</v>
      </c>
      <c r="AF64" s="69" t="str">
        <f t="shared" si="0"/>
        <v>0 years 344 days</v>
      </c>
      <c r="AG64" s="69">
        <v>0</v>
      </c>
      <c r="AH64" s="69">
        <v>344</v>
      </c>
      <c r="AI64" s="69">
        <v>30007</v>
      </c>
      <c r="AJ64" s="67">
        <v>943</v>
      </c>
      <c r="AK64" s="69">
        <v>2025</v>
      </c>
      <c r="AL64" s="61">
        <v>495.69178082191775</v>
      </c>
      <c r="AM64" s="143"/>
    </row>
    <row r="65" spans="1:39" x14ac:dyDescent="0.35">
      <c r="A65" s="69" t="s">
        <v>4124</v>
      </c>
      <c r="B65" s="41">
        <v>1131405107</v>
      </c>
      <c r="C65" s="41"/>
      <c r="D65" s="69"/>
      <c r="E65" s="41">
        <v>0</v>
      </c>
      <c r="F65" s="41" t="s">
        <v>46</v>
      </c>
      <c r="G65" s="69" t="s">
        <v>45</v>
      </c>
      <c r="H65" s="41">
        <v>9001000022</v>
      </c>
      <c r="I65" s="41" t="s">
        <v>47</v>
      </c>
      <c r="J65" s="41">
        <v>1202010202</v>
      </c>
      <c r="K65" s="41"/>
      <c r="L65" s="52" t="s">
        <v>220</v>
      </c>
      <c r="M65" s="69" t="s">
        <v>221</v>
      </c>
      <c r="N65" s="69"/>
      <c r="O65" s="69">
        <v>1</v>
      </c>
      <c r="P65" s="69" t="s">
        <v>50</v>
      </c>
      <c r="Q65" s="69" t="s">
        <v>51</v>
      </c>
      <c r="R65" s="69"/>
      <c r="S65" s="48">
        <v>45345</v>
      </c>
      <c r="T65" s="48">
        <v>45345</v>
      </c>
      <c r="U65" s="69"/>
      <c r="V65" s="69"/>
      <c r="W65" s="69"/>
      <c r="X65" s="69"/>
      <c r="Y65" s="69" t="s">
        <v>4130</v>
      </c>
      <c r="Z65" s="52">
        <v>316483</v>
      </c>
      <c r="AA65" s="43" t="s">
        <v>52</v>
      </c>
      <c r="AB65" s="43" t="s">
        <v>53</v>
      </c>
      <c r="AC65" s="85">
        <v>10950</v>
      </c>
      <c r="AD65" s="141">
        <v>30</v>
      </c>
      <c r="AE65" s="142">
        <v>0</v>
      </c>
      <c r="AF65" s="69" t="str">
        <f t="shared" si="0"/>
        <v>0 years 313 days</v>
      </c>
      <c r="AG65" s="69">
        <v>0</v>
      </c>
      <c r="AH65" s="69">
        <v>313</v>
      </c>
      <c r="AI65" s="69">
        <v>316483</v>
      </c>
      <c r="AJ65" s="67">
        <v>9047</v>
      </c>
      <c r="AK65" s="69">
        <v>2025</v>
      </c>
      <c r="AL65" s="61">
        <v>5230.8631963470307</v>
      </c>
      <c r="AM65" s="143"/>
    </row>
    <row r="66" spans="1:39" x14ac:dyDescent="0.35">
      <c r="A66" s="69" t="s">
        <v>4124</v>
      </c>
      <c r="B66" s="41">
        <v>1131405108</v>
      </c>
      <c r="C66" s="41"/>
      <c r="D66" s="69"/>
      <c r="E66" s="41">
        <v>0</v>
      </c>
      <c r="F66" s="41" t="s">
        <v>46</v>
      </c>
      <c r="G66" s="69" t="s">
        <v>45</v>
      </c>
      <c r="H66" s="41">
        <v>9001000022</v>
      </c>
      <c r="I66" s="41" t="s">
        <v>47</v>
      </c>
      <c r="J66" s="41">
        <v>1202010202</v>
      </c>
      <c r="K66" s="41"/>
      <c r="L66" s="52" t="s">
        <v>223</v>
      </c>
      <c r="M66" s="69" t="s">
        <v>224</v>
      </c>
      <c r="N66" s="69"/>
      <c r="O66" s="69">
        <v>1</v>
      </c>
      <c r="P66" s="69" t="s">
        <v>50</v>
      </c>
      <c r="Q66" s="69" t="s">
        <v>51</v>
      </c>
      <c r="R66" s="69"/>
      <c r="S66" s="48">
        <v>45346</v>
      </c>
      <c r="T66" s="48">
        <v>45346</v>
      </c>
      <c r="U66" s="69"/>
      <c r="V66" s="69"/>
      <c r="W66" s="69"/>
      <c r="X66" s="69"/>
      <c r="Y66" s="69" t="s">
        <v>4130</v>
      </c>
      <c r="Z66" s="52">
        <v>49361</v>
      </c>
      <c r="AA66" s="43" t="s">
        <v>52</v>
      </c>
      <c r="AB66" s="43" t="s">
        <v>53</v>
      </c>
      <c r="AC66" s="85">
        <v>10950</v>
      </c>
      <c r="AD66" s="141">
        <v>30</v>
      </c>
      <c r="AE66" s="142">
        <v>0</v>
      </c>
      <c r="AF66" s="69" t="str">
        <f t="shared" si="0"/>
        <v>0 years 312 days</v>
      </c>
      <c r="AG66" s="69">
        <v>0</v>
      </c>
      <c r="AH66" s="69">
        <v>312</v>
      </c>
      <c r="AI66" s="69">
        <v>49361</v>
      </c>
      <c r="AJ66" s="67">
        <v>1406</v>
      </c>
      <c r="AK66" s="69">
        <v>2025</v>
      </c>
      <c r="AL66" s="61">
        <v>816.37196347031932</v>
      </c>
      <c r="AM66" s="143"/>
    </row>
    <row r="67" spans="1:39" x14ac:dyDescent="0.35">
      <c r="A67" s="69" t="s">
        <v>4124</v>
      </c>
      <c r="B67" s="41">
        <v>1131405109</v>
      </c>
      <c r="C67" s="41"/>
      <c r="D67" s="69"/>
      <c r="E67" s="41">
        <v>0</v>
      </c>
      <c r="F67" s="41" t="s">
        <v>46</v>
      </c>
      <c r="G67" s="69" t="s">
        <v>45</v>
      </c>
      <c r="H67" s="41">
        <v>9001000022</v>
      </c>
      <c r="I67" s="41" t="s">
        <v>47</v>
      </c>
      <c r="J67" s="41">
        <v>1202010202</v>
      </c>
      <c r="K67" s="41"/>
      <c r="L67" s="52" t="s">
        <v>226</v>
      </c>
      <c r="M67" s="69" t="s">
        <v>227</v>
      </c>
      <c r="N67" s="69"/>
      <c r="O67" s="69">
        <v>1</v>
      </c>
      <c r="P67" s="69" t="s">
        <v>50</v>
      </c>
      <c r="Q67" s="69" t="s">
        <v>51</v>
      </c>
      <c r="R67" s="69"/>
      <c r="S67" s="48">
        <v>45346</v>
      </c>
      <c r="T67" s="48">
        <v>45346</v>
      </c>
      <c r="U67" s="69"/>
      <c r="V67" s="69"/>
      <c r="W67" s="69"/>
      <c r="X67" s="69"/>
      <c r="Y67" s="69" t="s">
        <v>4130</v>
      </c>
      <c r="Z67" s="52">
        <v>1245065</v>
      </c>
      <c r="AA67" s="43" t="s">
        <v>52</v>
      </c>
      <c r="AB67" s="43" t="s">
        <v>53</v>
      </c>
      <c r="AC67" s="85">
        <v>10950</v>
      </c>
      <c r="AD67" s="141">
        <v>30</v>
      </c>
      <c r="AE67" s="142">
        <v>0</v>
      </c>
      <c r="AF67" s="69" t="str">
        <f t="shared" ref="AF67:AF80" si="1">_xlfn.CONCAT(AG67," years ",AH67," days")</f>
        <v>0 years 312 days</v>
      </c>
      <c r="AG67" s="69">
        <v>0</v>
      </c>
      <c r="AH67" s="69">
        <v>312</v>
      </c>
      <c r="AI67" s="69">
        <v>1245065</v>
      </c>
      <c r="AJ67" s="67">
        <v>35476</v>
      </c>
      <c r="AK67" s="69">
        <v>2025</v>
      </c>
      <c r="AL67" s="61">
        <v>20580.351141552506</v>
      </c>
      <c r="AM67" s="143"/>
    </row>
    <row r="68" spans="1:39" x14ac:dyDescent="0.35">
      <c r="A68" s="69" t="s">
        <v>4124</v>
      </c>
      <c r="B68" s="41">
        <v>1131405213</v>
      </c>
      <c r="C68" s="41"/>
      <c r="D68" s="69"/>
      <c r="E68" s="41">
        <v>0</v>
      </c>
      <c r="F68" s="41" t="s">
        <v>46</v>
      </c>
      <c r="G68" s="69" t="s">
        <v>45</v>
      </c>
      <c r="H68" s="41">
        <v>9001000023</v>
      </c>
      <c r="I68" s="41" t="s">
        <v>47</v>
      </c>
      <c r="J68" s="41">
        <v>1202010202</v>
      </c>
      <c r="K68" s="41"/>
      <c r="L68" s="52" t="s">
        <v>229</v>
      </c>
      <c r="M68" s="69" t="s">
        <v>49</v>
      </c>
      <c r="N68" s="69"/>
      <c r="O68" s="69">
        <v>1</v>
      </c>
      <c r="P68" s="69" t="s">
        <v>50</v>
      </c>
      <c r="Q68" s="69" t="s">
        <v>51</v>
      </c>
      <c r="R68" s="69"/>
      <c r="S68" s="48">
        <v>45444</v>
      </c>
      <c r="T68" s="48">
        <v>45444</v>
      </c>
      <c r="U68" s="69"/>
      <c r="V68" s="69"/>
      <c r="W68" s="69"/>
      <c r="X68" s="69"/>
      <c r="Y68" s="69" t="s">
        <v>4130</v>
      </c>
      <c r="Z68" s="83">
        <v>102042</v>
      </c>
      <c r="AA68" s="43" t="s">
        <v>52</v>
      </c>
      <c r="AB68" s="43" t="s">
        <v>53</v>
      </c>
      <c r="AC68" s="85">
        <v>1825</v>
      </c>
      <c r="AD68" s="141">
        <v>5</v>
      </c>
      <c r="AE68" s="142">
        <v>0</v>
      </c>
      <c r="AF68" s="69" t="str">
        <f t="shared" si="1"/>
        <v>0 years 214 days</v>
      </c>
      <c r="AG68" s="69">
        <v>0</v>
      </c>
      <c r="AH68" s="69">
        <v>214</v>
      </c>
      <c r="AI68" s="69">
        <v>102042</v>
      </c>
      <c r="AJ68" s="67">
        <v>11965</v>
      </c>
      <c r="AK68" s="69">
        <v>2025</v>
      </c>
      <c r="AL68" s="61">
        <v>10120.802739726027</v>
      </c>
      <c r="AM68" s="143"/>
    </row>
    <row r="69" spans="1:39" x14ac:dyDescent="0.35">
      <c r="A69" s="69" t="s">
        <v>4124</v>
      </c>
      <c r="B69" s="41">
        <v>1131405214</v>
      </c>
      <c r="C69" s="41"/>
      <c r="D69" s="69"/>
      <c r="E69" s="41">
        <v>0</v>
      </c>
      <c r="F69" s="41" t="s">
        <v>46</v>
      </c>
      <c r="G69" s="69" t="s">
        <v>45</v>
      </c>
      <c r="H69" s="41">
        <v>9001000023</v>
      </c>
      <c r="I69" s="41" t="s">
        <v>47</v>
      </c>
      <c r="J69" s="41">
        <v>1202010202</v>
      </c>
      <c r="K69" s="41"/>
      <c r="L69" s="52" t="s">
        <v>231</v>
      </c>
      <c r="M69" s="69" t="s">
        <v>232</v>
      </c>
      <c r="N69" s="69"/>
      <c r="O69" s="69">
        <v>1</v>
      </c>
      <c r="P69" s="69" t="s">
        <v>50</v>
      </c>
      <c r="Q69" s="69" t="s">
        <v>51</v>
      </c>
      <c r="R69" s="69"/>
      <c r="S69" s="48">
        <v>45453</v>
      </c>
      <c r="T69" s="48">
        <v>45453</v>
      </c>
      <c r="U69" s="69"/>
      <c r="V69" s="69"/>
      <c r="W69" s="69"/>
      <c r="X69" s="69"/>
      <c r="Y69" s="69" t="s">
        <v>4130</v>
      </c>
      <c r="Z69" s="83">
        <v>51201</v>
      </c>
      <c r="AA69" s="43" t="s">
        <v>52</v>
      </c>
      <c r="AB69" s="43" t="s">
        <v>53</v>
      </c>
      <c r="AC69" s="85">
        <v>1825</v>
      </c>
      <c r="AD69" s="141">
        <v>5</v>
      </c>
      <c r="AE69" s="142">
        <v>0</v>
      </c>
      <c r="AF69" s="69" t="str">
        <f t="shared" si="1"/>
        <v>0 years 205 days</v>
      </c>
      <c r="AG69" s="69">
        <v>0</v>
      </c>
      <c r="AH69" s="69">
        <v>205</v>
      </c>
      <c r="AI69" s="69">
        <v>51201</v>
      </c>
      <c r="AJ69" s="67">
        <v>5751</v>
      </c>
      <c r="AK69" s="69">
        <v>2025</v>
      </c>
      <c r="AL69" s="61">
        <v>5078.3621917808232</v>
      </c>
      <c r="AM69" s="143"/>
    </row>
    <row r="70" spans="1:39" x14ac:dyDescent="0.35">
      <c r="A70" s="69" t="s">
        <v>4124</v>
      </c>
      <c r="B70" s="41">
        <v>1131405260</v>
      </c>
      <c r="C70" s="41"/>
      <c r="D70" s="69"/>
      <c r="E70" s="41">
        <v>0</v>
      </c>
      <c r="F70" s="41" t="s">
        <v>46</v>
      </c>
      <c r="G70" s="69" t="s">
        <v>45</v>
      </c>
      <c r="H70" s="41">
        <v>9001000024</v>
      </c>
      <c r="I70" s="41" t="s">
        <v>47</v>
      </c>
      <c r="J70" s="41">
        <v>1202010202</v>
      </c>
      <c r="K70" s="41"/>
      <c r="L70" s="52" t="s">
        <v>234</v>
      </c>
      <c r="M70" s="69" t="s">
        <v>49</v>
      </c>
      <c r="N70" s="69"/>
      <c r="O70" s="69">
        <v>1</v>
      </c>
      <c r="P70" s="69" t="s">
        <v>50</v>
      </c>
      <c r="Q70" s="69" t="s">
        <v>51</v>
      </c>
      <c r="R70" s="69"/>
      <c r="S70" s="48">
        <v>45530</v>
      </c>
      <c r="T70" s="48">
        <v>45530</v>
      </c>
      <c r="U70" s="69"/>
      <c r="V70" s="69"/>
      <c r="W70" s="69"/>
      <c r="X70" s="69"/>
      <c r="Y70" s="69" t="s">
        <v>4130</v>
      </c>
      <c r="Z70" s="83">
        <v>838800</v>
      </c>
      <c r="AA70" s="43" t="s">
        <v>52</v>
      </c>
      <c r="AB70" s="43" t="s">
        <v>53</v>
      </c>
      <c r="AC70" s="85">
        <v>10950</v>
      </c>
      <c r="AD70" s="141">
        <v>30</v>
      </c>
      <c r="AE70" s="142">
        <v>0</v>
      </c>
      <c r="AF70" s="69" t="str">
        <f t="shared" si="1"/>
        <v>0 years 128 days</v>
      </c>
      <c r="AG70" s="69">
        <v>0</v>
      </c>
      <c r="AH70" s="69">
        <v>128</v>
      </c>
      <c r="AI70" s="69">
        <v>838800</v>
      </c>
      <c r="AJ70" s="67">
        <v>9805</v>
      </c>
      <c r="AK70" s="69">
        <v>2025</v>
      </c>
      <c r="AL70" s="61">
        <v>13865.246575342469</v>
      </c>
      <c r="AM70" s="143"/>
    </row>
    <row r="71" spans="1:39" x14ac:dyDescent="0.35">
      <c r="A71" s="69" t="s">
        <v>4124</v>
      </c>
      <c r="B71" s="41">
        <v>1131405261</v>
      </c>
      <c r="C71" s="41"/>
      <c r="D71" s="69"/>
      <c r="E71" s="41">
        <v>0</v>
      </c>
      <c r="F71" s="41" t="s">
        <v>46</v>
      </c>
      <c r="G71" s="69" t="s">
        <v>45</v>
      </c>
      <c r="H71" s="41">
        <v>9001000025</v>
      </c>
      <c r="I71" s="41" t="s">
        <v>47</v>
      </c>
      <c r="J71" s="41">
        <v>1202010202</v>
      </c>
      <c r="K71" s="41"/>
      <c r="L71" s="52" t="s">
        <v>236</v>
      </c>
      <c r="M71" s="69" t="s">
        <v>237</v>
      </c>
      <c r="N71" s="69"/>
      <c r="O71" s="69">
        <v>1</v>
      </c>
      <c r="P71" s="69" t="s">
        <v>50</v>
      </c>
      <c r="Q71" s="69" t="s">
        <v>51</v>
      </c>
      <c r="R71" s="69"/>
      <c r="S71" s="48">
        <v>45812</v>
      </c>
      <c r="T71" s="48">
        <v>45812</v>
      </c>
      <c r="U71" s="69"/>
      <c r="V71" s="69"/>
      <c r="W71" s="69"/>
      <c r="X71" s="69"/>
      <c r="Y71" s="69" t="s">
        <v>4132</v>
      </c>
      <c r="Z71" s="83">
        <v>0</v>
      </c>
      <c r="AA71" s="43" t="s">
        <v>52</v>
      </c>
      <c r="AB71" s="43" t="s">
        <v>53</v>
      </c>
      <c r="AC71" s="85">
        <v>10950</v>
      </c>
      <c r="AD71" s="141">
        <v>30</v>
      </c>
      <c r="AE71" s="142">
        <v>0</v>
      </c>
      <c r="AF71" s="69" t="str">
        <f t="shared" si="1"/>
        <v>0 years 0 days</v>
      </c>
      <c r="AG71" s="69">
        <v>0</v>
      </c>
      <c r="AH71" s="69">
        <v>0</v>
      </c>
      <c r="AI71" s="69">
        <v>222190</v>
      </c>
      <c r="AJ71" s="67">
        <v>0</v>
      </c>
      <c r="AK71" s="69">
        <v>2025</v>
      </c>
      <c r="AL71" s="61">
        <v>547.86575342465756</v>
      </c>
      <c r="AM71" s="143"/>
    </row>
    <row r="72" spans="1:39" x14ac:dyDescent="0.35">
      <c r="A72" s="69" t="s">
        <v>4124</v>
      </c>
      <c r="B72" s="41">
        <v>1131105131</v>
      </c>
      <c r="C72" s="41"/>
      <c r="D72" s="69"/>
      <c r="E72" s="41">
        <v>0</v>
      </c>
      <c r="F72" s="41" t="s">
        <v>46</v>
      </c>
      <c r="G72" s="69" t="s">
        <v>45</v>
      </c>
      <c r="H72" s="41">
        <v>9001000026</v>
      </c>
      <c r="I72" s="41" t="s">
        <v>47</v>
      </c>
      <c r="J72" s="41">
        <v>1202010202</v>
      </c>
      <c r="K72" s="41"/>
      <c r="L72" s="52" t="s">
        <v>239</v>
      </c>
      <c r="M72" s="69" t="s">
        <v>49</v>
      </c>
      <c r="N72" s="69"/>
      <c r="O72" s="69">
        <v>1</v>
      </c>
      <c r="P72" s="69" t="s">
        <v>50</v>
      </c>
      <c r="Q72" s="69" t="s">
        <v>51</v>
      </c>
      <c r="R72" s="69"/>
      <c r="S72" s="48">
        <v>45382</v>
      </c>
      <c r="T72" s="48">
        <v>45382</v>
      </c>
      <c r="U72" s="69"/>
      <c r="V72" s="69"/>
      <c r="W72" s="69"/>
      <c r="X72" s="69"/>
      <c r="Y72" s="69" t="s">
        <v>4130</v>
      </c>
      <c r="Z72" s="52">
        <v>5399840.6800000006</v>
      </c>
      <c r="AA72" s="43" t="s">
        <v>52</v>
      </c>
      <c r="AB72" s="43" t="s">
        <v>53</v>
      </c>
      <c r="AC72" s="85">
        <v>10950</v>
      </c>
      <c r="AD72" s="141">
        <v>30</v>
      </c>
      <c r="AE72" s="142">
        <v>0</v>
      </c>
      <c r="AF72" s="69" t="str">
        <f t="shared" si="1"/>
        <v>0 years 276 days</v>
      </c>
      <c r="AG72" s="69">
        <v>0</v>
      </c>
      <c r="AH72" s="69">
        <v>276</v>
      </c>
      <c r="AI72" s="69">
        <v>5399840.6800000006</v>
      </c>
      <c r="AJ72" s="67">
        <v>136599</v>
      </c>
      <c r="AK72" s="69">
        <v>2025</v>
      </c>
      <c r="AL72" s="61">
        <v>89257.349903196358</v>
      </c>
      <c r="AM72" s="143"/>
    </row>
    <row r="73" spans="1:39" x14ac:dyDescent="0.35">
      <c r="A73" s="69" t="s">
        <v>4124</v>
      </c>
      <c r="B73" s="41">
        <v>1131400003</v>
      </c>
      <c r="C73" s="41"/>
      <c r="D73" s="69"/>
      <c r="E73" s="41">
        <v>0</v>
      </c>
      <c r="F73" s="41" t="s">
        <v>242</v>
      </c>
      <c r="G73" s="69" t="s">
        <v>241</v>
      </c>
      <c r="H73" s="41">
        <v>9002000001</v>
      </c>
      <c r="I73" s="41" t="s">
        <v>47</v>
      </c>
      <c r="J73" s="41">
        <v>1202010202</v>
      </c>
      <c r="K73" s="41"/>
      <c r="L73" s="52" t="s">
        <v>243</v>
      </c>
      <c r="M73" s="69" t="s">
        <v>49</v>
      </c>
      <c r="N73" s="69"/>
      <c r="O73" s="69">
        <v>1</v>
      </c>
      <c r="P73" s="69" t="s">
        <v>50</v>
      </c>
      <c r="Q73" s="69" t="s">
        <v>51</v>
      </c>
      <c r="R73" s="69"/>
      <c r="S73" s="48">
        <v>36445</v>
      </c>
      <c r="T73" s="48">
        <v>43340</v>
      </c>
      <c r="U73" s="69"/>
      <c r="V73" s="69"/>
      <c r="W73" s="69"/>
      <c r="X73" s="69"/>
      <c r="Y73" s="69" t="s">
        <v>4125</v>
      </c>
      <c r="Z73" s="52">
        <v>1400000</v>
      </c>
      <c r="AA73" s="43" t="s">
        <v>52</v>
      </c>
      <c r="AB73" s="43" t="s">
        <v>53</v>
      </c>
      <c r="AC73" s="85">
        <v>11352</v>
      </c>
      <c r="AD73" s="141">
        <v>31</v>
      </c>
      <c r="AE73" s="142">
        <v>1</v>
      </c>
      <c r="AF73" s="69" t="str">
        <f t="shared" si="1"/>
        <v>6 years 128 days</v>
      </c>
      <c r="AG73" s="69">
        <v>6</v>
      </c>
      <c r="AH73" s="69">
        <v>128</v>
      </c>
      <c r="AI73" s="69">
        <v>1400000</v>
      </c>
      <c r="AJ73" s="67">
        <v>285747</v>
      </c>
      <c r="AK73" s="69">
        <v>2025</v>
      </c>
      <c r="AL73" s="61">
        <v>22322.062720225542</v>
      </c>
      <c r="AM73" s="143"/>
    </row>
    <row r="74" spans="1:39" x14ac:dyDescent="0.35">
      <c r="A74" s="69" t="s">
        <v>4124</v>
      </c>
      <c r="B74" s="41">
        <v>1131400006</v>
      </c>
      <c r="C74" s="41"/>
      <c r="D74" s="69"/>
      <c r="E74" s="41">
        <v>0</v>
      </c>
      <c r="F74" s="41" t="s">
        <v>242</v>
      </c>
      <c r="G74" s="69" t="s">
        <v>241</v>
      </c>
      <c r="H74" s="41">
        <v>9002000002</v>
      </c>
      <c r="I74" s="41" t="s">
        <v>47</v>
      </c>
      <c r="J74" s="41">
        <v>1202010202</v>
      </c>
      <c r="K74" s="41"/>
      <c r="L74" s="52" t="s">
        <v>245</v>
      </c>
      <c r="M74" s="69" t="s">
        <v>49</v>
      </c>
      <c r="N74" s="69"/>
      <c r="O74" s="69">
        <v>1</v>
      </c>
      <c r="P74" s="69" t="s">
        <v>50</v>
      </c>
      <c r="Q74" s="69" t="s">
        <v>51</v>
      </c>
      <c r="R74" s="69"/>
      <c r="S74" s="48">
        <v>36707</v>
      </c>
      <c r="T74" s="48">
        <v>43340</v>
      </c>
      <c r="U74" s="69"/>
      <c r="V74" s="69"/>
      <c r="W74" s="69"/>
      <c r="X74" s="69"/>
      <c r="Y74" s="69" t="s">
        <v>4125</v>
      </c>
      <c r="Z74" s="52">
        <v>800000</v>
      </c>
      <c r="AA74" s="43" t="s">
        <v>52</v>
      </c>
      <c r="AB74" s="43" t="s">
        <v>53</v>
      </c>
      <c r="AC74" s="85">
        <v>11607</v>
      </c>
      <c r="AD74" s="141">
        <v>31</v>
      </c>
      <c r="AE74" s="142">
        <v>10</v>
      </c>
      <c r="AF74" s="69" t="str">
        <f t="shared" si="1"/>
        <v>6 years 128 days</v>
      </c>
      <c r="AG74" s="69">
        <v>6</v>
      </c>
      <c r="AH74" s="69">
        <v>128</v>
      </c>
      <c r="AI74" s="69">
        <v>800000</v>
      </c>
      <c r="AJ74" s="67">
        <v>159697</v>
      </c>
      <c r="AK74" s="69">
        <v>2025</v>
      </c>
      <c r="AL74" s="61">
        <v>12474.965193417738</v>
      </c>
      <c r="AM74" s="143"/>
    </row>
    <row r="75" spans="1:39" x14ac:dyDescent="0.35">
      <c r="A75" s="69" t="s">
        <v>4124</v>
      </c>
      <c r="B75" s="41">
        <v>1131400007</v>
      </c>
      <c r="C75" s="41"/>
      <c r="D75" s="69"/>
      <c r="E75" s="41">
        <v>0</v>
      </c>
      <c r="F75" s="41" t="s">
        <v>242</v>
      </c>
      <c r="G75" s="69" t="s">
        <v>241</v>
      </c>
      <c r="H75" s="41">
        <v>9002000003</v>
      </c>
      <c r="I75" s="41" t="s">
        <v>47</v>
      </c>
      <c r="J75" s="41">
        <v>1202010202</v>
      </c>
      <c r="K75" s="41"/>
      <c r="L75" s="52" t="s">
        <v>247</v>
      </c>
      <c r="M75" s="69" t="s">
        <v>49</v>
      </c>
      <c r="N75" s="69"/>
      <c r="O75" s="69">
        <v>1</v>
      </c>
      <c r="P75" s="69" t="s">
        <v>50</v>
      </c>
      <c r="Q75" s="69" t="s">
        <v>51</v>
      </c>
      <c r="R75" s="69"/>
      <c r="S75" s="48">
        <v>36891</v>
      </c>
      <c r="T75" s="48">
        <v>43340</v>
      </c>
      <c r="U75" s="69"/>
      <c r="V75" s="69"/>
      <c r="W75" s="69"/>
      <c r="X75" s="69"/>
      <c r="Y75" s="69" t="s">
        <v>4125</v>
      </c>
      <c r="Z75" s="52">
        <v>2700000</v>
      </c>
      <c r="AA75" s="43" t="s">
        <v>52</v>
      </c>
      <c r="AB75" s="43" t="s">
        <v>53</v>
      </c>
      <c r="AC75" s="85">
        <v>11790</v>
      </c>
      <c r="AD75" s="141">
        <v>32</v>
      </c>
      <c r="AE75" s="142">
        <v>4</v>
      </c>
      <c r="AF75" s="69" t="str">
        <f t="shared" si="1"/>
        <v>6 years 128 days</v>
      </c>
      <c r="AG75" s="69">
        <v>6</v>
      </c>
      <c r="AH75" s="69">
        <v>128</v>
      </c>
      <c r="AI75" s="69">
        <v>2700000</v>
      </c>
      <c r="AJ75" s="67">
        <v>530611</v>
      </c>
      <c r="AK75" s="69">
        <v>2025</v>
      </c>
      <c r="AL75" s="61">
        <v>41450.068702290184</v>
      </c>
      <c r="AM75" s="143"/>
    </row>
    <row r="76" spans="1:39" x14ac:dyDescent="0.35">
      <c r="A76" s="69" t="s">
        <v>4124</v>
      </c>
      <c r="B76" s="41">
        <v>1131400164</v>
      </c>
      <c r="C76" s="41"/>
      <c r="D76" s="69"/>
      <c r="E76" s="41">
        <v>0</v>
      </c>
      <c r="F76" s="41" t="s">
        <v>242</v>
      </c>
      <c r="G76" s="69" t="s">
        <v>241</v>
      </c>
      <c r="H76" s="41">
        <v>9002000004</v>
      </c>
      <c r="I76" s="41" t="s">
        <v>47</v>
      </c>
      <c r="J76" s="41">
        <v>1202010202</v>
      </c>
      <c r="K76" s="41"/>
      <c r="L76" s="52" t="s">
        <v>249</v>
      </c>
      <c r="M76" s="69" t="s">
        <v>250</v>
      </c>
      <c r="N76" s="69"/>
      <c r="O76" s="69">
        <v>2</v>
      </c>
      <c r="P76" s="69" t="s">
        <v>50</v>
      </c>
      <c r="Q76" s="69" t="s">
        <v>51</v>
      </c>
      <c r="R76" s="69"/>
      <c r="S76" s="48">
        <v>38960</v>
      </c>
      <c r="T76" s="48">
        <v>43340</v>
      </c>
      <c r="U76" s="69"/>
      <c r="V76" s="69"/>
      <c r="W76" s="69"/>
      <c r="X76" s="69"/>
      <c r="Y76" s="69" t="s">
        <v>4125</v>
      </c>
      <c r="Z76" s="52">
        <v>2900000</v>
      </c>
      <c r="AA76" s="43" t="s">
        <v>52</v>
      </c>
      <c r="AB76" s="43" t="s">
        <v>53</v>
      </c>
      <c r="AC76" s="85">
        <v>13870</v>
      </c>
      <c r="AD76" s="141">
        <v>38</v>
      </c>
      <c r="AE76" s="142">
        <v>0</v>
      </c>
      <c r="AF76" s="69" t="str">
        <f t="shared" si="1"/>
        <v>6 years 128 days</v>
      </c>
      <c r="AG76" s="69">
        <v>6</v>
      </c>
      <c r="AH76" s="69">
        <v>128</v>
      </c>
      <c r="AI76" s="69">
        <v>2900000</v>
      </c>
      <c r="AJ76" s="67">
        <v>484448</v>
      </c>
      <c r="AK76" s="69">
        <v>2025</v>
      </c>
      <c r="AL76" s="61">
        <v>37844.718096611439</v>
      </c>
      <c r="AM76" s="143"/>
    </row>
    <row r="77" spans="1:39" x14ac:dyDescent="0.35">
      <c r="A77" s="69" t="s">
        <v>4124</v>
      </c>
      <c r="B77" s="73">
        <v>1131102149</v>
      </c>
      <c r="C77" s="73"/>
      <c r="D77" s="69"/>
      <c r="E77" s="41">
        <v>0</v>
      </c>
      <c r="F77" s="41" t="s">
        <v>242</v>
      </c>
      <c r="G77" s="69" t="s">
        <v>241</v>
      </c>
      <c r="H77" s="41">
        <v>9002000005</v>
      </c>
      <c r="I77" s="41" t="s">
        <v>47</v>
      </c>
      <c r="J77" s="41">
        <v>1202010202</v>
      </c>
      <c r="K77" s="41" t="s">
        <v>1769</v>
      </c>
      <c r="L77" s="52" t="s">
        <v>251</v>
      </c>
      <c r="M77" s="69" t="s">
        <v>49</v>
      </c>
      <c r="N77" s="69"/>
      <c r="O77" s="69">
        <v>1</v>
      </c>
      <c r="P77" s="69" t="s">
        <v>50</v>
      </c>
      <c r="Q77" s="69" t="s">
        <v>51</v>
      </c>
      <c r="R77" s="69"/>
      <c r="S77" s="48">
        <v>42649</v>
      </c>
      <c r="T77" s="48">
        <v>43340</v>
      </c>
      <c r="U77" s="69"/>
      <c r="V77" s="69"/>
      <c r="W77" s="69"/>
      <c r="X77" s="69"/>
      <c r="Y77" s="69" t="s">
        <v>4125</v>
      </c>
      <c r="Z77" s="52">
        <v>1</v>
      </c>
      <c r="AA77" s="43" t="s">
        <v>52</v>
      </c>
      <c r="AB77" s="43" t="s">
        <v>53</v>
      </c>
      <c r="AC77" s="85">
        <v>18078</v>
      </c>
      <c r="AD77" s="141">
        <v>49</v>
      </c>
      <c r="AE77" s="142">
        <v>6</v>
      </c>
      <c r="AF77" s="69" t="str">
        <f t="shared" si="1"/>
        <v>6 years 128 days</v>
      </c>
      <c r="AG77" s="69">
        <v>6</v>
      </c>
      <c r="AH77" s="69">
        <v>128</v>
      </c>
      <c r="AI77" s="69">
        <v>1</v>
      </c>
      <c r="AJ77" s="67">
        <v>1</v>
      </c>
      <c r="AK77" s="69">
        <v>2025</v>
      </c>
      <c r="AL77" s="61">
        <v>0</v>
      </c>
      <c r="AM77" s="143"/>
    </row>
    <row r="78" spans="1:39" x14ac:dyDescent="0.35">
      <c r="A78" s="69" t="s">
        <v>4124</v>
      </c>
      <c r="B78" s="41">
        <v>1191402530</v>
      </c>
      <c r="C78" s="41"/>
      <c r="D78" s="69"/>
      <c r="E78" s="41">
        <v>0</v>
      </c>
      <c r="F78" s="41" t="s">
        <v>254</v>
      </c>
      <c r="G78" s="69" t="s">
        <v>253</v>
      </c>
      <c r="H78" s="41">
        <v>9005000001</v>
      </c>
      <c r="I78" s="41" t="s">
        <v>47</v>
      </c>
      <c r="J78" s="41">
        <v>1202010202</v>
      </c>
      <c r="K78" s="41"/>
      <c r="L78" s="52" t="s">
        <v>255</v>
      </c>
      <c r="M78" s="69" t="s">
        <v>49</v>
      </c>
      <c r="N78" s="69"/>
      <c r="O78" s="69">
        <v>1</v>
      </c>
      <c r="P78" s="69" t="s">
        <v>50</v>
      </c>
      <c r="Q78" s="69" t="s">
        <v>51</v>
      </c>
      <c r="R78" s="69"/>
      <c r="S78" s="48">
        <v>0</v>
      </c>
      <c r="T78" s="48">
        <v>43340</v>
      </c>
      <c r="U78" s="69"/>
      <c r="V78" s="69"/>
      <c r="W78" s="69"/>
      <c r="X78" s="69"/>
      <c r="Y78" s="69" t="s">
        <v>4125</v>
      </c>
      <c r="Z78" s="52">
        <v>47000000</v>
      </c>
      <c r="AA78" s="43" t="s">
        <v>52</v>
      </c>
      <c r="AB78" s="43" t="s">
        <v>53</v>
      </c>
      <c r="AC78" s="85">
        <v>0</v>
      </c>
      <c r="AD78" s="141">
        <v>0</v>
      </c>
      <c r="AE78" s="142">
        <v>0</v>
      </c>
      <c r="AF78" s="69" t="str">
        <f t="shared" si="1"/>
        <v>0 years 0 days</v>
      </c>
      <c r="AG78" s="69">
        <v>0</v>
      </c>
      <c r="AH78" s="69">
        <v>0</v>
      </c>
      <c r="AI78" s="69">
        <v>47000000</v>
      </c>
      <c r="AJ78" s="67">
        <v>0</v>
      </c>
      <c r="AK78" s="69">
        <v>2025</v>
      </c>
      <c r="AL78" s="61">
        <v>0</v>
      </c>
      <c r="AM78" s="143"/>
    </row>
    <row r="79" spans="1:39" x14ac:dyDescent="0.35">
      <c r="A79" s="69" t="s">
        <v>4124</v>
      </c>
      <c r="B79" s="41">
        <v>1191403090</v>
      </c>
      <c r="C79" s="41"/>
      <c r="D79" s="69"/>
      <c r="E79" s="41">
        <v>0</v>
      </c>
      <c r="F79" s="41" t="s">
        <v>254</v>
      </c>
      <c r="G79" s="69" t="s">
        <v>253</v>
      </c>
      <c r="H79" s="41">
        <v>9005000002</v>
      </c>
      <c r="I79" s="41" t="s">
        <v>47</v>
      </c>
      <c r="J79" s="41">
        <v>1202010202</v>
      </c>
      <c r="K79" s="41"/>
      <c r="L79" s="52" t="s">
        <v>257</v>
      </c>
      <c r="M79" s="69" t="s">
        <v>49</v>
      </c>
      <c r="N79" s="69"/>
      <c r="O79" s="69">
        <v>1</v>
      </c>
      <c r="P79" s="69" t="s">
        <v>50</v>
      </c>
      <c r="Q79" s="69" t="s">
        <v>51</v>
      </c>
      <c r="R79" s="69"/>
      <c r="S79" s="48">
        <v>43775</v>
      </c>
      <c r="T79" s="48">
        <v>43775</v>
      </c>
      <c r="U79" s="69"/>
      <c r="V79" s="69"/>
      <c r="W79" s="69"/>
      <c r="X79" s="69"/>
      <c r="Y79" s="69" t="s">
        <v>4126</v>
      </c>
      <c r="Z79" s="52">
        <v>86390500</v>
      </c>
      <c r="AA79" s="43" t="s">
        <v>52</v>
      </c>
      <c r="AB79" s="43" t="s">
        <v>53</v>
      </c>
      <c r="AC79" s="85">
        <v>0</v>
      </c>
      <c r="AD79" s="141">
        <v>0</v>
      </c>
      <c r="AE79" s="142">
        <v>0</v>
      </c>
      <c r="AF79" s="69" t="str">
        <f t="shared" si="1"/>
        <v>0 years 0 days</v>
      </c>
      <c r="AG79" s="69">
        <v>0</v>
      </c>
      <c r="AH79" s="69">
        <v>0</v>
      </c>
      <c r="AI79" s="69">
        <v>86390500</v>
      </c>
      <c r="AJ79" s="67">
        <v>0</v>
      </c>
      <c r="AK79" s="69">
        <v>2025</v>
      </c>
      <c r="AL79" s="61">
        <v>0</v>
      </c>
      <c r="AM79" s="143"/>
    </row>
    <row r="80" spans="1:39" x14ac:dyDescent="0.35">
      <c r="A80" s="69" t="s">
        <v>4124</v>
      </c>
      <c r="B80" s="41">
        <v>1101400906</v>
      </c>
      <c r="C80" s="41"/>
      <c r="D80" s="69"/>
      <c r="E80" s="101">
        <v>0</v>
      </c>
      <c r="F80" s="41" t="s">
        <v>260</v>
      </c>
      <c r="G80" s="69" t="s">
        <v>259</v>
      </c>
      <c r="H80" s="41">
        <v>9007000001</v>
      </c>
      <c r="I80" s="41" t="s">
        <v>261</v>
      </c>
      <c r="J80" s="41">
        <v>1202010217</v>
      </c>
      <c r="K80" s="41" t="s">
        <v>262</v>
      </c>
      <c r="L80" s="52" t="s">
        <v>263</v>
      </c>
      <c r="M80" s="69" t="s">
        <v>264</v>
      </c>
      <c r="N80" s="69"/>
      <c r="O80" s="69">
        <v>1</v>
      </c>
      <c r="P80" s="69" t="s">
        <v>50</v>
      </c>
      <c r="Q80" s="69" t="s">
        <v>51</v>
      </c>
      <c r="R80" s="69"/>
      <c r="S80" s="48">
        <v>41297</v>
      </c>
      <c r="T80" s="48">
        <v>43340</v>
      </c>
      <c r="U80" s="69"/>
      <c r="V80" s="69"/>
      <c r="W80" s="69"/>
      <c r="X80" s="69"/>
      <c r="Y80" s="69" t="s">
        <v>4125</v>
      </c>
      <c r="Z80" s="52">
        <v>410000</v>
      </c>
      <c r="AA80" s="43" t="s">
        <v>52</v>
      </c>
      <c r="AB80" s="43" t="s">
        <v>53</v>
      </c>
      <c r="AC80" s="85">
        <v>3431</v>
      </c>
      <c r="AD80" s="141">
        <v>9</v>
      </c>
      <c r="AE80" s="142">
        <v>5</v>
      </c>
      <c r="AF80" s="69" t="str">
        <f t="shared" si="1"/>
        <v>6 years 128 days</v>
      </c>
      <c r="AG80" s="69">
        <v>6</v>
      </c>
      <c r="AH80" s="69">
        <v>128</v>
      </c>
      <c r="AI80" s="69">
        <v>410000</v>
      </c>
      <c r="AJ80" s="67">
        <v>276878</v>
      </c>
      <c r="AK80" s="69">
        <v>2025</v>
      </c>
      <c r="AL80" s="61">
        <v>21629.72369571554</v>
      </c>
      <c r="AM80" s="143"/>
    </row>
    <row r="81" spans="1:39" x14ac:dyDescent="0.35">
      <c r="A81" s="69" t="s">
        <v>4124</v>
      </c>
      <c r="B81" s="41">
        <v>1101404676</v>
      </c>
      <c r="C81" s="41"/>
      <c r="D81" s="69"/>
      <c r="E81" s="101">
        <v>0</v>
      </c>
      <c r="F81" s="41" t="s">
        <v>260</v>
      </c>
      <c r="G81" s="69" t="s">
        <v>259</v>
      </c>
      <c r="H81" s="41">
        <v>9007000002</v>
      </c>
      <c r="I81" s="41" t="s">
        <v>261</v>
      </c>
      <c r="J81" s="41">
        <v>1202010217</v>
      </c>
      <c r="K81" s="41" t="s">
        <v>266</v>
      </c>
      <c r="L81" s="52" t="s">
        <v>267</v>
      </c>
      <c r="M81" s="69" t="s">
        <v>268</v>
      </c>
      <c r="N81" s="69"/>
      <c r="O81" s="69">
        <v>1</v>
      </c>
      <c r="P81" s="69" t="s">
        <v>50</v>
      </c>
      <c r="Q81" s="69" t="s">
        <v>51</v>
      </c>
      <c r="R81" s="69"/>
      <c r="S81" s="48">
        <v>45000</v>
      </c>
      <c r="T81" s="48">
        <v>45000</v>
      </c>
      <c r="U81" s="69"/>
      <c r="V81" s="69"/>
      <c r="W81" s="69"/>
      <c r="X81" s="69"/>
      <c r="Y81" s="69" t="s">
        <v>4129</v>
      </c>
      <c r="Z81" s="52">
        <v>2169334.2000000002</v>
      </c>
      <c r="AA81" s="43" t="s">
        <v>52</v>
      </c>
      <c r="AB81" s="43" t="s">
        <v>53</v>
      </c>
      <c r="AC81" s="85">
        <v>3650</v>
      </c>
      <c r="AD81" s="141">
        <v>10</v>
      </c>
      <c r="AE81" s="142">
        <v>0</v>
      </c>
      <c r="AF81" s="69" t="str">
        <f t="shared" ref="AF81:AF82" si="2">_xlfn.CONCAT(AG81," years ",AH81," days")</f>
        <v>1 years 293 days</v>
      </c>
      <c r="AG81" s="69">
        <v>1</v>
      </c>
      <c r="AH81" s="69">
        <v>293</v>
      </c>
      <c r="AI81" s="69">
        <v>2169334.2000000002</v>
      </c>
      <c r="AJ81" s="67">
        <v>391074</v>
      </c>
      <c r="AK81" s="69">
        <v>2025</v>
      </c>
      <c r="AL81" s="61">
        <v>107575.69600000005</v>
      </c>
      <c r="AM81" s="143"/>
    </row>
    <row r="82" spans="1:39" x14ac:dyDescent="0.35">
      <c r="A82" s="69" t="s">
        <v>4124</v>
      </c>
      <c r="B82" s="41">
        <v>1101101761</v>
      </c>
      <c r="C82" s="41"/>
      <c r="D82" s="41" t="s">
        <v>265</v>
      </c>
      <c r="E82" s="101">
        <v>1</v>
      </c>
      <c r="F82" s="41" t="s">
        <v>260</v>
      </c>
      <c r="G82" s="69" t="s">
        <v>259</v>
      </c>
      <c r="H82" s="41">
        <v>9007000002</v>
      </c>
      <c r="I82" s="41" t="s">
        <v>261</v>
      </c>
      <c r="J82" s="41">
        <v>1202010217</v>
      </c>
      <c r="K82" s="41"/>
      <c r="L82" s="52" t="s">
        <v>270</v>
      </c>
      <c r="M82" s="69" t="s">
        <v>49</v>
      </c>
      <c r="N82" s="69"/>
      <c r="O82" s="69">
        <v>1</v>
      </c>
      <c r="P82" s="69" t="s">
        <v>50</v>
      </c>
      <c r="Q82" s="69" t="s">
        <v>51</v>
      </c>
      <c r="R82" s="69"/>
      <c r="S82" s="48">
        <v>42307</v>
      </c>
      <c r="T82" s="48">
        <v>43340</v>
      </c>
      <c r="U82" s="69"/>
      <c r="V82" s="69"/>
      <c r="W82" s="69"/>
      <c r="X82" s="69"/>
      <c r="Y82" s="69" t="s">
        <v>4125</v>
      </c>
      <c r="Z82" s="52">
        <v>155000</v>
      </c>
      <c r="AA82" s="43" t="s">
        <v>52</v>
      </c>
      <c r="AB82" s="43" t="s">
        <v>53</v>
      </c>
      <c r="AC82" s="85">
        <v>4417</v>
      </c>
      <c r="AD82" s="141">
        <v>12</v>
      </c>
      <c r="AE82" s="142">
        <v>1</v>
      </c>
      <c r="AF82" s="69" t="str">
        <f t="shared" si="2"/>
        <v>6 years 128 days</v>
      </c>
      <c r="AG82" s="69">
        <v>6</v>
      </c>
      <c r="AH82" s="69">
        <v>128</v>
      </c>
      <c r="AI82" s="69">
        <v>155000</v>
      </c>
      <c r="AJ82" s="67">
        <v>81307</v>
      </c>
      <c r="AK82" s="69">
        <v>2025</v>
      </c>
      <c r="AL82" s="61">
        <v>6352.0446004075056</v>
      </c>
      <c r="AM82" s="143"/>
    </row>
    <row r="83" spans="1:39" x14ac:dyDescent="0.35">
      <c r="A83" s="69" t="s">
        <v>4124</v>
      </c>
      <c r="B83" s="41">
        <v>1101400341</v>
      </c>
      <c r="C83" s="41"/>
      <c r="D83" s="69"/>
      <c r="E83" s="101">
        <v>0</v>
      </c>
      <c r="F83" s="41" t="s">
        <v>260</v>
      </c>
      <c r="G83" s="69" t="s">
        <v>259</v>
      </c>
      <c r="H83" s="41">
        <v>9007000003</v>
      </c>
      <c r="I83" s="41" t="s">
        <v>261</v>
      </c>
      <c r="J83" s="41">
        <v>1202010217</v>
      </c>
      <c r="K83" s="41" t="s">
        <v>272</v>
      </c>
      <c r="L83" s="52" t="s">
        <v>273</v>
      </c>
      <c r="M83" s="69" t="s">
        <v>49</v>
      </c>
      <c r="N83" s="69"/>
      <c r="O83" s="69">
        <v>1</v>
      </c>
      <c r="P83" s="69" t="s">
        <v>50</v>
      </c>
      <c r="Q83" s="69" t="s">
        <v>51</v>
      </c>
      <c r="R83" s="69"/>
      <c r="S83" s="48">
        <v>39966</v>
      </c>
      <c r="T83" s="48">
        <v>43340</v>
      </c>
      <c r="U83" s="69"/>
      <c r="V83" s="69"/>
      <c r="W83" s="69"/>
      <c r="X83" s="69"/>
      <c r="Y83" s="69" t="s">
        <v>4125</v>
      </c>
      <c r="Z83" s="52">
        <v>3150000</v>
      </c>
      <c r="AA83" s="43" t="s">
        <v>52</v>
      </c>
      <c r="AB83" s="43" t="s">
        <v>53</v>
      </c>
      <c r="AC83" s="85">
        <v>2117</v>
      </c>
      <c r="AD83" s="141">
        <v>5</v>
      </c>
      <c r="AE83" s="142">
        <v>10</v>
      </c>
      <c r="AF83" s="69" t="str">
        <f t="shared" ref="AF83:AF87" si="3">_xlfn.CONCAT(AG83," years ",AH83," days")</f>
        <v>5 years 292 days</v>
      </c>
      <c r="AG83" s="69">
        <v>5</v>
      </c>
      <c r="AH83" s="69">
        <v>292</v>
      </c>
      <c r="AI83" s="69">
        <v>3150000</v>
      </c>
      <c r="AJ83" s="67">
        <v>3150000</v>
      </c>
      <c r="AK83" s="69">
        <v>2025</v>
      </c>
      <c r="AL83" s="61">
        <v>0</v>
      </c>
      <c r="AM83" s="143"/>
    </row>
    <row r="84" spans="1:39" x14ac:dyDescent="0.35">
      <c r="A84" s="69" t="s">
        <v>4124</v>
      </c>
      <c r="B84" s="41">
        <v>1101404647</v>
      </c>
      <c r="C84" s="41"/>
      <c r="D84" s="41" t="s">
        <v>271</v>
      </c>
      <c r="E84" s="101">
        <v>1</v>
      </c>
      <c r="F84" s="41" t="s">
        <v>260</v>
      </c>
      <c r="G84" s="69" t="s">
        <v>259</v>
      </c>
      <c r="H84" s="41">
        <v>9007000003</v>
      </c>
      <c r="I84" s="41" t="s">
        <v>261</v>
      </c>
      <c r="J84" s="41">
        <v>1202010217</v>
      </c>
      <c r="K84" s="41"/>
      <c r="L84" s="52" t="s">
        <v>275</v>
      </c>
      <c r="M84" s="69" t="s">
        <v>276</v>
      </c>
      <c r="N84" s="69"/>
      <c r="O84" s="69">
        <v>1</v>
      </c>
      <c r="P84" s="69" t="s">
        <v>50</v>
      </c>
      <c r="Q84" s="69" t="s">
        <v>51</v>
      </c>
      <c r="R84" s="69"/>
      <c r="S84" s="48">
        <v>44986</v>
      </c>
      <c r="T84" s="48">
        <v>44986</v>
      </c>
      <c r="U84" s="69"/>
      <c r="V84" s="69"/>
      <c r="W84" s="69"/>
      <c r="X84" s="69"/>
      <c r="Y84" s="69" t="s">
        <v>4129</v>
      </c>
      <c r="Z84" s="52">
        <v>82374</v>
      </c>
      <c r="AA84" s="43" t="s">
        <v>52</v>
      </c>
      <c r="AB84" s="43" t="s">
        <v>53</v>
      </c>
      <c r="AC84" s="85">
        <v>3650</v>
      </c>
      <c r="AD84" s="141">
        <v>10</v>
      </c>
      <c r="AE84" s="142">
        <v>0</v>
      </c>
      <c r="AF84" s="69" t="str">
        <f t="shared" si="3"/>
        <v>1 years 307 days</v>
      </c>
      <c r="AG84" s="69">
        <v>1</v>
      </c>
      <c r="AH84" s="69">
        <v>307</v>
      </c>
      <c r="AI84" s="69">
        <v>82374</v>
      </c>
      <c r="AJ84" s="67">
        <v>15166</v>
      </c>
      <c r="AK84" s="69">
        <v>2025</v>
      </c>
      <c r="AL84" s="61">
        <v>4084.6909589041097</v>
      </c>
      <c r="AM84" s="143"/>
    </row>
    <row r="85" spans="1:39" x14ac:dyDescent="0.35">
      <c r="A85" s="69" t="s">
        <v>4124</v>
      </c>
      <c r="B85" s="41">
        <v>1101404922</v>
      </c>
      <c r="C85" s="41"/>
      <c r="D85" s="41" t="s">
        <v>271</v>
      </c>
      <c r="E85" s="101">
        <v>2</v>
      </c>
      <c r="F85" s="41" t="s">
        <v>260</v>
      </c>
      <c r="G85" s="69" t="s">
        <v>259</v>
      </c>
      <c r="H85" s="41">
        <v>9007000003</v>
      </c>
      <c r="I85" s="41" t="s">
        <v>261</v>
      </c>
      <c r="J85" s="41">
        <v>1202010217</v>
      </c>
      <c r="K85" s="41"/>
      <c r="L85" s="52" t="s">
        <v>278</v>
      </c>
      <c r="M85" s="69" t="s">
        <v>279</v>
      </c>
      <c r="N85" s="69"/>
      <c r="O85" s="69">
        <v>1</v>
      </c>
      <c r="P85" s="69" t="s">
        <v>50</v>
      </c>
      <c r="Q85" s="69" t="s">
        <v>51</v>
      </c>
      <c r="R85" s="69"/>
      <c r="S85" s="48">
        <v>45199</v>
      </c>
      <c r="T85" s="48">
        <v>45199</v>
      </c>
      <c r="U85" s="69"/>
      <c r="V85" s="69"/>
      <c r="W85" s="69"/>
      <c r="X85" s="69"/>
      <c r="Y85" s="69" t="s">
        <v>4129</v>
      </c>
      <c r="Z85" s="52">
        <v>24875</v>
      </c>
      <c r="AA85" s="43" t="s">
        <v>52</v>
      </c>
      <c r="AB85" s="43" t="s">
        <v>53</v>
      </c>
      <c r="AC85" s="85">
        <v>3650</v>
      </c>
      <c r="AD85" s="141">
        <v>10</v>
      </c>
      <c r="AE85" s="142">
        <v>0</v>
      </c>
      <c r="AF85" s="69" t="str">
        <f t="shared" si="3"/>
        <v>1 years 94 days</v>
      </c>
      <c r="AG85" s="69">
        <v>1</v>
      </c>
      <c r="AH85" s="69">
        <v>94</v>
      </c>
      <c r="AI85" s="69">
        <v>24875</v>
      </c>
      <c r="AJ85" s="67">
        <v>3128</v>
      </c>
      <c r="AK85" s="69">
        <v>2025</v>
      </c>
      <c r="AL85" s="61">
        <v>1233.6438356164381</v>
      </c>
      <c r="AM85" s="143"/>
    </row>
    <row r="86" spans="1:39" x14ac:dyDescent="0.35">
      <c r="A86" s="69" t="s">
        <v>4124</v>
      </c>
      <c r="B86" s="41">
        <v>1101404936</v>
      </c>
      <c r="C86" s="41"/>
      <c r="D86" s="41" t="s">
        <v>271</v>
      </c>
      <c r="E86" s="101">
        <v>3</v>
      </c>
      <c r="F86" s="41" t="s">
        <v>260</v>
      </c>
      <c r="G86" s="69" t="s">
        <v>259</v>
      </c>
      <c r="H86" s="41">
        <v>9007000003</v>
      </c>
      <c r="I86" s="41" t="s">
        <v>261</v>
      </c>
      <c r="J86" s="41">
        <v>1202010217</v>
      </c>
      <c r="K86" s="41"/>
      <c r="L86" s="52" t="s">
        <v>281</v>
      </c>
      <c r="M86" s="69" t="s">
        <v>282</v>
      </c>
      <c r="N86" s="69"/>
      <c r="O86" s="69">
        <v>1</v>
      </c>
      <c r="P86" s="69" t="s">
        <v>50</v>
      </c>
      <c r="Q86" s="69" t="s">
        <v>51</v>
      </c>
      <c r="R86" s="69"/>
      <c r="S86" s="48">
        <v>45199</v>
      </c>
      <c r="T86" s="48">
        <v>45199</v>
      </c>
      <c r="U86" s="69"/>
      <c r="V86" s="69"/>
      <c r="W86" s="69"/>
      <c r="X86" s="69"/>
      <c r="Y86" s="69" t="s">
        <v>4129</v>
      </c>
      <c r="Z86" s="52">
        <v>6695</v>
      </c>
      <c r="AA86" s="43" t="s">
        <v>52</v>
      </c>
      <c r="AB86" s="43" t="s">
        <v>53</v>
      </c>
      <c r="AC86" s="85">
        <v>3650</v>
      </c>
      <c r="AD86" s="141">
        <v>10</v>
      </c>
      <c r="AE86" s="142">
        <v>0</v>
      </c>
      <c r="AF86" s="69" t="str">
        <f t="shared" si="3"/>
        <v>1 years 94 days</v>
      </c>
      <c r="AG86" s="69">
        <v>1</v>
      </c>
      <c r="AH86" s="69">
        <v>94</v>
      </c>
      <c r="AI86" s="69">
        <v>6695</v>
      </c>
      <c r="AJ86" s="67">
        <v>842</v>
      </c>
      <c r="AK86" s="69">
        <v>2025</v>
      </c>
      <c r="AL86" s="61">
        <v>331.91780821917814</v>
      </c>
      <c r="AM86" s="143"/>
    </row>
    <row r="87" spans="1:39" x14ac:dyDescent="0.35">
      <c r="A87" s="69" t="s">
        <v>4124</v>
      </c>
      <c r="B87" s="41">
        <v>1101104016</v>
      </c>
      <c r="C87" s="41"/>
      <c r="D87" s="41" t="s">
        <v>271</v>
      </c>
      <c r="E87" s="101">
        <v>4</v>
      </c>
      <c r="F87" s="41" t="s">
        <v>260</v>
      </c>
      <c r="G87" s="69" t="s">
        <v>259</v>
      </c>
      <c r="H87" s="41">
        <v>9007000003</v>
      </c>
      <c r="I87" s="41" t="s">
        <v>261</v>
      </c>
      <c r="J87" s="41">
        <v>1202010217</v>
      </c>
      <c r="K87" s="41" t="s">
        <v>284</v>
      </c>
      <c r="L87" s="52" t="s">
        <v>285</v>
      </c>
      <c r="M87" s="69" t="s">
        <v>286</v>
      </c>
      <c r="N87" s="69"/>
      <c r="O87" s="69">
        <v>202</v>
      </c>
      <c r="P87" s="69" t="s">
        <v>50</v>
      </c>
      <c r="Q87" s="69" t="s">
        <v>51</v>
      </c>
      <c r="R87" s="69"/>
      <c r="S87" s="48">
        <v>44620</v>
      </c>
      <c r="T87" s="48">
        <v>44620</v>
      </c>
      <c r="U87" s="69"/>
      <c r="V87" s="69"/>
      <c r="W87" s="69"/>
      <c r="X87" s="69"/>
      <c r="Y87" s="69" t="s">
        <v>4131</v>
      </c>
      <c r="Z87" s="52">
        <v>503961</v>
      </c>
      <c r="AA87" s="43" t="s">
        <v>52</v>
      </c>
      <c r="AB87" s="43" t="s">
        <v>53</v>
      </c>
      <c r="AC87" s="85">
        <v>3650</v>
      </c>
      <c r="AD87" s="141">
        <v>10</v>
      </c>
      <c r="AE87" s="142">
        <v>0</v>
      </c>
      <c r="AF87" s="69" t="str">
        <f t="shared" si="3"/>
        <v>2 years 308 days</v>
      </c>
      <c r="AG87" s="69">
        <v>2</v>
      </c>
      <c r="AH87" s="69">
        <v>308</v>
      </c>
      <c r="AI87" s="69">
        <v>503961</v>
      </c>
      <c r="AJ87" s="67">
        <v>143318</v>
      </c>
      <c r="AK87" s="69">
        <v>2025</v>
      </c>
      <c r="AL87" s="61">
        <v>24991.166849315079</v>
      </c>
      <c r="AM87" s="143"/>
    </row>
    <row r="88" spans="1:39" x14ac:dyDescent="0.35">
      <c r="A88" s="69" t="s">
        <v>4124</v>
      </c>
      <c r="B88" s="41">
        <v>1101400661</v>
      </c>
      <c r="C88" s="41"/>
      <c r="D88" s="69"/>
      <c r="E88" s="101">
        <v>0</v>
      </c>
      <c r="F88" s="41" t="s">
        <v>260</v>
      </c>
      <c r="G88" s="69" t="s">
        <v>259</v>
      </c>
      <c r="H88" s="41">
        <v>9007000004</v>
      </c>
      <c r="I88" s="41" t="s">
        <v>261</v>
      </c>
      <c r="J88" s="41">
        <v>1202010217</v>
      </c>
      <c r="K88" s="41" t="s">
        <v>288</v>
      </c>
      <c r="L88" s="52" t="s">
        <v>289</v>
      </c>
      <c r="M88" s="69" t="s">
        <v>290</v>
      </c>
      <c r="N88" s="69"/>
      <c r="O88" s="69">
        <v>1</v>
      </c>
      <c r="P88" s="69" t="s">
        <v>50</v>
      </c>
      <c r="Q88" s="69" t="s">
        <v>51</v>
      </c>
      <c r="R88" s="69"/>
      <c r="S88" s="48">
        <v>40817</v>
      </c>
      <c r="T88" s="48">
        <v>43340</v>
      </c>
      <c r="U88" s="69"/>
      <c r="V88" s="69"/>
      <c r="W88" s="69"/>
      <c r="X88" s="69"/>
      <c r="Y88" s="69" t="s">
        <v>4125</v>
      </c>
      <c r="Z88" s="52">
        <v>1300000</v>
      </c>
      <c r="AA88" s="43" t="s">
        <v>52</v>
      </c>
      <c r="AB88" s="43" t="s">
        <v>53</v>
      </c>
      <c r="AC88" s="85">
        <v>2957</v>
      </c>
      <c r="AD88" s="141">
        <v>8</v>
      </c>
      <c r="AE88" s="142">
        <v>1</v>
      </c>
      <c r="AF88" s="69" t="str">
        <f t="shared" ref="AF88:AF89" si="4">_xlfn.CONCAT(AG88," years ",AH88," days")</f>
        <v>6 years 128 days</v>
      </c>
      <c r="AG88" s="69">
        <v>6</v>
      </c>
      <c r="AH88" s="69">
        <v>128</v>
      </c>
      <c r="AI88" s="69">
        <v>1300000</v>
      </c>
      <c r="AJ88" s="67">
        <v>1018634</v>
      </c>
      <c r="AK88" s="69">
        <v>2025</v>
      </c>
      <c r="AL88" s="61">
        <v>79573.642881298671</v>
      </c>
      <c r="AM88" s="143"/>
    </row>
    <row r="89" spans="1:39" x14ac:dyDescent="0.35">
      <c r="A89" s="69" t="s">
        <v>4124</v>
      </c>
      <c r="B89" s="41">
        <v>1101405290</v>
      </c>
      <c r="C89" s="41"/>
      <c r="D89" s="41" t="s">
        <v>287</v>
      </c>
      <c r="E89" s="101">
        <v>1</v>
      </c>
      <c r="F89" s="41" t="s">
        <v>260</v>
      </c>
      <c r="G89" s="69" t="s">
        <v>259</v>
      </c>
      <c r="H89" s="41">
        <v>9007000004</v>
      </c>
      <c r="I89" s="41" t="s">
        <v>261</v>
      </c>
      <c r="J89" s="41">
        <v>1202010217</v>
      </c>
      <c r="K89" s="41" t="s">
        <v>292</v>
      </c>
      <c r="L89" s="52" t="s">
        <v>293</v>
      </c>
      <c r="M89" s="69" t="s">
        <v>49</v>
      </c>
      <c r="N89" s="69"/>
      <c r="O89" s="69">
        <v>1</v>
      </c>
      <c r="P89" s="69" t="s">
        <v>50</v>
      </c>
      <c r="Q89" s="69" t="s">
        <v>51</v>
      </c>
      <c r="R89" s="69"/>
      <c r="S89" s="48">
        <v>45524</v>
      </c>
      <c r="T89" s="48">
        <v>45524</v>
      </c>
      <c r="U89" s="69"/>
      <c r="V89" s="69"/>
      <c r="W89" s="69"/>
      <c r="X89" s="69"/>
      <c r="Y89" s="69" t="s">
        <v>4130</v>
      </c>
      <c r="Z89" s="83">
        <v>266656.5</v>
      </c>
      <c r="AA89" s="43" t="s">
        <v>52</v>
      </c>
      <c r="AB89" s="43" t="s">
        <v>53</v>
      </c>
      <c r="AC89" s="85">
        <v>3650</v>
      </c>
      <c r="AD89" s="141">
        <v>10</v>
      </c>
      <c r="AE89" s="142">
        <v>0</v>
      </c>
      <c r="AF89" s="69" t="str">
        <f t="shared" si="4"/>
        <v>0 years 134 days</v>
      </c>
      <c r="AG89" s="69">
        <v>0</v>
      </c>
      <c r="AH89" s="69">
        <v>134</v>
      </c>
      <c r="AI89" s="69">
        <v>266656.5</v>
      </c>
      <c r="AJ89" s="67">
        <v>9790</v>
      </c>
      <c r="AK89" s="69">
        <v>2025</v>
      </c>
      <c r="AL89" s="61">
        <v>13222.821232876711</v>
      </c>
      <c r="AM89" s="143"/>
    </row>
    <row r="90" spans="1:39" x14ac:dyDescent="0.35">
      <c r="A90" s="69" t="s">
        <v>4124</v>
      </c>
      <c r="B90" s="41">
        <v>1101404540</v>
      </c>
      <c r="C90" s="41"/>
      <c r="D90" s="69"/>
      <c r="E90" s="101">
        <v>0</v>
      </c>
      <c r="F90" s="41" t="s">
        <v>260</v>
      </c>
      <c r="G90" s="69" t="s">
        <v>259</v>
      </c>
      <c r="H90" s="41">
        <v>9007000005</v>
      </c>
      <c r="I90" s="41" t="s">
        <v>261</v>
      </c>
      <c r="J90" s="41">
        <v>1202010217</v>
      </c>
      <c r="K90" s="41" t="s">
        <v>295</v>
      </c>
      <c r="L90" s="52" t="s">
        <v>296</v>
      </c>
      <c r="M90" s="69" t="s">
        <v>297</v>
      </c>
      <c r="N90" s="69"/>
      <c r="O90" s="69">
        <v>1</v>
      </c>
      <c r="P90" s="69" t="s">
        <v>50</v>
      </c>
      <c r="Q90" s="69" t="s">
        <v>51</v>
      </c>
      <c r="R90" s="69"/>
      <c r="S90" s="48">
        <v>44910</v>
      </c>
      <c r="T90" s="48">
        <v>44910</v>
      </c>
      <c r="U90" s="69"/>
      <c r="V90" s="69"/>
      <c r="W90" s="69"/>
      <c r="X90" s="69"/>
      <c r="Y90" s="69" t="s">
        <v>4131</v>
      </c>
      <c r="Z90" s="52">
        <v>4602270.0200000014</v>
      </c>
      <c r="AA90" s="43" t="s">
        <v>52</v>
      </c>
      <c r="AB90" s="43" t="s">
        <v>53</v>
      </c>
      <c r="AC90" s="85">
        <v>3650</v>
      </c>
      <c r="AD90" s="141">
        <v>10</v>
      </c>
      <c r="AE90" s="142">
        <v>0</v>
      </c>
      <c r="AF90" s="69" t="str">
        <f t="shared" ref="AF90:AF93" si="5">_xlfn.CONCAT(AG90," years ",AH90," days")</f>
        <v>2 years 18 days</v>
      </c>
      <c r="AG90" s="69">
        <v>2</v>
      </c>
      <c r="AH90" s="69">
        <v>18</v>
      </c>
      <c r="AI90" s="69">
        <v>4602270.0200000014</v>
      </c>
      <c r="AJ90" s="67">
        <v>943150</v>
      </c>
      <c r="AK90" s="69">
        <v>2025</v>
      </c>
      <c r="AL90" s="61">
        <v>228222.28669589059</v>
      </c>
      <c r="AM90" s="143"/>
    </row>
    <row r="91" spans="1:39" x14ac:dyDescent="0.35">
      <c r="A91" s="69" t="s">
        <v>4124</v>
      </c>
      <c r="B91" s="41">
        <v>1101404673</v>
      </c>
      <c r="C91" s="41"/>
      <c r="D91" s="41" t="s">
        <v>294</v>
      </c>
      <c r="E91" s="101">
        <v>1</v>
      </c>
      <c r="F91" s="41" t="s">
        <v>260</v>
      </c>
      <c r="G91" s="69" t="s">
        <v>259</v>
      </c>
      <c r="H91" s="41">
        <v>9007000005</v>
      </c>
      <c r="I91" s="41" t="s">
        <v>261</v>
      </c>
      <c r="J91" s="41">
        <v>1202010217</v>
      </c>
      <c r="K91" s="41" t="s">
        <v>299</v>
      </c>
      <c r="L91" s="52" t="s">
        <v>300</v>
      </c>
      <c r="M91" s="69" t="s">
        <v>301</v>
      </c>
      <c r="N91" s="69"/>
      <c r="O91" s="69">
        <v>1</v>
      </c>
      <c r="P91" s="69" t="s">
        <v>50</v>
      </c>
      <c r="Q91" s="69" t="s">
        <v>51</v>
      </c>
      <c r="R91" s="69"/>
      <c r="S91" s="48">
        <v>45000</v>
      </c>
      <c r="T91" s="48">
        <v>45000</v>
      </c>
      <c r="U91" s="69"/>
      <c r="V91" s="69"/>
      <c r="W91" s="69"/>
      <c r="X91" s="69"/>
      <c r="Y91" s="69" t="s">
        <v>4129</v>
      </c>
      <c r="Z91" s="52">
        <v>12178086.799999999</v>
      </c>
      <c r="AA91" s="43" t="s">
        <v>52</v>
      </c>
      <c r="AB91" s="43" t="s">
        <v>53</v>
      </c>
      <c r="AC91" s="85">
        <v>3650</v>
      </c>
      <c r="AD91" s="141">
        <v>10</v>
      </c>
      <c r="AE91" s="142">
        <v>0</v>
      </c>
      <c r="AF91" s="69" t="str">
        <f t="shared" si="5"/>
        <v>1 years 293 days</v>
      </c>
      <c r="AG91" s="69">
        <v>1</v>
      </c>
      <c r="AH91" s="69">
        <v>293</v>
      </c>
      <c r="AI91" s="69">
        <v>12178086.799999999</v>
      </c>
      <c r="AJ91" s="67">
        <v>2195392</v>
      </c>
      <c r="AK91" s="69">
        <v>2025</v>
      </c>
      <c r="AL91" s="61">
        <v>603899.73386301333</v>
      </c>
      <c r="AM91" s="143"/>
    </row>
    <row r="92" spans="1:39" x14ac:dyDescent="0.35">
      <c r="A92" s="69" t="s">
        <v>4124</v>
      </c>
      <c r="B92" s="41">
        <v>1101405093</v>
      </c>
      <c r="C92" s="41"/>
      <c r="D92" s="41" t="s">
        <v>294</v>
      </c>
      <c r="E92" s="101">
        <v>2</v>
      </c>
      <c r="F92" s="41" t="s">
        <v>260</v>
      </c>
      <c r="G92" s="69" t="s">
        <v>259</v>
      </c>
      <c r="H92" s="41">
        <v>9007000005</v>
      </c>
      <c r="I92" s="41" t="s">
        <v>261</v>
      </c>
      <c r="J92" s="41">
        <v>1202010217</v>
      </c>
      <c r="K92" s="41"/>
      <c r="L92" s="52" t="s">
        <v>303</v>
      </c>
      <c r="M92" s="69" t="s">
        <v>304</v>
      </c>
      <c r="N92" s="69"/>
      <c r="O92" s="69">
        <v>1080</v>
      </c>
      <c r="P92" s="69" t="s">
        <v>50</v>
      </c>
      <c r="Q92" s="69" t="s">
        <v>51</v>
      </c>
      <c r="R92" s="69"/>
      <c r="S92" s="48">
        <v>45327</v>
      </c>
      <c r="T92" s="48">
        <v>45327</v>
      </c>
      <c r="U92" s="69"/>
      <c r="V92" s="69"/>
      <c r="W92" s="69"/>
      <c r="X92" s="69"/>
      <c r="Y92" s="69" t="s">
        <v>4130</v>
      </c>
      <c r="Z92" s="52">
        <v>206800</v>
      </c>
      <c r="AA92" s="43" t="s">
        <v>52</v>
      </c>
      <c r="AB92" s="43" t="s">
        <v>53</v>
      </c>
      <c r="AC92" s="85">
        <v>3650</v>
      </c>
      <c r="AD92" s="141">
        <v>10</v>
      </c>
      <c r="AE92" s="142">
        <v>0</v>
      </c>
      <c r="AF92" s="69" t="str">
        <f t="shared" si="5"/>
        <v>0 years 331 days</v>
      </c>
      <c r="AG92" s="69">
        <v>0</v>
      </c>
      <c r="AH92" s="69">
        <v>331</v>
      </c>
      <c r="AI92" s="69">
        <v>206800</v>
      </c>
      <c r="AJ92" s="67">
        <v>18754</v>
      </c>
      <c r="AK92" s="69">
        <v>2025</v>
      </c>
      <c r="AL92" s="61">
        <v>10254.657534246573</v>
      </c>
      <c r="AM92" s="143"/>
    </row>
    <row r="93" spans="1:39" x14ac:dyDescent="0.35">
      <c r="A93" s="69" t="s">
        <v>4124</v>
      </c>
      <c r="B93" s="41">
        <v>1101104040</v>
      </c>
      <c r="C93" s="41"/>
      <c r="D93" s="41" t="s">
        <v>294</v>
      </c>
      <c r="E93" s="101">
        <v>3</v>
      </c>
      <c r="F93" s="41" t="s">
        <v>260</v>
      </c>
      <c r="G93" s="69" t="s">
        <v>259</v>
      </c>
      <c r="H93" s="41">
        <v>9007000005</v>
      </c>
      <c r="I93" s="41" t="s">
        <v>261</v>
      </c>
      <c r="J93" s="41">
        <v>1202010217</v>
      </c>
      <c r="K93" s="41"/>
      <c r="L93" s="52" t="s">
        <v>306</v>
      </c>
      <c r="M93" s="69" t="s">
        <v>307</v>
      </c>
      <c r="N93" s="69"/>
      <c r="O93" s="69">
        <v>1</v>
      </c>
      <c r="P93" s="69" t="s">
        <v>50</v>
      </c>
      <c r="Q93" s="69" t="s">
        <v>51</v>
      </c>
      <c r="R93" s="69"/>
      <c r="S93" s="48">
        <v>44622</v>
      </c>
      <c r="T93" s="48">
        <v>44622</v>
      </c>
      <c r="U93" s="69"/>
      <c r="V93" s="69"/>
      <c r="W93" s="69"/>
      <c r="X93" s="69"/>
      <c r="Y93" s="69" t="s">
        <v>4131</v>
      </c>
      <c r="Z93" s="52">
        <v>87000</v>
      </c>
      <c r="AA93" s="43" t="s">
        <v>52</v>
      </c>
      <c r="AB93" s="43" t="s">
        <v>53</v>
      </c>
      <c r="AC93" s="85">
        <v>3650</v>
      </c>
      <c r="AD93" s="141">
        <v>10</v>
      </c>
      <c r="AE93" s="142">
        <v>0</v>
      </c>
      <c r="AF93" s="69" t="str">
        <f t="shared" si="5"/>
        <v>2 years 306 days</v>
      </c>
      <c r="AG93" s="69">
        <v>2</v>
      </c>
      <c r="AH93" s="69">
        <v>306</v>
      </c>
      <c r="AI93" s="69">
        <v>87000</v>
      </c>
      <c r="AJ93" s="67">
        <v>24694</v>
      </c>
      <c r="AK93" s="69">
        <v>2025</v>
      </c>
      <c r="AL93" s="61">
        <v>4313.9452054794529</v>
      </c>
      <c r="AM93" s="143"/>
    </row>
    <row r="94" spans="1:39" x14ac:dyDescent="0.35">
      <c r="A94" s="69" t="s">
        <v>4124</v>
      </c>
      <c r="B94" s="41">
        <v>1101400916</v>
      </c>
      <c r="C94" s="41"/>
      <c r="D94" s="69"/>
      <c r="E94" s="101">
        <v>0</v>
      </c>
      <c r="F94" s="41" t="s">
        <v>260</v>
      </c>
      <c r="G94" s="69" t="s">
        <v>259</v>
      </c>
      <c r="H94" s="41">
        <v>9007000006</v>
      </c>
      <c r="I94" s="41" t="s">
        <v>261</v>
      </c>
      <c r="J94" s="41">
        <v>1202010217</v>
      </c>
      <c r="K94" s="41" t="s">
        <v>309</v>
      </c>
      <c r="L94" s="52" t="s">
        <v>310</v>
      </c>
      <c r="M94" s="69" t="s">
        <v>311</v>
      </c>
      <c r="N94" s="69"/>
      <c r="O94" s="69">
        <v>1</v>
      </c>
      <c r="P94" s="69" t="s">
        <v>50</v>
      </c>
      <c r="Q94" s="69" t="s">
        <v>51</v>
      </c>
      <c r="R94" s="69"/>
      <c r="S94" s="48">
        <v>41303</v>
      </c>
      <c r="T94" s="48">
        <v>43340</v>
      </c>
      <c r="U94" s="69"/>
      <c r="V94" s="69"/>
      <c r="W94" s="69"/>
      <c r="X94" s="69"/>
      <c r="Y94" s="69" t="s">
        <v>4125</v>
      </c>
      <c r="Z94" s="52">
        <v>630000</v>
      </c>
      <c r="AA94" s="43" t="s">
        <v>52</v>
      </c>
      <c r="AB94" s="43" t="s">
        <v>53</v>
      </c>
      <c r="AC94" s="85">
        <v>3431</v>
      </c>
      <c r="AD94" s="141">
        <v>9</v>
      </c>
      <c r="AE94" s="142">
        <v>5</v>
      </c>
      <c r="AF94" s="69" t="str">
        <f>_xlfn.CONCAT(AG94," years ",AH94," days")</f>
        <v>6 years 128 days</v>
      </c>
      <c r="AG94" s="69">
        <v>6</v>
      </c>
      <c r="AH94" s="69">
        <v>128</v>
      </c>
      <c r="AI94" s="69">
        <v>630000</v>
      </c>
      <c r="AJ94" s="67">
        <v>425447</v>
      </c>
      <c r="AK94" s="69">
        <v>2025</v>
      </c>
      <c r="AL94" s="61">
        <v>33235.599825123849</v>
      </c>
      <c r="AM94" s="143"/>
    </row>
    <row r="95" spans="1:39" x14ac:dyDescent="0.35">
      <c r="A95" s="69" t="s">
        <v>4124</v>
      </c>
      <c r="B95" s="41">
        <v>1101401778</v>
      </c>
      <c r="C95" s="41"/>
      <c r="D95" s="69"/>
      <c r="E95" s="101">
        <v>0</v>
      </c>
      <c r="F95" s="41" t="s">
        <v>260</v>
      </c>
      <c r="G95" s="69" t="s">
        <v>259</v>
      </c>
      <c r="H95" s="41">
        <v>9007000007</v>
      </c>
      <c r="I95" s="41" t="s">
        <v>261</v>
      </c>
      <c r="J95" s="41">
        <v>1202010217</v>
      </c>
      <c r="K95" s="41" t="s">
        <v>313</v>
      </c>
      <c r="L95" s="52" t="s">
        <v>314</v>
      </c>
      <c r="M95" s="69" t="s">
        <v>315</v>
      </c>
      <c r="N95" s="69"/>
      <c r="O95" s="69">
        <v>1</v>
      </c>
      <c r="P95" s="69" t="s">
        <v>50</v>
      </c>
      <c r="Q95" s="69" t="s">
        <v>51</v>
      </c>
      <c r="R95" s="69"/>
      <c r="S95" s="48">
        <v>42323</v>
      </c>
      <c r="T95" s="48">
        <v>43340</v>
      </c>
      <c r="U95" s="69"/>
      <c r="V95" s="69"/>
      <c r="W95" s="69"/>
      <c r="X95" s="69"/>
      <c r="Y95" s="69" t="s">
        <v>4125</v>
      </c>
      <c r="Z95" s="52">
        <v>410000</v>
      </c>
      <c r="AA95" s="43" t="s">
        <v>52</v>
      </c>
      <c r="AB95" s="43" t="s">
        <v>53</v>
      </c>
      <c r="AC95" s="85">
        <v>4417</v>
      </c>
      <c r="AD95" s="141">
        <v>12</v>
      </c>
      <c r="AE95" s="142">
        <v>1</v>
      </c>
      <c r="AF95" s="69" t="str">
        <f>_xlfn.CONCAT(AG95," years ",AH95," days")</f>
        <v>6 years 128 days</v>
      </c>
      <c r="AG95" s="69">
        <v>6</v>
      </c>
      <c r="AH95" s="69">
        <v>128</v>
      </c>
      <c r="AI95" s="69">
        <v>410000</v>
      </c>
      <c r="AJ95" s="67">
        <v>215071</v>
      </c>
      <c r="AK95" s="69">
        <v>2025</v>
      </c>
      <c r="AL95" s="61">
        <v>16801.311523658573</v>
      </c>
      <c r="AM95" s="143"/>
    </row>
    <row r="96" spans="1:39" x14ac:dyDescent="0.35">
      <c r="A96" s="69" t="s">
        <v>4124</v>
      </c>
      <c r="B96" s="41">
        <v>1101400923</v>
      </c>
      <c r="C96" s="41"/>
      <c r="D96" s="69"/>
      <c r="E96" s="101">
        <v>0</v>
      </c>
      <c r="F96" s="41" t="s">
        <v>260</v>
      </c>
      <c r="G96" s="69" t="s">
        <v>259</v>
      </c>
      <c r="H96" s="41">
        <v>9007000008</v>
      </c>
      <c r="I96" s="41" t="s">
        <v>261</v>
      </c>
      <c r="J96" s="41">
        <v>1202010217</v>
      </c>
      <c r="K96" s="41"/>
      <c r="L96" s="52" t="s">
        <v>317</v>
      </c>
      <c r="M96" s="69" t="s">
        <v>318</v>
      </c>
      <c r="N96" s="69"/>
      <c r="O96" s="69">
        <v>1</v>
      </c>
      <c r="P96" s="69" t="s">
        <v>50</v>
      </c>
      <c r="Q96" s="69" t="s">
        <v>51</v>
      </c>
      <c r="R96" s="69"/>
      <c r="S96" s="48">
        <v>41307</v>
      </c>
      <c r="T96" s="48">
        <v>43340</v>
      </c>
      <c r="U96" s="69"/>
      <c r="V96" s="69"/>
      <c r="W96" s="69"/>
      <c r="X96" s="69"/>
      <c r="Y96" s="69" t="s">
        <v>4125</v>
      </c>
      <c r="Z96" s="52">
        <v>200000</v>
      </c>
      <c r="AA96" s="43" t="s">
        <v>52</v>
      </c>
      <c r="AB96" s="43" t="s">
        <v>53</v>
      </c>
      <c r="AC96" s="85">
        <v>1606</v>
      </c>
      <c r="AD96" s="141">
        <v>4</v>
      </c>
      <c r="AE96" s="142">
        <v>5</v>
      </c>
      <c r="AF96" s="69" t="str">
        <f t="shared" ref="AF96:AF102" si="6">_xlfn.CONCAT(AG96," years ",AH96," days")</f>
        <v>4 years 146 days</v>
      </c>
      <c r="AG96" s="69">
        <v>4</v>
      </c>
      <c r="AH96" s="69">
        <v>146</v>
      </c>
      <c r="AI96" s="69">
        <v>200000</v>
      </c>
      <c r="AJ96" s="67">
        <v>200000</v>
      </c>
      <c r="AK96" s="69">
        <v>2025</v>
      </c>
      <c r="AL96" s="61">
        <v>0</v>
      </c>
      <c r="AM96" s="143"/>
    </row>
    <row r="97" spans="1:39" x14ac:dyDescent="0.35">
      <c r="A97" s="69" t="s">
        <v>4124</v>
      </c>
      <c r="B97" s="41">
        <v>1101404553</v>
      </c>
      <c r="C97" s="41"/>
      <c r="D97" s="69" t="s">
        <v>316</v>
      </c>
      <c r="E97" s="101">
        <v>1</v>
      </c>
      <c r="F97" s="41" t="s">
        <v>260</v>
      </c>
      <c r="G97" s="69" t="s">
        <v>259</v>
      </c>
      <c r="H97" s="41">
        <v>9007000008</v>
      </c>
      <c r="I97" s="41" t="s">
        <v>261</v>
      </c>
      <c r="J97" s="41">
        <v>1202010217</v>
      </c>
      <c r="K97" s="41" t="s">
        <v>320</v>
      </c>
      <c r="L97" s="52" t="s">
        <v>321</v>
      </c>
      <c r="M97" s="69" t="s">
        <v>322</v>
      </c>
      <c r="N97" s="69"/>
      <c r="O97" s="69">
        <v>1</v>
      </c>
      <c r="P97" s="69" t="s">
        <v>50</v>
      </c>
      <c r="Q97" s="69" t="s">
        <v>51</v>
      </c>
      <c r="R97" s="69"/>
      <c r="S97" s="48">
        <v>44910</v>
      </c>
      <c r="T97" s="48">
        <v>44910</v>
      </c>
      <c r="U97" s="69"/>
      <c r="V97" s="69"/>
      <c r="W97" s="69"/>
      <c r="X97" s="69"/>
      <c r="Y97" s="69" t="s">
        <v>4131</v>
      </c>
      <c r="Z97" s="52">
        <v>7877130.1799999997</v>
      </c>
      <c r="AA97" s="43" t="s">
        <v>52</v>
      </c>
      <c r="AB97" s="43" t="s">
        <v>53</v>
      </c>
      <c r="AC97" s="85">
        <v>3650</v>
      </c>
      <c r="AD97" s="141">
        <v>10</v>
      </c>
      <c r="AE97" s="142">
        <v>0</v>
      </c>
      <c r="AF97" s="69" t="str">
        <f t="shared" si="6"/>
        <v>2 years 18 days</v>
      </c>
      <c r="AG97" s="69">
        <v>2</v>
      </c>
      <c r="AH97" s="69">
        <v>18</v>
      </c>
      <c r="AI97" s="69">
        <v>7877130.1799999997</v>
      </c>
      <c r="AJ97" s="67">
        <v>1614272</v>
      </c>
      <c r="AK97" s="69">
        <v>2025</v>
      </c>
      <c r="AL97" s="61">
        <v>390619.48437260254</v>
      </c>
      <c r="AM97" s="143"/>
    </row>
    <row r="98" spans="1:39" x14ac:dyDescent="0.35">
      <c r="A98" s="69" t="s">
        <v>4124</v>
      </c>
      <c r="B98" s="41">
        <v>1101404680</v>
      </c>
      <c r="C98" s="41"/>
      <c r="D98" s="69" t="s">
        <v>316</v>
      </c>
      <c r="E98" s="101">
        <v>2</v>
      </c>
      <c r="F98" s="41" t="s">
        <v>260</v>
      </c>
      <c r="G98" s="69" t="s">
        <v>259</v>
      </c>
      <c r="H98" s="41">
        <v>9007000008</v>
      </c>
      <c r="I98" s="41" t="s">
        <v>261</v>
      </c>
      <c r="J98" s="41">
        <v>1202010217</v>
      </c>
      <c r="K98" s="41" t="s">
        <v>324</v>
      </c>
      <c r="L98" s="52" t="s">
        <v>325</v>
      </c>
      <c r="M98" s="69" t="s">
        <v>326</v>
      </c>
      <c r="N98" s="69"/>
      <c r="O98" s="69">
        <v>1</v>
      </c>
      <c r="P98" s="69" t="s">
        <v>50</v>
      </c>
      <c r="Q98" s="69" t="s">
        <v>51</v>
      </c>
      <c r="R98" s="69"/>
      <c r="S98" s="48">
        <v>45000</v>
      </c>
      <c r="T98" s="48">
        <v>45000</v>
      </c>
      <c r="U98" s="69"/>
      <c r="V98" s="69"/>
      <c r="W98" s="69"/>
      <c r="X98" s="69"/>
      <c r="Y98" s="69" t="s">
        <v>4129</v>
      </c>
      <c r="Z98" s="52">
        <v>4196003.7</v>
      </c>
      <c r="AA98" s="43" t="s">
        <v>52</v>
      </c>
      <c r="AB98" s="43" t="s">
        <v>53</v>
      </c>
      <c r="AC98" s="85">
        <v>3650</v>
      </c>
      <c r="AD98" s="141">
        <v>10</v>
      </c>
      <c r="AE98" s="142">
        <v>0</v>
      </c>
      <c r="AF98" s="69" t="str">
        <f t="shared" si="6"/>
        <v>1 years 293 days</v>
      </c>
      <c r="AG98" s="69">
        <v>1</v>
      </c>
      <c r="AH98" s="69">
        <v>293</v>
      </c>
      <c r="AI98" s="69">
        <v>4196003.7</v>
      </c>
      <c r="AJ98" s="67">
        <v>756430</v>
      </c>
      <c r="AK98" s="69">
        <v>2025</v>
      </c>
      <c r="AL98" s="61">
        <v>208076.05736986303</v>
      </c>
      <c r="AM98" s="143"/>
    </row>
    <row r="99" spans="1:39" x14ac:dyDescent="0.35">
      <c r="A99" s="69" t="s">
        <v>4124</v>
      </c>
      <c r="B99" s="41">
        <v>1101405165</v>
      </c>
      <c r="C99" s="41"/>
      <c r="D99" s="69" t="s">
        <v>316</v>
      </c>
      <c r="E99" s="101">
        <v>3</v>
      </c>
      <c r="F99" s="41" t="s">
        <v>260</v>
      </c>
      <c r="G99" s="69" t="s">
        <v>259</v>
      </c>
      <c r="H99" s="41">
        <v>9007000008</v>
      </c>
      <c r="I99" s="41" t="s">
        <v>261</v>
      </c>
      <c r="J99" s="41">
        <v>1202010217</v>
      </c>
      <c r="K99" s="41" t="s">
        <v>328</v>
      </c>
      <c r="L99" s="52" t="s">
        <v>329</v>
      </c>
      <c r="M99" s="69" t="s">
        <v>330</v>
      </c>
      <c r="N99" s="69"/>
      <c r="O99" s="69">
        <v>4</v>
      </c>
      <c r="P99" s="69" t="s">
        <v>50</v>
      </c>
      <c r="Q99" s="69" t="s">
        <v>51</v>
      </c>
      <c r="R99" s="69"/>
      <c r="S99" s="48">
        <v>45402</v>
      </c>
      <c r="T99" s="48">
        <v>45402</v>
      </c>
      <c r="U99" s="69"/>
      <c r="V99" s="69"/>
      <c r="W99" s="69"/>
      <c r="X99" s="69"/>
      <c r="Y99" s="69" t="s">
        <v>4130</v>
      </c>
      <c r="Z99" s="83">
        <v>668360</v>
      </c>
      <c r="AA99" s="43" t="s">
        <v>52</v>
      </c>
      <c r="AB99" s="43" t="s">
        <v>53</v>
      </c>
      <c r="AC99" s="85">
        <v>3650</v>
      </c>
      <c r="AD99" s="141">
        <v>10</v>
      </c>
      <c r="AE99" s="142">
        <v>0</v>
      </c>
      <c r="AF99" s="69" t="str">
        <f t="shared" si="6"/>
        <v>0 years 256 days</v>
      </c>
      <c r="AG99" s="69">
        <v>0</v>
      </c>
      <c r="AH99" s="69">
        <v>256</v>
      </c>
      <c r="AI99" s="69">
        <v>668360</v>
      </c>
      <c r="AJ99" s="67">
        <v>46877</v>
      </c>
      <c r="AK99" s="69">
        <v>2025</v>
      </c>
      <c r="AL99" s="61">
        <v>33143.087671232875</v>
      </c>
      <c r="AM99" s="143"/>
    </row>
    <row r="100" spans="1:39" x14ac:dyDescent="0.35">
      <c r="A100" s="69" t="s">
        <v>4124</v>
      </c>
      <c r="B100" s="41">
        <v>1101100498</v>
      </c>
      <c r="C100" s="41"/>
      <c r="D100" s="69" t="s">
        <v>316</v>
      </c>
      <c r="E100" s="101">
        <v>4</v>
      </c>
      <c r="F100" s="41" t="s">
        <v>260</v>
      </c>
      <c r="G100" s="69" t="s">
        <v>259</v>
      </c>
      <c r="H100" s="41">
        <v>9007000008</v>
      </c>
      <c r="I100" s="41" t="s">
        <v>261</v>
      </c>
      <c r="J100" s="41">
        <v>1202010217</v>
      </c>
      <c r="K100" s="41"/>
      <c r="L100" s="52" t="s">
        <v>332</v>
      </c>
      <c r="M100" s="69" t="s">
        <v>49</v>
      </c>
      <c r="N100" s="69"/>
      <c r="O100" s="69">
        <v>1</v>
      </c>
      <c r="P100" s="69" t="s">
        <v>50</v>
      </c>
      <c r="Q100" s="69" t="s">
        <v>51</v>
      </c>
      <c r="R100" s="69"/>
      <c r="S100" s="48">
        <v>40446</v>
      </c>
      <c r="T100" s="48">
        <v>43340</v>
      </c>
      <c r="U100" s="69"/>
      <c r="V100" s="69"/>
      <c r="W100" s="69"/>
      <c r="X100" s="69"/>
      <c r="Y100" s="69" t="s">
        <v>4125</v>
      </c>
      <c r="Z100" s="52">
        <v>210000</v>
      </c>
      <c r="AA100" s="43" t="s">
        <v>52</v>
      </c>
      <c r="AB100" s="43" t="s">
        <v>53</v>
      </c>
      <c r="AC100" s="85">
        <v>2592</v>
      </c>
      <c r="AD100" s="141">
        <v>7</v>
      </c>
      <c r="AE100" s="142">
        <v>1</v>
      </c>
      <c r="AF100" s="69" t="str">
        <f t="shared" si="6"/>
        <v>6 years 128 days</v>
      </c>
      <c r="AG100" s="69">
        <v>6</v>
      </c>
      <c r="AH100" s="69">
        <v>128</v>
      </c>
      <c r="AI100" s="69">
        <v>210000</v>
      </c>
      <c r="AJ100" s="67">
        <v>187720</v>
      </c>
      <c r="AK100" s="69">
        <v>2025</v>
      </c>
      <c r="AL100" s="61">
        <v>14664.25925925927</v>
      </c>
      <c r="AM100" s="143"/>
    </row>
    <row r="101" spans="1:39" x14ac:dyDescent="0.35">
      <c r="A101" s="69" t="s">
        <v>4124</v>
      </c>
      <c r="B101" s="41">
        <v>1101504332</v>
      </c>
      <c r="C101" s="41"/>
      <c r="D101" s="69" t="s">
        <v>316</v>
      </c>
      <c r="E101" s="101">
        <v>5</v>
      </c>
      <c r="F101" s="41" t="s">
        <v>260</v>
      </c>
      <c r="G101" s="69" t="s">
        <v>259</v>
      </c>
      <c r="H101" s="41">
        <v>9007000008</v>
      </c>
      <c r="I101" s="41" t="s">
        <v>261</v>
      </c>
      <c r="J101" s="41">
        <v>1202010217</v>
      </c>
      <c r="K101" s="41"/>
      <c r="L101" s="52" t="s">
        <v>334</v>
      </c>
      <c r="M101" s="69" t="s">
        <v>335</v>
      </c>
      <c r="N101" s="69"/>
      <c r="O101" s="69">
        <v>1</v>
      </c>
      <c r="P101" s="69" t="s">
        <v>50</v>
      </c>
      <c r="Q101" s="69" t="s">
        <v>51</v>
      </c>
      <c r="R101" s="69"/>
      <c r="S101" s="48">
        <v>41940</v>
      </c>
      <c r="T101" s="48">
        <v>43340</v>
      </c>
      <c r="U101" s="69"/>
      <c r="V101" s="69"/>
      <c r="W101" s="69"/>
      <c r="X101" s="69"/>
      <c r="Y101" s="69" t="s">
        <v>4125</v>
      </c>
      <c r="Z101" s="52">
        <v>110000</v>
      </c>
      <c r="AA101" s="43" t="s">
        <v>52</v>
      </c>
      <c r="AB101" s="43" t="s">
        <v>53</v>
      </c>
      <c r="AC101" s="85">
        <v>2227</v>
      </c>
      <c r="AD101" s="141">
        <v>6</v>
      </c>
      <c r="AE101" s="142">
        <v>1</v>
      </c>
      <c r="AF101" s="69" t="str">
        <f t="shared" si="6"/>
        <v>6 years 37 days</v>
      </c>
      <c r="AG101" s="69">
        <v>6</v>
      </c>
      <c r="AH101" s="69">
        <v>37</v>
      </c>
      <c r="AI101" s="69">
        <v>110000</v>
      </c>
      <c r="AJ101" s="67">
        <v>110000</v>
      </c>
      <c r="AK101" s="69">
        <v>2025</v>
      </c>
      <c r="AL101" s="61">
        <v>0</v>
      </c>
      <c r="AM101" s="143"/>
    </row>
    <row r="102" spans="1:39" x14ac:dyDescent="0.35">
      <c r="A102" s="69" t="s">
        <v>4124</v>
      </c>
      <c r="B102" s="41">
        <v>1101504335</v>
      </c>
      <c r="C102" s="41"/>
      <c r="D102" s="69" t="s">
        <v>316</v>
      </c>
      <c r="E102" s="101">
        <v>6</v>
      </c>
      <c r="F102" s="41" t="s">
        <v>260</v>
      </c>
      <c r="G102" s="69" t="s">
        <v>259</v>
      </c>
      <c r="H102" s="41">
        <v>9007000008</v>
      </c>
      <c r="I102" s="41" t="s">
        <v>261</v>
      </c>
      <c r="J102" s="41">
        <v>1202010217</v>
      </c>
      <c r="K102" s="41"/>
      <c r="L102" s="52" t="s">
        <v>337</v>
      </c>
      <c r="M102" s="69" t="s">
        <v>338</v>
      </c>
      <c r="N102" s="69"/>
      <c r="O102" s="69">
        <v>1</v>
      </c>
      <c r="P102" s="69" t="s">
        <v>50</v>
      </c>
      <c r="Q102" s="69" t="s">
        <v>51</v>
      </c>
      <c r="R102" s="69"/>
      <c r="S102" s="48">
        <v>41944</v>
      </c>
      <c r="T102" s="48">
        <v>43340</v>
      </c>
      <c r="U102" s="69"/>
      <c r="V102" s="69"/>
      <c r="W102" s="69"/>
      <c r="X102" s="69"/>
      <c r="Y102" s="69" t="s">
        <v>4125</v>
      </c>
      <c r="Z102" s="52">
        <v>57500</v>
      </c>
      <c r="AA102" s="43" t="s">
        <v>52</v>
      </c>
      <c r="AB102" s="43" t="s">
        <v>53</v>
      </c>
      <c r="AC102" s="85">
        <v>2227</v>
      </c>
      <c r="AD102" s="141">
        <v>6</v>
      </c>
      <c r="AE102" s="142">
        <v>1</v>
      </c>
      <c r="AF102" s="69" t="str">
        <f t="shared" si="6"/>
        <v>6 years 37 days</v>
      </c>
      <c r="AG102" s="69">
        <v>6</v>
      </c>
      <c r="AH102" s="69">
        <v>37</v>
      </c>
      <c r="AI102" s="69">
        <v>57500</v>
      </c>
      <c r="AJ102" s="67">
        <v>57500</v>
      </c>
      <c r="AK102" s="69">
        <v>2025</v>
      </c>
      <c r="AL102" s="61">
        <v>0</v>
      </c>
      <c r="AM102" s="143"/>
    </row>
    <row r="103" spans="1:39" x14ac:dyDescent="0.35">
      <c r="A103" s="69" t="s">
        <v>4124</v>
      </c>
      <c r="B103" s="41">
        <v>1101403333</v>
      </c>
      <c r="C103" s="41"/>
      <c r="D103" s="69"/>
      <c r="E103" s="101">
        <v>0</v>
      </c>
      <c r="F103" s="41" t="s">
        <v>260</v>
      </c>
      <c r="G103" s="69" t="s">
        <v>259</v>
      </c>
      <c r="H103" s="41">
        <v>9007000009</v>
      </c>
      <c r="I103" s="41" t="s">
        <v>261</v>
      </c>
      <c r="J103" s="41">
        <v>1202010217</v>
      </c>
      <c r="K103" s="41" t="s">
        <v>340</v>
      </c>
      <c r="L103" s="52" t="s">
        <v>341</v>
      </c>
      <c r="M103" s="69" t="s">
        <v>342</v>
      </c>
      <c r="N103" s="69"/>
      <c r="O103" s="69">
        <v>1</v>
      </c>
      <c r="P103" s="69" t="s">
        <v>50</v>
      </c>
      <c r="Q103" s="69" t="s">
        <v>51</v>
      </c>
      <c r="R103" s="69"/>
      <c r="S103" s="48">
        <v>44020</v>
      </c>
      <c r="T103" s="48">
        <v>44020</v>
      </c>
      <c r="U103" s="69"/>
      <c r="V103" s="69"/>
      <c r="W103" s="69"/>
      <c r="X103" s="69"/>
      <c r="Y103" s="69" t="s">
        <v>4127</v>
      </c>
      <c r="Z103" s="52">
        <v>232250</v>
      </c>
      <c r="AA103" s="43" t="s">
        <v>52</v>
      </c>
      <c r="AB103" s="43" t="s">
        <v>53</v>
      </c>
      <c r="AC103" s="85">
        <v>3650</v>
      </c>
      <c r="AD103" s="141">
        <v>10</v>
      </c>
      <c r="AE103" s="142">
        <v>0</v>
      </c>
      <c r="AF103" s="69" t="str">
        <f t="shared" ref="AF103:AF105" si="7">_xlfn.CONCAT(AG103," years ",AH103," days")</f>
        <v>4 years 178 days</v>
      </c>
      <c r="AG103" s="69">
        <v>4</v>
      </c>
      <c r="AH103" s="69">
        <v>178</v>
      </c>
      <c r="AI103" s="69">
        <v>232250</v>
      </c>
      <c r="AJ103" s="67">
        <v>104226</v>
      </c>
      <c r="AK103" s="69">
        <v>2025</v>
      </c>
      <c r="AL103" s="61">
        <v>11517.219178082189</v>
      </c>
      <c r="AM103" s="143"/>
    </row>
    <row r="104" spans="1:39" x14ac:dyDescent="0.35">
      <c r="A104" s="69" t="s">
        <v>4124</v>
      </c>
      <c r="B104" s="41">
        <v>1101404036</v>
      </c>
      <c r="C104" s="41"/>
      <c r="D104" s="41" t="s">
        <v>339</v>
      </c>
      <c r="E104" s="101">
        <v>1</v>
      </c>
      <c r="F104" s="41" t="s">
        <v>260</v>
      </c>
      <c r="G104" s="69" t="s">
        <v>259</v>
      </c>
      <c r="H104" s="41">
        <v>9007000009</v>
      </c>
      <c r="I104" s="41" t="s">
        <v>261</v>
      </c>
      <c r="J104" s="41">
        <v>1202010217</v>
      </c>
      <c r="K104" s="41" t="s">
        <v>344</v>
      </c>
      <c r="L104" s="52" t="s">
        <v>345</v>
      </c>
      <c r="M104" s="69" t="s">
        <v>346</v>
      </c>
      <c r="N104" s="69"/>
      <c r="O104" s="69">
        <v>1</v>
      </c>
      <c r="P104" s="69" t="s">
        <v>50</v>
      </c>
      <c r="Q104" s="69" t="s">
        <v>51</v>
      </c>
      <c r="R104" s="69"/>
      <c r="S104" s="48">
        <v>44621</v>
      </c>
      <c r="T104" s="48">
        <v>44621</v>
      </c>
      <c r="U104" s="69"/>
      <c r="V104" s="69"/>
      <c r="W104" s="69"/>
      <c r="X104" s="69"/>
      <c r="Y104" s="69" t="s">
        <v>4131</v>
      </c>
      <c r="Z104" s="52">
        <v>1622288</v>
      </c>
      <c r="AA104" s="43" t="s">
        <v>52</v>
      </c>
      <c r="AB104" s="43" t="s">
        <v>53</v>
      </c>
      <c r="AC104" s="85">
        <v>3650</v>
      </c>
      <c r="AD104" s="141">
        <v>10</v>
      </c>
      <c r="AE104" s="142">
        <v>0</v>
      </c>
      <c r="AF104" s="69" t="str">
        <f t="shared" si="7"/>
        <v>2 years 307 days</v>
      </c>
      <c r="AG104" s="69">
        <v>2</v>
      </c>
      <c r="AH104" s="69">
        <v>307</v>
      </c>
      <c r="AI104" s="69">
        <v>1622288</v>
      </c>
      <c r="AJ104" s="67">
        <v>460908</v>
      </c>
      <c r="AK104" s="69">
        <v>2025</v>
      </c>
      <c r="AL104" s="61">
        <v>80447.283287671278</v>
      </c>
      <c r="AM104" s="143"/>
    </row>
    <row r="105" spans="1:39" x14ac:dyDescent="0.35">
      <c r="A105" s="69" t="s">
        <v>4124</v>
      </c>
      <c r="B105" s="41">
        <v>1101405073</v>
      </c>
      <c r="C105" s="41"/>
      <c r="D105" s="41" t="s">
        <v>339</v>
      </c>
      <c r="E105" s="101">
        <v>2</v>
      </c>
      <c r="F105" s="41" t="s">
        <v>260</v>
      </c>
      <c r="G105" s="69" t="s">
        <v>259</v>
      </c>
      <c r="H105" s="41">
        <v>9007000009</v>
      </c>
      <c r="I105" s="41" t="s">
        <v>261</v>
      </c>
      <c r="J105" s="41">
        <v>1202010217</v>
      </c>
      <c r="K105" s="41"/>
      <c r="L105" s="52" t="s">
        <v>348</v>
      </c>
      <c r="M105" s="69" t="s">
        <v>349</v>
      </c>
      <c r="N105" s="69"/>
      <c r="O105" s="69">
        <v>1</v>
      </c>
      <c r="P105" s="69" t="s">
        <v>50</v>
      </c>
      <c r="Q105" s="69" t="s">
        <v>51</v>
      </c>
      <c r="R105" s="69"/>
      <c r="S105" s="48">
        <v>45310</v>
      </c>
      <c r="T105" s="48">
        <v>45310</v>
      </c>
      <c r="U105" s="69"/>
      <c r="V105" s="69"/>
      <c r="W105" s="69"/>
      <c r="X105" s="69"/>
      <c r="Y105" s="69" t="s">
        <v>4130</v>
      </c>
      <c r="Z105" s="52">
        <v>48353</v>
      </c>
      <c r="AA105" s="43" t="s">
        <v>52</v>
      </c>
      <c r="AB105" s="43" t="s">
        <v>53</v>
      </c>
      <c r="AC105" s="85">
        <v>3650</v>
      </c>
      <c r="AD105" s="141">
        <v>10</v>
      </c>
      <c r="AE105" s="142">
        <v>0</v>
      </c>
      <c r="AF105" s="69" t="str">
        <f t="shared" si="7"/>
        <v>0 years 348 days</v>
      </c>
      <c r="AG105" s="69">
        <v>0</v>
      </c>
      <c r="AH105" s="69">
        <v>348</v>
      </c>
      <c r="AI105" s="69">
        <v>48353</v>
      </c>
      <c r="AJ105" s="67">
        <v>4610</v>
      </c>
      <c r="AK105" s="69">
        <v>2025</v>
      </c>
      <c r="AL105" s="61">
        <v>2397.8731506849326</v>
      </c>
      <c r="AM105" s="143"/>
    </row>
    <row r="106" spans="1:39" x14ac:dyDescent="0.35">
      <c r="A106" s="69" t="s">
        <v>4124</v>
      </c>
      <c r="B106" s="41">
        <v>1101400374</v>
      </c>
      <c r="C106" s="41"/>
      <c r="D106" s="69"/>
      <c r="E106" s="101">
        <v>0</v>
      </c>
      <c r="F106" s="41" t="s">
        <v>260</v>
      </c>
      <c r="G106" s="69" t="s">
        <v>259</v>
      </c>
      <c r="H106" s="41">
        <v>9007000010</v>
      </c>
      <c r="I106" s="41" t="s">
        <v>261</v>
      </c>
      <c r="J106" s="41">
        <v>1202010217</v>
      </c>
      <c r="K106" s="41" t="s">
        <v>351</v>
      </c>
      <c r="L106" s="52" t="s">
        <v>352</v>
      </c>
      <c r="M106" s="69" t="s">
        <v>49</v>
      </c>
      <c r="N106" s="69"/>
      <c r="O106" s="69">
        <v>1</v>
      </c>
      <c r="P106" s="69" t="s">
        <v>50</v>
      </c>
      <c r="Q106" s="69" t="s">
        <v>51</v>
      </c>
      <c r="R106" s="69"/>
      <c r="S106" s="48">
        <v>40089</v>
      </c>
      <c r="T106" s="48">
        <v>43340</v>
      </c>
      <c r="U106" s="69"/>
      <c r="V106" s="69"/>
      <c r="W106" s="69"/>
      <c r="X106" s="69"/>
      <c r="Y106" s="69" t="s">
        <v>4125</v>
      </c>
      <c r="Z106" s="52">
        <v>380000</v>
      </c>
      <c r="AA106" s="43" t="s">
        <v>52</v>
      </c>
      <c r="AB106" s="43" t="s">
        <v>53</v>
      </c>
      <c r="AC106" s="85">
        <v>402</v>
      </c>
      <c r="AD106" s="141">
        <v>1</v>
      </c>
      <c r="AE106" s="142">
        <v>1</v>
      </c>
      <c r="AF106" s="69" t="str">
        <f>_xlfn.CONCAT(AG106," years ",AH106," days")</f>
        <v>1 years 37 days</v>
      </c>
      <c r="AG106" s="69">
        <v>1</v>
      </c>
      <c r="AH106" s="69">
        <v>37</v>
      </c>
      <c r="AI106" s="69">
        <v>380000</v>
      </c>
      <c r="AJ106" s="67">
        <v>380000</v>
      </c>
      <c r="AK106" s="69">
        <v>2025</v>
      </c>
      <c r="AL106" s="61">
        <v>0</v>
      </c>
      <c r="AM106" s="143"/>
    </row>
    <row r="107" spans="1:39" x14ac:dyDescent="0.35">
      <c r="A107" s="69" t="s">
        <v>4124</v>
      </c>
      <c r="B107" s="41">
        <v>1101400525</v>
      </c>
      <c r="C107" s="41"/>
      <c r="D107" s="69"/>
      <c r="E107" s="101">
        <v>0</v>
      </c>
      <c r="F107" s="41" t="s">
        <v>260</v>
      </c>
      <c r="G107" s="69" t="s">
        <v>259</v>
      </c>
      <c r="H107" s="41">
        <v>9007000011</v>
      </c>
      <c r="I107" s="41" t="s">
        <v>261</v>
      </c>
      <c r="J107" s="41">
        <v>1202010217</v>
      </c>
      <c r="K107" s="41" t="s">
        <v>354</v>
      </c>
      <c r="L107" s="52" t="s">
        <v>355</v>
      </c>
      <c r="M107" s="69" t="s">
        <v>49</v>
      </c>
      <c r="N107" s="69"/>
      <c r="O107" s="69">
        <v>1</v>
      </c>
      <c r="P107" s="69" t="s">
        <v>50</v>
      </c>
      <c r="Q107" s="69" t="s">
        <v>51</v>
      </c>
      <c r="R107" s="69"/>
      <c r="S107" s="48">
        <v>40492</v>
      </c>
      <c r="T107" s="48">
        <v>43340</v>
      </c>
      <c r="U107" s="69"/>
      <c r="V107" s="69"/>
      <c r="W107" s="69"/>
      <c r="X107" s="69"/>
      <c r="Y107" s="69" t="s">
        <v>4125</v>
      </c>
      <c r="Z107" s="52">
        <v>640000</v>
      </c>
      <c r="AA107" s="43" t="s">
        <v>52</v>
      </c>
      <c r="AB107" s="43" t="s">
        <v>53</v>
      </c>
      <c r="AC107" s="85">
        <v>803</v>
      </c>
      <c r="AD107" s="141">
        <v>2</v>
      </c>
      <c r="AE107" s="142">
        <v>2</v>
      </c>
      <c r="AF107" s="69" t="str">
        <f>_xlfn.CONCAT(AG107," years ",AH107," days")</f>
        <v>2 years 73 days</v>
      </c>
      <c r="AG107" s="69">
        <v>2</v>
      </c>
      <c r="AH107" s="69">
        <v>73</v>
      </c>
      <c r="AI107" s="69">
        <v>640000</v>
      </c>
      <c r="AJ107" s="67">
        <v>640000</v>
      </c>
      <c r="AK107" s="69">
        <v>2025</v>
      </c>
      <c r="AL107" s="61">
        <v>0</v>
      </c>
      <c r="AM107" s="143"/>
    </row>
    <row r="108" spans="1:39" x14ac:dyDescent="0.35">
      <c r="A108" s="69" t="s">
        <v>4124</v>
      </c>
      <c r="B108" s="41">
        <v>1101400613</v>
      </c>
      <c r="C108" s="41"/>
      <c r="D108" s="69"/>
      <c r="E108" s="101">
        <v>0</v>
      </c>
      <c r="F108" s="41" t="s">
        <v>260</v>
      </c>
      <c r="G108" s="69" t="s">
        <v>259</v>
      </c>
      <c r="H108" s="41">
        <v>9007000012</v>
      </c>
      <c r="I108" s="41" t="s">
        <v>261</v>
      </c>
      <c r="J108" s="41">
        <v>1202010217</v>
      </c>
      <c r="K108" s="41" t="s">
        <v>357</v>
      </c>
      <c r="L108" s="52" t="s">
        <v>358</v>
      </c>
      <c r="M108" s="69" t="s">
        <v>49</v>
      </c>
      <c r="N108" s="69"/>
      <c r="O108" s="69">
        <v>1</v>
      </c>
      <c r="P108" s="69" t="s">
        <v>50</v>
      </c>
      <c r="Q108" s="69" t="s">
        <v>51</v>
      </c>
      <c r="R108" s="69"/>
      <c r="S108" s="48">
        <v>40679</v>
      </c>
      <c r="T108" s="48">
        <v>43340</v>
      </c>
      <c r="U108" s="69"/>
      <c r="V108" s="69"/>
      <c r="W108" s="69"/>
      <c r="X108" s="69"/>
      <c r="Y108" s="69" t="s">
        <v>4125</v>
      </c>
      <c r="Z108" s="52">
        <v>660000</v>
      </c>
      <c r="AA108" s="43" t="s">
        <v>52</v>
      </c>
      <c r="AB108" s="43" t="s">
        <v>53</v>
      </c>
      <c r="AC108" s="85">
        <v>986</v>
      </c>
      <c r="AD108" s="141">
        <v>2</v>
      </c>
      <c r="AE108" s="142">
        <v>9</v>
      </c>
      <c r="AF108" s="69" t="str">
        <f t="shared" ref="AF108:AF111" si="8">_xlfn.CONCAT(AG108," years ",AH108," days")</f>
        <v>2 years 256 days</v>
      </c>
      <c r="AG108" s="69">
        <v>2</v>
      </c>
      <c r="AH108" s="69">
        <v>256</v>
      </c>
      <c r="AI108" s="69">
        <v>660000</v>
      </c>
      <c r="AJ108" s="67">
        <v>660000</v>
      </c>
      <c r="AK108" s="69">
        <v>2025</v>
      </c>
      <c r="AL108" s="61">
        <v>0</v>
      </c>
      <c r="AM108" s="143"/>
    </row>
    <row r="109" spans="1:39" x14ac:dyDescent="0.35">
      <c r="A109" s="69" t="s">
        <v>4124</v>
      </c>
      <c r="B109" s="41">
        <v>1101403697</v>
      </c>
      <c r="C109" s="41"/>
      <c r="D109" s="41" t="s">
        <v>356</v>
      </c>
      <c r="E109" s="101">
        <v>1</v>
      </c>
      <c r="F109" s="41" t="s">
        <v>260</v>
      </c>
      <c r="G109" s="69" t="s">
        <v>259</v>
      </c>
      <c r="H109" s="41">
        <v>9007000012</v>
      </c>
      <c r="I109" s="41" t="s">
        <v>261</v>
      </c>
      <c r="J109" s="41">
        <v>1202010217</v>
      </c>
      <c r="K109" s="41" t="s">
        <v>360</v>
      </c>
      <c r="L109" s="52" t="s">
        <v>361</v>
      </c>
      <c r="M109" s="69" t="s">
        <v>362</v>
      </c>
      <c r="N109" s="69"/>
      <c r="O109" s="69">
        <v>1</v>
      </c>
      <c r="P109" s="69" t="s">
        <v>50</v>
      </c>
      <c r="Q109" s="69" t="s">
        <v>51</v>
      </c>
      <c r="R109" s="69"/>
      <c r="S109" s="48">
        <v>44336</v>
      </c>
      <c r="T109" s="48">
        <v>44336</v>
      </c>
      <c r="U109" s="69"/>
      <c r="V109" s="69"/>
      <c r="W109" s="69"/>
      <c r="X109" s="69"/>
      <c r="Y109" s="69" t="s">
        <v>4128</v>
      </c>
      <c r="Z109" s="52">
        <v>164664</v>
      </c>
      <c r="AA109" s="43" t="s">
        <v>52</v>
      </c>
      <c r="AB109" s="43" t="s">
        <v>53</v>
      </c>
      <c r="AC109" s="85">
        <v>3650</v>
      </c>
      <c r="AD109" s="141">
        <v>10</v>
      </c>
      <c r="AE109" s="142">
        <v>0</v>
      </c>
      <c r="AF109" s="69" t="str">
        <f t="shared" si="8"/>
        <v>3 years 227 days</v>
      </c>
      <c r="AG109" s="69">
        <v>3</v>
      </c>
      <c r="AH109" s="69">
        <v>227</v>
      </c>
      <c r="AI109" s="69">
        <v>164664</v>
      </c>
      <c r="AJ109" s="67">
        <v>59640</v>
      </c>
      <c r="AK109" s="69">
        <v>2025</v>
      </c>
      <c r="AL109" s="61">
        <v>8165.4772602739686</v>
      </c>
      <c r="AM109" s="143"/>
    </row>
    <row r="110" spans="1:39" x14ac:dyDescent="0.35">
      <c r="A110" s="69" t="s">
        <v>4124</v>
      </c>
      <c r="B110" s="41">
        <v>1101404755</v>
      </c>
      <c r="C110" s="41"/>
      <c r="D110" s="41" t="s">
        <v>356</v>
      </c>
      <c r="E110" s="101">
        <v>2</v>
      </c>
      <c r="F110" s="41" t="s">
        <v>260</v>
      </c>
      <c r="G110" s="69" t="s">
        <v>259</v>
      </c>
      <c r="H110" s="41">
        <v>9007000012</v>
      </c>
      <c r="I110" s="41" t="s">
        <v>261</v>
      </c>
      <c r="J110" s="41">
        <v>1202010217</v>
      </c>
      <c r="K110" s="41"/>
      <c r="L110" s="52" t="s">
        <v>364</v>
      </c>
      <c r="M110" s="69" t="s">
        <v>365</v>
      </c>
      <c r="N110" s="69"/>
      <c r="O110" s="69">
        <v>4</v>
      </c>
      <c r="P110" s="69" t="s">
        <v>50</v>
      </c>
      <c r="Q110" s="69" t="s">
        <v>51</v>
      </c>
      <c r="R110" s="69"/>
      <c r="S110" s="48">
        <v>45064</v>
      </c>
      <c r="T110" s="48">
        <v>45064</v>
      </c>
      <c r="U110" s="69"/>
      <c r="V110" s="69"/>
      <c r="W110" s="69"/>
      <c r="X110" s="69"/>
      <c r="Y110" s="69" t="s">
        <v>4129</v>
      </c>
      <c r="Z110" s="52">
        <v>247080</v>
      </c>
      <c r="AA110" s="43" t="s">
        <v>52</v>
      </c>
      <c r="AB110" s="43" t="s">
        <v>53</v>
      </c>
      <c r="AC110" s="85">
        <v>3650</v>
      </c>
      <c r="AD110" s="141">
        <v>10</v>
      </c>
      <c r="AE110" s="142">
        <v>0</v>
      </c>
      <c r="AF110" s="69" t="str">
        <f t="shared" si="8"/>
        <v>1 years 229 days</v>
      </c>
      <c r="AG110" s="69">
        <v>1</v>
      </c>
      <c r="AH110" s="69">
        <v>229</v>
      </c>
      <c r="AI110" s="69">
        <v>247080</v>
      </c>
      <c r="AJ110" s="67">
        <v>40210</v>
      </c>
      <c r="AK110" s="69">
        <v>2025</v>
      </c>
      <c r="AL110" s="61">
        <v>12252.191780821915</v>
      </c>
      <c r="AM110" s="143"/>
    </row>
    <row r="111" spans="1:39" x14ac:dyDescent="0.35">
      <c r="A111" s="69" t="s">
        <v>4124</v>
      </c>
      <c r="B111" s="41">
        <v>1101404799</v>
      </c>
      <c r="C111" s="41"/>
      <c r="D111" s="41" t="s">
        <v>356</v>
      </c>
      <c r="E111" s="101">
        <v>3</v>
      </c>
      <c r="F111" s="41" t="s">
        <v>260</v>
      </c>
      <c r="G111" s="69" t="s">
        <v>259</v>
      </c>
      <c r="H111" s="41">
        <v>9007000012</v>
      </c>
      <c r="I111" s="41" t="s">
        <v>261</v>
      </c>
      <c r="J111" s="41">
        <v>1202010217</v>
      </c>
      <c r="K111" s="41"/>
      <c r="L111" s="52" t="s">
        <v>367</v>
      </c>
      <c r="M111" s="69" t="s">
        <v>368</v>
      </c>
      <c r="N111" s="69"/>
      <c r="O111" s="69">
        <v>1</v>
      </c>
      <c r="P111" s="69" t="s">
        <v>50</v>
      </c>
      <c r="Q111" s="69" t="s">
        <v>51</v>
      </c>
      <c r="R111" s="69"/>
      <c r="S111" s="48">
        <v>45108</v>
      </c>
      <c r="T111" s="48">
        <v>45108</v>
      </c>
      <c r="U111" s="69"/>
      <c r="V111" s="69"/>
      <c r="W111" s="69"/>
      <c r="X111" s="69"/>
      <c r="Y111" s="69" t="s">
        <v>4129</v>
      </c>
      <c r="Z111" s="52">
        <v>56781</v>
      </c>
      <c r="AA111" s="43" t="s">
        <v>52</v>
      </c>
      <c r="AB111" s="43" t="s">
        <v>53</v>
      </c>
      <c r="AC111" s="85">
        <v>3650</v>
      </c>
      <c r="AD111" s="141">
        <v>10</v>
      </c>
      <c r="AE111" s="142">
        <v>0</v>
      </c>
      <c r="AF111" s="69" t="str">
        <f t="shared" si="8"/>
        <v>1 years 185 days</v>
      </c>
      <c r="AG111" s="69">
        <v>1</v>
      </c>
      <c r="AH111" s="69">
        <v>185</v>
      </c>
      <c r="AI111" s="69">
        <v>56781</v>
      </c>
      <c r="AJ111" s="67">
        <v>8556</v>
      </c>
      <c r="AK111" s="69">
        <v>2025</v>
      </c>
      <c r="AL111" s="61">
        <v>2815.7564383561639</v>
      </c>
      <c r="AM111" s="143"/>
    </row>
    <row r="112" spans="1:39" x14ac:dyDescent="0.35">
      <c r="A112" s="69" t="s">
        <v>4124</v>
      </c>
      <c r="B112" s="41">
        <v>1101504320</v>
      </c>
      <c r="C112" s="41"/>
      <c r="D112" s="69"/>
      <c r="E112" s="101">
        <v>0</v>
      </c>
      <c r="F112" s="41" t="s">
        <v>260</v>
      </c>
      <c r="G112" s="69" t="s">
        <v>259</v>
      </c>
      <c r="H112" s="41">
        <v>9007000013</v>
      </c>
      <c r="I112" s="41" t="s">
        <v>261</v>
      </c>
      <c r="J112" s="41">
        <v>1202010217</v>
      </c>
      <c r="K112" s="41" t="s">
        <v>370</v>
      </c>
      <c r="L112" s="52" t="s">
        <v>371</v>
      </c>
      <c r="M112" s="69" t="s">
        <v>49</v>
      </c>
      <c r="N112" s="69"/>
      <c r="O112" s="69">
        <v>1</v>
      </c>
      <c r="P112" s="69" t="s">
        <v>50</v>
      </c>
      <c r="Q112" s="69" t="s">
        <v>51</v>
      </c>
      <c r="R112" s="69"/>
      <c r="S112" s="48">
        <v>41365</v>
      </c>
      <c r="T112" s="48">
        <v>43340</v>
      </c>
      <c r="U112" s="69"/>
      <c r="V112" s="69"/>
      <c r="W112" s="69"/>
      <c r="X112" s="69"/>
      <c r="Y112" s="69" t="s">
        <v>4125</v>
      </c>
      <c r="Z112" s="52">
        <v>390000</v>
      </c>
      <c r="AA112" s="43" t="s">
        <v>52</v>
      </c>
      <c r="AB112" s="43" t="s">
        <v>53</v>
      </c>
      <c r="AC112" s="85">
        <v>3504</v>
      </c>
      <c r="AD112" s="141">
        <v>9</v>
      </c>
      <c r="AE112" s="142">
        <v>7</v>
      </c>
      <c r="AF112" s="69" t="str">
        <f t="shared" ref="AF112:AF113" si="9">_xlfn.CONCAT(AG112," years ",AH112," days")</f>
        <v>6 years 128 days</v>
      </c>
      <c r="AG112" s="69">
        <v>6</v>
      </c>
      <c r="AH112" s="69">
        <v>128</v>
      </c>
      <c r="AI112" s="69">
        <v>390000</v>
      </c>
      <c r="AJ112" s="67">
        <v>257885</v>
      </c>
      <c r="AK112" s="69">
        <v>2025</v>
      </c>
      <c r="AL112" s="61">
        <v>20145.821917808149</v>
      </c>
      <c r="AM112" s="143"/>
    </row>
    <row r="113" spans="1:39" x14ac:dyDescent="0.35">
      <c r="A113" s="69" t="s">
        <v>4124</v>
      </c>
      <c r="B113" s="41">
        <v>1101404871</v>
      </c>
      <c r="C113" s="41"/>
      <c r="D113" s="41" t="s">
        <v>369</v>
      </c>
      <c r="E113" s="101">
        <v>1</v>
      </c>
      <c r="F113" s="41" t="s">
        <v>260</v>
      </c>
      <c r="G113" s="69" t="s">
        <v>259</v>
      </c>
      <c r="H113" s="41">
        <v>9007000013</v>
      </c>
      <c r="I113" s="41" t="s">
        <v>261</v>
      </c>
      <c r="J113" s="41">
        <v>1202010217</v>
      </c>
      <c r="K113" s="41"/>
      <c r="L113" s="52" t="s">
        <v>373</v>
      </c>
      <c r="M113" s="69" t="s">
        <v>374</v>
      </c>
      <c r="N113" s="69"/>
      <c r="O113" s="69">
        <v>401</v>
      </c>
      <c r="P113" s="69" t="s">
        <v>50</v>
      </c>
      <c r="Q113" s="69" t="s">
        <v>51</v>
      </c>
      <c r="R113" s="69"/>
      <c r="S113" s="48">
        <v>45167</v>
      </c>
      <c r="T113" s="48">
        <v>45167</v>
      </c>
      <c r="U113" s="69"/>
      <c r="V113" s="69"/>
      <c r="W113" s="69"/>
      <c r="X113" s="69"/>
      <c r="Y113" s="69" t="s">
        <v>4129</v>
      </c>
      <c r="Z113" s="52">
        <v>24149.5</v>
      </c>
      <c r="AA113" s="43" t="s">
        <v>52</v>
      </c>
      <c r="AB113" s="43" t="s">
        <v>53</v>
      </c>
      <c r="AC113" s="85">
        <v>3650</v>
      </c>
      <c r="AD113" s="141">
        <v>10</v>
      </c>
      <c r="AE113" s="142">
        <v>0</v>
      </c>
      <c r="AF113" s="69" t="str">
        <f t="shared" si="9"/>
        <v>1 years 126 days</v>
      </c>
      <c r="AG113" s="69">
        <v>1</v>
      </c>
      <c r="AH113" s="69">
        <v>126</v>
      </c>
      <c r="AI113" s="69">
        <v>24149.5</v>
      </c>
      <c r="AJ113" s="67">
        <v>3249</v>
      </c>
      <c r="AK113" s="69">
        <v>2025</v>
      </c>
      <c r="AL113" s="61">
        <v>1197.1545205479451</v>
      </c>
      <c r="AM113" s="143"/>
    </row>
    <row r="114" spans="1:39" x14ac:dyDescent="0.35">
      <c r="A114" s="69" t="s">
        <v>4124</v>
      </c>
      <c r="B114" s="41">
        <v>1101504267</v>
      </c>
      <c r="C114" s="41"/>
      <c r="D114" s="69"/>
      <c r="E114" s="101">
        <v>0</v>
      </c>
      <c r="F114" s="41" t="s">
        <v>260</v>
      </c>
      <c r="G114" s="69" t="s">
        <v>259</v>
      </c>
      <c r="H114" s="41">
        <v>9007000014</v>
      </c>
      <c r="I114" s="41" t="s">
        <v>261</v>
      </c>
      <c r="J114" s="41">
        <v>1202010217</v>
      </c>
      <c r="K114" s="41" t="s">
        <v>376</v>
      </c>
      <c r="L114" s="52" t="s">
        <v>377</v>
      </c>
      <c r="M114" s="69" t="s">
        <v>49</v>
      </c>
      <c r="N114" s="69"/>
      <c r="O114" s="69">
        <v>1</v>
      </c>
      <c r="P114" s="69" t="s">
        <v>50</v>
      </c>
      <c r="Q114" s="69" t="s">
        <v>51</v>
      </c>
      <c r="R114" s="69"/>
      <c r="S114" s="48">
        <v>40089</v>
      </c>
      <c r="T114" s="48">
        <v>43340</v>
      </c>
      <c r="U114" s="69"/>
      <c r="V114" s="69"/>
      <c r="W114" s="69"/>
      <c r="X114" s="69"/>
      <c r="Y114" s="69" t="s">
        <v>4125</v>
      </c>
      <c r="Z114" s="52">
        <v>410000</v>
      </c>
      <c r="AA114" s="43" t="s">
        <v>52</v>
      </c>
      <c r="AB114" s="43" t="s">
        <v>53</v>
      </c>
      <c r="AC114" s="85">
        <v>402</v>
      </c>
      <c r="AD114" s="141">
        <v>1</v>
      </c>
      <c r="AE114" s="142">
        <v>1</v>
      </c>
      <c r="AF114" s="69" t="str">
        <f t="shared" ref="AF114:AF115" si="10">_xlfn.CONCAT(AG114," years ",AH114," days")</f>
        <v>1 years 37 days</v>
      </c>
      <c r="AG114" s="69">
        <v>1</v>
      </c>
      <c r="AH114" s="69">
        <v>37</v>
      </c>
      <c r="AI114" s="69">
        <v>410000</v>
      </c>
      <c r="AJ114" s="67">
        <v>410000</v>
      </c>
      <c r="AK114" s="69">
        <v>2025</v>
      </c>
      <c r="AL114" s="61">
        <v>0</v>
      </c>
      <c r="AM114" s="143"/>
    </row>
    <row r="115" spans="1:39" x14ac:dyDescent="0.35">
      <c r="A115" s="69" t="s">
        <v>4124</v>
      </c>
      <c r="B115" s="41">
        <v>1101504330</v>
      </c>
      <c r="C115" s="41"/>
      <c r="D115" s="41" t="s">
        <v>375</v>
      </c>
      <c r="E115" s="101">
        <v>1</v>
      </c>
      <c r="F115" s="41" t="s">
        <v>260</v>
      </c>
      <c r="G115" s="69" t="s">
        <v>259</v>
      </c>
      <c r="H115" s="41">
        <v>9007000014</v>
      </c>
      <c r="I115" s="41" t="s">
        <v>261</v>
      </c>
      <c r="J115" s="41">
        <v>1202010217</v>
      </c>
      <c r="K115" s="41"/>
      <c r="L115" s="52" t="s">
        <v>379</v>
      </c>
      <c r="M115" s="69" t="s">
        <v>380</v>
      </c>
      <c r="N115" s="69"/>
      <c r="O115" s="69">
        <v>1</v>
      </c>
      <c r="P115" s="69" t="s">
        <v>50</v>
      </c>
      <c r="Q115" s="69" t="s">
        <v>51</v>
      </c>
      <c r="R115" s="69"/>
      <c r="S115" s="48">
        <v>42490</v>
      </c>
      <c r="T115" s="48">
        <v>43340</v>
      </c>
      <c r="U115" s="69"/>
      <c r="V115" s="69"/>
      <c r="W115" s="69"/>
      <c r="X115" s="69"/>
      <c r="Y115" s="69" t="s">
        <v>4125</v>
      </c>
      <c r="Z115" s="52">
        <v>135000</v>
      </c>
      <c r="AA115" s="43" t="s">
        <v>52</v>
      </c>
      <c r="AB115" s="43" t="s">
        <v>53</v>
      </c>
      <c r="AC115" s="85">
        <v>2774</v>
      </c>
      <c r="AD115" s="141">
        <v>7</v>
      </c>
      <c r="AE115" s="142">
        <v>7</v>
      </c>
      <c r="AF115" s="69" t="str">
        <f t="shared" si="10"/>
        <v>6 years 128 days</v>
      </c>
      <c r="AG115" s="69">
        <v>6</v>
      </c>
      <c r="AH115" s="69">
        <v>128</v>
      </c>
      <c r="AI115" s="69">
        <v>135000</v>
      </c>
      <c r="AJ115" s="67">
        <v>112760</v>
      </c>
      <c r="AK115" s="69">
        <v>2025</v>
      </c>
      <c r="AL115" s="61">
        <v>8808.1326604181668</v>
      </c>
      <c r="AM115" s="143"/>
    </row>
    <row r="116" spans="1:39" x14ac:dyDescent="0.35">
      <c r="A116" s="69" t="s">
        <v>4124</v>
      </c>
      <c r="B116" s="41">
        <v>1101402671</v>
      </c>
      <c r="C116" s="41"/>
      <c r="D116" s="69"/>
      <c r="E116" s="101">
        <v>0</v>
      </c>
      <c r="F116" s="41" t="s">
        <v>260</v>
      </c>
      <c r="G116" s="69" t="s">
        <v>259</v>
      </c>
      <c r="H116" s="41">
        <v>9007000015</v>
      </c>
      <c r="I116" s="41" t="s">
        <v>261</v>
      </c>
      <c r="J116" s="41">
        <v>1202010217</v>
      </c>
      <c r="K116" s="41" t="s">
        <v>382</v>
      </c>
      <c r="L116" s="52" t="s">
        <v>383</v>
      </c>
      <c r="M116" s="69" t="s">
        <v>49</v>
      </c>
      <c r="N116" s="69"/>
      <c r="O116" s="69">
        <v>1</v>
      </c>
      <c r="P116" s="69" t="s">
        <v>50</v>
      </c>
      <c r="Q116" s="69" t="s">
        <v>51</v>
      </c>
      <c r="R116" s="69"/>
      <c r="S116" s="48">
        <v>43346</v>
      </c>
      <c r="T116" s="48">
        <v>43346</v>
      </c>
      <c r="U116" s="69"/>
      <c r="V116" s="69"/>
      <c r="W116" s="69"/>
      <c r="X116" s="69"/>
      <c r="Y116" s="69" t="s">
        <v>4125</v>
      </c>
      <c r="Z116" s="52">
        <v>2516472</v>
      </c>
      <c r="AA116" s="43" t="s">
        <v>52</v>
      </c>
      <c r="AB116" s="43" t="s">
        <v>53</v>
      </c>
      <c r="AC116" s="85">
        <v>3650</v>
      </c>
      <c r="AD116" s="141">
        <v>10</v>
      </c>
      <c r="AE116" s="142">
        <v>0</v>
      </c>
      <c r="AF116" s="69" t="str">
        <f t="shared" ref="AF116:AF117" si="11">_xlfn.CONCAT(AG116," years ",AH116," days")</f>
        <v>6 years 122 days</v>
      </c>
      <c r="AG116" s="69">
        <v>6</v>
      </c>
      <c r="AH116" s="69">
        <v>122</v>
      </c>
      <c r="AI116" s="69">
        <v>2516472</v>
      </c>
      <c r="AJ116" s="67">
        <v>1593306</v>
      </c>
      <c r="AK116" s="69">
        <v>2025</v>
      </c>
      <c r="AL116" s="61">
        <v>124789.40383561631</v>
      </c>
      <c r="AM116" s="143"/>
    </row>
    <row r="117" spans="1:39" x14ac:dyDescent="0.35">
      <c r="A117" s="69" t="s">
        <v>4124</v>
      </c>
      <c r="B117" s="41">
        <v>1101100979</v>
      </c>
      <c r="C117" s="41"/>
      <c r="D117" s="41" t="s">
        <v>381</v>
      </c>
      <c r="E117" s="101">
        <v>1</v>
      </c>
      <c r="F117" s="41" t="s">
        <v>260</v>
      </c>
      <c r="G117" s="69" t="s">
        <v>259</v>
      </c>
      <c r="H117" s="41">
        <v>9007000015</v>
      </c>
      <c r="I117" s="41" t="s">
        <v>261</v>
      </c>
      <c r="J117" s="41">
        <v>1202010217</v>
      </c>
      <c r="K117" s="41"/>
      <c r="L117" s="52" t="s">
        <v>385</v>
      </c>
      <c r="M117" s="69" t="s">
        <v>49</v>
      </c>
      <c r="N117" s="69"/>
      <c r="O117" s="69">
        <v>1</v>
      </c>
      <c r="P117" s="69" t="s">
        <v>50</v>
      </c>
      <c r="Q117" s="69" t="s">
        <v>51</v>
      </c>
      <c r="R117" s="69"/>
      <c r="S117" s="48">
        <v>41365</v>
      </c>
      <c r="T117" s="48">
        <v>43340</v>
      </c>
      <c r="U117" s="69"/>
      <c r="V117" s="69"/>
      <c r="W117" s="69"/>
      <c r="X117" s="69"/>
      <c r="Y117" s="69" t="s">
        <v>4125</v>
      </c>
      <c r="Z117" s="52">
        <v>300000</v>
      </c>
      <c r="AA117" s="43" t="s">
        <v>52</v>
      </c>
      <c r="AB117" s="43" t="s">
        <v>53</v>
      </c>
      <c r="AC117" s="85">
        <v>3504</v>
      </c>
      <c r="AD117" s="141">
        <v>9</v>
      </c>
      <c r="AE117" s="142">
        <v>7</v>
      </c>
      <c r="AF117" s="69" t="str">
        <f t="shared" si="11"/>
        <v>6 years 128 days</v>
      </c>
      <c r="AG117" s="69">
        <v>6</v>
      </c>
      <c r="AH117" s="69">
        <v>128</v>
      </c>
      <c r="AI117" s="69">
        <v>300000</v>
      </c>
      <c r="AJ117" s="67">
        <v>198373</v>
      </c>
      <c r="AK117" s="69">
        <v>2025</v>
      </c>
      <c r="AL117" s="61">
        <v>15496.863013698632</v>
      </c>
      <c r="AM117" s="143"/>
    </row>
    <row r="118" spans="1:39" x14ac:dyDescent="0.35">
      <c r="A118" s="69" t="s">
        <v>4124</v>
      </c>
      <c r="B118" s="41">
        <v>1101402942</v>
      </c>
      <c r="C118" s="41"/>
      <c r="D118" s="69"/>
      <c r="E118" s="101">
        <v>0</v>
      </c>
      <c r="F118" s="41" t="s">
        <v>260</v>
      </c>
      <c r="G118" s="69" t="s">
        <v>259</v>
      </c>
      <c r="H118" s="41">
        <v>9007000016</v>
      </c>
      <c r="I118" s="41" t="s">
        <v>261</v>
      </c>
      <c r="J118" s="41">
        <v>1202010217</v>
      </c>
      <c r="K118" s="41" t="s">
        <v>387</v>
      </c>
      <c r="L118" s="52" t="s">
        <v>388</v>
      </c>
      <c r="M118" s="69" t="s">
        <v>389</v>
      </c>
      <c r="N118" s="69"/>
      <c r="O118" s="69">
        <v>1</v>
      </c>
      <c r="P118" s="69" t="s">
        <v>50</v>
      </c>
      <c r="Q118" s="69" t="s">
        <v>51</v>
      </c>
      <c r="R118" s="69"/>
      <c r="S118" s="48">
        <v>43577</v>
      </c>
      <c r="T118" s="48">
        <v>43577</v>
      </c>
      <c r="U118" s="69"/>
      <c r="V118" s="69"/>
      <c r="W118" s="69"/>
      <c r="X118" s="69"/>
      <c r="Y118" s="69" t="s">
        <v>4126</v>
      </c>
      <c r="Z118" s="52">
        <v>2511704</v>
      </c>
      <c r="AA118" s="43" t="s">
        <v>52</v>
      </c>
      <c r="AB118" s="43" t="s">
        <v>53</v>
      </c>
      <c r="AC118" s="85">
        <v>3650</v>
      </c>
      <c r="AD118" s="141">
        <v>10</v>
      </c>
      <c r="AE118" s="142">
        <v>0</v>
      </c>
      <c r="AF118" s="69" t="str">
        <f t="shared" ref="AF118:AF119" si="12">_xlfn.CONCAT(AG118," years ",AH118," days")</f>
        <v>5 years 256 days</v>
      </c>
      <c r="AG118" s="69">
        <v>5</v>
      </c>
      <c r="AH118" s="69">
        <v>256</v>
      </c>
      <c r="AI118" s="69">
        <v>2511704</v>
      </c>
      <c r="AJ118" s="67">
        <v>1432015</v>
      </c>
      <c r="AK118" s="69">
        <v>2025</v>
      </c>
      <c r="AL118" s="61">
        <v>124553.34191780817</v>
      </c>
      <c r="AM118" s="143"/>
    </row>
    <row r="119" spans="1:39" x14ac:dyDescent="0.35">
      <c r="A119" s="69" t="s">
        <v>4124</v>
      </c>
      <c r="B119" s="41">
        <v>1101402943</v>
      </c>
      <c r="C119" s="41"/>
      <c r="D119" s="41" t="s">
        <v>386</v>
      </c>
      <c r="E119" s="101">
        <v>1</v>
      </c>
      <c r="F119" s="41" t="s">
        <v>260</v>
      </c>
      <c r="G119" s="69" t="s">
        <v>259</v>
      </c>
      <c r="H119" s="41">
        <v>9007000016</v>
      </c>
      <c r="I119" s="41" t="s">
        <v>261</v>
      </c>
      <c r="J119" s="41">
        <v>1202010217</v>
      </c>
      <c r="K119" s="41"/>
      <c r="L119" s="52" t="s">
        <v>391</v>
      </c>
      <c r="M119" s="69" t="s">
        <v>392</v>
      </c>
      <c r="N119" s="69"/>
      <c r="O119" s="69">
        <v>1</v>
      </c>
      <c r="P119" s="69" t="s">
        <v>50</v>
      </c>
      <c r="Q119" s="69" t="s">
        <v>51</v>
      </c>
      <c r="R119" s="69"/>
      <c r="S119" s="48">
        <v>43577</v>
      </c>
      <c r="T119" s="48">
        <v>43577</v>
      </c>
      <c r="U119" s="69"/>
      <c r="V119" s="69"/>
      <c r="W119" s="69"/>
      <c r="X119" s="69"/>
      <c r="Y119" s="69" t="s">
        <v>4126</v>
      </c>
      <c r="Z119" s="52">
        <v>114300</v>
      </c>
      <c r="AA119" s="43" t="s">
        <v>52</v>
      </c>
      <c r="AB119" s="43" t="s">
        <v>53</v>
      </c>
      <c r="AC119" s="85">
        <v>3650</v>
      </c>
      <c r="AD119" s="141">
        <v>10</v>
      </c>
      <c r="AE119" s="142">
        <v>0</v>
      </c>
      <c r="AF119" s="69" t="str">
        <f t="shared" si="12"/>
        <v>5 years 256 days</v>
      </c>
      <c r="AG119" s="69">
        <v>5</v>
      </c>
      <c r="AH119" s="69">
        <v>256</v>
      </c>
      <c r="AI119" s="69">
        <v>114300</v>
      </c>
      <c r="AJ119" s="67">
        <v>65167</v>
      </c>
      <c r="AK119" s="69">
        <v>2025</v>
      </c>
      <c r="AL119" s="61">
        <v>5667.6849315068685</v>
      </c>
      <c r="AM119" s="143"/>
    </row>
    <row r="120" spans="1:39" x14ac:dyDescent="0.35">
      <c r="A120" s="69" t="s">
        <v>4124</v>
      </c>
      <c r="B120" s="41">
        <v>1101404035</v>
      </c>
      <c r="C120" s="41"/>
      <c r="D120" s="69"/>
      <c r="E120" s="101">
        <v>0</v>
      </c>
      <c r="F120" s="41" t="s">
        <v>260</v>
      </c>
      <c r="G120" s="69" t="s">
        <v>259</v>
      </c>
      <c r="H120" s="41">
        <v>9007000017</v>
      </c>
      <c r="I120" s="41" t="s">
        <v>261</v>
      </c>
      <c r="J120" s="41">
        <v>1202010217</v>
      </c>
      <c r="K120" s="41" t="s">
        <v>394</v>
      </c>
      <c r="L120" s="52" t="s">
        <v>395</v>
      </c>
      <c r="M120" s="69" t="s">
        <v>396</v>
      </c>
      <c r="N120" s="69"/>
      <c r="O120" s="69">
        <v>1</v>
      </c>
      <c r="P120" s="69" t="s">
        <v>50</v>
      </c>
      <c r="Q120" s="69" t="s">
        <v>51</v>
      </c>
      <c r="R120" s="69"/>
      <c r="S120" s="48">
        <v>44621</v>
      </c>
      <c r="T120" s="48">
        <v>44621</v>
      </c>
      <c r="U120" s="69"/>
      <c r="V120" s="69"/>
      <c r="W120" s="69"/>
      <c r="X120" s="69"/>
      <c r="Y120" s="69" t="s">
        <v>4131</v>
      </c>
      <c r="Z120" s="52">
        <v>1885954</v>
      </c>
      <c r="AA120" s="43" t="s">
        <v>52</v>
      </c>
      <c r="AB120" s="43" t="s">
        <v>53</v>
      </c>
      <c r="AC120" s="85">
        <v>3650</v>
      </c>
      <c r="AD120" s="141">
        <v>10</v>
      </c>
      <c r="AE120" s="142">
        <v>0</v>
      </c>
      <c r="AF120" s="69" t="str">
        <f t="shared" ref="AF120:AF121" si="13">_xlfn.CONCAT(AG120," years ",AH120," days")</f>
        <v>2 years 307 days</v>
      </c>
      <c r="AG120" s="69">
        <v>2</v>
      </c>
      <c r="AH120" s="69">
        <v>307</v>
      </c>
      <c r="AI120" s="69">
        <v>1885954</v>
      </c>
      <c r="AJ120" s="67">
        <v>535818</v>
      </c>
      <c r="AK120" s="69">
        <v>2025</v>
      </c>
      <c r="AL120" s="61">
        <v>93522.266301369877</v>
      </c>
      <c r="AM120" s="143"/>
    </row>
    <row r="121" spans="1:39" x14ac:dyDescent="0.35">
      <c r="A121" s="69" t="s">
        <v>4124</v>
      </c>
      <c r="B121" s="41">
        <v>1101404848</v>
      </c>
      <c r="C121" s="41"/>
      <c r="D121" s="41" t="s">
        <v>393</v>
      </c>
      <c r="E121" s="101">
        <v>1</v>
      </c>
      <c r="F121" s="41" t="s">
        <v>260</v>
      </c>
      <c r="G121" s="69" t="s">
        <v>259</v>
      </c>
      <c r="H121" s="41">
        <v>9007000017</v>
      </c>
      <c r="I121" s="41" t="s">
        <v>261</v>
      </c>
      <c r="J121" s="41">
        <v>1202010217</v>
      </c>
      <c r="K121" s="41"/>
      <c r="L121" s="52" t="s">
        <v>398</v>
      </c>
      <c r="M121" s="69" t="s">
        <v>399</v>
      </c>
      <c r="N121" s="69"/>
      <c r="O121" s="69">
        <v>1</v>
      </c>
      <c r="P121" s="69" t="s">
        <v>50</v>
      </c>
      <c r="Q121" s="69" t="s">
        <v>51</v>
      </c>
      <c r="R121" s="69"/>
      <c r="S121" s="48">
        <v>45148</v>
      </c>
      <c r="T121" s="48">
        <v>45148</v>
      </c>
      <c r="U121" s="69"/>
      <c r="V121" s="69"/>
      <c r="W121" s="69"/>
      <c r="X121" s="69"/>
      <c r="Y121" s="69" t="s">
        <v>4129</v>
      </c>
      <c r="Z121" s="52">
        <v>15725</v>
      </c>
      <c r="AA121" s="43" t="s">
        <v>52</v>
      </c>
      <c r="AB121" s="43" t="s">
        <v>53</v>
      </c>
      <c r="AC121" s="85">
        <v>3650</v>
      </c>
      <c r="AD121" s="141">
        <v>10</v>
      </c>
      <c r="AE121" s="142">
        <v>0</v>
      </c>
      <c r="AF121" s="69" t="str">
        <f t="shared" si="13"/>
        <v>1 years 145 days</v>
      </c>
      <c r="AG121" s="69">
        <v>1</v>
      </c>
      <c r="AH121" s="69">
        <v>145</v>
      </c>
      <c r="AI121" s="69">
        <v>15725</v>
      </c>
      <c r="AJ121" s="67">
        <v>2197</v>
      </c>
      <c r="AK121" s="69">
        <v>2025</v>
      </c>
      <c r="AL121" s="61">
        <v>779.97945205479482</v>
      </c>
      <c r="AM121" s="143"/>
    </row>
    <row r="122" spans="1:39" x14ac:dyDescent="0.35">
      <c r="A122" s="69" t="s">
        <v>4124</v>
      </c>
      <c r="B122" s="41">
        <v>1101404550</v>
      </c>
      <c r="C122" s="41"/>
      <c r="D122" s="69"/>
      <c r="E122" s="101">
        <v>0</v>
      </c>
      <c r="F122" s="41" t="s">
        <v>260</v>
      </c>
      <c r="G122" s="69" t="s">
        <v>259</v>
      </c>
      <c r="H122" s="41">
        <v>9007000018</v>
      </c>
      <c r="I122" s="41" t="s">
        <v>261</v>
      </c>
      <c r="J122" s="41">
        <v>1202010217</v>
      </c>
      <c r="K122" s="41" t="s">
        <v>401</v>
      </c>
      <c r="L122" s="52" t="s">
        <v>402</v>
      </c>
      <c r="M122" s="69" t="s">
        <v>403</v>
      </c>
      <c r="N122" s="69"/>
      <c r="O122" s="69">
        <v>1</v>
      </c>
      <c r="P122" s="69" t="s">
        <v>50</v>
      </c>
      <c r="Q122" s="69" t="s">
        <v>51</v>
      </c>
      <c r="R122" s="69"/>
      <c r="S122" s="48">
        <v>44910</v>
      </c>
      <c r="T122" s="48">
        <v>44910</v>
      </c>
      <c r="U122" s="69"/>
      <c r="V122" s="69"/>
      <c r="W122" s="69"/>
      <c r="X122" s="69"/>
      <c r="Y122" s="69" t="s">
        <v>4131</v>
      </c>
      <c r="Z122" s="52">
        <v>7098917.54</v>
      </c>
      <c r="AA122" s="43" t="s">
        <v>52</v>
      </c>
      <c r="AB122" s="43" t="s">
        <v>53</v>
      </c>
      <c r="AC122" s="85">
        <v>3650</v>
      </c>
      <c r="AD122" s="141">
        <v>10</v>
      </c>
      <c r="AE122" s="142">
        <v>0</v>
      </c>
      <c r="AF122" s="69" t="str">
        <f t="shared" ref="AF122:AF124" si="14">_xlfn.CONCAT(AG122," years ",AH122," days")</f>
        <v>2 years 18 days</v>
      </c>
      <c r="AG122" s="69">
        <v>2</v>
      </c>
      <c r="AH122" s="69">
        <v>18</v>
      </c>
      <c r="AI122" s="69">
        <v>7098917.54</v>
      </c>
      <c r="AJ122" s="67">
        <v>1454792</v>
      </c>
      <c r="AK122" s="69">
        <v>2025</v>
      </c>
      <c r="AL122" s="61">
        <v>352028.39558356162</v>
      </c>
      <c r="AM122" s="143"/>
    </row>
    <row r="123" spans="1:39" x14ac:dyDescent="0.35">
      <c r="A123" s="69" t="s">
        <v>4124</v>
      </c>
      <c r="B123" s="41">
        <v>1101404554</v>
      </c>
      <c r="C123" s="41"/>
      <c r="D123" s="41" t="s">
        <v>400</v>
      </c>
      <c r="E123" s="101">
        <v>1</v>
      </c>
      <c r="F123" s="41" t="s">
        <v>260</v>
      </c>
      <c r="G123" s="69" t="s">
        <v>259</v>
      </c>
      <c r="H123" s="41">
        <v>9007000018</v>
      </c>
      <c r="I123" s="41" t="s">
        <v>261</v>
      </c>
      <c r="J123" s="41">
        <v>1202010217</v>
      </c>
      <c r="K123" s="41" t="s">
        <v>405</v>
      </c>
      <c r="L123" s="52" t="s">
        <v>406</v>
      </c>
      <c r="M123" s="69" t="s">
        <v>407</v>
      </c>
      <c r="N123" s="69"/>
      <c r="O123" s="69">
        <v>1</v>
      </c>
      <c r="P123" s="69" t="s">
        <v>50</v>
      </c>
      <c r="Q123" s="69" t="s">
        <v>51</v>
      </c>
      <c r="R123" s="69"/>
      <c r="S123" s="48">
        <v>44910</v>
      </c>
      <c r="T123" s="48">
        <v>44910</v>
      </c>
      <c r="U123" s="69"/>
      <c r="V123" s="69"/>
      <c r="W123" s="69"/>
      <c r="X123" s="69"/>
      <c r="Y123" s="69" t="s">
        <v>4131</v>
      </c>
      <c r="Z123" s="52">
        <v>13700081.419999998</v>
      </c>
      <c r="AA123" s="43" t="s">
        <v>52</v>
      </c>
      <c r="AB123" s="43" t="s">
        <v>53</v>
      </c>
      <c r="AC123" s="85">
        <v>3650</v>
      </c>
      <c r="AD123" s="141">
        <v>10</v>
      </c>
      <c r="AE123" s="142">
        <v>0</v>
      </c>
      <c r="AF123" s="69" t="str">
        <f t="shared" si="14"/>
        <v>2 years 18 days</v>
      </c>
      <c r="AG123" s="69">
        <v>2</v>
      </c>
      <c r="AH123" s="69">
        <v>18</v>
      </c>
      <c r="AI123" s="69">
        <v>13700081.419999998</v>
      </c>
      <c r="AJ123" s="67">
        <v>2807578</v>
      </c>
      <c r="AK123" s="69">
        <v>2025</v>
      </c>
      <c r="AL123" s="61">
        <v>679374.21759999963</v>
      </c>
      <c r="AM123" s="143"/>
    </row>
    <row r="124" spans="1:39" x14ac:dyDescent="0.35">
      <c r="A124" s="69" t="s">
        <v>4124</v>
      </c>
      <c r="B124" s="41">
        <v>1101404583</v>
      </c>
      <c r="C124" s="41"/>
      <c r="D124" s="41" t="s">
        <v>400</v>
      </c>
      <c r="E124" s="101">
        <v>2</v>
      </c>
      <c r="F124" s="41" t="s">
        <v>260</v>
      </c>
      <c r="G124" s="69" t="s">
        <v>259</v>
      </c>
      <c r="H124" s="41">
        <v>9007000018</v>
      </c>
      <c r="I124" s="41" t="s">
        <v>261</v>
      </c>
      <c r="J124" s="41">
        <v>1202010217</v>
      </c>
      <c r="K124" s="41"/>
      <c r="L124" s="52" t="s">
        <v>409</v>
      </c>
      <c r="M124" s="69" t="s">
        <v>49</v>
      </c>
      <c r="N124" s="69"/>
      <c r="O124" s="69">
        <v>1</v>
      </c>
      <c r="P124" s="69" t="s">
        <v>50</v>
      </c>
      <c r="Q124" s="69" t="s">
        <v>51</v>
      </c>
      <c r="R124" s="69"/>
      <c r="S124" s="48">
        <v>44933</v>
      </c>
      <c r="T124" s="48">
        <v>44933</v>
      </c>
      <c r="U124" s="69"/>
      <c r="V124" s="69"/>
      <c r="W124" s="69"/>
      <c r="X124" s="69"/>
      <c r="Y124" s="69" t="s">
        <v>4129</v>
      </c>
      <c r="Z124" s="52">
        <v>50670</v>
      </c>
      <c r="AA124" s="43" t="s">
        <v>52</v>
      </c>
      <c r="AB124" s="43" t="s">
        <v>53</v>
      </c>
      <c r="AC124" s="85">
        <v>1825</v>
      </c>
      <c r="AD124" s="141">
        <v>5</v>
      </c>
      <c r="AE124" s="142">
        <v>0</v>
      </c>
      <c r="AF124" s="69" t="str">
        <f t="shared" si="14"/>
        <v>1 years 360 days</v>
      </c>
      <c r="AG124" s="69">
        <v>1</v>
      </c>
      <c r="AH124" s="69">
        <v>360</v>
      </c>
      <c r="AI124" s="69">
        <v>50670</v>
      </c>
      <c r="AJ124" s="67">
        <v>21295</v>
      </c>
      <c r="AK124" s="69">
        <v>2025</v>
      </c>
      <c r="AL124" s="61">
        <v>6191.7397260273938</v>
      </c>
      <c r="AM124" s="143"/>
    </row>
    <row r="125" spans="1:39" x14ac:dyDescent="0.35">
      <c r="A125" s="69" t="s">
        <v>4124</v>
      </c>
      <c r="B125" s="41">
        <v>1101504313</v>
      </c>
      <c r="C125" s="41"/>
      <c r="D125" s="69"/>
      <c r="E125" s="101">
        <v>0</v>
      </c>
      <c r="F125" s="41" t="s">
        <v>260</v>
      </c>
      <c r="G125" s="69" t="s">
        <v>259</v>
      </c>
      <c r="H125" s="41">
        <v>9007000019</v>
      </c>
      <c r="I125" s="41" t="s">
        <v>261</v>
      </c>
      <c r="J125" s="41">
        <v>1202010217</v>
      </c>
      <c r="K125" s="41" t="s">
        <v>411</v>
      </c>
      <c r="L125" s="52" t="s">
        <v>412</v>
      </c>
      <c r="M125" s="69" t="s">
        <v>49</v>
      </c>
      <c r="N125" s="69"/>
      <c r="O125" s="69">
        <v>1</v>
      </c>
      <c r="P125" s="69" t="s">
        <v>50</v>
      </c>
      <c r="Q125" s="69" t="s">
        <v>51</v>
      </c>
      <c r="R125" s="69"/>
      <c r="S125" s="48">
        <v>43246</v>
      </c>
      <c r="T125" s="48">
        <v>43340</v>
      </c>
      <c r="U125" s="69"/>
      <c r="V125" s="69"/>
      <c r="W125" s="69"/>
      <c r="X125" s="69"/>
      <c r="Y125" s="69" t="s">
        <v>4125</v>
      </c>
      <c r="Z125" s="52">
        <v>780000</v>
      </c>
      <c r="AA125" s="43" t="s">
        <v>52</v>
      </c>
      <c r="AB125" s="43" t="s">
        <v>53</v>
      </c>
      <c r="AC125" s="85">
        <v>3541</v>
      </c>
      <c r="AD125" s="141">
        <v>9</v>
      </c>
      <c r="AE125" s="142">
        <v>9</v>
      </c>
      <c r="AF125" s="69" t="str">
        <f>_xlfn.CONCAT(AG125," years ",AH125," days")</f>
        <v>6 years 128 days</v>
      </c>
      <c r="AG125" s="69">
        <v>6</v>
      </c>
      <c r="AH125" s="69">
        <v>128</v>
      </c>
      <c r="AI125" s="69">
        <v>780000</v>
      </c>
      <c r="AJ125" s="67">
        <v>510381</v>
      </c>
      <c r="AK125" s="69">
        <v>2025</v>
      </c>
      <c r="AL125" s="61">
        <v>39870.341428974876</v>
      </c>
      <c r="AM125" s="143"/>
    </row>
    <row r="126" spans="1:39" x14ac:dyDescent="0.35">
      <c r="A126" s="69" t="s">
        <v>4124</v>
      </c>
      <c r="B126" s="41">
        <v>1101402806</v>
      </c>
      <c r="C126" s="41"/>
      <c r="D126" s="69"/>
      <c r="E126" s="101">
        <v>0</v>
      </c>
      <c r="F126" s="41" t="s">
        <v>260</v>
      </c>
      <c r="G126" s="69" t="s">
        <v>259</v>
      </c>
      <c r="H126" s="41">
        <v>9007000020</v>
      </c>
      <c r="I126" s="41" t="s">
        <v>261</v>
      </c>
      <c r="J126" s="41">
        <v>1202010217</v>
      </c>
      <c r="K126" s="41" t="s">
        <v>414</v>
      </c>
      <c r="L126" s="52" t="s">
        <v>415</v>
      </c>
      <c r="M126" s="69" t="s">
        <v>416</v>
      </c>
      <c r="N126" s="69"/>
      <c r="O126" s="69">
        <v>1</v>
      </c>
      <c r="P126" s="69" t="s">
        <v>50</v>
      </c>
      <c r="Q126" s="69" t="s">
        <v>51</v>
      </c>
      <c r="R126" s="69"/>
      <c r="S126" s="48">
        <v>43470</v>
      </c>
      <c r="T126" s="48">
        <v>43470</v>
      </c>
      <c r="U126" s="69"/>
      <c r="V126" s="69"/>
      <c r="W126" s="69"/>
      <c r="X126" s="69"/>
      <c r="Y126" s="69" t="s">
        <v>4126</v>
      </c>
      <c r="Z126" s="52">
        <v>807556</v>
      </c>
      <c r="AA126" s="43" t="s">
        <v>52</v>
      </c>
      <c r="AB126" s="43" t="s">
        <v>53</v>
      </c>
      <c r="AC126" s="85">
        <v>3650</v>
      </c>
      <c r="AD126" s="141">
        <v>10</v>
      </c>
      <c r="AE126" s="142">
        <v>0</v>
      </c>
      <c r="AF126" s="69" t="str">
        <f>_xlfn.CONCAT(AG126," years ",AH126," days")</f>
        <v>5 years 363 days</v>
      </c>
      <c r="AG126" s="69">
        <v>5</v>
      </c>
      <c r="AH126" s="69">
        <v>363</v>
      </c>
      <c r="AI126" s="69">
        <v>807556</v>
      </c>
      <c r="AJ126" s="67">
        <v>483870</v>
      </c>
      <c r="AK126" s="69">
        <v>2025</v>
      </c>
      <c r="AL126" s="61">
        <v>40045.783013698645</v>
      </c>
      <c r="AM126" s="143"/>
    </row>
    <row r="127" spans="1:39" x14ac:dyDescent="0.35">
      <c r="A127" s="69" t="s">
        <v>4124</v>
      </c>
      <c r="B127" s="41">
        <v>1101404682</v>
      </c>
      <c r="C127" s="41"/>
      <c r="D127" s="69"/>
      <c r="E127" s="101">
        <v>0</v>
      </c>
      <c r="F127" s="41" t="s">
        <v>260</v>
      </c>
      <c r="G127" s="69" t="s">
        <v>259</v>
      </c>
      <c r="H127" s="41">
        <v>9007000021</v>
      </c>
      <c r="I127" s="41" t="s">
        <v>261</v>
      </c>
      <c r="J127" s="41">
        <v>1202010217</v>
      </c>
      <c r="K127" s="41" t="s">
        <v>418</v>
      </c>
      <c r="L127" s="52" t="s">
        <v>419</v>
      </c>
      <c r="M127" s="69" t="s">
        <v>420</v>
      </c>
      <c r="N127" s="69"/>
      <c r="O127" s="69">
        <v>1</v>
      </c>
      <c r="P127" s="69" t="s">
        <v>50</v>
      </c>
      <c r="Q127" s="69" t="s">
        <v>51</v>
      </c>
      <c r="R127" s="69"/>
      <c r="S127" s="48">
        <v>45000</v>
      </c>
      <c r="T127" s="48">
        <v>45000</v>
      </c>
      <c r="U127" s="69"/>
      <c r="V127" s="69"/>
      <c r="W127" s="69"/>
      <c r="X127" s="69"/>
      <c r="Y127" s="69" t="s">
        <v>4129</v>
      </c>
      <c r="Z127" s="52">
        <v>6105507.6000000006</v>
      </c>
      <c r="AA127" s="43" t="s">
        <v>52</v>
      </c>
      <c r="AB127" s="43" t="s">
        <v>53</v>
      </c>
      <c r="AC127" s="85">
        <v>3650</v>
      </c>
      <c r="AD127" s="141">
        <v>10</v>
      </c>
      <c r="AE127" s="142">
        <v>0</v>
      </c>
      <c r="AF127" s="69" t="str">
        <f t="shared" ref="AF127:AF130" si="15">_xlfn.CONCAT(AG127," years ",AH127," days")</f>
        <v>1 years 293 days</v>
      </c>
      <c r="AG127" s="69">
        <v>1</v>
      </c>
      <c r="AH127" s="69">
        <v>293</v>
      </c>
      <c r="AI127" s="69">
        <v>6105507.6000000006</v>
      </c>
      <c r="AJ127" s="67">
        <v>1100664</v>
      </c>
      <c r="AK127" s="69">
        <v>2025</v>
      </c>
      <c r="AL127" s="61">
        <v>302766.37895890418</v>
      </c>
      <c r="AM127" s="143"/>
    </row>
    <row r="128" spans="1:39" x14ac:dyDescent="0.35">
      <c r="A128" s="69" t="s">
        <v>4124</v>
      </c>
      <c r="B128" s="41">
        <v>1101403842</v>
      </c>
      <c r="C128" s="41"/>
      <c r="D128" s="41" t="s">
        <v>417</v>
      </c>
      <c r="E128" s="101">
        <v>1</v>
      </c>
      <c r="F128" s="41" t="s">
        <v>260</v>
      </c>
      <c r="G128" s="69" t="s">
        <v>259</v>
      </c>
      <c r="H128" s="41">
        <v>9007000021</v>
      </c>
      <c r="I128" s="41" t="s">
        <v>261</v>
      </c>
      <c r="J128" s="41">
        <v>1202010217</v>
      </c>
      <c r="K128" s="41"/>
      <c r="L128" s="52" t="s">
        <v>422</v>
      </c>
      <c r="M128" s="69" t="s">
        <v>423</v>
      </c>
      <c r="N128" s="69"/>
      <c r="O128" s="69">
        <v>1</v>
      </c>
      <c r="P128" s="69" t="s">
        <v>50</v>
      </c>
      <c r="Q128" s="69" t="s">
        <v>51</v>
      </c>
      <c r="R128" s="69"/>
      <c r="S128" s="48">
        <v>44459</v>
      </c>
      <c r="T128" s="48">
        <v>44459</v>
      </c>
      <c r="U128" s="69"/>
      <c r="V128" s="69"/>
      <c r="W128" s="69"/>
      <c r="X128" s="69"/>
      <c r="Y128" s="69" t="s">
        <v>4128</v>
      </c>
      <c r="Z128" s="52">
        <v>34600</v>
      </c>
      <c r="AA128" s="43" t="s">
        <v>52</v>
      </c>
      <c r="AB128" s="43" t="s">
        <v>53</v>
      </c>
      <c r="AC128" s="85">
        <v>3650</v>
      </c>
      <c r="AD128" s="141">
        <v>10</v>
      </c>
      <c r="AE128" s="142">
        <v>0</v>
      </c>
      <c r="AF128" s="69" t="str">
        <f t="shared" si="15"/>
        <v>3 years 104 days</v>
      </c>
      <c r="AG128" s="69">
        <v>3</v>
      </c>
      <c r="AH128" s="69">
        <v>104</v>
      </c>
      <c r="AI128" s="69">
        <v>34600</v>
      </c>
      <c r="AJ128" s="67">
        <v>11366</v>
      </c>
      <c r="AK128" s="69">
        <v>2025</v>
      </c>
      <c r="AL128" s="61">
        <v>1715.6438356164381</v>
      </c>
      <c r="AM128" s="143"/>
    </row>
    <row r="129" spans="1:39" x14ac:dyDescent="0.35">
      <c r="A129" s="69" t="s">
        <v>4124</v>
      </c>
      <c r="B129" s="41">
        <v>1101101598</v>
      </c>
      <c r="C129" s="41"/>
      <c r="D129" s="41" t="s">
        <v>417</v>
      </c>
      <c r="E129" s="101">
        <v>2</v>
      </c>
      <c r="F129" s="41" t="s">
        <v>260</v>
      </c>
      <c r="G129" s="69" t="s">
        <v>259</v>
      </c>
      <c r="H129" s="41">
        <v>9007000021</v>
      </c>
      <c r="I129" s="41" t="s">
        <v>261</v>
      </c>
      <c r="J129" s="41">
        <v>1202010217</v>
      </c>
      <c r="K129" s="41"/>
      <c r="L129" s="52" t="s">
        <v>425</v>
      </c>
      <c r="M129" s="69" t="s">
        <v>426</v>
      </c>
      <c r="N129" s="69"/>
      <c r="O129" s="69">
        <v>1</v>
      </c>
      <c r="P129" s="69" t="s">
        <v>50</v>
      </c>
      <c r="Q129" s="69" t="s">
        <v>51</v>
      </c>
      <c r="R129" s="69"/>
      <c r="S129" s="48">
        <v>42016</v>
      </c>
      <c r="T129" s="48">
        <v>43340</v>
      </c>
      <c r="U129" s="69"/>
      <c r="V129" s="69"/>
      <c r="W129" s="69"/>
      <c r="X129" s="69"/>
      <c r="Y129" s="69" t="s">
        <v>4125</v>
      </c>
      <c r="Z129" s="52">
        <v>90000</v>
      </c>
      <c r="AA129" s="43" t="s">
        <v>52</v>
      </c>
      <c r="AB129" s="43" t="s">
        <v>53</v>
      </c>
      <c r="AC129" s="85">
        <v>4052</v>
      </c>
      <c r="AD129" s="141">
        <v>11</v>
      </c>
      <c r="AE129" s="142">
        <v>1</v>
      </c>
      <c r="AF129" s="69" t="str">
        <f t="shared" si="15"/>
        <v>6 years 128 days</v>
      </c>
      <c r="AG129" s="69">
        <v>6</v>
      </c>
      <c r="AH129" s="69">
        <v>128</v>
      </c>
      <c r="AI129" s="69">
        <v>90000</v>
      </c>
      <c r="AJ129" s="67">
        <v>51463</v>
      </c>
      <c r="AK129" s="69">
        <v>2025</v>
      </c>
      <c r="AL129" s="61">
        <v>4020.7117472852988</v>
      </c>
      <c r="AM129" s="143"/>
    </row>
    <row r="130" spans="1:39" x14ac:dyDescent="0.35">
      <c r="A130" s="69" t="s">
        <v>4124</v>
      </c>
      <c r="B130" s="41">
        <v>1101101623</v>
      </c>
      <c r="C130" s="41"/>
      <c r="D130" s="41" t="s">
        <v>417</v>
      </c>
      <c r="E130" s="101">
        <v>3</v>
      </c>
      <c r="F130" s="41" t="s">
        <v>260</v>
      </c>
      <c r="G130" s="69" t="s">
        <v>259</v>
      </c>
      <c r="H130" s="41">
        <v>9007000021</v>
      </c>
      <c r="I130" s="41" t="s">
        <v>261</v>
      </c>
      <c r="J130" s="41">
        <v>1202010217</v>
      </c>
      <c r="K130" s="41"/>
      <c r="L130" s="52" t="s">
        <v>428</v>
      </c>
      <c r="M130" s="69" t="s">
        <v>49</v>
      </c>
      <c r="N130" s="69"/>
      <c r="O130" s="69">
        <v>1</v>
      </c>
      <c r="P130" s="69" t="s">
        <v>50</v>
      </c>
      <c r="Q130" s="69" t="s">
        <v>51</v>
      </c>
      <c r="R130" s="69"/>
      <c r="S130" s="48">
        <v>42099</v>
      </c>
      <c r="T130" s="48">
        <v>43340</v>
      </c>
      <c r="U130" s="69"/>
      <c r="V130" s="69"/>
      <c r="W130" s="69"/>
      <c r="X130" s="69"/>
      <c r="Y130" s="69" t="s">
        <v>4125</v>
      </c>
      <c r="Z130" s="52">
        <v>22000</v>
      </c>
      <c r="AA130" s="43" t="s">
        <v>52</v>
      </c>
      <c r="AB130" s="43" t="s">
        <v>53</v>
      </c>
      <c r="AC130" s="85">
        <v>4161</v>
      </c>
      <c r="AD130" s="141">
        <v>11</v>
      </c>
      <c r="AE130" s="142">
        <v>5</v>
      </c>
      <c r="AF130" s="69" t="str">
        <f t="shared" si="15"/>
        <v>6 years 128 days</v>
      </c>
      <c r="AG130" s="69">
        <v>6</v>
      </c>
      <c r="AH130" s="69">
        <v>128</v>
      </c>
      <c r="AI130" s="69">
        <v>22000</v>
      </c>
      <c r="AJ130" s="67">
        <v>12250</v>
      </c>
      <c r="AK130" s="69">
        <v>2025</v>
      </c>
      <c r="AL130" s="61">
        <v>957.4020668108642</v>
      </c>
      <c r="AM130" s="143"/>
    </row>
    <row r="131" spans="1:39" x14ac:dyDescent="0.35">
      <c r="A131" s="69" t="s">
        <v>4124</v>
      </c>
      <c r="B131" s="41">
        <v>1101405289</v>
      </c>
      <c r="C131" s="41"/>
      <c r="D131" s="69"/>
      <c r="E131" s="101">
        <v>0</v>
      </c>
      <c r="F131" s="41" t="s">
        <v>260</v>
      </c>
      <c r="G131" s="69" t="s">
        <v>259</v>
      </c>
      <c r="H131" s="41">
        <v>9007000022</v>
      </c>
      <c r="I131" s="41" t="s">
        <v>261</v>
      </c>
      <c r="J131" s="41">
        <v>1202010217</v>
      </c>
      <c r="K131" s="41" t="s">
        <v>430</v>
      </c>
      <c r="L131" s="52" t="s">
        <v>431</v>
      </c>
      <c r="M131" s="69" t="s">
        <v>432</v>
      </c>
      <c r="N131" s="69"/>
      <c r="O131" s="69">
        <v>1</v>
      </c>
      <c r="P131" s="69" t="s">
        <v>50</v>
      </c>
      <c r="Q131" s="69" t="s">
        <v>51</v>
      </c>
      <c r="R131" s="69"/>
      <c r="S131" s="48">
        <v>45514</v>
      </c>
      <c r="T131" s="48">
        <v>45514</v>
      </c>
      <c r="U131" s="69"/>
      <c r="V131" s="69"/>
      <c r="W131" s="69"/>
      <c r="X131" s="69"/>
      <c r="Y131" s="69" t="s">
        <v>4130</v>
      </c>
      <c r="Z131" s="83">
        <v>793498</v>
      </c>
      <c r="AA131" s="43" t="s">
        <v>52</v>
      </c>
      <c r="AB131" s="43" t="s">
        <v>53</v>
      </c>
      <c r="AC131" s="85">
        <v>3650</v>
      </c>
      <c r="AD131" s="141">
        <v>10</v>
      </c>
      <c r="AE131" s="142">
        <v>0</v>
      </c>
      <c r="AF131" s="69" t="str">
        <f t="shared" ref="AF131:AF133" si="16">_xlfn.CONCAT(AG131," years ",AH131," days")</f>
        <v>0 years 144 days</v>
      </c>
      <c r="AG131" s="69">
        <v>0</v>
      </c>
      <c r="AH131" s="69">
        <v>144</v>
      </c>
      <c r="AI131" s="69">
        <v>793498</v>
      </c>
      <c r="AJ131" s="67">
        <v>31305</v>
      </c>
      <c r="AK131" s="69">
        <v>2025</v>
      </c>
      <c r="AL131" s="61">
        <v>39348.931506849316</v>
      </c>
      <c r="AM131" s="143"/>
    </row>
    <row r="132" spans="1:39" x14ac:dyDescent="0.35">
      <c r="A132" s="69" t="s">
        <v>4124</v>
      </c>
      <c r="B132" s="41">
        <v>1101102924</v>
      </c>
      <c r="C132" s="41"/>
      <c r="D132" s="41" t="s">
        <v>429</v>
      </c>
      <c r="E132" s="101">
        <v>1</v>
      </c>
      <c r="F132" s="41" t="s">
        <v>260</v>
      </c>
      <c r="G132" s="69" t="s">
        <v>259</v>
      </c>
      <c r="H132" s="41">
        <v>9007000022</v>
      </c>
      <c r="I132" s="41" t="s">
        <v>261</v>
      </c>
      <c r="J132" s="41">
        <v>1202010217</v>
      </c>
      <c r="K132" s="41"/>
      <c r="L132" s="52" t="s">
        <v>434</v>
      </c>
      <c r="M132" s="69" t="s">
        <v>435</v>
      </c>
      <c r="N132" s="69"/>
      <c r="O132" s="69">
        <v>1</v>
      </c>
      <c r="P132" s="69" t="s">
        <v>50</v>
      </c>
      <c r="Q132" s="69" t="s">
        <v>51</v>
      </c>
      <c r="R132" s="69"/>
      <c r="S132" s="48">
        <v>43555</v>
      </c>
      <c r="T132" s="48">
        <v>43555</v>
      </c>
      <c r="U132" s="69"/>
      <c r="V132" s="69"/>
      <c r="W132" s="69"/>
      <c r="X132" s="69"/>
      <c r="Y132" s="69" t="s">
        <v>4126</v>
      </c>
      <c r="Z132" s="52">
        <v>51200</v>
      </c>
      <c r="AA132" s="43" t="s">
        <v>52</v>
      </c>
      <c r="AB132" s="43" t="s">
        <v>53</v>
      </c>
      <c r="AC132" s="85">
        <v>3650</v>
      </c>
      <c r="AD132" s="141">
        <v>10</v>
      </c>
      <c r="AE132" s="142">
        <v>0</v>
      </c>
      <c r="AF132" s="69" t="str">
        <f t="shared" si="16"/>
        <v>5 years 278 days</v>
      </c>
      <c r="AG132" s="69">
        <v>5</v>
      </c>
      <c r="AH132" s="69">
        <v>278</v>
      </c>
      <c r="AI132" s="69">
        <v>51200</v>
      </c>
      <c r="AJ132" s="67">
        <v>29486</v>
      </c>
      <c r="AK132" s="69">
        <v>2025</v>
      </c>
      <c r="AL132" s="61">
        <v>2538.5479452054788</v>
      </c>
      <c r="AM132" s="143"/>
    </row>
    <row r="133" spans="1:39" x14ac:dyDescent="0.35">
      <c r="A133" s="69" t="s">
        <v>4124</v>
      </c>
      <c r="B133" s="41">
        <v>1101103628</v>
      </c>
      <c r="C133" s="41"/>
      <c r="D133" s="41" t="s">
        <v>429</v>
      </c>
      <c r="E133" s="101">
        <v>2</v>
      </c>
      <c r="F133" s="41" t="s">
        <v>260</v>
      </c>
      <c r="G133" s="69" t="s">
        <v>259</v>
      </c>
      <c r="H133" s="41">
        <v>9007000022</v>
      </c>
      <c r="I133" s="41" t="s">
        <v>261</v>
      </c>
      <c r="J133" s="41">
        <v>1202010217</v>
      </c>
      <c r="K133" s="41"/>
      <c r="L133" s="52" t="s">
        <v>437</v>
      </c>
      <c r="M133" s="69" t="s">
        <v>438</v>
      </c>
      <c r="N133" s="69"/>
      <c r="O133" s="69">
        <v>1</v>
      </c>
      <c r="P133" s="69" t="s">
        <v>50</v>
      </c>
      <c r="Q133" s="69" t="s">
        <v>51</v>
      </c>
      <c r="R133" s="69"/>
      <c r="S133" s="48">
        <v>44288</v>
      </c>
      <c r="T133" s="48">
        <v>44288</v>
      </c>
      <c r="U133" s="69"/>
      <c r="V133" s="69"/>
      <c r="W133" s="69"/>
      <c r="X133" s="69"/>
      <c r="Y133" s="69" t="s">
        <v>4128</v>
      </c>
      <c r="Z133" s="52">
        <v>25145</v>
      </c>
      <c r="AA133" s="43" t="s">
        <v>52</v>
      </c>
      <c r="AB133" s="43" t="s">
        <v>53</v>
      </c>
      <c r="AC133" s="85">
        <v>3650</v>
      </c>
      <c r="AD133" s="141">
        <v>10</v>
      </c>
      <c r="AE133" s="142">
        <v>0</v>
      </c>
      <c r="AF133" s="69" t="str">
        <f t="shared" si="16"/>
        <v>3 years 275 days</v>
      </c>
      <c r="AG133" s="69">
        <v>3</v>
      </c>
      <c r="AH133" s="69">
        <v>275</v>
      </c>
      <c r="AI133" s="69">
        <v>25145</v>
      </c>
      <c r="AJ133" s="67">
        <v>9438</v>
      </c>
      <c r="AK133" s="69">
        <v>2025</v>
      </c>
      <c r="AL133" s="61">
        <v>1246.902739726027</v>
      </c>
      <c r="AM133" s="143"/>
    </row>
    <row r="134" spans="1:39" x14ac:dyDescent="0.35">
      <c r="A134" s="69" t="s">
        <v>4124</v>
      </c>
      <c r="B134" s="41">
        <v>1101400597</v>
      </c>
      <c r="C134" s="41"/>
      <c r="D134" s="69"/>
      <c r="E134" s="101">
        <v>0</v>
      </c>
      <c r="F134" s="41" t="s">
        <v>260</v>
      </c>
      <c r="G134" s="69" t="s">
        <v>259</v>
      </c>
      <c r="H134" s="41">
        <v>9007000023</v>
      </c>
      <c r="I134" s="41" t="s">
        <v>261</v>
      </c>
      <c r="J134" s="41">
        <v>1202010217</v>
      </c>
      <c r="K134" s="41" t="s">
        <v>440</v>
      </c>
      <c r="L134" s="52" t="s">
        <v>441</v>
      </c>
      <c r="M134" s="69" t="s">
        <v>49</v>
      </c>
      <c r="N134" s="69"/>
      <c r="O134" s="69">
        <v>1</v>
      </c>
      <c r="P134" s="69" t="s">
        <v>50</v>
      </c>
      <c r="Q134" s="69" t="s">
        <v>51</v>
      </c>
      <c r="R134" s="69"/>
      <c r="S134" s="48">
        <v>40627</v>
      </c>
      <c r="T134" s="48">
        <v>43340</v>
      </c>
      <c r="U134" s="69"/>
      <c r="V134" s="69"/>
      <c r="W134" s="69"/>
      <c r="X134" s="69"/>
      <c r="Y134" s="69" t="s">
        <v>4125</v>
      </c>
      <c r="Z134" s="52">
        <v>4600000</v>
      </c>
      <c r="AA134" s="43" t="s">
        <v>52</v>
      </c>
      <c r="AB134" s="43" t="s">
        <v>53</v>
      </c>
      <c r="AC134" s="85">
        <v>2774</v>
      </c>
      <c r="AD134" s="141">
        <v>7</v>
      </c>
      <c r="AE134" s="142">
        <v>7</v>
      </c>
      <c r="AF134" s="69" t="str">
        <f t="shared" ref="AF134:AF140" si="17">_xlfn.CONCAT(AG134," years ",AH134," days")</f>
        <v>6 years 128 days</v>
      </c>
      <c r="AG134" s="69">
        <v>6</v>
      </c>
      <c r="AH134" s="69">
        <v>128</v>
      </c>
      <c r="AI134" s="69">
        <v>4600000</v>
      </c>
      <c r="AJ134" s="67">
        <v>3842177</v>
      </c>
      <c r="AK134" s="69">
        <v>2025</v>
      </c>
      <c r="AL134" s="61">
        <v>300144.55731795309</v>
      </c>
      <c r="AM134" s="143"/>
    </row>
    <row r="135" spans="1:39" x14ac:dyDescent="0.35">
      <c r="A135" s="69" t="s">
        <v>4124</v>
      </c>
      <c r="B135" s="41">
        <v>1101400954</v>
      </c>
      <c r="C135" s="41"/>
      <c r="D135" s="41" t="s">
        <v>439</v>
      </c>
      <c r="E135" s="101">
        <v>1</v>
      </c>
      <c r="F135" s="41" t="s">
        <v>260</v>
      </c>
      <c r="G135" s="69" t="s">
        <v>259</v>
      </c>
      <c r="H135" s="41">
        <v>9007000023</v>
      </c>
      <c r="I135" s="41" t="s">
        <v>261</v>
      </c>
      <c r="J135" s="41">
        <v>1202010217</v>
      </c>
      <c r="K135" s="41"/>
      <c r="L135" s="52" t="s">
        <v>443</v>
      </c>
      <c r="M135" s="69" t="s">
        <v>444</v>
      </c>
      <c r="N135" s="69"/>
      <c r="O135" s="69">
        <v>1</v>
      </c>
      <c r="P135" s="69" t="s">
        <v>50</v>
      </c>
      <c r="Q135" s="69" t="s">
        <v>51</v>
      </c>
      <c r="R135" s="69"/>
      <c r="S135" s="48">
        <v>41342</v>
      </c>
      <c r="T135" s="48">
        <v>43340</v>
      </c>
      <c r="U135" s="69"/>
      <c r="V135" s="69"/>
      <c r="W135" s="69"/>
      <c r="X135" s="69"/>
      <c r="Y135" s="69" t="s">
        <v>4125</v>
      </c>
      <c r="Z135" s="52">
        <v>30000</v>
      </c>
      <c r="AA135" s="43" t="s">
        <v>52</v>
      </c>
      <c r="AB135" s="43" t="s">
        <v>53</v>
      </c>
      <c r="AC135" s="85">
        <v>3103</v>
      </c>
      <c r="AD135" s="141">
        <v>8</v>
      </c>
      <c r="AE135" s="142">
        <v>6</v>
      </c>
      <c r="AF135" s="69" t="str">
        <f t="shared" si="17"/>
        <v>6 years 128 days</v>
      </c>
      <c r="AG135" s="69">
        <v>6</v>
      </c>
      <c r="AH135" s="69">
        <v>128</v>
      </c>
      <c r="AI135" s="69">
        <v>30000</v>
      </c>
      <c r="AJ135" s="67">
        <v>22401</v>
      </c>
      <c r="AK135" s="69">
        <v>2025</v>
      </c>
      <c r="AL135" s="61">
        <v>1749.8217853689966</v>
      </c>
      <c r="AM135" s="143"/>
    </row>
    <row r="136" spans="1:39" x14ac:dyDescent="0.35">
      <c r="A136" s="69" t="s">
        <v>4124</v>
      </c>
      <c r="B136" s="41">
        <v>1101400878</v>
      </c>
      <c r="C136" s="41"/>
      <c r="D136" s="41" t="s">
        <v>439</v>
      </c>
      <c r="E136" s="101">
        <v>2</v>
      </c>
      <c r="F136" s="41" t="s">
        <v>260</v>
      </c>
      <c r="G136" s="69" t="s">
        <v>259</v>
      </c>
      <c r="H136" s="41">
        <v>9007000023</v>
      </c>
      <c r="I136" s="41" t="s">
        <v>261</v>
      </c>
      <c r="J136" s="41">
        <v>1202010217</v>
      </c>
      <c r="K136" s="41"/>
      <c r="L136" s="52" t="s">
        <v>446</v>
      </c>
      <c r="M136" s="69" t="s">
        <v>447</v>
      </c>
      <c r="N136" s="69"/>
      <c r="O136" s="69">
        <v>1</v>
      </c>
      <c r="P136" s="69" t="s">
        <v>50</v>
      </c>
      <c r="Q136" s="69" t="s">
        <v>51</v>
      </c>
      <c r="R136" s="69"/>
      <c r="S136" s="48">
        <v>41265</v>
      </c>
      <c r="T136" s="48">
        <v>43340</v>
      </c>
      <c r="U136" s="69"/>
      <c r="V136" s="69"/>
      <c r="W136" s="69"/>
      <c r="X136" s="69"/>
      <c r="Y136" s="69" t="s">
        <v>4125</v>
      </c>
      <c r="Z136" s="52">
        <v>380000</v>
      </c>
      <c r="AA136" s="43" t="s">
        <v>52</v>
      </c>
      <c r="AB136" s="43" t="s">
        <v>53</v>
      </c>
      <c r="AC136" s="85">
        <v>3395</v>
      </c>
      <c r="AD136" s="141">
        <v>9</v>
      </c>
      <c r="AE136" s="142">
        <v>4</v>
      </c>
      <c r="AF136" s="69" t="str">
        <f t="shared" si="17"/>
        <v>6 years 128 days</v>
      </c>
      <c r="AG136" s="69">
        <v>6</v>
      </c>
      <c r="AH136" s="69">
        <v>128</v>
      </c>
      <c r="AI136" s="69">
        <v>380000</v>
      </c>
      <c r="AJ136" s="67">
        <v>259340</v>
      </c>
      <c r="AK136" s="69">
        <v>2025</v>
      </c>
      <c r="AL136" s="61">
        <v>20259.410898379923</v>
      </c>
      <c r="AM136" s="143"/>
    </row>
    <row r="137" spans="1:39" x14ac:dyDescent="0.35">
      <c r="A137" s="69" t="s">
        <v>4124</v>
      </c>
      <c r="B137" s="41">
        <v>1101400902</v>
      </c>
      <c r="C137" s="41"/>
      <c r="D137" s="41" t="s">
        <v>439</v>
      </c>
      <c r="E137" s="101">
        <v>3</v>
      </c>
      <c r="F137" s="41" t="s">
        <v>260</v>
      </c>
      <c r="G137" s="69" t="s">
        <v>259</v>
      </c>
      <c r="H137" s="41">
        <v>9007000023</v>
      </c>
      <c r="I137" s="41" t="s">
        <v>261</v>
      </c>
      <c r="J137" s="41">
        <v>1202010217</v>
      </c>
      <c r="K137" s="41"/>
      <c r="L137" s="52" t="s">
        <v>449</v>
      </c>
      <c r="M137" s="69" t="s">
        <v>450</v>
      </c>
      <c r="N137" s="69"/>
      <c r="O137" s="69">
        <v>1</v>
      </c>
      <c r="P137" s="69" t="s">
        <v>50</v>
      </c>
      <c r="Q137" s="69" t="s">
        <v>51</v>
      </c>
      <c r="R137" s="69"/>
      <c r="S137" s="48">
        <v>41295</v>
      </c>
      <c r="T137" s="48">
        <v>43340</v>
      </c>
      <c r="U137" s="69"/>
      <c r="V137" s="69"/>
      <c r="W137" s="69"/>
      <c r="X137" s="69"/>
      <c r="Y137" s="69" t="s">
        <v>4125</v>
      </c>
      <c r="Z137" s="52">
        <v>520000</v>
      </c>
      <c r="AA137" s="43" t="s">
        <v>52</v>
      </c>
      <c r="AB137" s="43" t="s">
        <v>53</v>
      </c>
      <c r="AC137" s="85">
        <v>3431</v>
      </c>
      <c r="AD137" s="141">
        <v>9</v>
      </c>
      <c r="AE137" s="142">
        <v>5</v>
      </c>
      <c r="AF137" s="69" t="str">
        <f t="shared" si="17"/>
        <v>6 years 128 days</v>
      </c>
      <c r="AG137" s="69">
        <v>6</v>
      </c>
      <c r="AH137" s="69">
        <v>128</v>
      </c>
      <c r="AI137" s="69">
        <v>520000</v>
      </c>
      <c r="AJ137" s="67">
        <v>351163</v>
      </c>
      <c r="AK137" s="69">
        <v>2025</v>
      </c>
      <c r="AL137" s="61">
        <v>27432.161760419665</v>
      </c>
      <c r="AM137" s="143"/>
    </row>
    <row r="138" spans="1:39" x14ac:dyDescent="0.35">
      <c r="A138" s="69" t="s">
        <v>4124</v>
      </c>
      <c r="B138" s="41">
        <v>1101400903</v>
      </c>
      <c r="C138" s="41"/>
      <c r="D138" s="41" t="s">
        <v>439</v>
      </c>
      <c r="E138" s="101">
        <v>4</v>
      </c>
      <c r="F138" s="41" t="s">
        <v>260</v>
      </c>
      <c r="G138" s="69" t="s">
        <v>259</v>
      </c>
      <c r="H138" s="41">
        <v>9007000023</v>
      </c>
      <c r="I138" s="41" t="s">
        <v>261</v>
      </c>
      <c r="J138" s="41">
        <v>1202010217</v>
      </c>
      <c r="K138" s="41"/>
      <c r="L138" s="52" t="s">
        <v>452</v>
      </c>
      <c r="M138" s="69" t="s">
        <v>453</v>
      </c>
      <c r="N138" s="69"/>
      <c r="O138" s="69">
        <v>1</v>
      </c>
      <c r="P138" s="69" t="s">
        <v>50</v>
      </c>
      <c r="Q138" s="69" t="s">
        <v>51</v>
      </c>
      <c r="R138" s="69"/>
      <c r="S138" s="48">
        <v>41295</v>
      </c>
      <c r="T138" s="48">
        <v>43340</v>
      </c>
      <c r="U138" s="69"/>
      <c r="V138" s="69"/>
      <c r="W138" s="69"/>
      <c r="X138" s="69"/>
      <c r="Y138" s="69" t="s">
        <v>4125</v>
      </c>
      <c r="Z138" s="52">
        <v>340000</v>
      </c>
      <c r="AA138" s="43" t="s">
        <v>52</v>
      </c>
      <c r="AB138" s="43" t="s">
        <v>53</v>
      </c>
      <c r="AC138" s="85">
        <v>3431</v>
      </c>
      <c r="AD138" s="141">
        <v>9</v>
      </c>
      <c r="AE138" s="142">
        <v>5</v>
      </c>
      <c r="AF138" s="69" t="str">
        <f t="shared" si="17"/>
        <v>6 years 128 days</v>
      </c>
      <c r="AG138" s="69">
        <v>6</v>
      </c>
      <c r="AH138" s="69">
        <v>128</v>
      </c>
      <c r="AI138" s="69">
        <v>340000</v>
      </c>
      <c r="AJ138" s="67">
        <v>229607</v>
      </c>
      <c r="AK138" s="69">
        <v>2025</v>
      </c>
      <c r="AL138" s="61">
        <v>17935.990381812881</v>
      </c>
      <c r="AM138" s="143"/>
    </row>
    <row r="139" spans="1:39" x14ac:dyDescent="0.35">
      <c r="A139" s="69" t="s">
        <v>4124</v>
      </c>
      <c r="B139" s="41">
        <v>1101400955</v>
      </c>
      <c r="C139" s="41"/>
      <c r="D139" s="41" t="s">
        <v>439</v>
      </c>
      <c r="E139" s="101">
        <v>5</v>
      </c>
      <c r="F139" s="41" t="s">
        <v>260</v>
      </c>
      <c r="G139" s="69" t="s">
        <v>259</v>
      </c>
      <c r="H139" s="41">
        <v>9007000023</v>
      </c>
      <c r="I139" s="41" t="s">
        <v>261</v>
      </c>
      <c r="J139" s="41">
        <v>1202010217</v>
      </c>
      <c r="K139" s="41"/>
      <c r="L139" s="52" t="s">
        <v>455</v>
      </c>
      <c r="M139" s="69" t="s">
        <v>456</v>
      </c>
      <c r="N139" s="69"/>
      <c r="O139" s="69">
        <v>1</v>
      </c>
      <c r="P139" s="69" t="s">
        <v>50</v>
      </c>
      <c r="Q139" s="69" t="s">
        <v>51</v>
      </c>
      <c r="R139" s="69"/>
      <c r="S139" s="48">
        <v>41343</v>
      </c>
      <c r="T139" s="48">
        <v>43340</v>
      </c>
      <c r="U139" s="69"/>
      <c r="V139" s="69"/>
      <c r="W139" s="69"/>
      <c r="X139" s="69"/>
      <c r="Y139" s="69" t="s">
        <v>4125</v>
      </c>
      <c r="Z139" s="52">
        <v>105000</v>
      </c>
      <c r="AA139" s="43" t="s">
        <v>52</v>
      </c>
      <c r="AB139" s="43" t="s">
        <v>53</v>
      </c>
      <c r="AC139" s="85">
        <v>3468</v>
      </c>
      <c r="AD139" s="141">
        <v>9</v>
      </c>
      <c r="AE139" s="142">
        <v>6</v>
      </c>
      <c r="AF139" s="69" t="str">
        <f t="shared" si="17"/>
        <v>6 years 128 days</v>
      </c>
      <c r="AG139" s="69">
        <v>6</v>
      </c>
      <c r="AH139" s="69">
        <v>128</v>
      </c>
      <c r="AI139" s="69">
        <v>105000</v>
      </c>
      <c r="AJ139" s="67">
        <v>70151</v>
      </c>
      <c r="AK139" s="69">
        <v>2025</v>
      </c>
      <c r="AL139" s="61">
        <v>5480.4878892733686</v>
      </c>
      <c r="AM139" s="143"/>
    </row>
    <row r="140" spans="1:39" x14ac:dyDescent="0.35">
      <c r="A140" s="69" t="s">
        <v>4124</v>
      </c>
      <c r="B140" s="41">
        <v>1101403326</v>
      </c>
      <c r="C140" s="41"/>
      <c r="D140" s="41" t="s">
        <v>439</v>
      </c>
      <c r="E140" s="101">
        <v>6</v>
      </c>
      <c r="F140" s="41" t="s">
        <v>260</v>
      </c>
      <c r="G140" s="69" t="s">
        <v>259</v>
      </c>
      <c r="H140" s="41">
        <v>9007000023</v>
      </c>
      <c r="I140" s="41" t="s">
        <v>261</v>
      </c>
      <c r="J140" s="41">
        <v>1202010217</v>
      </c>
      <c r="K140" s="41"/>
      <c r="L140" s="52" t="s">
        <v>458</v>
      </c>
      <c r="M140" s="69" t="s">
        <v>459</v>
      </c>
      <c r="N140" s="69"/>
      <c r="O140" s="69">
        <v>1</v>
      </c>
      <c r="P140" s="69" t="s">
        <v>50</v>
      </c>
      <c r="Q140" s="69" t="s">
        <v>51</v>
      </c>
      <c r="R140" s="69"/>
      <c r="S140" s="48">
        <v>44012</v>
      </c>
      <c r="T140" s="48">
        <v>44012</v>
      </c>
      <c r="U140" s="69"/>
      <c r="V140" s="69"/>
      <c r="W140" s="69"/>
      <c r="X140" s="69"/>
      <c r="Y140" s="69" t="s">
        <v>4127</v>
      </c>
      <c r="Z140" s="52">
        <v>41848</v>
      </c>
      <c r="AA140" s="43" t="s">
        <v>52</v>
      </c>
      <c r="AB140" s="43" t="s">
        <v>53</v>
      </c>
      <c r="AC140" s="85">
        <v>3650</v>
      </c>
      <c r="AD140" s="141">
        <v>10</v>
      </c>
      <c r="AE140" s="142">
        <v>0</v>
      </c>
      <c r="AF140" s="69" t="str">
        <f t="shared" si="17"/>
        <v>4 years 186 days</v>
      </c>
      <c r="AG140" s="69">
        <v>4</v>
      </c>
      <c r="AH140" s="69">
        <v>186</v>
      </c>
      <c r="AI140" s="69">
        <v>41848</v>
      </c>
      <c r="AJ140" s="67">
        <v>18872</v>
      </c>
      <c r="AK140" s="69">
        <v>2025</v>
      </c>
      <c r="AL140" s="61">
        <v>2074.9304109589029</v>
      </c>
      <c r="AM140" s="143"/>
    </row>
    <row r="141" spans="1:39" x14ac:dyDescent="0.35">
      <c r="A141" s="69" t="s">
        <v>4124</v>
      </c>
      <c r="B141" s="41">
        <v>1101400892</v>
      </c>
      <c r="C141" s="41"/>
      <c r="D141" s="69"/>
      <c r="E141" s="101">
        <v>0</v>
      </c>
      <c r="F141" s="41" t="s">
        <v>260</v>
      </c>
      <c r="G141" s="69" t="s">
        <v>259</v>
      </c>
      <c r="H141" s="41">
        <v>9007000024</v>
      </c>
      <c r="I141" s="41" t="s">
        <v>261</v>
      </c>
      <c r="J141" s="41">
        <v>1202010217</v>
      </c>
      <c r="K141" s="41" t="s">
        <v>461</v>
      </c>
      <c r="L141" s="52" t="s">
        <v>462</v>
      </c>
      <c r="M141" s="69" t="s">
        <v>463</v>
      </c>
      <c r="N141" s="69"/>
      <c r="O141" s="69">
        <v>2</v>
      </c>
      <c r="P141" s="69" t="s">
        <v>50</v>
      </c>
      <c r="Q141" s="69" t="s">
        <v>51</v>
      </c>
      <c r="R141" s="69"/>
      <c r="S141" s="48">
        <v>41285</v>
      </c>
      <c r="T141" s="48">
        <v>43340</v>
      </c>
      <c r="U141" s="69"/>
      <c r="V141" s="69"/>
      <c r="W141" s="69"/>
      <c r="X141" s="69"/>
      <c r="Y141" s="69" t="s">
        <v>4125</v>
      </c>
      <c r="Z141" s="52">
        <v>490000</v>
      </c>
      <c r="AA141" s="43" t="s">
        <v>52</v>
      </c>
      <c r="AB141" s="43" t="s">
        <v>53</v>
      </c>
      <c r="AC141" s="85">
        <v>3431</v>
      </c>
      <c r="AD141" s="141">
        <v>9</v>
      </c>
      <c r="AE141" s="142">
        <v>5</v>
      </c>
      <c r="AF141" s="69" t="str">
        <f t="shared" ref="AF141:AF143" si="18">_xlfn.CONCAT(AG141," years ",AH141," days")</f>
        <v>6 years 128 days</v>
      </c>
      <c r="AG141" s="69">
        <v>6</v>
      </c>
      <c r="AH141" s="69">
        <v>128</v>
      </c>
      <c r="AI141" s="69">
        <v>490000</v>
      </c>
      <c r="AJ141" s="67">
        <v>330904</v>
      </c>
      <c r="AK141" s="69">
        <v>2025</v>
      </c>
      <c r="AL141" s="61">
        <v>25849.133197318588</v>
      </c>
      <c r="AM141" s="143"/>
    </row>
    <row r="142" spans="1:39" x14ac:dyDescent="0.35">
      <c r="A142" s="69" t="s">
        <v>4124</v>
      </c>
      <c r="B142" s="41">
        <v>1101400875</v>
      </c>
      <c r="C142" s="41"/>
      <c r="D142" s="41" t="s">
        <v>460</v>
      </c>
      <c r="E142" s="101">
        <v>1</v>
      </c>
      <c r="F142" s="41" t="s">
        <v>260</v>
      </c>
      <c r="G142" s="69" t="s">
        <v>259</v>
      </c>
      <c r="H142" s="41">
        <v>9007000024</v>
      </c>
      <c r="I142" s="41" t="s">
        <v>261</v>
      </c>
      <c r="J142" s="41">
        <v>1202010217</v>
      </c>
      <c r="K142" s="41"/>
      <c r="L142" s="52" t="s">
        <v>465</v>
      </c>
      <c r="M142" s="69" t="s">
        <v>466</v>
      </c>
      <c r="N142" s="69"/>
      <c r="O142" s="69">
        <v>1</v>
      </c>
      <c r="P142" s="69" t="s">
        <v>50</v>
      </c>
      <c r="Q142" s="69" t="s">
        <v>51</v>
      </c>
      <c r="R142" s="69"/>
      <c r="S142" s="48">
        <v>41263</v>
      </c>
      <c r="T142" s="48">
        <v>43340</v>
      </c>
      <c r="U142" s="69"/>
      <c r="V142" s="69"/>
      <c r="W142" s="69"/>
      <c r="X142" s="69"/>
      <c r="Y142" s="69" t="s">
        <v>4125</v>
      </c>
      <c r="Z142" s="52">
        <v>430000</v>
      </c>
      <c r="AA142" s="43" t="s">
        <v>52</v>
      </c>
      <c r="AB142" s="43" t="s">
        <v>53</v>
      </c>
      <c r="AC142" s="85">
        <v>3395</v>
      </c>
      <c r="AD142" s="141">
        <v>9</v>
      </c>
      <c r="AE142" s="142">
        <v>4</v>
      </c>
      <c r="AF142" s="69" t="str">
        <f t="shared" si="18"/>
        <v>6 years 128 days</v>
      </c>
      <c r="AG142" s="69">
        <v>6</v>
      </c>
      <c r="AH142" s="69">
        <v>128</v>
      </c>
      <c r="AI142" s="69">
        <v>430000</v>
      </c>
      <c r="AJ142" s="67">
        <v>293464</v>
      </c>
      <c r="AK142" s="69">
        <v>2025</v>
      </c>
      <c r="AL142" s="61">
        <v>22924.807069219416</v>
      </c>
      <c r="AM142" s="143"/>
    </row>
    <row r="143" spans="1:39" x14ac:dyDescent="0.35">
      <c r="A143" s="69" t="s">
        <v>4124</v>
      </c>
      <c r="B143" s="41">
        <v>1101400905</v>
      </c>
      <c r="C143" s="41"/>
      <c r="D143" s="41" t="s">
        <v>460</v>
      </c>
      <c r="E143" s="101">
        <v>2</v>
      </c>
      <c r="F143" s="41" t="s">
        <v>260</v>
      </c>
      <c r="G143" s="69" t="s">
        <v>259</v>
      </c>
      <c r="H143" s="41">
        <v>9007000024</v>
      </c>
      <c r="I143" s="41" t="s">
        <v>261</v>
      </c>
      <c r="J143" s="41">
        <v>1202010217</v>
      </c>
      <c r="K143" s="41"/>
      <c r="L143" s="52" t="s">
        <v>468</v>
      </c>
      <c r="M143" s="69" t="s">
        <v>469</v>
      </c>
      <c r="N143" s="69"/>
      <c r="O143" s="69">
        <v>1</v>
      </c>
      <c r="P143" s="69" t="s">
        <v>50</v>
      </c>
      <c r="Q143" s="69" t="s">
        <v>51</v>
      </c>
      <c r="R143" s="69"/>
      <c r="S143" s="48">
        <v>41297</v>
      </c>
      <c r="T143" s="48">
        <v>43340</v>
      </c>
      <c r="U143" s="69"/>
      <c r="V143" s="69"/>
      <c r="W143" s="69"/>
      <c r="X143" s="69"/>
      <c r="Y143" s="69" t="s">
        <v>4125</v>
      </c>
      <c r="Z143" s="52">
        <v>150000</v>
      </c>
      <c r="AA143" s="43" t="s">
        <v>52</v>
      </c>
      <c r="AB143" s="43" t="s">
        <v>53</v>
      </c>
      <c r="AC143" s="85">
        <v>3431</v>
      </c>
      <c r="AD143" s="141">
        <v>9</v>
      </c>
      <c r="AE143" s="142">
        <v>5</v>
      </c>
      <c r="AF143" s="69" t="str">
        <f t="shared" si="18"/>
        <v>6 years 128 days</v>
      </c>
      <c r="AG143" s="69">
        <v>6</v>
      </c>
      <c r="AH143" s="69">
        <v>128</v>
      </c>
      <c r="AI143" s="69">
        <v>150000</v>
      </c>
      <c r="AJ143" s="67">
        <v>101297</v>
      </c>
      <c r="AK143" s="69">
        <v>2025</v>
      </c>
      <c r="AL143" s="61">
        <v>7913.1428155056783</v>
      </c>
      <c r="AM143" s="143"/>
    </row>
    <row r="144" spans="1:39" x14ac:dyDescent="0.35">
      <c r="A144" s="69" t="s">
        <v>4124</v>
      </c>
      <c r="B144" s="41">
        <v>1101400893</v>
      </c>
      <c r="C144" s="41"/>
      <c r="D144" s="69"/>
      <c r="E144" s="101">
        <v>0</v>
      </c>
      <c r="F144" s="41" t="s">
        <v>260</v>
      </c>
      <c r="G144" s="69" t="s">
        <v>259</v>
      </c>
      <c r="H144" s="41">
        <v>9007000025</v>
      </c>
      <c r="I144" s="41" t="s">
        <v>261</v>
      </c>
      <c r="J144" s="41">
        <v>1202010217</v>
      </c>
      <c r="K144" s="41" t="s">
        <v>471</v>
      </c>
      <c r="L144" s="52" t="s">
        <v>472</v>
      </c>
      <c r="M144" s="69" t="s">
        <v>473</v>
      </c>
      <c r="N144" s="69"/>
      <c r="O144" s="69">
        <v>1</v>
      </c>
      <c r="P144" s="69" t="s">
        <v>50</v>
      </c>
      <c r="Q144" s="69" t="s">
        <v>51</v>
      </c>
      <c r="R144" s="69"/>
      <c r="S144" s="48">
        <v>41285</v>
      </c>
      <c r="T144" s="48">
        <v>43340</v>
      </c>
      <c r="U144" s="69"/>
      <c r="V144" s="69"/>
      <c r="W144" s="69"/>
      <c r="X144" s="69"/>
      <c r="Y144" s="69" t="s">
        <v>4125</v>
      </c>
      <c r="Z144" s="52">
        <v>380000</v>
      </c>
      <c r="AA144" s="43" t="s">
        <v>52</v>
      </c>
      <c r="AB144" s="43" t="s">
        <v>53</v>
      </c>
      <c r="AC144" s="85">
        <v>3431</v>
      </c>
      <c r="AD144" s="141">
        <v>9</v>
      </c>
      <c r="AE144" s="142">
        <v>5</v>
      </c>
      <c r="AF144" s="69" t="str">
        <f t="shared" ref="AF144:AF145" si="19">_xlfn.CONCAT(AG144," years ",AH144," days")</f>
        <v>6 years 128 days</v>
      </c>
      <c r="AG144" s="69">
        <v>6</v>
      </c>
      <c r="AH144" s="69">
        <v>128</v>
      </c>
      <c r="AI144" s="69">
        <v>380000</v>
      </c>
      <c r="AJ144" s="67">
        <v>256619</v>
      </c>
      <c r="AK144" s="69">
        <v>2025</v>
      </c>
      <c r="AL144" s="61">
        <v>20046.695132614404</v>
      </c>
      <c r="AM144" s="143"/>
    </row>
    <row r="145" spans="1:39" x14ac:dyDescent="0.35">
      <c r="A145" s="69" t="s">
        <v>4124</v>
      </c>
      <c r="B145" s="41">
        <v>1101400907</v>
      </c>
      <c r="C145" s="41"/>
      <c r="D145" s="41" t="s">
        <v>470</v>
      </c>
      <c r="E145" s="101">
        <v>1</v>
      </c>
      <c r="F145" s="41" t="s">
        <v>260</v>
      </c>
      <c r="G145" s="69" t="s">
        <v>259</v>
      </c>
      <c r="H145" s="41">
        <v>9007000025</v>
      </c>
      <c r="I145" s="41" t="s">
        <v>261</v>
      </c>
      <c r="J145" s="41">
        <v>1202010217</v>
      </c>
      <c r="K145" s="41"/>
      <c r="L145" s="52" t="s">
        <v>475</v>
      </c>
      <c r="M145" s="69" t="s">
        <v>476</v>
      </c>
      <c r="N145" s="69"/>
      <c r="O145" s="69">
        <v>1</v>
      </c>
      <c r="P145" s="69" t="s">
        <v>50</v>
      </c>
      <c r="Q145" s="69" t="s">
        <v>51</v>
      </c>
      <c r="R145" s="69"/>
      <c r="S145" s="48">
        <v>41298</v>
      </c>
      <c r="T145" s="48">
        <v>43340</v>
      </c>
      <c r="U145" s="69"/>
      <c r="V145" s="69"/>
      <c r="W145" s="69"/>
      <c r="X145" s="69"/>
      <c r="Y145" s="69" t="s">
        <v>4125</v>
      </c>
      <c r="Z145" s="52">
        <v>90000</v>
      </c>
      <c r="AA145" s="43" t="s">
        <v>52</v>
      </c>
      <c r="AB145" s="43" t="s">
        <v>53</v>
      </c>
      <c r="AC145" s="85">
        <v>3431</v>
      </c>
      <c r="AD145" s="141">
        <v>9</v>
      </c>
      <c r="AE145" s="142">
        <v>5</v>
      </c>
      <c r="AF145" s="69" t="str">
        <f t="shared" si="19"/>
        <v>6 years 128 days</v>
      </c>
      <c r="AG145" s="69">
        <v>6</v>
      </c>
      <c r="AH145" s="69">
        <v>128</v>
      </c>
      <c r="AI145" s="69">
        <v>90000</v>
      </c>
      <c r="AJ145" s="67">
        <v>60778</v>
      </c>
      <c r="AK145" s="69">
        <v>2025</v>
      </c>
      <c r="AL145" s="61">
        <v>4748.085689303407</v>
      </c>
      <c r="AM145" s="143"/>
    </row>
    <row r="146" spans="1:39" x14ac:dyDescent="0.35">
      <c r="A146" s="69" t="s">
        <v>4124</v>
      </c>
      <c r="B146" s="41">
        <v>1101404551</v>
      </c>
      <c r="C146" s="41"/>
      <c r="D146" s="69"/>
      <c r="E146" s="101">
        <v>0</v>
      </c>
      <c r="F146" s="41" t="s">
        <v>260</v>
      </c>
      <c r="G146" s="69" t="s">
        <v>259</v>
      </c>
      <c r="H146" s="41">
        <v>9007000026</v>
      </c>
      <c r="I146" s="41" t="s">
        <v>261</v>
      </c>
      <c r="J146" s="41">
        <v>1202010217</v>
      </c>
      <c r="K146" s="41" t="s">
        <v>478</v>
      </c>
      <c r="L146" s="52" t="s">
        <v>479</v>
      </c>
      <c r="M146" s="69" t="s">
        <v>480</v>
      </c>
      <c r="N146" s="69"/>
      <c r="O146" s="69">
        <v>1</v>
      </c>
      <c r="P146" s="69" t="s">
        <v>50</v>
      </c>
      <c r="Q146" s="69" t="s">
        <v>51</v>
      </c>
      <c r="R146" s="69"/>
      <c r="S146" s="48">
        <v>44910</v>
      </c>
      <c r="T146" s="48">
        <v>44910</v>
      </c>
      <c r="U146" s="69"/>
      <c r="V146" s="69"/>
      <c r="W146" s="69"/>
      <c r="X146" s="69"/>
      <c r="Y146" s="69" t="s">
        <v>4131</v>
      </c>
      <c r="Z146" s="52">
        <v>17136218.380000003</v>
      </c>
      <c r="AA146" s="43" t="s">
        <v>52</v>
      </c>
      <c r="AB146" s="43" t="s">
        <v>53</v>
      </c>
      <c r="AC146" s="85">
        <v>3650</v>
      </c>
      <c r="AD146" s="141">
        <v>10</v>
      </c>
      <c r="AE146" s="142">
        <v>0</v>
      </c>
      <c r="AF146" s="69" t="str">
        <f t="shared" ref="AF146:AF149" si="20">_xlfn.CONCAT(AG146," years ",AH146," days")</f>
        <v>2 years 18 days</v>
      </c>
      <c r="AG146" s="69">
        <v>2</v>
      </c>
      <c r="AH146" s="69">
        <v>18</v>
      </c>
      <c r="AI146" s="69">
        <v>17136218.380000003</v>
      </c>
      <c r="AJ146" s="67">
        <v>3511751</v>
      </c>
      <c r="AK146" s="69">
        <v>2025</v>
      </c>
      <c r="AL146" s="61">
        <v>849768.68064657599</v>
      </c>
      <c r="AM146" s="143"/>
    </row>
    <row r="147" spans="1:39" x14ac:dyDescent="0.35">
      <c r="A147" s="69" t="s">
        <v>4124</v>
      </c>
      <c r="B147" s="41">
        <v>1101404678</v>
      </c>
      <c r="C147" s="41"/>
      <c r="D147" s="41" t="s">
        <v>477</v>
      </c>
      <c r="E147" s="101">
        <v>1</v>
      </c>
      <c r="F147" s="41" t="s">
        <v>260</v>
      </c>
      <c r="G147" s="69" t="s">
        <v>259</v>
      </c>
      <c r="H147" s="41">
        <v>9007000026</v>
      </c>
      <c r="I147" s="41" t="s">
        <v>261</v>
      </c>
      <c r="J147" s="41">
        <v>1202010217</v>
      </c>
      <c r="K147" s="41" t="s">
        <v>478</v>
      </c>
      <c r="L147" s="52" t="s">
        <v>482</v>
      </c>
      <c r="M147" s="69" t="s">
        <v>483</v>
      </c>
      <c r="N147" s="69"/>
      <c r="O147" s="69">
        <v>1</v>
      </c>
      <c r="P147" s="69" t="s">
        <v>50</v>
      </c>
      <c r="Q147" s="69" t="s">
        <v>51</v>
      </c>
      <c r="R147" s="69"/>
      <c r="S147" s="48">
        <v>45000</v>
      </c>
      <c r="T147" s="48">
        <v>45000</v>
      </c>
      <c r="U147" s="69"/>
      <c r="V147" s="69"/>
      <c r="W147" s="69"/>
      <c r="X147" s="69"/>
      <c r="Y147" s="69" t="s">
        <v>4129</v>
      </c>
      <c r="Z147" s="52">
        <v>53634825.849999987</v>
      </c>
      <c r="AA147" s="43" t="s">
        <v>52</v>
      </c>
      <c r="AB147" s="43" t="s">
        <v>53</v>
      </c>
      <c r="AC147" s="85">
        <v>3650</v>
      </c>
      <c r="AD147" s="141">
        <v>10</v>
      </c>
      <c r="AE147" s="142">
        <v>0</v>
      </c>
      <c r="AF147" s="69" t="str">
        <f t="shared" si="20"/>
        <v>1 years 293 days</v>
      </c>
      <c r="AG147" s="69">
        <v>1</v>
      </c>
      <c r="AH147" s="69">
        <v>293</v>
      </c>
      <c r="AI147" s="69">
        <v>53634825.849999987</v>
      </c>
      <c r="AJ147" s="67">
        <v>9668963</v>
      </c>
      <c r="AK147" s="69">
        <v>2025</v>
      </c>
      <c r="AL147" s="61">
        <v>2659699.7097808197</v>
      </c>
      <c r="AM147" s="143"/>
    </row>
    <row r="148" spans="1:39" x14ac:dyDescent="0.35">
      <c r="A148" s="69" t="s">
        <v>4124</v>
      </c>
      <c r="B148" s="41">
        <v>1101404754</v>
      </c>
      <c r="C148" s="41"/>
      <c r="D148" s="41" t="s">
        <v>477</v>
      </c>
      <c r="E148" s="101">
        <v>2</v>
      </c>
      <c r="F148" s="41" t="s">
        <v>260</v>
      </c>
      <c r="G148" s="69" t="s">
        <v>259</v>
      </c>
      <c r="H148" s="41">
        <v>9007000026</v>
      </c>
      <c r="I148" s="41" t="s">
        <v>261</v>
      </c>
      <c r="J148" s="41">
        <v>1202010217</v>
      </c>
      <c r="K148" s="41"/>
      <c r="L148" s="52" t="s">
        <v>485</v>
      </c>
      <c r="M148" s="69" t="s">
        <v>486</v>
      </c>
      <c r="N148" s="69"/>
      <c r="O148" s="69">
        <v>1</v>
      </c>
      <c r="P148" s="69" t="s">
        <v>50</v>
      </c>
      <c r="Q148" s="69" t="s">
        <v>51</v>
      </c>
      <c r="R148" s="69"/>
      <c r="S148" s="48">
        <v>45064</v>
      </c>
      <c r="T148" s="48">
        <v>45064</v>
      </c>
      <c r="U148" s="69"/>
      <c r="V148" s="69"/>
      <c r="W148" s="69"/>
      <c r="X148" s="69"/>
      <c r="Y148" s="69" t="s">
        <v>4129</v>
      </c>
      <c r="Z148" s="52">
        <v>197500</v>
      </c>
      <c r="AA148" s="43" t="s">
        <v>52</v>
      </c>
      <c r="AB148" s="43" t="s">
        <v>53</v>
      </c>
      <c r="AC148" s="85">
        <v>3650</v>
      </c>
      <c r="AD148" s="141">
        <v>10</v>
      </c>
      <c r="AE148" s="142">
        <v>0</v>
      </c>
      <c r="AF148" s="69" t="str">
        <f t="shared" si="20"/>
        <v>1 years 229 days</v>
      </c>
      <c r="AG148" s="69">
        <v>1</v>
      </c>
      <c r="AH148" s="69">
        <v>229</v>
      </c>
      <c r="AI148" s="69">
        <v>197500</v>
      </c>
      <c r="AJ148" s="67">
        <v>32141</v>
      </c>
      <c r="AK148" s="69">
        <v>2025</v>
      </c>
      <c r="AL148" s="61">
        <v>9793.9315068493161</v>
      </c>
      <c r="AM148" s="143"/>
    </row>
    <row r="149" spans="1:39" x14ac:dyDescent="0.35">
      <c r="A149" s="69" t="s">
        <v>4124</v>
      </c>
      <c r="B149" s="41">
        <v>1101405162</v>
      </c>
      <c r="C149" s="41"/>
      <c r="D149" s="41" t="s">
        <v>477</v>
      </c>
      <c r="E149" s="101">
        <v>3</v>
      </c>
      <c r="F149" s="41" t="s">
        <v>260</v>
      </c>
      <c r="G149" s="69" t="s">
        <v>259</v>
      </c>
      <c r="H149" s="41">
        <v>9007000026</v>
      </c>
      <c r="I149" s="41" t="s">
        <v>261</v>
      </c>
      <c r="J149" s="41">
        <v>1202010217</v>
      </c>
      <c r="K149" s="41"/>
      <c r="L149" s="52" t="s">
        <v>488</v>
      </c>
      <c r="M149" s="69" t="s">
        <v>489</v>
      </c>
      <c r="N149" s="69"/>
      <c r="O149" s="69">
        <v>6</v>
      </c>
      <c r="P149" s="69" t="s">
        <v>50</v>
      </c>
      <c r="Q149" s="69" t="s">
        <v>51</v>
      </c>
      <c r="R149" s="69"/>
      <c r="S149" s="48">
        <v>45412</v>
      </c>
      <c r="T149" s="48">
        <v>45412</v>
      </c>
      <c r="U149" s="69"/>
      <c r="V149" s="69"/>
      <c r="W149" s="69"/>
      <c r="X149" s="69"/>
      <c r="Y149" s="69" t="s">
        <v>4130</v>
      </c>
      <c r="Z149" s="83">
        <v>42600</v>
      </c>
      <c r="AA149" s="43" t="s">
        <v>52</v>
      </c>
      <c r="AB149" s="43" t="s">
        <v>53</v>
      </c>
      <c r="AC149" s="85">
        <v>3650</v>
      </c>
      <c r="AD149" s="141">
        <v>10</v>
      </c>
      <c r="AE149" s="142">
        <v>0</v>
      </c>
      <c r="AF149" s="69" t="str">
        <f t="shared" si="20"/>
        <v>0 years 246 days</v>
      </c>
      <c r="AG149" s="69">
        <v>0</v>
      </c>
      <c r="AH149" s="69">
        <v>246</v>
      </c>
      <c r="AI149" s="69">
        <v>42600</v>
      </c>
      <c r="AJ149" s="67">
        <v>2871</v>
      </c>
      <c r="AK149" s="69">
        <v>2025</v>
      </c>
      <c r="AL149" s="61">
        <v>2112.6164383561645</v>
      </c>
      <c r="AM149" s="143"/>
    </row>
    <row r="150" spans="1:39" x14ac:dyDescent="0.35">
      <c r="A150" s="69" t="s">
        <v>4124</v>
      </c>
      <c r="B150" s="41">
        <v>1101403077</v>
      </c>
      <c r="C150" s="41"/>
      <c r="D150" s="69"/>
      <c r="E150" s="101">
        <v>0</v>
      </c>
      <c r="F150" s="41" t="s">
        <v>260</v>
      </c>
      <c r="G150" s="69" t="s">
        <v>259</v>
      </c>
      <c r="H150" s="41">
        <v>9007000027</v>
      </c>
      <c r="I150" s="41" t="s">
        <v>261</v>
      </c>
      <c r="J150" s="41">
        <v>1202010217</v>
      </c>
      <c r="K150" s="41" t="s">
        <v>491</v>
      </c>
      <c r="L150" s="52" t="s">
        <v>492</v>
      </c>
      <c r="M150" s="69" t="s">
        <v>493</v>
      </c>
      <c r="N150" s="69"/>
      <c r="O150" s="69">
        <v>1</v>
      </c>
      <c r="P150" s="69" t="s">
        <v>50</v>
      </c>
      <c r="Q150" s="69" t="s">
        <v>51</v>
      </c>
      <c r="R150" s="69"/>
      <c r="S150" s="48">
        <v>43753</v>
      </c>
      <c r="T150" s="48">
        <v>43753</v>
      </c>
      <c r="U150" s="69"/>
      <c r="V150" s="69"/>
      <c r="W150" s="69"/>
      <c r="X150" s="69"/>
      <c r="Y150" s="69" t="s">
        <v>4126</v>
      </c>
      <c r="Z150" s="52">
        <v>525756</v>
      </c>
      <c r="AA150" s="43" t="s">
        <v>52</v>
      </c>
      <c r="AB150" s="43" t="s">
        <v>53</v>
      </c>
      <c r="AC150" s="85">
        <v>3650</v>
      </c>
      <c r="AD150" s="141">
        <v>10</v>
      </c>
      <c r="AE150" s="142">
        <v>0</v>
      </c>
      <c r="AF150" s="69" t="str">
        <f>_xlfn.CONCAT(AG150," years ",AH150," days")</f>
        <v>5 years 80 days</v>
      </c>
      <c r="AG150" s="69">
        <v>5</v>
      </c>
      <c r="AH150" s="69">
        <v>80</v>
      </c>
      <c r="AI150" s="69">
        <v>525756</v>
      </c>
      <c r="AJ150" s="67">
        <v>274401</v>
      </c>
      <c r="AK150" s="69">
        <v>2025</v>
      </c>
      <c r="AL150" s="61">
        <v>26072.155068493157</v>
      </c>
      <c r="AM150" s="143"/>
    </row>
    <row r="151" spans="1:39" x14ac:dyDescent="0.35">
      <c r="A151" s="69" t="s">
        <v>4124</v>
      </c>
      <c r="B151" s="41">
        <v>1101400551</v>
      </c>
      <c r="C151" s="41"/>
      <c r="D151" s="69"/>
      <c r="E151" s="101">
        <v>0</v>
      </c>
      <c r="F151" s="41" t="s">
        <v>260</v>
      </c>
      <c r="G151" s="69" t="s">
        <v>259</v>
      </c>
      <c r="H151" s="41">
        <v>9007000028</v>
      </c>
      <c r="I151" s="41" t="s">
        <v>261</v>
      </c>
      <c r="J151" s="41">
        <v>1202010217</v>
      </c>
      <c r="K151" s="41" t="s">
        <v>495</v>
      </c>
      <c r="L151" s="52" t="s">
        <v>496</v>
      </c>
      <c r="M151" s="69" t="s">
        <v>49</v>
      </c>
      <c r="N151" s="69"/>
      <c r="O151" s="69">
        <v>1</v>
      </c>
      <c r="P151" s="69" t="s">
        <v>50</v>
      </c>
      <c r="Q151" s="69" t="s">
        <v>51</v>
      </c>
      <c r="R151" s="69"/>
      <c r="S151" s="48">
        <v>40526</v>
      </c>
      <c r="T151" s="48">
        <v>43340</v>
      </c>
      <c r="U151" s="69"/>
      <c r="V151" s="69"/>
      <c r="W151" s="69"/>
      <c r="X151" s="69"/>
      <c r="Y151" s="69" t="s">
        <v>4125</v>
      </c>
      <c r="Z151" s="52">
        <v>540000</v>
      </c>
      <c r="AA151" s="43" t="s">
        <v>52</v>
      </c>
      <c r="AB151" s="43" t="s">
        <v>53</v>
      </c>
      <c r="AC151" s="85">
        <v>2665</v>
      </c>
      <c r="AD151" s="141">
        <v>7</v>
      </c>
      <c r="AE151" s="142">
        <v>4</v>
      </c>
      <c r="AF151" s="69" t="str">
        <f t="shared" ref="AF151:AF152" si="21">_xlfn.CONCAT(AG151," years ",AH151," days")</f>
        <v>6 years 128 days</v>
      </c>
      <c r="AG151" s="69">
        <v>6</v>
      </c>
      <c r="AH151" s="69">
        <v>128</v>
      </c>
      <c r="AI151" s="69">
        <v>540000</v>
      </c>
      <c r="AJ151" s="67">
        <v>469486</v>
      </c>
      <c r="AK151" s="69">
        <v>2025</v>
      </c>
      <c r="AL151" s="61">
        <v>36675.350844277651</v>
      </c>
      <c r="AM151" s="143"/>
    </row>
    <row r="152" spans="1:39" x14ac:dyDescent="0.35">
      <c r="A152" s="69" t="s">
        <v>4124</v>
      </c>
      <c r="B152" s="41">
        <v>1101401561</v>
      </c>
      <c r="C152" s="41"/>
      <c r="D152" s="41" t="s">
        <v>494</v>
      </c>
      <c r="E152" s="101">
        <v>1</v>
      </c>
      <c r="F152" s="41" t="s">
        <v>260</v>
      </c>
      <c r="G152" s="69" t="s">
        <v>259</v>
      </c>
      <c r="H152" s="41">
        <v>9007000028</v>
      </c>
      <c r="I152" s="41" t="s">
        <v>261</v>
      </c>
      <c r="J152" s="41">
        <v>1202010217</v>
      </c>
      <c r="K152" s="41"/>
      <c r="L152" s="52" t="s">
        <v>498</v>
      </c>
      <c r="M152" s="69" t="s">
        <v>499</v>
      </c>
      <c r="N152" s="69"/>
      <c r="O152" s="69">
        <v>1</v>
      </c>
      <c r="P152" s="69" t="s">
        <v>50</v>
      </c>
      <c r="Q152" s="69" t="s">
        <v>51</v>
      </c>
      <c r="R152" s="69"/>
      <c r="S152" s="48">
        <v>41973</v>
      </c>
      <c r="T152" s="48">
        <v>43340</v>
      </c>
      <c r="U152" s="69"/>
      <c r="V152" s="69"/>
      <c r="W152" s="69"/>
      <c r="X152" s="69"/>
      <c r="Y152" s="69" t="s">
        <v>4125</v>
      </c>
      <c r="Z152" s="52">
        <v>880000</v>
      </c>
      <c r="AA152" s="43" t="s">
        <v>52</v>
      </c>
      <c r="AB152" s="43" t="s">
        <v>53</v>
      </c>
      <c r="AC152" s="85">
        <v>2190</v>
      </c>
      <c r="AD152" s="141">
        <v>6</v>
      </c>
      <c r="AE152" s="142">
        <v>0</v>
      </c>
      <c r="AF152" s="69" t="str">
        <f t="shared" si="21"/>
        <v>6 years 0 days</v>
      </c>
      <c r="AG152" s="69">
        <v>6</v>
      </c>
      <c r="AH152" s="69">
        <v>0</v>
      </c>
      <c r="AI152" s="69">
        <v>880000</v>
      </c>
      <c r="AJ152" s="67">
        <v>880000</v>
      </c>
      <c r="AK152" s="69">
        <v>2025</v>
      </c>
      <c r="AL152" s="61">
        <v>0</v>
      </c>
      <c r="AM152" s="143"/>
    </row>
    <row r="153" spans="1:39" x14ac:dyDescent="0.35">
      <c r="A153" s="69" t="s">
        <v>4124</v>
      </c>
      <c r="B153" s="41">
        <v>1101400862</v>
      </c>
      <c r="C153" s="41"/>
      <c r="D153" s="69"/>
      <c r="E153" s="101">
        <v>0</v>
      </c>
      <c r="F153" s="41" t="s">
        <v>260</v>
      </c>
      <c r="G153" s="69" t="s">
        <v>259</v>
      </c>
      <c r="H153" s="41">
        <v>9007000029</v>
      </c>
      <c r="I153" s="41" t="s">
        <v>261</v>
      </c>
      <c r="J153" s="41">
        <v>1202010217</v>
      </c>
      <c r="K153" s="41" t="s">
        <v>501</v>
      </c>
      <c r="L153" s="52" t="s">
        <v>502</v>
      </c>
      <c r="M153" s="69" t="s">
        <v>503</v>
      </c>
      <c r="N153" s="69"/>
      <c r="O153" s="69">
        <v>1</v>
      </c>
      <c r="P153" s="69" t="s">
        <v>50</v>
      </c>
      <c r="Q153" s="69" t="s">
        <v>51</v>
      </c>
      <c r="R153" s="69"/>
      <c r="S153" s="48">
        <v>41260</v>
      </c>
      <c r="T153" s="48">
        <v>43340</v>
      </c>
      <c r="U153" s="69"/>
      <c r="V153" s="69"/>
      <c r="W153" s="69"/>
      <c r="X153" s="69"/>
      <c r="Y153" s="69" t="s">
        <v>4125</v>
      </c>
      <c r="Z153" s="52">
        <v>1325000</v>
      </c>
      <c r="AA153" s="43" t="s">
        <v>52</v>
      </c>
      <c r="AB153" s="43" t="s">
        <v>53</v>
      </c>
      <c r="AC153" s="85">
        <v>1497</v>
      </c>
      <c r="AD153" s="141">
        <v>4</v>
      </c>
      <c r="AE153" s="142">
        <v>1</v>
      </c>
      <c r="AF153" s="69" t="str">
        <f t="shared" ref="AF153:AF156" si="22">_xlfn.CONCAT(AG153," years ",AH153," days")</f>
        <v>4 years 37 days</v>
      </c>
      <c r="AG153" s="69">
        <v>4</v>
      </c>
      <c r="AH153" s="69">
        <v>37</v>
      </c>
      <c r="AI153" s="69">
        <v>1325000</v>
      </c>
      <c r="AJ153" s="67">
        <v>1325000</v>
      </c>
      <c r="AK153" s="69">
        <v>2025</v>
      </c>
      <c r="AL153" s="61">
        <v>0</v>
      </c>
      <c r="AM153" s="143"/>
    </row>
    <row r="154" spans="1:39" x14ac:dyDescent="0.35">
      <c r="A154" s="69" t="s">
        <v>4124</v>
      </c>
      <c r="B154" s="41">
        <v>1101401096</v>
      </c>
      <c r="C154" s="41"/>
      <c r="D154" s="41" t="s">
        <v>500</v>
      </c>
      <c r="E154" s="101">
        <v>1</v>
      </c>
      <c r="F154" s="41" t="s">
        <v>260</v>
      </c>
      <c r="G154" s="69" t="s">
        <v>259</v>
      </c>
      <c r="H154" s="41">
        <v>9007000029</v>
      </c>
      <c r="I154" s="41" t="s">
        <v>261</v>
      </c>
      <c r="J154" s="41">
        <v>1202010217</v>
      </c>
      <c r="K154" s="41" t="s">
        <v>505</v>
      </c>
      <c r="L154" s="52" t="s">
        <v>506</v>
      </c>
      <c r="M154" s="69" t="s">
        <v>49</v>
      </c>
      <c r="N154" s="69"/>
      <c r="O154" s="69">
        <v>1</v>
      </c>
      <c r="P154" s="69" t="s">
        <v>50</v>
      </c>
      <c r="Q154" s="69" t="s">
        <v>51</v>
      </c>
      <c r="R154" s="69"/>
      <c r="S154" s="48">
        <v>41444</v>
      </c>
      <c r="T154" s="48">
        <v>43340</v>
      </c>
      <c r="U154" s="69"/>
      <c r="V154" s="69"/>
      <c r="W154" s="69"/>
      <c r="X154" s="69"/>
      <c r="Y154" s="69" t="s">
        <v>4125</v>
      </c>
      <c r="Z154" s="52">
        <v>200000</v>
      </c>
      <c r="AA154" s="43" t="s">
        <v>52</v>
      </c>
      <c r="AB154" s="43" t="s">
        <v>53</v>
      </c>
      <c r="AC154" s="85">
        <v>3577</v>
      </c>
      <c r="AD154" s="141">
        <v>9</v>
      </c>
      <c r="AE154" s="142">
        <v>10</v>
      </c>
      <c r="AF154" s="69" t="str">
        <f t="shared" si="22"/>
        <v>6 years 128 days</v>
      </c>
      <c r="AG154" s="69">
        <v>6</v>
      </c>
      <c r="AH154" s="69">
        <v>128</v>
      </c>
      <c r="AI154" s="69">
        <v>200000</v>
      </c>
      <c r="AJ154" s="67">
        <v>200000</v>
      </c>
      <c r="AK154" s="69">
        <v>2025</v>
      </c>
      <c r="AL154" s="61">
        <v>0</v>
      </c>
      <c r="AM154" s="143"/>
    </row>
    <row r="155" spans="1:39" x14ac:dyDescent="0.35">
      <c r="A155" s="69" t="s">
        <v>4124</v>
      </c>
      <c r="B155" s="41">
        <v>1101402656</v>
      </c>
      <c r="C155" s="41"/>
      <c r="D155" s="41" t="s">
        <v>500</v>
      </c>
      <c r="E155" s="101">
        <v>2</v>
      </c>
      <c r="F155" s="41" t="s">
        <v>260</v>
      </c>
      <c r="G155" s="69" t="s">
        <v>259</v>
      </c>
      <c r="H155" s="41">
        <v>9007000029</v>
      </c>
      <c r="I155" s="41" t="s">
        <v>261</v>
      </c>
      <c r="J155" s="41">
        <v>1202010217</v>
      </c>
      <c r="K155" s="41"/>
      <c r="L155" s="52" t="s">
        <v>508</v>
      </c>
      <c r="M155" s="69" t="s">
        <v>509</v>
      </c>
      <c r="N155" s="69"/>
      <c r="O155" s="69">
        <v>1</v>
      </c>
      <c r="P155" s="69" t="s">
        <v>50</v>
      </c>
      <c r="Q155" s="69" t="s">
        <v>51</v>
      </c>
      <c r="R155" s="69"/>
      <c r="S155" s="48">
        <v>43339</v>
      </c>
      <c r="T155" s="48">
        <v>43340</v>
      </c>
      <c r="U155" s="69"/>
      <c r="V155" s="69"/>
      <c r="W155" s="69"/>
      <c r="X155" s="69"/>
      <c r="Y155" s="69" t="s">
        <v>4125</v>
      </c>
      <c r="Z155" s="52">
        <v>92500</v>
      </c>
      <c r="AA155" s="43" t="s">
        <v>52</v>
      </c>
      <c r="AB155" s="43" t="s">
        <v>53</v>
      </c>
      <c r="AC155" s="85">
        <v>5475</v>
      </c>
      <c r="AD155" s="141">
        <v>15</v>
      </c>
      <c r="AE155" s="142">
        <v>0</v>
      </c>
      <c r="AF155" s="69" t="str">
        <f t="shared" si="22"/>
        <v>6 years 128 days</v>
      </c>
      <c r="AG155" s="69">
        <v>6</v>
      </c>
      <c r="AH155" s="69">
        <v>128</v>
      </c>
      <c r="AI155" s="69">
        <v>92500</v>
      </c>
      <c r="AJ155" s="67">
        <v>39146</v>
      </c>
      <c r="AK155" s="69">
        <v>2025</v>
      </c>
      <c r="AL155" s="61">
        <v>3057.6529680365347</v>
      </c>
      <c r="AM155" s="143"/>
    </row>
    <row r="156" spans="1:39" x14ac:dyDescent="0.35">
      <c r="A156" s="69" t="s">
        <v>4124</v>
      </c>
      <c r="B156" s="41">
        <v>1101504272</v>
      </c>
      <c r="C156" s="41"/>
      <c r="D156" s="41" t="s">
        <v>500</v>
      </c>
      <c r="E156" s="101">
        <v>3</v>
      </c>
      <c r="F156" s="41" t="s">
        <v>260</v>
      </c>
      <c r="G156" s="69" t="s">
        <v>259</v>
      </c>
      <c r="H156" s="41">
        <v>9007000029</v>
      </c>
      <c r="I156" s="41" t="s">
        <v>261</v>
      </c>
      <c r="J156" s="41">
        <v>1202010217</v>
      </c>
      <c r="K156" s="41"/>
      <c r="L156" s="52" t="s">
        <v>511</v>
      </c>
      <c r="M156" s="69" t="s">
        <v>49</v>
      </c>
      <c r="N156" s="69"/>
      <c r="O156" s="69">
        <v>1</v>
      </c>
      <c r="P156" s="69" t="s">
        <v>50</v>
      </c>
      <c r="Q156" s="69" t="s">
        <v>51</v>
      </c>
      <c r="R156" s="69"/>
      <c r="S156" s="48">
        <v>40944</v>
      </c>
      <c r="T156" s="48">
        <v>43340</v>
      </c>
      <c r="U156" s="69"/>
      <c r="V156" s="69"/>
      <c r="W156" s="69"/>
      <c r="X156" s="69"/>
      <c r="Y156" s="69" t="s">
        <v>4125</v>
      </c>
      <c r="Z156" s="52">
        <v>230000</v>
      </c>
      <c r="AA156" s="43" t="s">
        <v>52</v>
      </c>
      <c r="AB156" s="43" t="s">
        <v>53</v>
      </c>
      <c r="AC156" s="85">
        <v>3066</v>
      </c>
      <c r="AD156" s="141">
        <v>8</v>
      </c>
      <c r="AE156" s="142">
        <v>5</v>
      </c>
      <c r="AF156" s="69" t="str">
        <f t="shared" si="22"/>
        <v>6 years 128 days</v>
      </c>
      <c r="AG156" s="69">
        <v>6</v>
      </c>
      <c r="AH156" s="69">
        <v>128</v>
      </c>
      <c r="AI156" s="69">
        <v>230000</v>
      </c>
      <c r="AJ156" s="67">
        <v>173813</v>
      </c>
      <c r="AK156" s="69">
        <v>2025</v>
      </c>
      <c r="AL156" s="61">
        <v>13577.737116764503</v>
      </c>
      <c r="AM156" s="143"/>
    </row>
    <row r="157" spans="1:39" x14ac:dyDescent="0.35">
      <c r="A157" s="69" t="s">
        <v>4124</v>
      </c>
      <c r="B157" s="41">
        <v>1101404112</v>
      </c>
      <c r="C157" s="41"/>
      <c r="D157" s="69"/>
      <c r="E157" s="101">
        <v>0</v>
      </c>
      <c r="F157" s="41" t="s">
        <v>260</v>
      </c>
      <c r="G157" s="69" t="s">
        <v>259</v>
      </c>
      <c r="H157" s="41">
        <v>9007000030</v>
      </c>
      <c r="I157" s="41" t="s">
        <v>261</v>
      </c>
      <c r="J157" s="41">
        <v>1202010217</v>
      </c>
      <c r="K157" s="41" t="s">
        <v>513</v>
      </c>
      <c r="L157" s="52" t="s">
        <v>514</v>
      </c>
      <c r="M157" s="69" t="s">
        <v>515</v>
      </c>
      <c r="N157" s="69"/>
      <c r="O157" s="69">
        <v>1</v>
      </c>
      <c r="P157" s="69" t="s">
        <v>50</v>
      </c>
      <c r="Q157" s="69" t="s">
        <v>51</v>
      </c>
      <c r="R157" s="69"/>
      <c r="S157" s="48">
        <v>44706</v>
      </c>
      <c r="T157" s="48">
        <v>44706</v>
      </c>
      <c r="U157" s="69"/>
      <c r="V157" s="69"/>
      <c r="W157" s="69"/>
      <c r="X157" s="69"/>
      <c r="Y157" s="69" t="s">
        <v>4131</v>
      </c>
      <c r="Z157" s="52">
        <v>548000</v>
      </c>
      <c r="AA157" s="43" t="s">
        <v>52</v>
      </c>
      <c r="AB157" s="43" t="s">
        <v>53</v>
      </c>
      <c r="AC157" s="85">
        <v>3650</v>
      </c>
      <c r="AD157" s="141">
        <v>10</v>
      </c>
      <c r="AE157" s="142">
        <v>0</v>
      </c>
      <c r="AF157" s="69" t="str">
        <f>_xlfn.CONCAT(AG157," years ",AH157," days")</f>
        <v>2 years 222 days</v>
      </c>
      <c r="AG157" s="69">
        <v>2</v>
      </c>
      <c r="AH157" s="69">
        <v>222</v>
      </c>
      <c r="AI157" s="69">
        <v>548000</v>
      </c>
      <c r="AJ157" s="67">
        <v>142930</v>
      </c>
      <c r="AK157" s="69">
        <v>2025</v>
      </c>
      <c r="AL157" s="61">
        <v>27175.205479452037</v>
      </c>
      <c r="AM157" s="143"/>
    </row>
    <row r="158" spans="1:39" x14ac:dyDescent="0.35">
      <c r="A158" s="69" t="s">
        <v>4124</v>
      </c>
      <c r="B158" s="41">
        <v>1101403256</v>
      </c>
      <c r="C158" s="41"/>
      <c r="D158" s="69"/>
      <c r="E158" s="101">
        <v>0</v>
      </c>
      <c r="F158" s="41" t="s">
        <v>260</v>
      </c>
      <c r="G158" s="69" t="s">
        <v>259</v>
      </c>
      <c r="H158" s="41">
        <v>9007000031</v>
      </c>
      <c r="I158" s="41" t="s">
        <v>261</v>
      </c>
      <c r="J158" s="41">
        <v>1202010217</v>
      </c>
      <c r="K158" s="41" t="s">
        <v>517</v>
      </c>
      <c r="L158" s="52" t="s">
        <v>518</v>
      </c>
      <c r="M158" s="69" t="s">
        <v>519</v>
      </c>
      <c r="N158" s="69"/>
      <c r="O158" s="69">
        <v>1</v>
      </c>
      <c r="P158" s="69" t="s">
        <v>50</v>
      </c>
      <c r="Q158" s="69" t="s">
        <v>51</v>
      </c>
      <c r="R158" s="69"/>
      <c r="S158" s="48">
        <v>43881</v>
      </c>
      <c r="T158" s="48">
        <v>43881</v>
      </c>
      <c r="U158" s="69"/>
      <c r="V158" s="69"/>
      <c r="W158" s="69"/>
      <c r="X158" s="69"/>
      <c r="Y158" s="69" t="s">
        <v>4127</v>
      </c>
      <c r="Z158" s="52">
        <v>455960</v>
      </c>
      <c r="AA158" s="43" t="s">
        <v>52</v>
      </c>
      <c r="AB158" s="43" t="s">
        <v>53</v>
      </c>
      <c r="AC158" s="85">
        <v>3650</v>
      </c>
      <c r="AD158" s="141">
        <v>10</v>
      </c>
      <c r="AE158" s="142">
        <v>0</v>
      </c>
      <c r="AF158" s="69" t="str">
        <f t="shared" ref="AF158:AF170" si="23">_xlfn.CONCAT(AG158," years ",AH158," days")</f>
        <v>4 years 317 days</v>
      </c>
      <c r="AG158" s="69">
        <v>4</v>
      </c>
      <c r="AH158" s="69">
        <v>317</v>
      </c>
      <c r="AI158" s="69">
        <v>455960</v>
      </c>
      <c r="AJ158" s="67">
        <v>221984</v>
      </c>
      <c r="AK158" s="69">
        <v>2025</v>
      </c>
      <c r="AL158" s="61">
        <v>22610.432876712352</v>
      </c>
      <c r="AM158" s="143"/>
    </row>
    <row r="159" spans="1:39" x14ac:dyDescent="0.35">
      <c r="A159" s="69" t="s">
        <v>4124</v>
      </c>
      <c r="B159" s="41">
        <v>1101404034</v>
      </c>
      <c r="C159" s="41"/>
      <c r="D159" s="41" t="s">
        <v>516</v>
      </c>
      <c r="E159" s="101">
        <v>1</v>
      </c>
      <c r="F159" s="41" t="s">
        <v>260</v>
      </c>
      <c r="G159" s="69" t="s">
        <v>259</v>
      </c>
      <c r="H159" s="41">
        <v>9007000031</v>
      </c>
      <c r="I159" s="41" t="s">
        <v>261</v>
      </c>
      <c r="J159" s="41">
        <v>1202010217</v>
      </c>
      <c r="K159" s="41"/>
      <c r="L159" s="52" t="s">
        <v>521</v>
      </c>
      <c r="M159" s="69" t="s">
        <v>522</v>
      </c>
      <c r="N159" s="69"/>
      <c r="O159" s="69">
        <v>5</v>
      </c>
      <c r="P159" s="69" t="s">
        <v>50</v>
      </c>
      <c r="Q159" s="69" t="s">
        <v>51</v>
      </c>
      <c r="R159" s="69"/>
      <c r="S159" s="48">
        <v>44621</v>
      </c>
      <c r="T159" s="48">
        <v>44621</v>
      </c>
      <c r="U159" s="69"/>
      <c r="V159" s="69"/>
      <c r="W159" s="69"/>
      <c r="X159" s="69"/>
      <c r="Y159" s="69" t="s">
        <v>4131</v>
      </c>
      <c r="Z159" s="52">
        <v>238340</v>
      </c>
      <c r="AA159" s="43" t="s">
        <v>52</v>
      </c>
      <c r="AB159" s="43" t="s">
        <v>53</v>
      </c>
      <c r="AC159" s="85">
        <v>3650</v>
      </c>
      <c r="AD159" s="141">
        <v>10</v>
      </c>
      <c r="AE159" s="142">
        <v>0</v>
      </c>
      <c r="AF159" s="69" t="str">
        <f t="shared" si="23"/>
        <v>2 years 307 days</v>
      </c>
      <c r="AG159" s="69">
        <v>2</v>
      </c>
      <c r="AH159" s="69">
        <v>307</v>
      </c>
      <c r="AI159" s="69">
        <v>238340</v>
      </c>
      <c r="AJ159" s="67">
        <v>67715</v>
      </c>
      <c r="AK159" s="69">
        <v>2025</v>
      </c>
      <c r="AL159" s="61">
        <v>11818.731506849319</v>
      </c>
      <c r="AM159" s="143"/>
    </row>
    <row r="160" spans="1:39" x14ac:dyDescent="0.35">
      <c r="A160" s="69" t="s">
        <v>4124</v>
      </c>
      <c r="B160" s="41">
        <v>1101404544</v>
      </c>
      <c r="C160" s="41"/>
      <c r="D160" s="41" t="s">
        <v>516</v>
      </c>
      <c r="E160" s="101">
        <v>2</v>
      </c>
      <c r="F160" s="41" t="s">
        <v>260</v>
      </c>
      <c r="G160" s="69" t="s">
        <v>259</v>
      </c>
      <c r="H160" s="41">
        <v>9007000031</v>
      </c>
      <c r="I160" s="41" t="s">
        <v>261</v>
      </c>
      <c r="J160" s="41">
        <v>1202010217</v>
      </c>
      <c r="K160" s="41" t="s">
        <v>524</v>
      </c>
      <c r="L160" s="52" t="s">
        <v>525</v>
      </c>
      <c r="M160" s="69" t="s">
        <v>526</v>
      </c>
      <c r="N160" s="69"/>
      <c r="O160" s="69">
        <v>1</v>
      </c>
      <c r="P160" s="69" t="s">
        <v>50</v>
      </c>
      <c r="Q160" s="69" t="s">
        <v>51</v>
      </c>
      <c r="R160" s="69"/>
      <c r="S160" s="48">
        <v>44910</v>
      </c>
      <c r="T160" s="48">
        <v>44910</v>
      </c>
      <c r="U160" s="69"/>
      <c r="V160" s="69"/>
      <c r="W160" s="69"/>
      <c r="X160" s="69"/>
      <c r="Y160" s="69" t="s">
        <v>4131</v>
      </c>
      <c r="Z160" s="52">
        <v>4211724.41</v>
      </c>
      <c r="AA160" s="43" t="s">
        <v>52</v>
      </c>
      <c r="AB160" s="43" t="s">
        <v>53</v>
      </c>
      <c r="AC160" s="85">
        <v>3650</v>
      </c>
      <c r="AD160" s="141">
        <v>10</v>
      </c>
      <c r="AE160" s="142">
        <v>0</v>
      </c>
      <c r="AF160" s="69" t="str">
        <f t="shared" si="23"/>
        <v>2 years 18 days</v>
      </c>
      <c r="AG160" s="69">
        <v>2</v>
      </c>
      <c r="AH160" s="69">
        <v>18</v>
      </c>
      <c r="AI160" s="69">
        <v>4211724.41</v>
      </c>
      <c r="AJ160" s="67">
        <v>863115</v>
      </c>
      <c r="AK160" s="69">
        <v>2025</v>
      </c>
      <c r="AL160" s="61">
        <v>208855.39260821929</v>
      </c>
      <c r="AM160" s="143"/>
    </row>
    <row r="161" spans="1:39" x14ac:dyDescent="0.35">
      <c r="A161" s="69" t="s">
        <v>4124</v>
      </c>
      <c r="B161" s="41">
        <v>1101404675</v>
      </c>
      <c r="C161" s="41"/>
      <c r="D161" s="41" t="s">
        <v>516</v>
      </c>
      <c r="E161" s="101">
        <v>3</v>
      </c>
      <c r="F161" s="41" t="s">
        <v>260</v>
      </c>
      <c r="G161" s="69" t="s">
        <v>259</v>
      </c>
      <c r="H161" s="41">
        <v>9007000031</v>
      </c>
      <c r="I161" s="41" t="s">
        <v>261</v>
      </c>
      <c r="J161" s="41">
        <v>1202010217</v>
      </c>
      <c r="K161" s="41" t="s">
        <v>528</v>
      </c>
      <c r="L161" s="52" t="s">
        <v>529</v>
      </c>
      <c r="M161" s="69" t="s">
        <v>530</v>
      </c>
      <c r="N161" s="69"/>
      <c r="O161" s="69">
        <v>1</v>
      </c>
      <c r="P161" s="69" t="s">
        <v>50</v>
      </c>
      <c r="Q161" s="69" t="s">
        <v>51</v>
      </c>
      <c r="R161" s="69"/>
      <c r="S161" s="48">
        <v>45000</v>
      </c>
      <c r="T161" s="48">
        <v>45000</v>
      </c>
      <c r="U161" s="69"/>
      <c r="V161" s="69"/>
      <c r="W161" s="69"/>
      <c r="X161" s="69"/>
      <c r="Y161" s="69" t="s">
        <v>4129</v>
      </c>
      <c r="Z161" s="52">
        <v>5453995.9500000002</v>
      </c>
      <c r="AA161" s="43" t="s">
        <v>52</v>
      </c>
      <c r="AB161" s="43" t="s">
        <v>53</v>
      </c>
      <c r="AC161" s="85">
        <v>3650</v>
      </c>
      <c r="AD161" s="141">
        <v>10</v>
      </c>
      <c r="AE161" s="142">
        <v>0</v>
      </c>
      <c r="AF161" s="69" t="str">
        <f t="shared" si="23"/>
        <v>1 years 293 days</v>
      </c>
      <c r="AG161" s="69">
        <v>1</v>
      </c>
      <c r="AH161" s="69">
        <v>293</v>
      </c>
      <c r="AI161" s="69">
        <v>5453995.9500000002</v>
      </c>
      <c r="AJ161" s="67">
        <v>983214</v>
      </c>
      <c r="AK161" s="69">
        <v>2025</v>
      </c>
      <c r="AL161" s="61">
        <v>270457.946</v>
      </c>
      <c r="AM161" s="143"/>
    </row>
    <row r="162" spans="1:39" x14ac:dyDescent="0.35">
      <c r="A162" s="69" t="s">
        <v>4124</v>
      </c>
      <c r="B162" s="41">
        <v>1101404818</v>
      </c>
      <c r="C162" s="41"/>
      <c r="D162" s="41" t="s">
        <v>516</v>
      </c>
      <c r="E162" s="101">
        <v>4</v>
      </c>
      <c r="F162" s="41" t="s">
        <v>260</v>
      </c>
      <c r="G162" s="69" t="s">
        <v>259</v>
      </c>
      <c r="H162" s="41">
        <v>9007000031</v>
      </c>
      <c r="I162" s="41" t="s">
        <v>261</v>
      </c>
      <c r="J162" s="41">
        <v>1202010217</v>
      </c>
      <c r="K162" s="41"/>
      <c r="L162" s="52" t="s">
        <v>532</v>
      </c>
      <c r="M162" s="69" t="s">
        <v>533</v>
      </c>
      <c r="N162" s="69"/>
      <c r="O162" s="69">
        <v>1</v>
      </c>
      <c r="P162" s="69" t="s">
        <v>50</v>
      </c>
      <c r="Q162" s="69" t="s">
        <v>51</v>
      </c>
      <c r="R162" s="69"/>
      <c r="S162" s="48">
        <v>45125</v>
      </c>
      <c r="T162" s="48">
        <v>45125</v>
      </c>
      <c r="U162" s="69"/>
      <c r="V162" s="69"/>
      <c r="W162" s="69"/>
      <c r="X162" s="69"/>
      <c r="Y162" s="69" t="s">
        <v>4129</v>
      </c>
      <c r="Z162" s="52">
        <v>109400</v>
      </c>
      <c r="AA162" s="43" t="s">
        <v>52</v>
      </c>
      <c r="AB162" s="43" t="s">
        <v>53</v>
      </c>
      <c r="AC162" s="85">
        <v>3650</v>
      </c>
      <c r="AD162" s="141">
        <v>10</v>
      </c>
      <c r="AE162" s="142">
        <v>0</v>
      </c>
      <c r="AF162" s="69" t="str">
        <f t="shared" si="23"/>
        <v>1 years 168 days</v>
      </c>
      <c r="AG162" s="69">
        <v>1</v>
      </c>
      <c r="AH162" s="69">
        <v>168</v>
      </c>
      <c r="AI162" s="69">
        <v>109400</v>
      </c>
      <c r="AJ162" s="67">
        <v>15975</v>
      </c>
      <c r="AK162" s="69">
        <v>2025</v>
      </c>
      <c r="AL162" s="61">
        <v>5425.4383561643845</v>
      </c>
      <c r="AM162" s="143"/>
    </row>
    <row r="163" spans="1:39" x14ac:dyDescent="0.35">
      <c r="A163" s="69" t="s">
        <v>4124</v>
      </c>
      <c r="B163" s="41">
        <v>1101404806</v>
      </c>
      <c r="C163" s="41"/>
      <c r="D163" s="41" t="s">
        <v>516</v>
      </c>
      <c r="E163" s="101">
        <v>5</v>
      </c>
      <c r="F163" s="41" t="s">
        <v>260</v>
      </c>
      <c r="G163" s="69" t="s">
        <v>259</v>
      </c>
      <c r="H163" s="41">
        <v>9007000031</v>
      </c>
      <c r="I163" s="41" t="s">
        <v>261</v>
      </c>
      <c r="J163" s="41">
        <v>1202010217</v>
      </c>
      <c r="K163" s="41" t="s">
        <v>535</v>
      </c>
      <c r="L163" s="52" t="s">
        <v>536</v>
      </c>
      <c r="M163" s="69" t="s">
        <v>537</v>
      </c>
      <c r="N163" s="69"/>
      <c r="O163" s="69">
        <v>1</v>
      </c>
      <c r="P163" s="69" t="s">
        <v>50</v>
      </c>
      <c r="Q163" s="69" t="s">
        <v>51</v>
      </c>
      <c r="R163" s="69"/>
      <c r="S163" s="48">
        <v>45108</v>
      </c>
      <c r="T163" s="48">
        <v>45108</v>
      </c>
      <c r="U163" s="69"/>
      <c r="V163" s="69"/>
      <c r="W163" s="69"/>
      <c r="X163" s="69"/>
      <c r="Y163" s="69" t="s">
        <v>4129</v>
      </c>
      <c r="Z163" s="52">
        <v>1591340</v>
      </c>
      <c r="AA163" s="43" t="s">
        <v>52</v>
      </c>
      <c r="AB163" s="43" t="s">
        <v>53</v>
      </c>
      <c r="AC163" s="85">
        <v>3650</v>
      </c>
      <c r="AD163" s="141">
        <v>10</v>
      </c>
      <c r="AE163" s="142">
        <v>0</v>
      </c>
      <c r="AF163" s="69" t="str">
        <f t="shared" si="23"/>
        <v>1 years 185 days</v>
      </c>
      <c r="AG163" s="69">
        <v>1</v>
      </c>
      <c r="AH163" s="69">
        <v>185</v>
      </c>
      <c r="AI163" s="69">
        <v>1591340</v>
      </c>
      <c r="AJ163" s="67">
        <v>239791</v>
      </c>
      <c r="AK163" s="69">
        <v>2025</v>
      </c>
      <c r="AL163" s="61">
        <v>78912.983561643807</v>
      </c>
      <c r="AM163" s="143"/>
    </row>
    <row r="164" spans="1:39" x14ac:dyDescent="0.35">
      <c r="A164" s="69" t="s">
        <v>4124</v>
      </c>
      <c r="B164" s="41">
        <v>1101404870</v>
      </c>
      <c r="C164" s="41"/>
      <c r="D164" s="41" t="s">
        <v>516</v>
      </c>
      <c r="E164" s="101">
        <v>6</v>
      </c>
      <c r="F164" s="41" t="s">
        <v>260</v>
      </c>
      <c r="G164" s="69" t="s">
        <v>259</v>
      </c>
      <c r="H164" s="41">
        <v>9007000031</v>
      </c>
      <c r="I164" s="41" t="s">
        <v>261</v>
      </c>
      <c r="J164" s="41">
        <v>1202010217</v>
      </c>
      <c r="K164" s="41"/>
      <c r="L164" s="52" t="s">
        <v>539</v>
      </c>
      <c r="M164" s="69" t="s">
        <v>540</v>
      </c>
      <c r="N164" s="69"/>
      <c r="O164" s="69">
        <v>1</v>
      </c>
      <c r="P164" s="69" t="s">
        <v>50</v>
      </c>
      <c r="Q164" s="69" t="s">
        <v>51</v>
      </c>
      <c r="R164" s="69"/>
      <c r="S164" s="48">
        <v>45166</v>
      </c>
      <c r="T164" s="48">
        <v>45166</v>
      </c>
      <c r="U164" s="69"/>
      <c r="V164" s="69"/>
      <c r="W164" s="69"/>
      <c r="X164" s="69"/>
      <c r="Y164" s="69" t="s">
        <v>4129</v>
      </c>
      <c r="Z164" s="52">
        <v>75000</v>
      </c>
      <c r="AA164" s="43" t="s">
        <v>52</v>
      </c>
      <c r="AB164" s="43" t="s">
        <v>53</v>
      </c>
      <c r="AC164" s="85">
        <v>3650</v>
      </c>
      <c r="AD164" s="141">
        <v>10</v>
      </c>
      <c r="AE164" s="142">
        <v>0</v>
      </c>
      <c r="AF164" s="69" t="str">
        <f t="shared" si="23"/>
        <v>1 years 127 days</v>
      </c>
      <c r="AG164" s="69">
        <v>1</v>
      </c>
      <c r="AH164" s="69">
        <v>127</v>
      </c>
      <c r="AI164" s="69">
        <v>75000</v>
      </c>
      <c r="AJ164" s="67">
        <v>10110</v>
      </c>
      <c r="AK164" s="69">
        <v>2025</v>
      </c>
      <c r="AL164" s="61">
        <v>3718.767123287671</v>
      </c>
      <c r="AM164" s="143"/>
    </row>
    <row r="165" spans="1:39" x14ac:dyDescent="0.35">
      <c r="A165" s="69" t="s">
        <v>4124</v>
      </c>
      <c r="B165" s="41">
        <v>1101404921</v>
      </c>
      <c r="C165" s="41"/>
      <c r="D165" s="41" t="s">
        <v>516</v>
      </c>
      <c r="E165" s="101">
        <v>7</v>
      </c>
      <c r="F165" s="41" t="s">
        <v>260</v>
      </c>
      <c r="G165" s="69" t="s">
        <v>259</v>
      </c>
      <c r="H165" s="41">
        <v>9007000031</v>
      </c>
      <c r="I165" s="41" t="s">
        <v>261</v>
      </c>
      <c r="J165" s="41">
        <v>1202010217</v>
      </c>
      <c r="K165" s="41"/>
      <c r="L165" s="52" t="s">
        <v>542</v>
      </c>
      <c r="M165" s="69" t="s">
        <v>543</v>
      </c>
      <c r="N165" s="69"/>
      <c r="O165" s="69">
        <v>1</v>
      </c>
      <c r="P165" s="69" t="s">
        <v>50</v>
      </c>
      <c r="Q165" s="69" t="s">
        <v>51</v>
      </c>
      <c r="R165" s="69"/>
      <c r="S165" s="48">
        <v>45199</v>
      </c>
      <c r="T165" s="48">
        <v>45199</v>
      </c>
      <c r="U165" s="69"/>
      <c r="V165" s="69"/>
      <c r="W165" s="69"/>
      <c r="X165" s="69"/>
      <c r="Y165" s="69" t="s">
        <v>4129</v>
      </c>
      <c r="Z165" s="52">
        <v>11000</v>
      </c>
      <c r="AA165" s="43" t="s">
        <v>52</v>
      </c>
      <c r="AB165" s="43" t="s">
        <v>53</v>
      </c>
      <c r="AC165" s="85">
        <v>3650</v>
      </c>
      <c r="AD165" s="141">
        <v>10</v>
      </c>
      <c r="AE165" s="142">
        <v>0</v>
      </c>
      <c r="AF165" s="69" t="str">
        <f t="shared" si="23"/>
        <v>1 years 94 days</v>
      </c>
      <c r="AG165" s="69">
        <v>1</v>
      </c>
      <c r="AH165" s="69">
        <v>94</v>
      </c>
      <c r="AI165" s="69">
        <v>11000</v>
      </c>
      <c r="AJ165" s="67">
        <v>1383</v>
      </c>
      <c r="AK165" s="69">
        <v>2025</v>
      </c>
      <c r="AL165" s="61">
        <v>545.76712328767144</v>
      </c>
      <c r="AM165" s="143"/>
    </row>
    <row r="166" spans="1:39" x14ac:dyDescent="0.35">
      <c r="A166" s="69" t="s">
        <v>4124</v>
      </c>
      <c r="B166" s="41">
        <v>1101404932</v>
      </c>
      <c r="C166" s="41"/>
      <c r="D166" s="41" t="s">
        <v>516</v>
      </c>
      <c r="E166" s="101">
        <v>8</v>
      </c>
      <c r="F166" s="41" t="s">
        <v>260</v>
      </c>
      <c r="G166" s="69" t="s">
        <v>259</v>
      </c>
      <c r="H166" s="41">
        <v>9007000031</v>
      </c>
      <c r="I166" s="41" t="s">
        <v>261</v>
      </c>
      <c r="J166" s="41">
        <v>1202010217</v>
      </c>
      <c r="K166" s="41"/>
      <c r="L166" s="52" t="s">
        <v>545</v>
      </c>
      <c r="M166" s="69" t="s">
        <v>546</v>
      </c>
      <c r="N166" s="69"/>
      <c r="O166" s="69">
        <v>1</v>
      </c>
      <c r="P166" s="69" t="s">
        <v>50</v>
      </c>
      <c r="Q166" s="69" t="s">
        <v>51</v>
      </c>
      <c r="R166" s="69"/>
      <c r="S166" s="48">
        <v>45199</v>
      </c>
      <c r="T166" s="48">
        <v>45199</v>
      </c>
      <c r="U166" s="69"/>
      <c r="V166" s="69"/>
      <c r="W166" s="69"/>
      <c r="X166" s="69"/>
      <c r="Y166" s="69" t="s">
        <v>4129</v>
      </c>
      <c r="Z166" s="52">
        <v>85477</v>
      </c>
      <c r="AA166" s="43" t="s">
        <v>52</v>
      </c>
      <c r="AB166" s="43" t="s">
        <v>53</v>
      </c>
      <c r="AC166" s="85">
        <v>3650</v>
      </c>
      <c r="AD166" s="141">
        <v>10</v>
      </c>
      <c r="AE166" s="142">
        <v>0</v>
      </c>
      <c r="AF166" s="69" t="str">
        <f t="shared" si="23"/>
        <v>1 years 94 days</v>
      </c>
      <c r="AG166" s="69">
        <v>1</v>
      </c>
      <c r="AH166" s="69">
        <v>94</v>
      </c>
      <c r="AI166" s="69">
        <v>85477</v>
      </c>
      <c r="AJ166" s="67">
        <v>10749</v>
      </c>
      <c r="AK166" s="69">
        <v>2025</v>
      </c>
      <c r="AL166" s="61">
        <v>4238.7479452054813</v>
      </c>
      <c r="AM166" s="143"/>
    </row>
    <row r="167" spans="1:39" x14ac:dyDescent="0.35">
      <c r="A167" s="69" t="s">
        <v>4124</v>
      </c>
      <c r="B167" s="41">
        <v>1101404978</v>
      </c>
      <c r="C167" s="41"/>
      <c r="D167" s="41" t="s">
        <v>516</v>
      </c>
      <c r="E167" s="101">
        <v>9</v>
      </c>
      <c r="F167" s="41" t="s">
        <v>260</v>
      </c>
      <c r="G167" s="69" t="s">
        <v>259</v>
      </c>
      <c r="H167" s="41">
        <v>9007000031</v>
      </c>
      <c r="I167" s="41" t="s">
        <v>261</v>
      </c>
      <c r="J167" s="41">
        <v>1202010217</v>
      </c>
      <c r="K167" s="41"/>
      <c r="L167" s="52" t="s">
        <v>548</v>
      </c>
      <c r="M167" s="69" t="s">
        <v>549</v>
      </c>
      <c r="N167" s="69"/>
      <c r="O167" s="69">
        <v>14</v>
      </c>
      <c r="P167" s="69" t="s">
        <v>50</v>
      </c>
      <c r="Q167" s="69" t="s">
        <v>51</v>
      </c>
      <c r="R167" s="69"/>
      <c r="S167" s="48">
        <v>45231</v>
      </c>
      <c r="T167" s="48">
        <v>45231</v>
      </c>
      <c r="U167" s="69"/>
      <c r="V167" s="69"/>
      <c r="W167" s="69"/>
      <c r="X167" s="69"/>
      <c r="Y167" s="69" t="s">
        <v>4129</v>
      </c>
      <c r="Z167" s="52">
        <v>63820</v>
      </c>
      <c r="AA167" s="43" t="s">
        <v>52</v>
      </c>
      <c r="AB167" s="43" t="s">
        <v>53</v>
      </c>
      <c r="AC167" s="85">
        <v>3650</v>
      </c>
      <c r="AD167" s="141">
        <v>10</v>
      </c>
      <c r="AE167" s="142">
        <v>0</v>
      </c>
      <c r="AF167" s="69" t="str">
        <f t="shared" si="23"/>
        <v>1 years 62 days</v>
      </c>
      <c r="AG167" s="69">
        <v>1</v>
      </c>
      <c r="AH167" s="69">
        <v>62</v>
      </c>
      <c r="AI167" s="69">
        <v>63820</v>
      </c>
      <c r="AJ167" s="67">
        <v>7466</v>
      </c>
      <c r="AK167" s="69">
        <v>2025</v>
      </c>
      <c r="AL167" s="61">
        <v>3164.8383561643841</v>
      </c>
      <c r="AM167" s="143"/>
    </row>
    <row r="168" spans="1:39" x14ac:dyDescent="0.35">
      <c r="A168" s="69" t="s">
        <v>4124</v>
      </c>
      <c r="B168" s="41">
        <v>1101405018</v>
      </c>
      <c r="C168" s="41"/>
      <c r="D168" s="41" t="s">
        <v>516</v>
      </c>
      <c r="E168" s="101">
        <v>10</v>
      </c>
      <c r="F168" s="41" t="s">
        <v>260</v>
      </c>
      <c r="G168" s="69" t="s">
        <v>259</v>
      </c>
      <c r="H168" s="41">
        <v>9007000031</v>
      </c>
      <c r="I168" s="41" t="s">
        <v>261</v>
      </c>
      <c r="J168" s="41">
        <v>1202010217</v>
      </c>
      <c r="K168" s="41"/>
      <c r="L168" s="52" t="s">
        <v>551</v>
      </c>
      <c r="M168" s="69" t="s">
        <v>552</v>
      </c>
      <c r="N168" s="69"/>
      <c r="O168" s="69">
        <v>4</v>
      </c>
      <c r="P168" s="69" t="s">
        <v>50</v>
      </c>
      <c r="Q168" s="69" t="s">
        <v>51</v>
      </c>
      <c r="R168" s="69"/>
      <c r="S168" s="48">
        <v>45265</v>
      </c>
      <c r="T168" s="48">
        <v>45265</v>
      </c>
      <c r="U168" s="69"/>
      <c r="V168" s="69"/>
      <c r="W168" s="69"/>
      <c r="X168" s="69"/>
      <c r="Y168" s="69" t="s">
        <v>4129</v>
      </c>
      <c r="Z168" s="52">
        <v>298410</v>
      </c>
      <c r="AA168" s="43" t="s">
        <v>52</v>
      </c>
      <c r="AB168" s="43" t="s">
        <v>53</v>
      </c>
      <c r="AC168" s="85">
        <v>3650</v>
      </c>
      <c r="AD168" s="141">
        <v>10</v>
      </c>
      <c r="AE168" s="142">
        <v>0</v>
      </c>
      <c r="AF168" s="69" t="str">
        <f t="shared" si="23"/>
        <v>1 years 28 days</v>
      </c>
      <c r="AG168" s="69">
        <v>1</v>
      </c>
      <c r="AH168" s="69">
        <v>28</v>
      </c>
      <c r="AI168" s="69">
        <v>298410</v>
      </c>
      <c r="AJ168" s="67">
        <v>32130</v>
      </c>
      <c r="AK168" s="69">
        <v>2025</v>
      </c>
      <c r="AL168" s="61">
        <v>14798.038356164383</v>
      </c>
      <c r="AM168" s="143"/>
    </row>
    <row r="169" spans="1:39" x14ac:dyDescent="0.35">
      <c r="A169" s="69" t="s">
        <v>4124</v>
      </c>
      <c r="B169" s="41">
        <v>1101104049</v>
      </c>
      <c r="C169" s="41"/>
      <c r="D169" s="41" t="s">
        <v>516</v>
      </c>
      <c r="E169" s="101">
        <v>11</v>
      </c>
      <c r="F169" s="41" t="s">
        <v>260</v>
      </c>
      <c r="G169" s="69" t="s">
        <v>259</v>
      </c>
      <c r="H169" s="41">
        <v>9007000031</v>
      </c>
      <c r="I169" s="41" t="s">
        <v>261</v>
      </c>
      <c r="J169" s="41">
        <v>1202010217</v>
      </c>
      <c r="K169" s="41"/>
      <c r="L169" s="52" t="s">
        <v>554</v>
      </c>
      <c r="M169" s="69" t="s">
        <v>555</v>
      </c>
      <c r="N169" s="69"/>
      <c r="O169" s="69">
        <v>3</v>
      </c>
      <c r="P169" s="69" t="s">
        <v>50</v>
      </c>
      <c r="Q169" s="69" t="s">
        <v>51</v>
      </c>
      <c r="R169" s="69"/>
      <c r="S169" s="48">
        <v>44638</v>
      </c>
      <c r="T169" s="48">
        <v>44638</v>
      </c>
      <c r="U169" s="69"/>
      <c r="V169" s="69"/>
      <c r="W169" s="69"/>
      <c r="X169" s="69"/>
      <c r="Y169" s="69" t="s">
        <v>4131</v>
      </c>
      <c r="Z169" s="52">
        <v>81000</v>
      </c>
      <c r="AA169" s="43" t="s">
        <v>52</v>
      </c>
      <c r="AB169" s="43" t="s">
        <v>53</v>
      </c>
      <c r="AC169" s="85">
        <v>3650</v>
      </c>
      <c r="AD169" s="141">
        <v>10</v>
      </c>
      <c r="AE169" s="142">
        <v>0</v>
      </c>
      <c r="AF169" s="69" t="str">
        <f t="shared" si="23"/>
        <v>2 years 290 days</v>
      </c>
      <c r="AG169" s="69">
        <v>2</v>
      </c>
      <c r="AH169" s="69">
        <v>290</v>
      </c>
      <c r="AI169" s="69">
        <v>81000</v>
      </c>
      <c r="AJ169" s="67">
        <v>22636</v>
      </c>
      <c r="AK169" s="69">
        <v>2025</v>
      </c>
      <c r="AL169" s="61">
        <v>4016.3287671232865</v>
      </c>
      <c r="AM169" s="143"/>
    </row>
    <row r="170" spans="1:39" x14ac:dyDescent="0.35">
      <c r="A170" s="69" t="s">
        <v>4124</v>
      </c>
      <c r="B170" s="41">
        <v>1101504271</v>
      </c>
      <c r="C170" s="41"/>
      <c r="D170" s="41" t="s">
        <v>516</v>
      </c>
      <c r="E170" s="101">
        <v>12</v>
      </c>
      <c r="F170" s="41" t="s">
        <v>260</v>
      </c>
      <c r="G170" s="69" t="s">
        <v>259</v>
      </c>
      <c r="H170" s="41">
        <v>9007000031</v>
      </c>
      <c r="I170" s="41" t="s">
        <v>261</v>
      </c>
      <c r="J170" s="41">
        <v>1202010217</v>
      </c>
      <c r="K170" s="41" t="s">
        <v>557</v>
      </c>
      <c r="L170" s="52" t="s">
        <v>558</v>
      </c>
      <c r="M170" s="69" t="s">
        <v>559</v>
      </c>
      <c r="N170" s="69"/>
      <c r="O170" s="69">
        <v>1</v>
      </c>
      <c r="P170" s="69" t="s">
        <v>50</v>
      </c>
      <c r="Q170" s="69" t="s">
        <v>51</v>
      </c>
      <c r="R170" s="69"/>
      <c r="S170" s="48">
        <v>42358</v>
      </c>
      <c r="T170" s="48">
        <v>43340</v>
      </c>
      <c r="U170" s="69"/>
      <c r="V170" s="69"/>
      <c r="W170" s="69"/>
      <c r="X170" s="69"/>
      <c r="Y170" s="69" t="s">
        <v>4125</v>
      </c>
      <c r="Z170" s="52">
        <v>1350000</v>
      </c>
      <c r="AA170" s="43" t="s">
        <v>52</v>
      </c>
      <c r="AB170" s="43" t="s">
        <v>53</v>
      </c>
      <c r="AC170" s="85">
        <v>2628</v>
      </c>
      <c r="AD170" s="141">
        <v>7</v>
      </c>
      <c r="AE170" s="142">
        <v>2</v>
      </c>
      <c r="AF170" s="69" t="str">
        <f t="shared" si="23"/>
        <v>6 years 128 days</v>
      </c>
      <c r="AG170" s="69">
        <v>6</v>
      </c>
      <c r="AH170" s="69">
        <v>128</v>
      </c>
      <c r="AI170" s="69">
        <v>1350000</v>
      </c>
      <c r="AJ170" s="67">
        <v>1190240</v>
      </c>
      <c r="AK170" s="69">
        <v>2025</v>
      </c>
      <c r="AL170" s="61">
        <v>92979.178082191618</v>
      </c>
      <c r="AM170" s="143"/>
    </row>
    <row r="171" spans="1:39" x14ac:dyDescent="0.35">
      <c r="A171" s="69" t="s">
        <v>4124</v>
      </c>
      <c r="B171" s="41">
        <v>1101504266</v>
      </c>
      <c r="C171" s="41"/>
      <c r="D171" s="69"/>
      <c r="E171" s="101">
        <v>0</v>
      </c>
      <c r="F171" s="41" t="s">
        <v>260</v>
      </c>
      <c r="G171" s="69" t="s">
        <v>259</v>
      </c>
      <c r="H171" s="41">
        <v>9007000032</v>
      </c>
      <c r="I171" s="41" t="s">
        <v>261</v>
      </c>
      <c r="J171" s="41">
        <v>1202010217</v>
      </c>
      <c r="K171" s="41" t="s">
        <v>561</v>
      </c>
      <c r="L171" s="52" t="s">
        <v>562</v>
      </c>
      <c r="M171" s="69" t="s">
        <v>49</v>
      </c>
      <c r="N171" s="69"/>
      <c r="O171" s="69">
        <v>1</v>
      </c>
      <c r="P171" s="69" t="s">
        <v>50</v>
      </c>
      <c r="Q171" s="69" t="s">
        <v>51</v>
      </c>
      <c r="R171" s="69"/>
      <c r="S171" s="48">
        <v>44515</v>
      </c>
      <c r="T171" s="48">
        <v>44515</v>
      </c>
      <c r="U171" s="69"/>
      <c r="V171" s="69"/>
      <c r="W171" s="69"/>
      <c r="X171" s="69"/>
      <c r="Y171" s="69" t="s">
        <v>4128</v>
      </c>
      <c r="Z171" s="52">
        <v>3906869</v>
      </c>
      <c r="AA171" s="43" t="s">
        <v>52</v>
      </c>
      <c r="AB171" s="43" t="s">
        <v>53</v>
      </c>
      <c r="AC171" s="85">
        <v>3650</v>
      </c>
      <c r="AD171" s="141">
        <v>10</v>
      </c>
      <c r="AE171" s="142">
        <v>0</v>
      </c>
      <c r="AF171" s="69" t="str">
        <f>_xlfn.CONCAT(AG171," years ",AH171," days")</f>
        <v>3 years 48 days</v>
      </c>
      <c r="AG171" s="69">
        <v>3</v>
      </c>
      <c r="AH171" s="69">
        <v>48</v>
      </c>
      <c r="AI171" s="69">
        <v>3906869</v>
      </c>
      <c r="AJ171" s="67">
        <v>1223439</v>
      </c>
      <c r="AK171" s="69">
        <v>2025</v>
      </c>
      <c r="AL171" s="61">
        <v>193737.67415531911</v>
      </c>
      <c r="AM171" s="143"/>
    </row>
    <row r="172" spans="1:39" x14ac:dyDescent="0.35">
      <c r="A172" s="69" t="s">
        <v>4124</v>
      </c>
      <c r="B172" s="41">
        <v>1101403246</v>
      </c>
      <c r="C172" s="41"/>
      <c r="D172" s="69"/>
      <c r="E172" s="101">
        <v>0</v>
      </c>
      <c r="F172" s="41" t="s">
        <v>260</v>
      </c>
      <c r="G172" s="69" t="s">
        <v>259</v>
      </c>
      <c r="H172" s="41">
        <v>9007000033</v>
      </c>
      <c r="I172" s="41" t="s">
        <v>261</v>
      </c>
      <c r="J172" s="41">
        <v>1202010217</v>
      </c>
      <c r="K172" s="41"/>
      <c r="L172" s="52" t="s">
        <v>564</v>
      </c>
      <c r="M172" s="69" t="s">
        <v>565</v>
      </c>
      <c r="N172" s="69"/>
      <c r="O172" s="69">
        <v>1</v>
      </c>
      <c r="P172" s="69" t="s">
        <v>50</v>
      </c>
      <c r="Q172" s="69" t="s">
        <v>51</v>
      </c>
      <c r="R172" s="69"/>
      <c r="S172" s="48">
        <v>43868</v>
      </c>
      <c r="T172" s="48">
        <v>43868</v>
      </c>
      <c r="U172" s="69"/>
      <c r="V172" s="69"/>
      <c r="W172" s="69"/>
      <c r="X172" s="69"/>
      <c r="Y172" s="69" t="s">
        <v>4127</v>
      </c>
      <c r="Z172" s="52">
        <v>257500</v>
      </c>
      <c r="AA172" s="43" t="s">
        <v>52</v>
      </c>
      <c r="AB172" s="43" t="s">
        <v>53</v>
      </c>
      <c r="AC172" s="85">
        <v>3650</v>
      </c>
      <c r="AD172" s="141">
        <v>10</v>
      </c>
      <c r="AE172" s="142">
        <v>0</v>
      </c>
      <c r="AF172" s="69" t="str">
        <f t="shared" ref="AF172:AF173" si="24">_xlfn.CONCAT(AG172," years ",AH172," days")</f>
        <v>4 years 330 days</v>
      </c>
      <c r="AG172" s="69">
        <v>4</v>
      </c>
      <c r="AH172" s="69">
        <v>330</v>
      </c>
      <c r="AI172" s="69">
        <v>257500</v>
      </c>
      <c r="AJ172" s="67">
        <v>126170</v>
      </c>
      <c r="AK172" s="69">
        <v>2025</v>
      </c>
      <c r="AL172" s="61">
        <v>12769.041095890396</v>
      </c>
      <c r="AM172" s="143"/>
    </row>
    <row r="173" spans="1:39" x14ac:dyDescent="0.35">
      <c r="A173" s="69" t="s">
        <v>4124</v>
      </c>
      <c r="B173" s="41">
        <v>1101403890</v>
      </c>
      <c r="C173" s="41"/>
      <c r="D173" s="41" t="s">
        <v>563</v>
      </c>
      <c r="E173" s="101">
        <v>1</v>
      </c>
      <c r="F173" s="41" t="s">
        <v>260</v>
      </c>
      <c r="G173" s="69" t="s">
        <v>259</v>
      </c>
      <c r="H173" s="41">
        <v>9007000033</v>
      </c>
      <c r="I173" s="41" t="s">
        <v>261</v>
      </c>
      <c r="J173" s="41">
        <v>1202010217</v>
      </c>
      <c r="K173" s="41" t="s">
        <v>567</v>
      </c>
      <c r="L173" s="52" t="s">
        <v>568</v>
      </c>
      <c r="M173" s="69" t="s">
        <v>569</v>
      </c>
      <c r="N173" s="69"/>
      <c r="O173" s="69">
        <v>1</v>
      </c>
      <c r="P173" s="69" t="s">
        <v>50</v>
      </c>
      <c r="Q173" s="69" t="s">
        <v>51</v>
      </c>
      <c r="R173" s="69"/>
      <c r="S173" s="48">
        <v>44504</v>
      </c>
      <c r="T173" s="48">
        <v>44504</v>
      </c>
      <c r="U173" s="69"/>
      <c r="V173" s="69"/>
      <c r="W173" s="69"/>
      <c r="X173" s="69"/>
      <c r="Y173" s="69" t="s">
        <v>4128</v>
      </c>
      <c r="Z173" s="52">
        <v>278100</v>
      </c>
      <c r="AA173" s="43" t="s">
        <v>52</v>
      </c>
      <c r="AB173" s="43" t="s">
        <v>53</v>
      </c>
      <c r="AC173" s="85">
        <v>3650</v>
      </c>
      <c r="AD173" s="141">
        <v>10</v>
      </c>
      <c r="AE173" s="142">
        <v>0</v>
      </c>
      <c r="AF173" s="69" t="str">
        <f t="shared" si="24"/>
        <v>3 years 59 days</v>
      </c>
      <c r="AG173" s="69">
        <v>3</v>
      </c>
      <c r="AH173" s="69">
        <v>59</v>
      </c>
      <c r="AI173" s="69">
        <v>278100</v>
      </c>
      <c r="AJ173" s="67">
        <v>87925</v>
      </c>
      <c r="AK173" s="69">
        <v>2025</v>
      </c>
      <c r="AL173" s="61">
        <v>13791.027397260274</v>
      </c>
      <c r="AM173" s="143"/>
    </row>
    <row r="174" spans="1:39" x14ac:dyDescent="0.35">
      <c r="A174" s="69" t="s">
        <v>4124</v>
      </c>
      <c r="B174" s="41">
        <v>1101401481</v>
      </c>
      <c r="C174" s="41"/>
      <c r="D174" s="69"/>
      <c r="E174" s="101">
        <v>0</v>
      </c>
      <c r="F174" s="41" t="s">
        <v>260</v>
      </c>
      <c r="G174" s="69" t="s">
        <v>259</v>
      </c>
      <c r="H174" s="41">
        <v>9007000034</v>
      </c>
      <c r="I174" s="41" t="s">
        <v>261</v>
      </c>
      <c r="J174" s="41">
        <v>1202010217</v>
      </c>
      <c r="K174" s="41" t="s">
        <v>571</v>
      </c>
      <c r="L174" s="52" t="s">
        <v>572</v>
      </c>
      <c r="M174" s="69" t="s">
        <v>573</v>
      </c>
      <c r="N174" s="69"/>
      <c r="O174" s="69">
        <v>1</v>
      </c>
      <c r="P174" s="69" t="s">
        <v>50</v>
      </c>
      <c r="Q174" s="69" t="s">
        <v>51</v>
      </c>
      <c r="R174" s="69"/>
      <c r="S174" s="48">
        <v>41881</v>
      </c>
      <c r="T174" s="48">
        <v>43340</v>
      </c>
      <c r="U174" s="69"/>
      <c r="V174" s="69"/>
      <c r="W174" s="69"/>
      <c r="X174" s="69"/>
      <c r="Y174" s="69" t="s">
        <v>4125</v>
      </c>
      <c r="Z174" s="52">
        <v>72500</v>
      </c>
      <c r="AA174" s="43" t="s">
        <v>52</v>
      </c>
      <c r="AB174" s="43" t="s">
        <v>53</v>
      </c>
      <c r="AC174" s="85">
        <v>2154</v>
      </c>
      <c r="AD174" s="141">
        <v>5</v>
      </c>
      <c r="AE174" s="142">
        <v>11</v>
      </c>
      <c r="AF174" s="69" t="str">
        <f>_xlfn.CONCAT(AG174," years ",AH174," days")</f>
        <v>5 years 329 days</v>
      </c>
      <c r="AG174" s="69">
        <v>5</v>
      </c>
      <c r="AH174" s="69">
        <v>329</v>
      </c>
      <c r="AI174" s="69">
        <v>72500</v>
      </c>
      <c r="AJ174" s="67">
        <v>72500</v>
      </c>
      <c r="AK174" s="69">
        <v>2025</v>
      </c>
      <c r="AL174" s="61">
        <v>0</v>
      </c>
      <c r="AM174" s="143"/>
    </row>
    <row r="175" spans="1:39" x14ac:dyDescent="0.35">
      <c r="A175" s="69" t="s">
        <v>4124</v>
      </c>
      <c r="B175" s="41">
        <v>1101101458</v>
      </c>
      <c r="C175" s="41"/>
      <c r="D175" s="69"/>
      <c r="E175" s="101">
        <v>0</v>
      </c>
      <c r="F175" s="41" t="s">
        <v>260</v>
      </c>
      <c r="G175" s="69" t="s">
        <v>259</v>
      </c>
      <c r="H175" s="41">
        <v>9007000035</v>
      </c>
      <c r="I175" s="41" t="s">
        <v>261</v>
      </c>
      <c r="J175" s="41">
        <v>1202010217</v>
      </c>
      <c r="K175" s="41" t="s">
        <v>575</v>
      </c>
      <c r="L175" s="52" t="s">
        <v>576</v>
      </c>
      <c r="M175" s="69" t="s">
        <v>577</v>
      </c>
      <c r="N175" s="69"/>
      <c r="O175" s="69">
        <v>1</v>
      </c>
      <c r="P175" s="69" t="s">
        <v>50</v>
      </c>
      <c r="Q175" s="69" t="s">
        <v>51</v>
      </c>
      <c r="R175" s="69"/>
      <c r="S175" s="48">
        <v>41830</v>
      </c>
      <c r="T175" s="48">
        <v>43340</v>
      </c>
      <c r="U175" s="69"/>
      <c r="V175" s="69"/>
      <c r="W175" s="69"/>
      <c r="X175" s="69"/>
      <c r="Y175" s="69" t="s">
        <v>4125</v>
      </c>
      <c r="Z175" s="52">
        <v>75000</v>
      </c>
      <c r="AA175" s="43" t="s">
        <v>52</v>
      </c>
      <c r="AB175" s="43" t="s">
        <v>53</v>
      </c>
      <c r="AC175" s="85">
        <v>2117</v>
      </c>
      <c r="AD175" s="141">
        <v>5</v>
      </c>
      <c r="AE175" s="142">
        <v>10</v>
      </c>
      <c r="AF175" s="69" t="str">
        <f>_xlfn.CONCAT(AG175," years ",AH175," days")</f>
        <v>5 years 292 days</v>
      </c>
      <c r="AG175" s="69">
        <v>5</v>
      </c>
      <c r="AH175" s="69">
        <v>292</v>
      </c>
      <c r="AI175" s="69">
        <v>75000</v>
      </c>
      <c r="AJ175" s="67">
        <v>75000</v>
      </c>
      <c r="AK175" s="69">
        <v>2025</v>
      </c>
      <c r="AL175" s="61">
        <v>0</v>
      </c>
      <c r="AM175" s="143"/>
    </row>
    <row r="176" spans="1:39" x14ac:dyDescent="0.35">
      <c r="A176" s="69" t="s">
        <v>4124</v>
      </c>
      <c r="B176" s="41">
        <v>1101404701</v>
      </c>
      <c r="C176" s="41"/>
      <c r="D176" s="69"/>
      <c r="E176" s="101">
        <v>0</v>
      </c>
      <c r="F176" s="41" t="s">
        <v>260</v>
      </c>
      <c r="G176" s="69" t="s">
        <v>259</v>
      </c>
      <c r="H176" s="41">
        <v>9007000036</v>
      </c>
      <c r="I176" s="41" t="s">
        <v>261</v>
      </c>
      <c r="J176" s="41">
        <v>1202010217</v>
      </c>
      <c r="K176" s="41" t="s">
        <v>579</v>
      </c>
      <c r="L176" s="52" t="s">
        <v>580</v>
      </c>
      <c r="M176" s="69" t="s">
        <v>581</v>
      </c>
      <c r="N176" s="69"/>
      <c r="O176" s="69">
        <v>1</v>
      </c>
      <c r="P176" s="69" t="s">
        <v>50</v>
      </c>
      <c r="Q176" s="69" t="s">
        <v>51</v>
      </c>
      <c r="R176" s="69"/>
      <c r="S176" s="48">
        <v>45016</v>
      </c>
      <c r="T176" s="48">
        <v>45016</v>
      </c>
      <c r="U176" s="69"/>
      <c r="V176" s="69"/>
      <c r="W176" s="69"/>
      <c r="X176" s="69"/>
      <c r="Y176" s="69" t="s">
        <v>4129</v>
      </c>
      <c r="Z176" s="52">
        <v>182000</v>
      </c>
      <c r="AA176" s="43" t="s">
        <v>52</v>
      </c>
      <c r="AB176" s="43" t="s">
        <v>53</v>
      </c>
      <c r="AC176" s="85">
        <v>3650</v>
      </c>
      <c r="AD176" s="141">
        <v>10</v>
      </c>
      <c r="AE176" s="142">
        <v>0</v>
      </c>
      <c r="AF176" s="69" t="str">
        <f>_xlfn.CONCAT(AG176," years ",AH176," days")</f>
        <v>1 years 277 days</v>
      </c>
      <c r="AG176" s="69">
        <v>1</v>
      </c>
      <c r="AH176" s="69">
        <v>277</v>
      </c>
      <c r="AI176" s="69">
        <v>182000</v>
      </c>
      <c r="AJ176" s="67">
        <v>32062</v>
      </c>
      <c r="AK176" s="69">
        <v>2025</v>
      </c>
      <c r="AL176" s="61">
        <v>9025.1232876712311</v>
      </c>
      <c r="AM176" s="143"/>
    </row>
    <row r="177" spans="1:39" x14ac:dyDescent="0.35">
      <c r="A177" s="69" t="s">
        <v>4124</v>
      </c>
      <c r="B177" s="41">
        <v>1101404829</v>
      </c>
      <c r="C177" s="41"/>
      <c r="D177" s="69"/>
      <c r="E177" s="101">
        <v>0</v>
      </c>
      <c r="F177" s="41" t="s">
        <v>260</v>
      </c>
      <c r="G177" s="69" t="s">
        <v>259</v>
      </c>
      <c r="H177" s="41">
        <v>9007000037</v>
      </c>
      <c r="I177" s="41" t="s">
        <v>261</v>
      </c>
      <c r="J177" s="41">
        <v>1202010217</v>
      </c>
      <c r="K177" s="41" t="s">
        <v>583</v>
      </c>
      <c r="L177" s="52" t="s">
        <v>584</v>
      </c>
      <c r="M177" s="69" t="s">
        <v>585</v>
      </c>
      <c r="N177" s="69"/>
      <c r="O177" s="69">
        <v>1</v>
      </c>
      <c r="P177" s="69" t="s">
        <v>50</v>
      </c>
      <c r="Q177" s="69" t="s">
        <v>51</v>
      </c>
      <c r="R177" s="69"/>
      <c r="S177" s="48">
        <v>45131</v>
      </c>
      <c r="T177" s="48">
        <v>45131</v>
      </c>
      <c r="U177" s="69"/>
      <c r="V177" s="69"/>
      <c r="W177" s="69"/>
      <c r="X177" s="69"/>
      <c r="Y177" s="69" t="s">
        <v>4129</v>
      </c>
      <c r="Z177" s="52">
        <v>275000</v>
      </c>
      <c r="AA177" s="43" t="s">
        <v>52</v>
      </c>
      <c r="AB177" s="43" t="s">
        <v>53</v>
      </c>
      <c r="AC177" s="85">
        <v>3650</v>
      </c>
      <c r="AD177" s="141">
        <v>10</v>
      </c>
      <c r="AE177" s="142">
        <v>0</v>
      </c>
      <c r="AF177" s="69" t="str">
        <f>_xlfn.CONCAT(AG177," years ",AH177," days")</f>
        <v>1 years 162 days</v>
      </c>
      <c r="AG177" s="69">
        <v>1</v>
      </c>
      <c r="AH177" s="69">
        <v>162</v>
      </c>
      <c r="AI177" s="69">
        <v>275000</v>
      </c>
      <c r="AJ177" s="67">
        <v>39705</v>
      </c>
      <c r="AK177" s="69">
        <v>2025</v>
      </c>
      <c r="AL177" s="61">
        <v>13637.465753424651</v>
      </c>
      <c r="AM177" s="143"/>
    </row>
    <row r="178" spans="1:39" x14ac:dyDescent="0.35">
      <c r="A178" s="69" t="s">
        <v>4124</v>
      </c>
      <c r="B178" s="41">
        <v>1101100709</v>
      </c>
      <c r="C178" s="41"/>
      <c r="D178" s="41" t="s">
        <v>586</v>
      </c>
      <c r="E178" s="101">
        <v>1</v>
      </c>
      <c r="F178" s="41" t="s">
        <v>260</v>
      </c>
      <c r="G178" s="69" t="s">
        <v>259</v>
      </c>
      <c r="H178" s="41">
        <v>9007000038</v>
      </c>
      <c r="I178" s="41" t="s">
        <v>261</v>
      </c>
      <c r="J178" s="41">
        <v>1202010217</v>
      </c>
      <c r="K178" s="41"/>
      <c r="L178" s="52" t="s">
        <v>591</v>
      </c>
      <c r="M178" s="69" t="s">
        <v>49</v>
      </c>
      <c r="N178" s="69"/>
      <c r="O178" s="69">
        <v>1</v>
      </c>
      <c r="P178" s="69" t="s">
        <v>50</v>
      </c>
      <c r="Q178" s="69" t="s">
        <v>51</v>
      </c>
      <c r="R178" s="69"/>
      <c r="S178" s="48">
        <v>40993</v>
      </c>
      <c r="T178" s="48">
        <v>43340</v>
      </c>
      <c r="U178" s="69"/>
      <c r="V178" s="69"/>
      <c r="W178" s="69"/>
      <c r="X178" s="69"/>
      <c r="Y178" s="69" t="s">
        <v>4125</v>
      </c>
      <c r="Z178" s="52">
        <v>60000</v>
      </c>
      <c r="AA178" s="43" t="s">
        <v>52</v>
      </c>
      <c r="AB178" s="43" t="s">
        <v>53</v>
      </c>
      <c r="AC178" s="85">
        <v>3139</v>
      </c>
      <c r="AD178" s="141">
        <v>8</v>
      </c>
      <c r="AE178" s="142">
        <v>7</v>
      </c>
      <c r="AF178" s="69" t="str">
        <f t="shared" ref="AF178:AF179" si="25">_xlfn.CONCAT(AG178," years ",AH178," days")</f>
        <v>6 years 128 days</v>
      </c>
      <c r="AG178" s="69">
        <v>6</v>
      </c>
      <c r="AH178" s="69">
        <v>128</v>
      </c>
      <c r="AI178" s="69">
        <v>60000</v>
      </c>
      <c r="AJ178" s="67">
        <v>44288</v>
      </c>
      <c r="AK178" s="69">
        <v>2025</v>
      </c>
      <c r="AL178" s="61">
        <v>3459.6903472443373</v>
      </c>
      <c r="AM178" s="143"/>
    </row>
    <row r="179" spans="1:39" x14ac:dyDescent="0.35">
      <c r="A179" s="69" t="s">
        <v>4124</v>
      </c>
      <c r="B179" s="41">
        <v>1101404654</v>
      </c>
      <c r="C179" s="41"/>
      <c r="D179" s="69"/>
      <c r="E179" s="101">
        <v>0</v>
      </c>
      <c r="F179" s="41" t="s">
        <v>260</v>
      </c>
      <c r="G179" s="69" t="s">
        <v>259</v>
      </c>
      <c r="H179" s="41">
        <v>9007000038</v>
      </c>
      <c r="I179" s="41" t="s">
        <v>261</v>
      </c>
      <c r="J179" s="41">
        <v>1202010217</v>
      </c>
      <c r="K179" s="41" t="s">
        <v>587</v>
      </c>
      <c r="L179" s="52" t="s">
        <v>588</v>
      </c>
      <c r="M179" s="69" t="s">
        <v>589</v>
      </c>
      <c r="N179" s="69"/>
      <c r="O179" s="69">
        <v>1</v>
      </c>
      <c r="P179" s="69" t="s">
        <v>50</v>
      </c>
      <c r="Q179" s="69" t="s">
        <v>51</v>
      </c>
      <c r="R179" s="69"/>
      <c r="S179" s="48">
        <v>44986</v>
      </c>
      <c r="T179" s="48">
        <v>44986</v>
      </c>
      <c r="U179" s="69"/>
      <c r="V179" s="69"/>
      <c r="W179" s="69"/>
      <c r="X179" s="69"/>
      <c r="Y179" s="69" t="s">
        <v>4129</v>
      </c>
      <c r="Z179" s="52">
        <v>62000</v>
      </c>
      <c r="AA179" s="43" t="s">
        <v>52</v>
      </c>
      <c r="AB179" s="43" t="s">
        <v>53</v>
      </c>
      <c r="AC179" s="85">
        <v>3650</v>
      </c>
      <c r="AD179" s="141">
        <v>10</v>
      </c>
      <c r="AE179" s="142">
        <v>0</v>
      </c>
      <c r="AF179" s="69" t="str">
        <f t="shared" si="25"/>
        <v>1 years 307 days</v>
      </c>
      <c r="AG179" s="69">
        <v>1</v>
      </c>
      <c r="AH179" s="69">
        <v>307</v>
      </c>
      <c r="AI179" s="69">
        <v>62000</v>
      </c>
      <c r="AJ179" s="67">
        <v>11415</v>
      </c>
      <c r="AK179" s="69">
        <v>2025</v>
      </c>
      <c r="AL179" s="61">
        <v>3074.3150684931497</v>
      </c>
      <c r="AM179" s="143"/>
    </row>
    <row r="180" spans="1:39" x14ac:dyDescent="0.35">
      <c r="A180" s="69" t="s">
        <v>4124</v>
      </c>
      <c r="B180" s="41">
        <v>1101400564</v>
      </c>
      <c r="C180" s="41"/>
      <c r="D180" s="69"/>
      <c r="E180" s="101">
        <v>0</v>
      </c>
      <c r="F180" s="41" t="s">
        <v>260</v>
      </c>
      <c r="G180" s="69" t="s">
        <v>259</v>
      </c>
      <c r="H180" s="41">
        <v>9007000039</v>
      </c>
      <c r="I180" s="41" t="s">
        <v>593</v>
      </c>
      <c r="J180" s="41">
        <v>1202020101</v>
      </c>
      <c r="K180" s="41" t="s">
        <v>594</v>
      </c>
      <c r="L180" s="52" t="s">
        <v>595</v>
      </c>
      <c r="M180" s="69" t="s">
        <v>49</v>
      </c>
      <c r="N180" s="69"/>
      <c r="O180" s="69">
        <v>1</v>
      </c>
      <c r="P180" s="69" t="s">
        <v>50</v>
      </c>
      <c r="Q180" s="69" t="s">
        <v>51</v>
      </c>
      <c r="R180" s="69"/>
      <c r="S180" s="48">
        <v>40564</v>
      </c>
      <c r="T180" s="48">
        <v>43340</v>
      </c>
      <c r="U180" s="69"/>
      <c r="V180" s="69"/>
      <c r="W180" s="69"/>
      <c r="X180" s="69"/>
      <c r="Y180" s="69" t="s">
        <v>4125</v>
      </c>
      <c r="Z180" s="52">
        <v>125000</v>
      </c>
      <c r="AA180" s="43" t="s">
        <v>52</v>
      </c>
      <c r="AB180" s="43" t="s">
        <v>53</v>
      </c>
      <c r="AC180" s="85">
        <v>876</v>
      </c>
      <c r="AD180" s="141">
        <v>2</v>
      </c>
      <c r="AE180" s="142">
        <v>5</v>
      </c>
      <c r="AF180" s="69" t="str">
        <f>_xlfn.CONCAT(AG180," years ",AH180," days")</f>
        <v>2 years 146 days</v>
      </c>
      <c r="AG180" s="69">
        <v>2</v>
      </c>
      <c r="AH180" s="69">
        <v>146</v>
      </c>
      <c r="AI180" s="69">
        <v>125000</v>
      </c>
      <c r="AJ180" s="67">
        <v>125000</v>
      </c>
      <c r="AK180" s="69">
        <v>2025</v>
      </c>
      <c r="AL180" s="61">
        <v>0</v>
      </c>
      <c r="AM180" s="143"/>
    </row>
    <row r="181" spans="1:39" x14ac:dyDescent="0.35">
      <c r="A181" s="69" t="s">
        <v>4124</v>
      </c>
      <c r="B181" s="41">
        <v>1101401006</v>
      </c>
      <c r="C181" s="41"/>
      <c r="D181" s="69"/>
      <c r="E181" s="101">
        <v>0</v>
      </c>
      <c r="F181" s="41" t="s">
        <v>260</v>
      </c>
      <c r="G181" s="69" t="s">
        <v>259</v>
      </c>
      <c r="H181" s="41">
        <v>9007000040</v>
      </c>
      <c r="I181" s="41" t="s">
        <v>593</v>
      </c>
      <c r="J181" s="41">
        <v>1202020101</v>
      </c>
      <c r="K181" s="41" t="s">
        <v>597</v>
      </c>
      <c r="L181" s="52" t="s">
        <v>598</v>
      </c>
      <c r="M181" s="69" t="s">
        <v>49</v>
      </c>
      <c r="N181" s="69"/>
      <c r="O181" s="69">
        <v>1</v>
      </c>
      <c r="P181" s="69" t="s">
        <v>50</v>
      </c>
      <c r="Q181" s="69" t="s">
        <v>51</v>
      </c>
      <c r="R181" s="69"/>
      <c r="S181" s="48">
        <v>41393</v>
      </c>
      <c r="T181" s="48">
        <v>43340</v>
      </c>
      <c r="U181" s="69"/>
      <c r="V181" s="69"/>
      <c r="W181" s="69"/>
      <c r="X181" s="69"/>
      <c r="Y181" s="69" t="s">
        <v>4125</v>
      </c>
      <c r="Z181" s="52">
        <v>110000</v>
      </c>
      <c r="AA181" s="43" t="s">
        <v>52</v>
      </c>
      <c r="AB181" s="43" t="s">
        <v>53</v>
      </c>
      <c r="AC181" s="85">
        <v>1716</v>
      </c>
      <c r="AD181" s="141">
        <v>4</v>
      </c>
      <c r="AE181" s="142">
        <v>9</v>
      </c>
      <c r="AF181" s="69" t="str">
        <f>_xlfn.CONCAT(AG181," years ",AH181," days")</f>
        <v>4 years 256 days</v>
      </c>
      <c r="AG181" s="69">
        <v>4</v>
      </c>
      <c r="AH181" s="69">
        <v>256</v>
      </c>
      <c r="AI181" s="69">
        <v>110000</v>
      </c>
      <c r="AJ181" s="67">
        <v>110000</v>
      </c>
      <c r="AK181" s="69">
        <v>2025</v>
      </c>
      <c r="AL181" s="61">
        <v>0</v>
      </c>
      <c r="AM181" s="143"/>
    </row>
    <row r="182" spans="1:39" x14ac:dyDescent="0.35">
      <c r="A182" s="69" t="s">
        <v>4124</v>
      </c>
      <c r="B182" s="41">
        <v>1101401624</v>
      </c>
      <c r="C182" s="41"/>
      <c r="D182" s="69"/>
      <c r="E182" s="101">
        <v>0</v>
      </c>
      <c r="F182" s="41" t="s">
        <v>260</v>
      </c>
      <c r="G182" s="69" t="s">
        <v>259</v>
      </c>
      <c r="H182" s="41">
        <v>9007000041</v>
      </c>
      <c r="I182" s="41" t="s">
        <v>593</v>
      </c>
      <c r="J182" s="41">
        <v>1202020101</v>
      </c>
      <c r="K182" s="41" t="s">
        <v>600</v>
      </c>
      <c r="L182" s="52" t="s">
        <v>601</v>
      </c>
      <c r="M182" s="69" t="s">
        <v>602</v>
      </c>
      <c r="N182" s="69"/>
      <c r="O182" s="69">
        <v>1</v>
      </c>
      <c r="P182" s="69" t="s">
        <v>50</v>
      </c>
      <c r="Q182" s="69" t="s">
        <v>51</v>
      </c>
      <c r="R182" s="69"/>
      <c r="S182" s="48">
        <v>42109</v>
      </c>
      <c r="T182" s="48">
        <v>43340</v>
      </c>
      <c r="U182" s="69"/>
      <c r="V182" s="69"/>
      <c r="W182" s="69"/>
      <c r="X182" s="69"/>
      <c r="Y182" s="69" t="s">
        <v>4125</v>
      </c>
      <c r="Z182" s="52">
        <v>165000</v>
      </c>
      <c r="AA182" s="43" t="s">
        <v>52</v>
      </c>
      <c r="AB182" s="43" t="s">
        <v>53</v>
      </c>
      <c r="AC182" s="85">
        <v>2409</v>
      </c>
      <c r="AD182" s="141">
        <v>6</v>
      </c>
      <c r="AE182" s="142">
        <v>7</v>
      </c>
      <c r="AF182" s="69" t="str">
        <f>_xlfn.CONCAT(AG182," years ",AH182," days")</f>
        <v>6 years 128 days</v>
      </c>
      <c r="AG182" s="69">
        <v>6</v>
      </c>
      <c r="AH182" s="69">
        <v>128</v>
      </c>
      <c r="AI182" s="69">
        <v>165000</v>
      </c>
      <c r="AJ182" s="67">
        <v>158699</v>
      </c>
      <c r="AK182" s="69">
        <v>2025</v>
      </c>
      <c r="AL182" s="61">
        <v>6300.9999999999709</v>
      </c>
      <c r="AM182" s="143"/>
    </row>
    <row r="183" spans="1:39" x14ac:dyDescent="0.35">
      <c r="A183" s="69" t="s">
        <v>4124</v>
      </c>
      <c r="B183" s="41">
        <v>1101400921</v>
      </c>
      <c r="C183" s="41"/>
      <c r="D183" s="69"/>
      <c r="E183" s="101">
        <v>0</v>
      </c>
      <c r="F183" s="41" t="s">
        <v>260</v>
      </c>
      <c r="G183" s="69" t="s">
        <v>259</v>
      </c>
      <c r="H183" s="41">
        <v>9007000042</v>
      </c>
      <c r="I183" s="41" t="s">
        <v>261</v>
      </c>
      <c r="J183" s="41">
        <v>1202010217</v>
      </c>
      <c r="K183" s="41" t="s">
        <v>604</v>
      </c>
      <c r="L183" s="52" t="s">
        <v>605</v>
      </c>
      <c r="M183" s="69" t="s">
        <v>606</v>
      </c>
      <c r="N183" s="69"/>
      <c r="O183" s="69">
        <v>1</v>
      </c>
      <c r="P183" s="69" t="s">
        <v>50</v>
      </c>
      <c r="Q183" s="69" t="s">
        <v>51</v>
      </c>
      <c r="R183" s="69"/>
      <c r="S183" s="48">
        <v>41305</v>
      </c>
      <c r="T183" s="48">
        <v>43340</v>
      </c>
      <c r="U183" s="69"/>
      <c r="V183" s="69"/>
      <c r="W183" s="69"/>
      <c r="X183" s="69"/>
      <c r="Y183" s="69" t="s">
        <v>4125</v>
      </c>
      <c r="Z183" s="52">
        <v>33000</v>
      </c>
      <c r="AA183" s="43" t="s">
        <v>52</v>
      </c>
      <c r="AB183" s="43" t="s">
        <v>53</v>
      </c>
      <c r="AC183" s="85">
        <v>1606</v>
      </c>
      <c r="AD183" s="141">
        <v>4</v>
      </c>
      <c r="AE183" s="142">
        <v>5</v>
      </c>
      <c r="AF183" s="69" t="str">
        <f>_xlfn.CONCAT(AG183," years ",AH183," days")</f>
        <v>4 years 146 days</v>
      </c>
      <c r="AG183" s="69">
        <v>4</v>
      </c>
      <c r="AH183" s="69">
        <v>146</v>
      </c>
      <c r="AI183" s="69">
        <v>33000</v>
      </c>
      <c r="AJ183" s="67">
        <v>33000</v>
      </c>
      <c r="AK183" s="69">
        <v>2025</v>
      </c>
      <c r="AL183" s="61">
        <v>0</v>
      </c>
      <c r="AM183" s="143"/>
    </row>
    <row r="184" spans="1:39" x14ac:dyDescent="0.35">
      <c r="A184" s="69" t="s">
        <v>4124</v>
      </c>
      <c r="B184" s="41">
        <v>1101403770</v>
      </c>
      <c r="C184" s="41"/>
      <c r="D184" s="69"/>
      <c r="E184" s="101">
        <v>0</v>
      </c>
      <c r="F184" s="41" t="s">
        <v>260</v>
      </c>
      <c r="G184" s="69" t="s">
        <v>259</v>
      </c>
      <c r="H184" s="41">
        <v>9007000043</v>
      </c>
      <c r="I184" s="41" t="s">
        <v>261</v>
      </c>
      <c r="J184" s="41">
        <v>1202010217</v>
      </c>
      <c r="K184" s="41" t="s">
        <v>608</v>
      </c>
      <c r="L184" s="52" t="s">
        <v>609</v>
      </c>
      <c r="M184" s="69" t="s">
        <v>610</v>
      </c>
      <c r="N184" s="69"/>
      <c r="O184" s="69">
        <v>1</v>
      </c>
      <c r="P184" s="69" t="s">
        <v>50</v>
      </c>
      <c r="Q184" s="69" t="s">
        <v>51</v>
      </c>
      <c r="R184" s="69"/>
      <c r="S184" s="48">
        <v>44402</v>
      </c>
      <c r="T184" s="48">
        <v>44402</v>
      </c>
      <c r="U184" s="69"/>
      <c r="V184" s="69"/>
      <c r="W184" s="69"/>
      <c r="X184" s="69"/>
      <c r="Y184" s="69" t="s">
        <v>4128</v>
      </c>
      <c r="Z184" s="52">
        <v>385700</v>
      </c>
      <c r="AA184" s="43" t="s">
        <v>52</v>
      </c>
      <c r="AB184" s="43" t="s">
        <v>53</v>
      </c>
      <c r="AC184" s="85">
        <v>3650</v>
      </c>
      <c r="AD184" s="141">
        <v>10</v>
      </c>
      <c r="AE184" s="142">
        <v>0</v>
      </c>
      <c r="AF184" s="69" t="str">
        <f>_xlfn.CONCAT(AG184," years ",AH184," days")</f>
        <v>3 years 161 days</v>
      </c>
      <c r="AG184" s="69">
        <v>3</v>
      </c>
      <c r="AH184" s="69">
        <v>161</v>
      </c>
      <c r="AI184" s="69">
        <v>385700</v>
      </c>
      <c r="AJ184" s="67">
        <v>132723</v>
      </c>
      <c r="AK184" s="69">
        <v>2025</v>
      </c>
      <c r="AL184" s="61">
        <v>19126.561643835623</v>
      </c>
      <c r="AM184" s="143"/>
    </row>
    <row r="185" spans="1:39" x14ac:dyDescent="0.35">
      <c r="A185" s="69" t="s">
        <v>4124</v>
      </c>
      <c r="B185" s="41">
        <v>1101402941</v>
      </c>
      <c r="C185" s="41"/>
      <c r="D185" s="69"/>
      <c r="E185" s="101">
        <v>0</v>
      </c>
      <c r="F185" s="41" t="s">
        <v>260</v>
      </c>
      <c r="G185" s="69" t="s">
        <v>259</v>
      </c>
      <c r="H185" s="41">
        <v>9007000044</v>
      </c>
      <c r="I185" s="41" t="s">
        <v>261</v>
      </c>
      <c r="J185" s="41">
        <v>1202010217</v>
      </c>
      <c r="K185" s="41"/>
      <c r="L185" s="52" t="s">
        <v>612</v>
      </c>
      <c r="M185" s="69" t="s">
        <v>613</v>
      </c>
      <c r="N185" s="69"/>
      <c r="O185" s="69">
        <v>1</v>
      </c>
      <c r="P185" s="69" t="s">
        <v>50</v>
      </c>
      <c r="Q185" s="69" t="s">
        <v>51</v>
      </c>
      <c r="R185" s="69"/>
      <c r="S185" s="48">
        <v>43577</v>
      </c>
      <c r="T185" s="48">
        <v>43577</v>
      </c>
      <c r="U185" s="69"/>
      <c r="V185" s="69"/>
      <c r="W185" s="69"/>
      <c r="X185" s="69"/>
      <c r="Y185" s="69" t="s">
        <v>4126</v>
      </c>
      <c r="Z185" s="52">
        <v>330600</v>
      </c>
      <c r="AA185" s="43" t="s">
        <v>52</v>
      </c>
      <c r="AB185" s="43" t="s">
        <v>53</v>
      </c>
      <c r="AC185" s="85">
        <v>3650</v>
      </c>
      <c r="AD185" s="141">
        <v>10</v>
      </c>
      <c r="AE185" s="142">
        <v>0</v>
      </c>
      <c r="AF185" s="69" t="str">
        <f t="shared" ref="AF185:AF189" si="26">_xlfn.CONCAT(AG185," years ",AH185," days")</f>
        <v>5 years 256 days</v>
      </c>
      <c r="AG185" s="69">
        <v>5</v>
      </c>
      <c r="AH185" s="69">
        <v>256</v>
      </c>
      <c r="AI185" s="69">
        <v>330600</v>
      </c>
      <c r="AJ185" s="67">
        <v>188487</v>
      </c>
      <c r="AK185" s="69">
        <v>2025</v>
      </c>
      <c r="AL185" s="61">
        <v>16394.424657534226</v>
      </c>
      <c r="AM185" s="143"/>
    </row>
    <row r="186" spans="1:39" x14ac:dyDescent="0.35">
      <c r="A186" s="69" t="s">
        <v>4124</v>
      </c>
      <c r="B186" s="41">
        <v>1101404185</v>
      </c>
      <c r="C186" s="41"/>
      <c r="D186" s="41" t="s">
        <v>611</v>
      </c>
      <c r="E186" s="101">
        <v>1</v>
      </c>
      <c r="F186" s="41" t="s">
        <v>260</v>
      </c>
      <c r="G186" s="69" t="s">
        <v>259</v>
      </c>
      <c r="H186" s="41">
        <v>9007000044</v>
      </c>
      <c r="I186" s="41" t="s">
        <v>261</v>
      </c>
      <c r="J186" s="41">
        <v>1202010217</v>
      </c>
      <c r="K186" s="41"/>
      <c r="L186" s="52" t="s">
        <v>615</v>
      </c>
      <c r="M186" s="69" t="s">
        <v>616</v>
      </c>
      <c r="N186" s="69"/>
      <c r="O186" s="69">
        <v>2</v>
      </c>
      <c r="P186" s="69" t="s">
        <v>50</v>
      </c>
      <c r="Q186" s="69" t="s">
        <v>51</v>
      </c>
      <c r="R186" s="69"/>
      <c r="S186" s="48">
        <v>44822</v>
      </c>
      <c r="T186" s="48">
        <v>44822</v>
      </c>
      <c r="U186" s="69"/>
      <c r="V186" s="69"/>
      <c r="W186" s="69"/>
      <c r="X186" s="69"/>
      <c r="Y186" s="69" t="s">
        <v>4131</v>
      </c>
      <c r="Z186" s="52">
        <v>140000</v>
      </c>
      <c r="AA186" s="43" t="s">
        <v>52</v>
      </c>
      <c r="AB186" s="43" t="s">
        <v>53</v>
      </c>
      <c r="AC186" s="85">
        <v>3650</v>
      </c>
      <c r="AD186" s="141">
        <v>10</v>
      </c>
      <c r="AE186" s="142">
        <v>0</v>
      </c>
      <c r="AF186" s="69" t="str">
        <f t="shared" si="26"/>
        <v>2 years 106 days</v>
      </c>
      <c r="AG186" s="69">
        <v>2</v>
      </c>
      <c r="AH186" s="69">
        <v>106</v>
      </c>
      <c r="AI186" s="69">
        <v>140000</v>
      </c>
      <c r="AJ186" s="67">
        <v>32066</v>
      </c>
      <c r="AK186" s="69">
        <v>2025</v>
      </c>
      <c r="AL186" s="61">
        <v>6942.2191780821959</v>
      </c>
      <c r="AM186" s="143"/>
    </row>
    <row r="187" spans="1:39" x14ac:dyDescent="0.35">
      <c r="A187" s="69" t="s">
        <v>4124</v>
      </c>
      <c r="B187" s="41">
        <v>1101404552</v>
      </c>
      <c r="C187" s="41"/>
      <c r="D187" s="41" t="s">
        <v>611</v>
      </c>
      <c r="E187" s="101">
        <v>2</v>
      </c>
      <c r="F187" s="41" t="s">
        <v>260</v>
      </c>
      <c r="G187" s="69" t="s">
        <v>259</v>
      </c>
      <c r="H187" s="41">
        <v>9007000044</v>
      </c>
      <c r="I187" s="41" t="s">
        <v>261</v>
      </c>
      <c r="J187" s="41">
        <v>1202010217</v>
      </c>
      <c r="K187" s="41" t="s">
        <v>618</v>
      </c>
      <c r="L187" s="52" t="s">
        <v>619</v>
      </c>
      <c r="M187" s="69" t="s">
        <v>620</v>
      </c>
      <c r="N187" s="69"/>
      <c r="O187" s="69">
        <v>1</v>
      </c>
      <c r="P187" s="69" t="s">
        <v>50</v>
      </c>
      <c r="Q187" s="69" t="s">
        <v>51</v>
      </c>
      <c r="R187" s="69"/>
      <c r="S187" s="48">
        <v>44910</v>
      </c>
      <c r="T187" s="48">
        <v>44910</v>
      </c>
      <c r="U187" s="69"/>
      <c r="V187" s="69"/>
      <c r="W187" s="69"/>
      <c r="X187" s="69"/>
      <c r="Y187" s="69" t="s">
        <v>4131</v>
      </c>
      <c r="Z187" s="52">
        <v>2580620</v>
      </c>
      <c r="AA187" s="43" t="s">
        <v>52</v>
      </c>
      <c r="AB187" s="43" t="s">
        <v>53</v>
      </c>
      <c r="AC187" s="85">
        <v>3650</v>
      </c>
      <c r="AD187" s="141">
        <v>10</v>
      </c>
      <c r="AE187" s="142">
        <v>0</v>
      </c>
      <c r="AF187" s="69" t="str">
        <f t="shared" si="26"/>
        <v>2 years 18 days</v>
      </c>
      <c r="AG187" s="69">
        <v>2</v>
      </c>
      <c r="AH187" s="69">
        <v>18</v>
      </c>
      <c r="AI187" s="69">
        <v>2580620</v>
      </c>
      <c r="AJ187" s="67">
        <v>528850</v>
      </c>
      <c r="AK187" s="69">
        <v>2025</v>
      </c>
      <c r="AL187" s="61">
        <v>127970.81643835618</v>
      </c>
      <c r="AM187" s="143"/>
    </row>
    <row r="188" spans="1:39" x14ac:dyDescent="0.35">
      <c r="A188" s="69" t="s">
        <v>4124</v>
      </c>
      <c r="B188" s="41">
        <v>1101404753</v>
      </c>
      <c r="C188" s="41"/>
      <c r="D188" s="41" t="s">
        <v>611</v>
      </c>
      <c r="E188" s="101">
        <v>3</v>
      </c>
      <c r="F188" s="41" t="s">
        <v>260</v>
      </c>
      <c r="G188" s="69" t="s">
        <v>259</v>
      </c>
      <c r="H188" s="41">
        <v>9007000044</v>
      </c>
      <c r="I188" s="41" t="s">
        <v>261</v>
      </c>
      <c r="J188" s="41">
        <v>1202010217</v>
      </c>
      <c r="K188" s="41" t="s">
        <v>622</v>
      </c>
      <c r="L188" s="52" t="s">
        <v>623</v>
      </c>
      <c r="M188" s="69" t="s">
        <v>624</v>
      </c>
      <c r="N188" s="69"/>
      <c r="O188" s="69">
        <v>1</v>
      </c>
      <c r="P188" s="69" t="s">
        <v>50</v>
      </c>
      <c r="Q188" s="69" t="s">
        <v>51</v>
      </c>
      <c r="R188" s="69"/>
      <c r="S188" s="48">
        <v>45064</v>
      </c>
      <c r="T188" s="48">
        <v>45064</v>
      </c>
      <c r="U188" s="69"/>
      <c r="V188" s="69"/>
      <c r="W188" s="69"/>
      <c r="X188" s="69"/>
      <c r="Y188" s="69" t="s">
        <v>4129</v>
      </c>
      <c r="Z188" s="52">
        <v>333074.90000000002</v>
      </c>
      <c r="AA188" s="43" t="s">
        <v>52</v>
      </c>
      <c r="AB188" s="43" t="s">
        <v>53</v>
      </c>
      <c r="AC188" s="85">
        <v>3650</v>
      </c>
      <c r="AD188" s="141">
        <v>10</v>
      </c>
      <c r="AE188" s="142">
        <v>0</v>
      </c>
      <c r="AF188" s="69" t="str">
        <f t="shared" si="26"/>
        <v>1 years 229 days</v>
      </c>
      <c r="AG188" s="69">
        <v>1</v>
      </c>
      <c r="AH188" s="69">
        <v>229</v>
      </c>
      <c r="AI188" s="69">
        <v>333074.90000000002</v>
      </c>
      <c r="AJ188" s="67">
        <v>54205</v>
      </c>
      <c r="AK188" s="69">
        <v>2025</v>
      </c>
      <c r="AL188" s="61">
        <v>16516.382876712334</v>
      </c>
      <c r="AM188" s="143"/>
    </row>
    <row r="189" spans="1:39" x14ac:dyDescent="0.35">
      <c r="A189" s="69" t="s">
        <v>4124</v>
      </c>
      <c r="B189" s="41">
        <v>1101404804</v>
      </c>
      <c r="C189" s="41"/>
      <c r="D189" s="41" t="s">
        <v>611</v>
      </c>
      <c r="E189" s="101">
        <v>4</v>
      </c>
      <c r="F189" s="41" t="s">
        <v>260</v>
      </c>
      <c r="G189" s="69" t="s">
        <v>259</v>
      </c>
      <c r="H189" s="41">
        <v>9007000044</v>
      </c>
      <c r="I189" s="41" t="s">
        <v>261</v>
      </c>
      <c r="J189" s="41">
        <v>1202010217</v>
      </c>
      <c r="K189" s="41"/>
      <c r="L189" s="52" t="s">
        <v>626</v>
      </c>
      <c r="M189" s="69" t="s">
        <v>627</v>
      </c>
      <c r="N189" s="69"/>
      <c r="O189" s="69">
        <v>1</v>
      </c>
      <c r="P189" s="69" t="s">
        <v>50</v>
      </c>
      <c r="Q189" s="69" t="s">
        <v>51</v>
      </c>
      <c r="R189" s="69"/>
      <c r="S189" s="48">
        <v>45108</v>
      </c>
      <c r="T189" s="48">
        <v>45108</v>
      </c>
      <c r="U189" s="69"/>
      <c r="V189" s="69"/>
      <c r="W189" s="69"/>
      <c r="X189" s="69"/>
      <c r="Y189" s="69" t="s">
        <v>4129</v>
      </c>
      <c r="Z189" s="52">
        <v>32975</v>
      </c>
      <c r="AA189" s="43" t="s">
        <v>52</v>
      </c>
      <c r="AB189" s="43" t="s">
        <v>53</v>
      </c>
      <c r="AC189" s="85">
        <v>3650</v>
      </c>
      <c r="AD189" s="141">
        <v>10</v>
      </c>
      <c r="AE189" s="142">
        <v>0</v>
      </c>
      <c r="AF189" s="69" t="str">
        <f t="shared" si="26"/>
        <v>1 years 185 days</v>
      </c>
      <c r="AG189" s="69">
        <v>1</v>
      </c>
      <c r="AH189" s="69">
        <v>185</v>
      </c>
      <c r="AI189" s="69">
        <v>32975</v>
      </c>
      <c r="AJ189" s="67">
        <v>4969</v>
      </c>
      <c r="AK189" s="69">
        <v>2025</v>
      </c>
      <c r="AL189" s="61">
        <v>1635.034246575342</v>
      </c>
      <c r="AM189" s="143"/>
    </row>
    <row r="190" spans="1:39" x14ac:dyDescent="0.35">
      <c r="A190" s="69" t="s">
        <v>4124</v>
      </c>
      <c r="B190" s="41">
        <v>1101405163</v>
      </c>
      <c r="C190" s="41"/>
      <c r="D190" s="69"/>
      <c r="E190" s="101">
        <v>0</v>
      </c>
      <c r="F190" s="41" t="s">
        <v>260</v>
      </c>
      <c r="G190" s="69" t="s">
        <v>259</v>
      </c>
      <c r="H190" s="41">
        <v>9007000045</v>
      </c>
      <c r="I190" s="41" t="s">
        <v>261</v>
      </c>
      <c r="J190" s="41">
        <v>1202010217</v>
      </c>
      <c r="K190" s="41" t="s">
        <v>629</v>
      </c>
      <c r="L190" s="52" t="s">
        <v>630</v>
      </c>
      <c r="M190" s="69" t="s">
        <v>631</v>
      </c>
      <c r="N190" s="69"/>
      <c r="O190" s="69">
        <v>1</v>
      </c>
      <c r="P190" s="69" t="s">
        <v>50</v>
      </c>
      <c r="Q190" s="69" t="s">
        <v>51</v>
      </c>
      <c r="R190" s="69"/>
      <c r="S190" s="48">
        <v>45386</v>
      </c>
      <c r="T190" s="48">
        <v>45386</v>
      </c>
      <c r="U190" s="69"/>
      <c r="V190" s="69"/>
      <c r="W190" s="69"/>
      <c r="X190" s="69"/>
      <c r="Y190" s="69" t="s">
        <v>4130</v>
      </c>
      <c r="Z190" s="83">
        <v>236430</v>
      </c>
      <c r="AA190" s="43" t="s">
        <v>52</v>
      </c>
      <c r="AB190" s="43" t="s">
        <v>53</v>
      </c>
      <c r="AC190" s="85">
        <v>3650</v>
      </c>
      <c r="AD190" s="141">
        <v>10</v>
      </c>
      <c r="AE190" s="142">
        <v>0</v>
      </c>
      <c r="AF190" s="69" t="str">
        <f>_xlfn.CONCAT(AG190," years ",AH190," days")</f>
        <v>0 years 272 days</v>
      </c>
      <c r="AG190" s="69">
        <v>0</v>
      </c>
      <c r="AH190" s="69">
        <v>272</v>
      </c>
      <c r="AI190" s="69">
        <v>236430</v>
      </c>
      <c r="AJ190" s="67">
        <v>17619</v>
      </c>
      <c r="AK190" s="69">
        <v>2025</v>
      </c>
      <c r="AL190" s="61">
        <v>11724.230136986302</v>
      </c>
      <c r="AM190" s="143"/>
    </row>
    <row r="191" spans="1:39" x14ac:dyDescent="0.35">
      <c r="A191" s="69" t="s">
        <v>4124</v>
      </c>
      <c r="B191" s="41">
        <v>1101405160</v>
      </c>
      <c r="C191" s="41"/>
      <c r="D191" s="69"/>
      <c r="E191" s="101">
        <v>0</v>
      </c>
      <c r="F191" s="41" t="s">
        <v>260</v>
      </c>
      <c r="G191" s="69" t="s">
        <v>259</v>
      </c>
      <c r="H191" s="41">
        <v>9007000046</v>
      </c>
      <c r="I191" s="41" t="s">
        <v>261</v>
      </c>
      <c r="J191" s="41">
        <v>1202010217</v>
      </c>
      <c r="K191" s="41" t="s">
        <v>633</v>
      </c>
      <c r="L191" s="52" t="s">
        <v>634</v>
      </c>
      <c r="M191" s="69" t="s">
        <v>635</v>
      </c>
      <c r="N191" s="69"/>
      <c r="O191" s="69">
        <v>2</v>
      </c>
      <c r="P191" s="69" t="s">
        <v>50</v>
      </c>
      <c r="Q191" s="69" t="s">
        <v>51</v>
      </c>
      <c r="R191" s="69"/>
      <c r="S191" s="48">
        <v>45389</v>
      </c>
      <c r="T191" s="48">
        <v>45389</v>
      </c>
      <c r="U191" s="69"/>
      <c r="V191" s="69"/>
      <c r="W191" s="69"/>
      <c r="X191" s="69"/>
      <c r="Y191" s="69" t="s">
        <v>4130</v>
      </c>
      <c r="Z191" s="83">
        <v>1733665</v>
      </c>
      <c r="AA191" s="43" t="s">
        <v>52</v>
      </c>
      <c r="AB191" s="43" t="s">
        <v>53</v>
      </c>
      <c r="AC191" s="85">
        <v>3650</v>
      </c>
      <c r="AD191" s="141">
        <v>10</v>
      </c>
      <c r="AE191" s="142">
        <v>0</v>
      </c>
      <c r="AF191" s="69" t="str">
        <f>_xlfn.CONCAT(AG191," years ",AH191," days")</f>
        <v>0 years 269 days</v>
      </c>
      <c r="AG191" s="69">
        <v>0</v>
      </c>
      <c r="AH191" s="69">
        <v>269</v>
      </c>
      <c r="AI191" s="69">
        <v>1733665</v>
      </c>
      <c r="AJ191" s="67">
        <v>127769</v>
      </c>
      <c r="AK191" s="69">
        <v>2025</v>
      </c>
      <c r="AL191" s="61">
        <v>85970.520547945227</v>
      </c>
      <c r="AM191" s="143"/>
    </row>
    <row r="192" spans="1:39" x14ac:dyDescent="0.35">
      <c r="A192" s="69" t="s">
        <v>4124</v>
      </c>
      <c r="B192" s="41">
        <v>1101402670</v>
      </c>
      <c r="C192" s="41"/>
      <c r="D192" s="69"/>
      <c r="E192" s="101">
        <v>0</v>
      </c>
      <c r="F192" s="41" t="s">
        <v>260</v>
      </c>
      <c r="G192" s="69" t="s">
        <v>259</v>
      </c>
      <c r="H192" s="41">
        <v>9007000047</v>
      </c>
      <c r="I192" s="41" t="s">
        <v>261</v>
      </c>
      <c r="J192" s="41">
        <v>1202010217</v>
      </c>
      <c r="K192" s="41" t="s">
        <v>637</v>
      </c>
      <c r="L192" s="52" t="s">
        <v>638</v>
      </c>
      <c r="M192" s="69" t="s">
        <v>49</v>
      </c>
      <c r="N192" s="69"/>
      <c r="O192" s="69">
        <v>1</v>
      </c>
      <c r="P192" s="69" t="s">
        <v>50</v>
      </c>
      <c r="Q192" s="69" t="s">
        <v>51</v>
      </c>
      <c r="R192" s="69"/>
      <c r="S192" s="48">
        <v>43346</v>
      </c>
      <c r="T192" s="48">
        <v>43346</v>
      </c>
      <c r="U192" s="69"/>
      <c r="V192" s="69"/>
      <c r="W192" s="69"/>
      <c r="X192" s="69"/>
      <c r="Y192" s="69" t="s">
        <v>4125</v>
      </c>
      <c r="Z192" s="52">
        <v>353050</v>
      </c>
      <c r="AA192" s="43" t="s">
        <v>52</v>
      </c>
      <c r="AB192" s="43" t="s">
        <v>53</v>
      </c>
      <c r="AC192" s="85">
        <v>3650</v>
      </c>
      <c r="AD192" s="141">
        <v>10</v>
      </c>
      <c r="AE192" s="142">
        <v>0</v>
      </c>
      <c r="AF192" s="69" t="str">
        <f>_xlfn.CONCAT(AG192," years ",AH192," days")</f>
        <v>6 years 122 days</v>
      </c>
      <c r="AG192" s="69">
        <v>6</v>
      </c>
      <c r="AH192" s="69">
        <v>122</v>
      </c>
      <c r="AI192" s="69">
        <v>353050</v>
      </c>
      <c r="AJ192" s="67">
        <v>223534</v>
      </c>
      <c r="AK192" s="69">
        <v>2025</v>
      </c>
      <c r="AL192" s="61">
        <v>17507.260273972614</v>
      </c>
      <c r="AM192" s="143"/>
    </row>
    <row r="193" spans="1:39" x14ac:dyDescent="0.35">
      <c r="A193" s="69" t="s">
        <v>4124</v>
      </c>
      <c r="B193" s="41">
        <v>1101403053</v>
      </c>
      <c r="C193" s="41"/>
      <c r="D193" s="69"/>
      <c r="E193" s="101">
        <v>0</v>
      </c>
      <c r="F193" s="41" t="s">
        <v>260</v>
      </c>
      <c r="G193" s="69" t="s">
        <v>259</v>
      </c>
      <c r="H193" s="41">
        <v>9007000048</v>
      </c>
      <c r="I193" s="41" t="s">
        <v>261</v>
      </c>
      <c r="J193" s="41">
        <v>1202010217</v>
      </c>
      <c r="K193" s="41" t="s">
        <v>640</v>
      </c>
      <c r="L193" s="52" t="s">
        <v>641</v>
      </c>
      <c r="M193" s="69" t="s">
        <v>642</v>
      </c>
      <c r="N193" s="69"/>
      <c r="O193" s="69">
        <v>1</v>
      </c>
      <c r="P193" s="69" t="s">
        <v>50</v>
      </c>
      <c r="Q193" s="69" t="s">
        <v>51</v>
      </c>
      <c r="R193" s="69"/>
      <c r="S193" s="48">
        <v>43723</v>
      </c>
      <c r="T193" s="48">
        <v>43723</v>
      </c>
      <c r="U193" s="69"/>
      <c r="V193" s="69"/>
      <c r="W193" s="69"/>
      <c r="X193" s="69"/>
      <c r="Y193" s="69" t="s">
        <v>4126</v>
      </c>
      <c r="Z193" s="52">
        <v>4954362</v>
      </c>
      <c r="AA193" s="43" t="s">
        <v>52</v>
      </c>
      <c r="AB193" s="43" t="s">
        <v>53</v>
      </c>
      <c r="AC193" s="85">
        <v>3650</v>
      </c>
      <c r="AD193" s="141">
        <v>10</v>
      </c>
      <c r="AE193" s="142">
        <v>0</v>
      </c>
      <c r="AF193" s="69" t="str">
        <f t="shared" ref="AF193:AF195" si="27">_xlfn.CONCAT(AG193," years ",AH193," days")</f>
        <v>5 years 110 days</v>
      </c>
      <c r="AG193" s="69">
        <v>5</v>
      </c>
      <c r="AH193" s="69">
        <v>110</v>
      </c>
      <c r="AI193" s="69">
        <v>4954362</v>
      </c>
      <c r="AJ193" s="67">
        <v>2626491</v>
      </c>
      <c r="AK193" s="69">
        <v>2025</v>
      </c>
      <c r="AL193" s="61">
        <v>245681.60054794513</v>
      </c>
      <c r="AM193" s="143"/>
    </row>
    <row r="194" spans="1:39" x14ac:dyDescent="0.35">
      <c r="A194" s="69" t="s">
        <v>4124</v>
      </c>
      <c r="B194" s="41">
        <v>1101404187</v>
      </c>
      <c r="C194" s="41"/>
      <c r="D194" s="41" t="s">
        <v>639</v>
      </c>
      <c r="E194" s="101">
        <v>1</v>
      </c>
      <c r="F194" s="41" t="s">
        <v>260</v>
      </c>
      <c r="G194" s="69" t="s">
        <v>259</v>
      </c>
      <c r="H194" s="41">
        <v>9007000048</v>
      </c>
      <c r="I194" s="41" t="s">
        <v>261</v>
      </c>
      <c r="J194" s="41">
        <v>1202010217</v>
      </c>
      <c r="K194" s="41"/>
      <c r="L194" s="52" t="s">
        <v>644</v>
      </c>
      <c r="M194" s="69" t="s">
        <v>645</v>
      </c>
      <c r="N194" s="69"/>
      <c r="O194" s="69">
        <v>3</v>
      </c>
      <c r="P194" s="69" t="s">
        <v>50</v>
      </c>
      <c r="Q194" s="69" t="s">
        <v>51</v>
      </c>
      <c r="R194" s="69"/>
      <c r="S194" s="48">
        <v>44828</v>
      </c>
      <c r="T194" s="48">
        <v>44828</v>
      </c>
      <c r="U194" s="69"/>
      <c r="V194" s="69"/>
      <c r="W194" s="69"/>
      <c r="X194" s="69"/>
      <c r="Y194" s="69" t="s">
        <v>4131</v>
      </c>
      <c r="Z194" s="52">
        <v>189240</v>
      </c>
      <c r="AA194" s="43" t="s">
        <v>52</v>
      </c>
      <c r="AB194" s="43" t="s">
        <v>53</v>
      </c>
      <c r="AC194" s="85">
        <v>3650</v>
      </c>
      <c r="AD194" s="141">
        <v>10</v>
      </c>
      <c r="AE194" s="142">
        <v>0</v>
      </c>
      <c r="AF194" s="69" t="str">
        <f t="shared" si="27"/>
        <v>2 years 100 days</v>
      </c>
      <c r="AG194" s="69">
        <v>2</v>
      </c>
      <c r="AH194" s="69">
        <v>100</v>
      </c>
      <c r="AI194" s="69">
        <v>189240</v>
      </c>
      <c r="AJ194" s="67">
        <v>43033</v>
      </c>
      <c r="AK194" s="69">
        <v>2025</v>
      </c>
      <c r="AL194" s="61">
        <v>9383.8876712328783</v>
      </c>
      <c r="AM194" s="143"/>
    </row>
    <row r="195" spans="1:39" x14ac:dyDescent="0.35">
      <c r="A195" s="69" t="s">
        <v>4124</v>
      </c>
      <c r="B195" s="41">
        <v>1101404188</v>
      </c>
      <c r="C195" s="41"/>
      <c r="D195" s="41" t="s">
        <v>639</v>
      </c>
      <c r="E195" s="101">
        <v>2</v>
      </c>
      <c r="F195" s="41" t="s">
        <v>260</v>
      </c>
      <c r="G195" s="69" t="s">
        <v>259</v>
      </c>
      <c r="H195" s="41">
        <v>9007000048</v>
      </c>
      <c r="I195" s="41" t="s">
        <v>261</v>
      </c>
      <c r="J195" s="41">
        <v>1202010217</v>
      </c>
      <c r="K195" s="41"/>
      <c r="L195" s="52" t="s">
        <v>647</v>
      </c>
      <c r="M195" s="69" t="s">
        <v>648</v>
      </c>
      <c r="N195" s="69"/>
      <c r="O195" s="69">
        <v>1</v>
      </c>
      <c r="P195" s="69" t="s">
        <v>50</v>
      </c>
      <c r="Q195" s="69" t="s">
        <v>51</v>
      </c>
      <c r="R195" s="69"/>
      <c r="S195" s="48">
        <v>44828</v>
      </c>
      <c r="T195" s="48">
        <v>44828</v>
      </c>
      <c r="U195" s="69"/>
      <c r="V195" s="69"/>
      <c r="W195" s="69"/>
      <c r="X195" s="69"/>
      <c r="Y195" s="69" t="s">
        <v>4131</v>
      </c>
      <c r="Z195" s="52">
        <v>24320</v>
      </c>
      <c r="AA195" s="43" t="s">
        <v>52</v>
      </c>
      <c r="AB195" s="43" t="s">
        <v>53</v>
      </c>
      <c r="AC195" s="85">
        <v>3650</v>
      </c>
      <c r="AD195" s="141">
        <v>10</v>
      </c>
      <c r="AE195" s="142">
        <v>0</v>
      </c>
      <c r="AF195" s="69" t="str">
        <f t="shared" si="27"/>
        <v>2 years 100 days</v>
      </c>
      <c r="AG195" s="69">
        <v>2</v>
      </c>
      <c r="AH195" s="69">
        <v>100</v>
      </c>
      <c r="AI195" s="69">
        <v>24320</v>
      </c>
      <c r="AJ195" s="67">
        <v>5530</v>
      </c>
      <c r="AK195" s="69">
        <v>2025</v>
      </c>
      <c r="AL195" s="61">
        <v>1206.3068493150686</v>
      </c>
      <c r="AM195" s="143"/>
    </row>
    <row r="196" spans="1:39" x14ac:dyDescent="0.35">
      <c r="A196" s="69" t="s">
        <v>4124</v>
      </c>
      <c r="B196" s="41">
        <v>1101400908</v>
      </c>
      <c r="C196" s="41"/>
      <c r="D196" s="69"/>
      <c r="E196" s="101">
        <v>0</v>
      </c>
      <c r="F196" s="41" t="s">
        <v>260</v>
      </c>
      <c r="G196" s="69" t="s">
        <v>259</v>
      </c>
      <c r="H196" s="41">
        <v>9007000049</v>
      </c>
      <c r="I196" s="41" t="s">
        <v>261</v>
      </c>
      <c r="J196" s="41">
        <v>1202010217</v>
      </c>
      <c r="K196" s="41" t="s">
        <v>650</v>
      </c>
      <c r="L196" s="52" t="s">
        <v>651</v>
      </c>
      <c r="M196" s="69" t="s">
        <v>652</v>
      </c>
      <c r="N196" s="69"/>
      <c r="O196" s="69">
        <v>1</v>
      </c>
      <c r="P196" s="69" t="s">
        <v>50</v>
      </c>
      <c r="Q196" s="69" t="s">
        <v>51</v>
      </c>
      <c r="R196" s="69"/>
      <c r="S196" s="48">
        <v>41298</v>
      </c>
      <c r="T196" s="48">
        <v>43340</v>
      </c>
      <c r="U196" s="69"/>
      <c r="V196" s="69"/>
      <c r="W196" s="69"/>
      <c r="X196" s="69"/>
      <c r="Y196" s="69" t="s">
        <v>4125</v>
      </c>
      <c r="Z196" s="52">
        <v>710000</v>
      </c>
      <c r="AA196" s="43" t="s">
        <v>52</v>
      </c>
      <c r="AB196" s="43" t="s">
        <v>53</v>
      </c>
      <c r="AC196" s="85">
        <v>1606</v>
      </c>
      <c r="AD196" s="141">
        <v>4</v>
      </c>
      <c r="AE196" s="142">
        <v>5</v>
      </c>
      <c r="AF196" s="69" t="str">
        <f>_xlfn.CONCAT(AG196," years ",AH196," days")</f>
        <v>4 years 146 days</v>
      </c>
      <c r="AG196" s="69">
        <v>4</v>
      </c>
      <c r="AH196" s="69">
        <v>146</v>
      </c>
      <c r="AI196" s="69">
        <v>710000</v>
      </c>
      <c r="AJ196" s="67">
        <v>710000</v>
      </c>
      <c r="AK196" s="69">
        <v>2025</v>
      </c>
      <c r="AL196" s="61">
        <v>0</v>
      </c>
      <c r="AM196" s="143"/>
    </row>
    <row r="197" spans="1:39" x14ac:dyDescent="0.35">
      <c r="A197" s="69" t="s">
        <v>4124</v>
      </c>
      <c r="B197" s="41">
        <v>1101400432</v>
      </c>
      <c r="C197" s="41"/>
      <c r="D197" s="69"/>
      <c r="E197" s="101">
        <v>0</v>
      </c>
      <c r="F197" s="41" t="s">
        <v>260</v>
      </c>
      <c r="G197" s="69" t="s">
        <v>259</v>
      </c>
      <c r="H197" s="41">
        <v>9007000050</v>
      </c>
      <c r="I197" s="41" t="s">
        <v>261</v>
      </c>
      <c r="J197" s="41">
        <v>1202010217</v>
      </c>
      <c r="K197" s="41" t="s">
        <v>654</v>
      </c>
      <c r="L197" s="52" t="s">
        <v>655</v>
      </c>
      <c r="M197" s="69" t="s">
        <v>49</v>
      </c>
      <c r="N197" s="69"/>
      <c r="O197" s="69">
        <v>1</v>
      </c>
      <c r="P197" s="69" t="s">
        <v>50</v>
      </c>
      <c r="Q197" s="69" t="s">
        <v>51</v>
      </c>
      <c r="R197" s="69"/>
      <c r="S197" s="48">
        <v>40268</v>
      </c>
      <c r="T197" s="48">
        <v>43340</v>
      </c>
      <c r="U197" s="69"/>
      <c r="V197" s="69"/>
      <c r="W197" s="69"/>
      <c r="X197" s="69"/>
      <c r="Y197" s="69" t="s">
        <v>4125</v>
      </c>
      <c r="Z197" s="52">
        <v>100000</v>
      </c>
      <c r="AA197" s="43" t="s">
        <v>52</v>
      </c>
      <c r="AB197" s="43" t="s">
        <v>53</v>
      </c>
      <c r="AC197" s="85">
        <v>584</v>
      </c>
      <c r="AD197" s="141">
        <v>1</v>
      </c>
      <c r="AE197" s="142">
        <v>7</v>
      </c>
      <c r="AF197" s="69" t="str">
        <f>_xlfn.CONCAT(AG197," years ",AH197," days")</f>
        <v>1 years 219 days</v>
      </c>
      <c r="AG197" s="69">
        <v>1</v>
      </c>
      <c r="AH197" s="69">
        <v>219</v>
      </c>
      <c r="AI197" s="69">
        <v>100000</v>
      </c>
      <c r="AJ197" s="67">
        <v>100000</v>
      </c>
      <c r="AK197" s="69">
        <v>2025</v>
      </c>
      <c r="AL197" s="61">
        <v>0</v>
      </c>
      <c r="AM197" s="143"/>
    </row>
    <row r="198" spans="1:39" x14ac:dyDescent="0.35">
      <c r="A198" s="69" t="s">
        <v>4124</v>
      </c>
      <c r="B198" s="41">
        <v>1101400433</v>
      </c>
      <c r="C198" s="41"/>
      <c r="D198" s="69"/>
      <c r="E198" s="101">
        <v>0</v>
      </c>
      <c r="F198" s="41" t="s">
        <v>260</v>
      </c>
      <c r="G198" s="69" t="s">
        <v>259</v>
      </c>
      <c r="H198" s="41">
        <v>9007000051</v>
      </c>
      <c r="I198" s="41" t="s">
        <v>261</v>
      </c>
      <c r="J198" s="41">
        <v>1202010217</v>
      </c>
      <c r="K198" s="41" t="s">
        <v>657</v>
      </c>
      <c r="L198" s="52" t="s">
        <v>658</v>
      </c>
      <c r="M198" s="69" t="s">
        <v>49</v>
      </c>
      <c r="N198" s="69"/>
      <c r="O198" s="69">
        <v>1</v>
      </c>
      <c r="P198" s="69" t="s">
        <v>50</v>
      </c>
      <c r="Q198" s="69" t="s">
        <v>51</v>
      </c>
      <c r="R198" s="69"/>
      <c r="S198" s="48">
        <v>40268</v>
      </c>
      <c r="T198" s="48">
        <v>43340</v>
      </c>
      <c r="U198" s="69"/>
      <c r="V198" s="69"/>
      <c r="W198" s="69"/>
      <c r="X198" s="69"/>
      <c r="Y198" s="69" t="s">
        <v>4125</v>
      </c>
      <c r="Z198" s="52">
        <v>67500</v>
      </c>
      <c r="AA198" s="43" t="s">
        <v>52</v>
      </c>
      <c r="AB198" s="43" t="s">
        <v>53</v>
      </c>
      <c r="AC198" s="85">
        <v>584</v>
      </c>
      <c r="AD198" s="141">
        <v>1</v>
      </c>
      <c r="AE198" s="142">
        <v>7</v>
      </c>
      <c r="AF198" s="69" t="str">
        <f>_xlfn.CONCAT(AG198," years ",AH198," days")</f>
        <v>1 years 219 days</v>
      </c>
      <c r="AG198" s="69">
        <v>1</v>
      </c>
      <c r="AH198" s="69">
        <v>219</v>
      </c>
      <c r="AI198" s="69">
        <v>67500</v>
      </c>
      <c r="AJ198" s="67">
        <v>67500</v>
      </c>
      <c r="AK198" s="69">
        <v>2025</v>
      </c>
      <c r="AL198" s="61">
        <v>0</v>
      </c>
      <c r="AM198" s="143"/>
    </row>
    <row r="199" spans="1:39" x14ac:dyDescent="0.35">
      <c r="A199" s="69" t="s">
        <v>4124</v>
      </c>
      <c r="B199" s="41">
        <v>1101400514</v>
      </c>
      <c r="C199" s="41"/>
      <c r="D199" s="69"/>
      <c r="E199" s="101">
        <v>0</v>
      </c>
      <c r="F199" s="41" t="s">
        <v>260</v>
      </c>
      <c r="G199" s="69" t="s">
        <v>259</v>
      </c>
      <c r="H199" s="41">
        <v>9007000052</v>
      </c>
      <c r="I199" s="41" t="s">
        <v>261</v>
      </c>
      <c r="J199" s="41">
        <v>1202010217</v>
      </c>
      <c r="K199" s="41" t="s">
        <v>660</v>
      </c>
      <c r="L199" s="52" t="s">
        <v>661</v>
      </c>
      <c r="M199" s="69" t="s">
        <v>49</v>
      </c>
      <c r="N199" s="69"/>
      <c r="O199" s="69">
        <v>1</v>
      </c>
      <c r="P199" s="69" t="s">
        <v>50</v>
      </c>
      <c r="Q199" s="69" t="s">
        <v>51</v>
      </c>
      <c r="R199" s="69"/>
      <c r="S199" s="48">
        <v>40485</v>
      </c>
      <c r="T199" s="48">
        <v>43340</v>
      </c>
      <c r="U199" s="69"/>
      <c r="V199" s="69"/>
      <c r="W199" s="69"/>
      <c r="X199" s="69"/>
      <c r="Y199" s="69" t="s">
        <v>4125</v>
      </c>
      <c r="Z199" s="52">
        <v>570000</v>
      </c>
      <c r="AA199" s="43" t="s">
        <v>52</v>
      </c>
      <c r="AB199" s="43" t="s">
        <v>53</v>
      </c>
      <c r="AC199" s="85">
        <v>803</v>
      </c>
      <c r="AD199" s="141">
        <v>2</v>
      </c>
      <c r="AE199" s="142">
        <v>2</v>
      </c>
      <c r="AF199" s="69" t="str">
        <f>_xlfn.CONCAT(AG199," years ",AH199," days")</f>
        <v>2 years 73 days</v>
      </c>
      <c r="AG199" s="69">
        <v>2</v>
      </c>
      <c r="AH199" s="69">
        <v>73</v>
      </c>
      <c r="AI199" s="69">
        <v>570000</v>
      </c>
      <c r="AJ199" s="67">
        <v>570000</v>
      </c>
      <c r="AK199" s="69">
        <v>2025</v>
      </c>
      <c r="AL199" s="61">
        <v>0</v>
      </c>
      <c r="AM199" s="143"/>
    </row>
    <row r="200" spans="1:39" x14ac:dyDescent="0.35">
      <c r="A200" s="69" t="s">
        <v>4124</v>
      </c>
      <c r="B200" s="41">
        <v>1101404546</v>
      </c>
      <c r="C200" s="41"/>
      <c r="D200" s="69"/>
      <c r="E200" s="101">
        <v>0</v>
      </c>
      <c r="F200" s="41" t="s">
        <v>260</v>
      </c>
      <c r="G200" s="69" t="s">
        <v>259</v>
      </c>
      <c r="H200" s="41">
        <v>9007000053</v>
      </c>
      <c r="I200" s="41" t="s">
        <v>261</v>
      </c>
      <c r="J200" s="41">
        <v>1202010217</v>
      </c>
      <c r="K200" s="41" t="s">
        <v>663</v>
      </c>
      <c r="L200" s="52" t="s">
        <v>664</v>
      </c>
      <c r="M200" s="69" t="s">
        <v>665</v>
      </c>
      <c r="N200" s="69"/>
      <c r="O200" s="69">
        <v>1</v>
      </c>
      <c r="P200" s="69" t="s">
        <v>50</v>
      </c>
      <c r="Q200" s="69" t="s">
        <v>51</v>
      </c>
      <c r="R200" s="69"/>
      <c r="S200" s="48">
        <v>44910</v>
      </c>
      <c r="T200" s="48">
        <v>44910</v>
      </c>
      <c r="U200" s="69"/>
      <c r="V200" s="69"/>
      <c r="W200" s="69"/>
      <c r="X200" s="69"/>
      <c r="Y200" s="69" t="s">
        <v>4131</v>
      </c>
      <c r="Z200" s="52">
        <v>9581286.6699999701</v>
      </c>
      <c r="AA200" s="43" t="s">
        <v>52</v>
      </c>
      <c r="AB200" s="43" t="s">
        <v>53</v>
      </c>
      <c r="AC200" s="85">
        <v>3650</v>
      </c>
      <c r="AD200" s="141">
        <v>10</v>
      </c>
      <c r="AE200" s="142">
        <v>0</v>
      </c>
      <c r="AF200" s="69" t="str">
        <f t="shared" ref="AF200:AF206" si="28">_xlfn.CONCAT(AG200," years ",AH200," days")</f>
        <v>2 years 18 days</v>
      </c>
      <c r="AG200" s="69">
        <v>2</v>
      </c>
      <c r="AH200" s="69">
        <v>18</v>
      </c>
      <c r="AI200" s="69">
        <v>9581286.6699999701</v>
      </c>
      <c r="AJ200" s="67">
        <v>1963508</v>
      </c>
      <c r="AK200" s="69">
        <v>2025</v>
      </c>
      <c r="AL200" s="61">
        <v>475126.34294245951</v>
      </c>
      <c r="AM200" s="143"/>
    </row>
    <row r="201" spans="1:39" x14ac:dyDescent="0.35">
      <c r="A201" s="69" t="s">
        <v>4124</v>
      </c>
      <c r="B201" s="41">
        <v>1101404700</v>
      </c>
      <c r="C201" s="41"/>
      <c r="D201" s="41" t="s">
        <v>662</v>
      </c>
      <c r="E201" s="101">
        <v>1</v>
      </c>
      <c r="F201" s="41" t="s">
        <v>260</v>
      </c>
      <c r="G201" s="69" t="s">
        <v>259</v>
      </c>
      <c r="H201" s="41">
        <v>9007000053</v>
      </c>
      <c r="I201" s="41" t="s">
        <v>261</v>
      </c>
      <c r="J201" s="41">
        <v>1202010217</v>
      </c>
      <c r="K201" s="41"/>
      <c r="L201" s="52" t="s">
        <v>667</v>
      </c>
      <c r="M201" s="69" t="s">
        <v>668</v>
      </c>
      <c r="N201" s="69"/>
      <c r="O201" s="69">
        <v>1</v>
      </c>
      <c r="P201" s="69" t="s">
        <v>50</v>
      </c>
      <c r="Q201" s="69" t="s">
        <v>51</v>
      </c>
      <c r="R201" s="69"/>
      <c r="S201" s="48">
        <v>45016</v>
      </c>
      <c r="T201" s="48">
        <v>45016</v>
      </c>
      <c r="U201" s="69"/>
      <c r="V201" s="69"/>
      <c r="W201" s="69"/>
      <c r="X201" s="69"/>
      <c r="Y201" s="69" t="s">
        <v>4129</v>
      </c>
      <c r="Z201" s="52">
        <v>90250</v>
      </c>
      <c r="AA201" s="43" t="s">
        <v>52</v>
      </c>
      <c r="AB201" s="43" t="s">
        <v>53</v>
      </c>
      <c r="AC201" s="85">
        <v>3650</v>
      </c>
      <c r="AD201" s="141">
        <v>10</v>
      </c>
      <c r="AE201" s="142">
        <v>0</v>
      </c>
      <c r="AF201" s="69" t="str">
        <f t="shared" si="28"/>
        <v>1 years 277 days</v>
      </c>
      <c r="AG201" s="69">
        <v>1</v>
      </c>
      <c r="AH201" s="69">
        <v>277</v>
      </c>
      <c r="AI201" s="69">
        <v>90250</v>
      </c>
      <c r="AJ201" s="67">
        <v>15899</v>
      </c>
      <c r="AK201" s="69">
        <v>2025</v>
      </c>
      <c r="AL201" s="61">
        <v>4475.2465753424658</v>
      </c>
      <c r="AM201" s="143"/>
    </row>
    <row r="202" spans="1:39" x14ac:dyDescent="0.35">
      <c r="A202" s="69" t="s">
        <v>4124</v>
      </c>
      <c r="B202" s="41">
        <v>1101404837</v>
      </c>
      <c r="C202" s="41"/>
      <c r="D202" s="41" t="s">
        <v>662</v>
      </c>
      <c r="E202" s="101">
        <v>2</v>
      </c>
      <c r="F202" s="41" t="s">
        <v>260</v>
      </c>
      <c r="G202" s="69" t="s">
        <v>259</v>
      </c>
      <c r="H202" s="41">
        <v>9007000053</v>
      </c>
      <c r="I202" s="41" t="s">
        <v>261</v>
      </c>
      <c r="J202" s="41">
        <v>1202010217</v>
      </c>
      <c r="K202" s="41"/>
      <c r="L202" s="52" t="s">
        <v>670</v>
      </c>
      <c r="M202" s="69" t="s">
        <v>671</v>
      </c>
      <c r="N202" s="69"/>
      <c r="O202" s="69">
        <v>1</v>
      </c>
      <c r="P202" s="69" t="s">
        <v>50</v>
      </c>
      <c r="Q202" s="69" t="s">
        <v>51</v>
      </c>
      <c r="R202" s="69"/>
      <c r="S202" s="48">
        <v>45138</v>
      </c>
      <c r="T202" s="48">
        <v>45138</v>
      </c>
      <c r="U202" s="69"/>
      <c r="V202" s="69"/>
      <c r="W202" s="69"/>
      <c r="X202" s="69"/>
      <c r="Y202" s="69" t="s">
        <v>4129</v>
      </c>
      <c r="Z202" s="52">
        <v>61884</v>
      </c>
      <c r="AA202" s="43" t="s">
        <v>52</v>
      </c>
      <c r="AB202" s="43" t="s">
        <v>53</v>
      </c>
      <c r="AC202" s="85">
        <v>3650</v>
      </c>
      <c r="AD202" s="141">
        <v>10</v>
      </c>
      <c r="AE202" s="142">
        <v>0</v>
      </c>
      <c r="AF202" s="69" t="str">
        <f t="shared" si="28"/>
        <v>1 years 155 days</v>
      </c>
      <c r="AG202" s="69">
        <v>1</v>
      </c>
      <c r="AH202" s="69">
        <v>155</v>
      </c>
      <c r="AI202" s="69">
        <v>61884</v>
      </c>
      <c r="AJ202" s="67">
        <v>8816</v>
      </c>
      <c r="AK202" s="69">
        <v>2025</v>
      </c>
      <c r="AL202" s="61">
        <v>3069.1189041095895</v>
      </c>
      <c r="AM202" s="143"/>
    </row>
    <row r="203" spans="1:39" x14ac:dyDescent="0.35">
      <c r="A203" s="69" t="s">
        <v>4124</v>
      </c>
      <c r="B203" s="41">
        <v>1101404845</v>
      </c>
      <c r="C203" s="41"/>
      <c r="D203" s="41" t="s">
        <v>662</v>
      </c>
      <c r="E203" s="101">
        <v>3</v>
      </c>
      <c r="F203" s="41" t="s">
        <v>260</v>
      </c>
      <c r="G203" s="69" t="s">
        <v>259</v>
      </c>
      <c r="H203" s="41">
        <v>9007000053</v>
      </c>
      <c r="I203" s="41" t="s">
        <v>261</v>
      </c>
      <c r="J203" s="41">
        <v>1202010217</v>
      </c>
      <c r="K203" s="41"/>
      <c r="L203" s="52" t="s">
        <v>673</v>
      </c>
      <c r="M203" s="69" t="s">
        <v>674</v>
      </c>
      <c r="N203" s="69"/>
      <c r="O203" s="69">
        <v>216</v>
      </c>
      <c r="P203" s="69" t="s">
        <v>50</v>
      </c>
      <c r="Q203" s="69" t="s">
        <v>51</v>
      </c>
      <c r="R203" s="69"/>
      <c r="S203" s="48">
        <v>45139</v>
      </c>
      <c r="T203" s="48">
        <v>45139</v>
      </c>
      <c r="U203" s="69"/>
      <c r="V203" s="69"/>
      <c r="W203" s="69"/>
      <c r="X203" s="69"/>
      <c r="Y203" s="69" t="s">
        <v>4129</v>
      </c>
      <c r="Z203" s="52">
        <v>58043.75</v>
      </c>
      <c r="AA203" s="43" t="s">
        <v>52</v>
      </c>
      <c r="AB203" s="43" t="s">
        <v>53</v>
      </c>
      <c r="AC203" s="85">
        <v>3650</v>
      </c>
      <c r="AD203" s="141">
        <v>10</v>
      </c>
      <c r="AE203" s="142">
        <v>0</v>
      </c>
      <c r="AF203" s="69" t="str">
        <f t="shared" si="28"/>
        <v>1 years 154 days</v>
      </c>
      <c r="AG203" s="69">
        <v>1</v>
      </c>
      <c r="AH203" s="69">
        <v>154</v>
      </c>
      <c r="AI203" s="69">
        <v>58043.75</v>
      </c>
      <c r="AJ203" s="67">
        <v>8253</v>
      </c>
      <c r="AK203" s="69">
        <v>2025</v>
      </c>
      <c r="AL203" s="61">
        <v>2878.6780821917819</v>
      </c>
      <c r="AM203" s="143"/>
    </row>
    <row r="204" spans="1:39" x14ac:dyDescent="0.35">
      <c r="A204" s="69" t="s">
        <v>4124</v>
      </c>
      <c r="B204" s="41">
        <v>1101404850</v>
      </c>
      <c r="C204" s="41"/>
      <c r="D204" s="41" t="s">
        <v>662</v>
      </c>
      <c r="E204" s="101">
        <v>4</v>
      </c>
      <c r="F204" s="41" t="s">
        <v>260</v>
      </c>
      <c r="G204" s="69" t="s">
        <v>259</v>
      </c>
      <c r="H204" s="41">
        <v>9007000053</v>
      </c>
      <c r="I204" s="41" t="s">
        <v>261</v>
      </c>
      <c r="J204" s="41">
        <v>1202010217</v>
      </c>
      <c r="K204" s="41"/>
      <c r="L204" s="52" t="s">
        <v>676</v>
      </c>
      <c r="M204" s="69" t="s">
        <v>677</v>
      </c>
      <c r="N204" s="69"/>
      <c r="O204" s="69">
        <v>1</v>
      </c>
      <c r="P204" s="69" t="s">
        <v>50</v>
      </c>
      <c r="Q204" s="69" t="s">
        <v>51</v>
      </c>
      <c r="R204" s="69"/>
      <c r="S204" s="48">
        <v>45150</v>
      </c>
      <c r="T204" s="48">
        <v>45150</v>
      </c>
      <c r="U204" s="69"/>
      <c r="V204" s="69"/>
      <c r="W204" s="69"/>
      <c r="X204" s="69"/>
      <c r="Y204" s="69" t="s">
        <v>4129</v>
      </c>
      <c r="Z204" s="52">
        <v>16500</v>
      </c>
      <c r="AA204" s="43" t="s">
        <v>52</v>
      </c>
      <c r="AB204" s="43" t="s">
        <v>53</v>
      </c>
      <c r="AC204" s="85">
        <v>3650</v>
      </c>
      <c r="AD204" s="141">
        <v>10</v>
      </c>
      <c r="AE204" s="142">
        <v>0</v>
      </c>
      <c r="AF204" s="69" t="str">
        <f t="shared" si="28"/>
        <v>1 years 143 days</v>
      </c>
      <c r="AG204" s="69">
        <v>1</v>
      </c>
      <c r="AH204" s="69">
        <v>143</v>
      </c>
      <c r="AI204" s="69">
        <v>16500</v>
      </c>
      <c r="AJ204" s="67">
        <v>2296</v>
      </c>
      <c r="AK204" s="69">
        <v>2025</v>
      </c>
      <c r="AL204" s="61">
        <v>818.65753424657532</v>
      </c>
      <c r="AM204" s="143"/>
    </row>
    <row r="205" spans="1:39" x14ac:dyDescent="0.35">
      <c r="A205" s="69" t="s">
        <v>4124</v>
      </c>
      <c r="B205" s="41">
        <v>1101103759</v>
      </c>
      <c r="C205" s="41"/>
      <c r="D205" s="41" t="s">
        <v>662</v>
      </c>
      <c r="E205" s="101">
        <v>5</v>
      </c>
      <c r="F205" s="41" t="s">
        <v>260</v>
      </c>
      <c r="G205" s="69" t="s">
        <v>259</v>
      </c>
      <c r="H205" s="41">
        <v>9007000053</v>
      </c>
      <c r="I205" s="41" t="s">
        <v>261</v>
      </c>
      <c r="J205" s="41">
        <v>1202010217</v>
      </c>
      <c r="K205" s="41"/>
      <c r="L205" s="52" t="s">
        <v>679</v>
      </c>
      <c r="M205" s="69" t="s">
        <v>680</v>
      </c>
      <c r="N205" s="69"/>
      <c r="O205" s="69">
        <v>1</v>
      </c>
      <c r="P205" s="69" t="s">
        <v>50</v>
      </c>
      <c r="Q205" s="69" t="s">
        <v>51</v>
      </c>
      <c r="R205" s="69"/>
      <c r="S205" s="48">
        <v>44382</v>
      </c>
      <c r="T205" s="48">
        <v>44382</v>
      </c>
      <c r="U205" s="69"/>
      <c r="V205" s="69"/>
      <c r="W205" s="69"/>
      <c r="X205" s="69"/>
      <c r="Y205" s="69" t="s">
        <v>4128</v>
      </c>
      <c r="Z205" s="52">
        <v>15949</v>
      </c>
      <c r="AA205" s="43" t="s">
        <v>52</v>
      </c>
      <c r="AB205" s="43" t="s">
        <v>53</v>
      </c>
      <c r="AC205" s="85">
        <v>3650</v>
      </c>
      <c r="AD205" s="141">
        <v>10</v>
      </c>
      <c r="AE205" s="142">
        <v>0</v>
      </c>
      <c r="AF205" s="69" t="str">
        <f t="shared" si="28"/>
        <v>3 years 181 days</v>
      </c>
      <c r="AG205" s="69">
        <v>3</v>
      </c>
      <c r="AH205" s="69">
        <v>181</v>
      </c>
      <c r="AI205" s="69">
        <v>15949</v>
      </c>
      <c r="AJ205" s="67">
        <v>5576</v>
      </c>
      <c r="AK205" s="69">
        <v>2025</v>
      </c>
      <c r="AL205" s="61">
        <v>790.49123287671318</v>
      </c>
      <c r="AM205" s="143"/>
    </row>
    <row r="206" spans="1:39" x14ac:dyDescent="0.35">
      <c r="A206" s="69" t="s">
        <v>4124</v>
      </c>
      <c r="B206" s="41">
        <v>1101104041</v>
      </c>
      <c r="C206" s="41"/>
      <c r="D206" s="41" t="s">
        <v>662</v>
      </c>
      <c r="E206" s="101">
        <v>6</v>
      </c>
      <c r="F206" s="41" t="s">
        <v>260</v>
      </c>
      <c r="G206" s="69" t="s">
        <v>259</v>
      </c>
      <c r="H206" s="41">
        <v>9007000053</v>
      </c>
      <c r="I206" s="41" t="s">
        <v>261</v>
      </c>
      <c r="J206" s="41">
        <v>1202010217</v>
      </c>
      <c r="K206" s="41"/>
      <c r="L206" s="52" t="s">
        <v>682</v>
      </c>
      <c r="M206" s="69" t="s">
        <v>683</v>
      </c>
      <c r="N206" s="69"/>
      <c r="O206" s="69">
        <v>13</v>
      </c>
      <c r="P206" s="69" t="s">
        <v>50</v>
      </c>
      <c r="Q206" s="69" t="s">
        <v>51</v>
      </c>
      <c r="R206" s="69"/>
      <c r="S206" s="48">
        <v>44624</v>
      </c>
      <c r="T206" s="48">
        <v>44624</v>
      </c>
      <c r="U206" s="69"/>
      <c r="V206" s="69"/>
      <c r="W206" s="69"/>
      <c r="X206" s="69"/>
      <c r="Y206" s="69" t="s">
        <v>4131</v>
      </c>
      <c r="Z206" s="52">
        <v>81000</v>
      </c>
      <c r="AA206" s="43" t="s">
        <v>52</v>
      </c>
      <c r="AB206" s="43" t="s">
        <v>53</v>
      </c>
      <c r="AC206" s="85">
        <v>3650</v>
      </c>
      <c r="AD206" s="141">
        <v>10</v>
      </c>
      <c r="AE206" s="142">
        <v>0</v>
      </c>
      <c r="AF206" s="69" t="str">
        <f t="shared" si="28"/>
        <v>2 years 304 days</v>
      </c>
      <c r="AG206" s="69">
        <v>2</v>
      </c>
      <c r="AH206" s="69">
        <v>304</v>
      </c>
      <c r="AI206" s="69">
        <v>81000</v>
      </c>
      <c r="AJ206" s="67">
        <v>22946</v>
      </c>
      <c r="AK206" s="69">
        <v>2025</v>
      </c>
      <c r="AL206" s="61">
        <v>4017.0136986301368</v>
      </c>
      <c r="AM206" s="143"/>
    </row>
    <row r="207" spans="1:39" x14ac:dyDescent="0.35">
      <c r="A207" s="69" t="s">
        <v>4124</v>
      </c>
      <c r="B207" s="41">
        <v>1101404681</v>
      </c>
      <c r="C207" s="41"/>
      <c r="D207" s="69"/>
      <c r="E207" s="101">
        <v>0</v>
      </c>
      <c r="F207" s="41" t="s">
        <v>260</v>
      </c>
      <c r="G207" s="69" t="s">
        <v>259</v>
      </c>
      <c r="H207" s="41">
        <v>9007000054</v>
      </c>
      <c r="I207" s="41" t="s">
        <v>261</v>
      </c>
      <c r="J207" s="41">
        <v>1202010217</v>
      </c>
      <c r="K207" s="41" t="s">
        <v>685</v>
      </c>
      <c r="L207" s="52" t="s">
        <v>686</v>
      </c>
      <c r="M207" s="69" t="s">
        <v>687</v>
      </c>
      <c r="N207" s="69"/>
      <c r="O207" s="69">
        <v>1</v>
      </c>
      <c r="P207" s="69" t="s">
        <v>50</v>
      </c>
      <c r="Q207" s="69" t="s">
        <v>51</v>
      </c>
      <c r="R207" s="69"/>
      <c r="S207" s="48">
        <v>45000</v>
      </c>
      <c r="T207" s="48">
        <v>45000</v>
      </c>
      <c r="U207" s="69"/>
      <c r="V207" s="69"/>
      <c r="W207" s="69"/>
      <c r="X207" s="69"/>
      <c r="Y207" s="69" t="s">
        <v>4129</v>
      </c>
      <c r="Z207" s="52">
        <v>9436684.7700000014</v>
      </c>
      <c r="AA207" s="43" t="s">
        <v>52</v>
      </c>
      <c r="AB207" s="43" t="s">
        <v>53</v>
      </c>
      <c r="AC207" s="85">
        <v>3650</v>
      </c>
      <c r="AD207" s="141">
        <v>10</v>
      </c>
      <c r="AE207" s="142">
        <v>0</v>
      </c>
      <c r="AF207" s="69" t="str">
        <f>_xlfn.CONCAT(AG207," years ",AH207," days")</f>
        <v>1 years 293 days</v>
      </c>
      <c r="AG207" s="69">
        <v>1</v>
      </c>
      <c r="AH207" s="69">
        <v>293</v>
      </c>
      <c r="AI207" s="69">
        <v>9436684.7700000014</v>
      </c>
      <c r="AJ207" s="67">
        <v>1701189</v>
      </c>
      <c r="AK207" s="69">
        <v>2025</v>
      </c>
      <c r="AL207" s="61">
        <v>467955.801627398</v>
      </c>
      <c r="AM207" s="143"/>
    </row>
    <row r="208" spans="1:39" x14ac:dyDescent="0.35">
      <c r="A208" s="69" t="s">
        <v>4124</v>
      </c>
      <c r="B208" s="41">
        <v>1101400632</v>
      </c>
      <c r="C208" s="41"/>
      <c r="D208" s="69"/>
      <c r="E208" s="101">
        <v>0</v>
      </c>
      <c r="F208" s="41" t="s">
        <v>260</v>
      </c>
      <c r="G208" s="69" t="s">
        <v>259</v>
      </c>
      <c r="H208" s="41">
        <v>9007000055</v>
      </c>
      <c r="I208" s="41" t="s">
        <v>689</v>
      </c>
      <c r="J208" s="41" t="s">
        <v>690</v>
      </c>
      <c r="K208" s="41" t="s">
        <v>691</v>
      </c>
      <c r="L208" s="52" t="s">
        <v>692</v>
      </c>
      <c r="M208" s="69" t="s">
        <v>693</v>
      </c>
      <c r="N208" s="69"/>
      <c r="O208" s="69">
        <v>1</v>
      </c>
      <c r="P208" s="69" t="s">
        <v>50</v>
      </c>
      <c r="Q208" s="69" t="s">
        <v>51</v>
      </c>
      <c r="R208" s="69"/>
      <c r="S208" s="48">
        <v>40756</v>
      </c>
      <c r="T208" s="48">
        <v>43340</v>
      </c>
      <c r="U208" s="69"/>
      <c r="V208" s="69"/>
      <c r="W208" s="69"/>
      <c r="X208" s="69"/>
      <c r="Y208" s="69" t="s">
        <v>4125</v>
      </c>
      <c r="Z208" s="52">
        <v>370000</v>
      </c>
      <c r="AA208" s="43" t="s">
        <v>52</v>
      </c>
      <c r="AB208" s="43" t="s">
        <v>53</v>
      </c>
      <c r="AC208" s="85">
        <v>1059</v>
      </c>
      <c r="AD208" s="141">
        <v>2</v>
      </c>
      <c r="AE208" s="142">
        <v>11</v>
      </c>
      <c r="AF208" s="69" t="str">
        <f>_xlfn.CONCAT(AG208," years ",AH208," days")</f>
        <v>2 years 329 days</v>
      </c>
      <c r="AG208" s="69">
        <v>2</v>
      </c>
      <c r="AH208" s="69">
        <v>329</v>
      </c>
      <c r="AI208" s="69">
        <v>370000</v>
      </c>
      <c r="AJ208" s="67">
        <v>370000</v>
      </c>
      <c r="AK208" s="69">
        <v>2025</v>
      </c>
      <c r="AL208" s="61">
        <v>0</v>
      </c>
      <c r="AM208" s="143"/>
    </row>
    <row r="209" spans="1:39" x14ac:dyDescent="0.35">
      <c r="A209" s="69" t="s">
        <v>4124</v>
      </c>
      <c r="B209" s="41">
        <v>1101404699</v>
      </c>
      <c r="C209" s="41"/>
      <c r="D209" s="69"/>
      <c r="E209" s="101">
        <v>0</v>
      </c>
      <c r="F209" s="41" t="s">
        <v>260</v>
      </c>
      <c r="G209" s="69" t="s">
        <v>259</v>
      </c>
      <c r="H209" s="41">
        <v>9007000056</v>
      </c>
      <c r="I209" s="41" t="s">
        <v>689</v>
      </c>
      <c r="J209" s="41" t="s">
        <v>690</v>
      </c>
      <c r="K209" s="41" t="s">
        <v>695</v>
      </c>
      <c r="L209" s="52" t="s">
        <v>696</v>
      </c>
      <c r="M209" s="69" t="s">
        <v>697</v>
      </c>
      <c r="N209" s="69"/>
      <c r="O209" s="69">
        <v>1</v>
      </c>
      <c r="P209" s="69" t="s">
        <v>50</v>
      </c>
      <c r="Q209" s="69" t="s">
        <v>51</v>
      </c>
      <c r="R209" s="69"/>
      <c r="S209" s="48">
        <v>45016</v>
      </c>
      <c r="T209" s="48">
        <v>45016</v>
      </c>
      <c r="U209" s="69"/>
      <c r="V209" s="69"/>
      <c r="W209" s="69"/>
      <c r="X209" s="69"/>
      <c r="Y209" s="69" t="s">
        <v>4129</v>
      </c>
      <c r="Z209" s="52">
        <v>1382500</v>
      </c>
      <c r="AA209" s="43" t="s">
        <v>52</v>
      </c>
      <c r="AB209" s="43" t="s">
        <v>53</v>
      </c>
      <c r="AC209" s="85">
        <v>3650</v>
      </c>
      <c r="AD209" s="141">
        <v>10</v>
      </c>
      <c r="AE209" s="142">
        <v>0</v>
      </c>
      <c r="AF209" s="69" t="str">
        <f>_xlfn.CONCAT(AG209," years ",AH209," days")</f>
        <v>1 years 277 days</v>
      </c>
      <c r="AG209" s="69">
        <v>1</v>
      </c>
      <c r="AH209" s="69">
        <v>277</v>
      </c>
      <c r="AI209" s="69">
        <v>1382500</v>
      </c>
      <c r="AJ209" s="67">
        <v>243547</v>
      </c>
      <c r="AK209" s="69">
        <v>2025</v>
      </c>
      <c r="AL209" s="61">
        <v>68557.109589041094</v>
      </c>
      <c r="AM209" s="143"/>
    </row>
    <row r="210" spans="1:39" x14ac:dyDescent="0.35">
      <c r="A210" s="69" t="s">
        <v>4124</v>
      </c>
      <c r="B210" s="41">
        <v>1101403037</v>
      </c>
      <c r="C210" s="41"/>
      <c r="D210" s="69"/>
      <c r="E210" s="101">
        <v>0</v>
      </c>
      <c r="F210" s="41" t="s">
        <v>260</v>
      </c>
      <c r="G210" s="69" t="s">
        <v>259</v>
      </c>
      <c r="H210" s="41">
        <v>9007000057</v>
      </c>
      <c r="I210" s="41" t="s">
        <v>261</v>
      </c>
      <c r="J210" s="41">
        <v>1202010217</v>
      </c>
      <c r="K210" s="41" t="s">
        <v>699</v>
      </c>
      <c r="L210" s="52" t="s">
        <v>700</v>
      </c>
      <c r="M210" s="69" t="s">
        <v>49</v>
      </c>
      <c r="N210" s="69"/>
      <c r="O210" s="69">
        <v>1</v>
      </c>
      <c r="P210" s="69" t="s">
        <v>50</v>
      </c>
      <c r="Q210" s="69" t="s">
        <v>51</v>
      </c>
      <c r="R210" s="69"/>
      <c r="S210" s="48">
        <v>43703</v>
      </c>
      <c r="T210" s="48">
        <v>43703</v>
      </c>
      <c r="U210" s="69"/>
      <c r="V210" s="69"/>
      <c r="W210" s="69"/>
      <c r="X210" s="69"/>
      <c r="Y210" s="69" t="s">
        <v>4126</v>
      </c>
      <c r="Z210" s="52">
        <v>3472162</v>
      </c>
      <c r="AA210" s="43" t="s">
        <v>52</v>
      </c>
      <c r="AB210" s="43" t="s">
        <v>53</v>
      </c>
      <c r="AC210" s="85">
        <v>3650</v>
      </c>
      <c r="AD210" s="141">
        <v>10</v>
      </c>
      <c r="AE210" s="142">
        <v>0</v>
      </c>
      <c r="AF210" s="69" t="str">
        <f t="shared" ref="AF210:AF211" si="29">_xlfn.CONCAT(AG210," years ",AH210," days")</f>
        <v>5 years 130 days</v>
      </c>
      <c r="AG210" s="69">
        <v>5</v>
      </c>
      <c r="AH210" s="69">
        <v>130</v>
      </c>
      <c r="AI210" s="69">
        <v>3472162</v>
      </c>
      <c r="AJ210" s="67">
        <v>1859747</v>
      </c>
      <c r="AK210" s="69">
        <v>2025</v>
      </c>
      <c r="AL210" s="61">
        <v>172181.22794520576</v>
      </c>
      <c r="AM210" s="143"/>
    </row>
    <row r="211" spans="1:39" x14ac:dyDescent="0.35">
      <c r="A211" s="69" t="s">
        <v>4124</v>
      </c>
      <c r="B211" s="41">
        <v>1101405218</v>
      </c>
      <c r="C211" s="41"/>
      <c r="D211" s="41" t="s">
        <v>698</v>
      </c>
      <c r="E211" s="101">
        <v>1</v>
      </c>
      <c r="F211" s="41" t="s">
        <v>260</v>
      </c>
      <c r="G211" s="69" t="s">
        <v>259</v>
      </c>
      <c r="H211" s="41">
        <v>9007000057</v>
      </c>
      <c r="I211" s="41" t="s">
        <v>261</v>
      </c>
      <c r="J211" s="41">
        <v>1202010217</v>
      </c>
      <c r="K211" s="41" t="s">
        <v>702</v>
      </c>
      <c r="L211" s="52" t="s">
        <v>703</v>
      </c>
      <c r="M211" s="69" t="s">
        <v>49</v>
      </c>
      <c r="N211" s="69"/>
      <c r="O211" s="69">
        <v>1</v>
      </c>
      <c r="P211" s="69" t="s">
        <v>50</v>
      </c>
      <c r="Q211" s="69" t="s">
        <v>51</v>
      </c>
      <c r="R211" s="69"/>
      <c r="S211" s="48">
        <v>45444</v>
      </c>
      <c r="T211" s="48">
        <v>45444</v>
      </c>
      <c r="U211" s="69"/>
      <c r="V211" s="69"/>
      <c r="W211" s="69"/>
      <c r="X211" s="69"/>
      <c r="Y211" s="69" t="s">
        <v>4130</v>
      </c>
      <c r="Z211" s="83">
        <v>253120</v>
      </c>
      <c r="AA211" s="43" t="s">
        <v>52</v>
      </c>
      <c r="AB211" s="43" t="s">
        <v>53</v>
      </c>
      <c r="AC211" s="85">
        <v>1825</v>
      </c>
      <c r="AD211" s="141">
        <v>5</v>
      </c>
      <c r="AE211" s="142">
        <v>0</v>
      </c>
      <c r="AF211" s="69" t="str">
        <f t="shared" si="29"/>
        <v>0 years 214 days</v>
      </c>
      <c r="AG211" s="69">
        <v>0</v>
      </c>
      <c r="AH211" s="69">
        <v>214</v>
      </c>
      <c r="AI211" s="69">
        <v>253120</v>
      </c>
      <c r="AJ211" s="67">
        <v>29681</v>
      </c>
      <c r="AK211" s="69">
        <v>2025</v>
      </c>
      <c r="AL211" s="61">
        <v>25103.876712328769</v>
      </c>
      <c r="AM211" s="143"/>
    </row>
    <row r="212" spans="1:39" x14ac:dyDescent="0.35">
      <c r="A212" s="69" t="s">
        <v>4124</v>
      </c>
      <c r="B212" s="41">
        <v>1101403456</v>
      </c>
      <c r="C212" s="41"/>
      <c r="D212" s="69"/>
      <c r="E212" s="101">
        <v>0</v>
      </c>
      <c r="F212" s="41" t="s">
        <v>260</v>
      </c>
      <c r="G212" s="69" t="s">
        <v>259</v>
      </c>
      <c r="H212" s="41">
        <v>9007000058</v>
      </c>
      <c r="I212" s="41" t="s">
        <v>261</v>
      </c>
      <c r="J212" s="41">
        <v>1202010217</v>
      </c>
      <c r="K212" s="41" t="s">
        <v>705</v>
      </c>
      <c r="L212" s="52" t="s">
        <v>706</v>
      </c>
      <c r="M212" s="69" t="s">
        <v>707</v>
      </c>
      <c r="N212" s="69"/>
      <c r="O212" s="69">
        <v>1</v>
      </c>
      <c r="P212" s="69" t="s">
        <v>50</v>
      </c>
      <c r="Q212" s="69" t="s">
        <v>51</v>
      </c>
      <c r="R212" s="69"/>
      <c r="S212" s="48">
        <v>44163</v>
      </c>
      <c r="T212" s="48">
        <v>44163</v>
      </c>
      <c r="U212" s="69"/>
      <c r="V212" s="69"/>
      <c r="W212" s="69"/>
      <c r="X212" s="69"/>
      <c r="Y212" s="69" t="s">
        <v>4127</v>
      </c>
      <c r="Z212" s="52">
        <v>1094970</v>
      </c>
      <c r="AA212" s="43" t="s">
        <v>52</v>
      </c>
      <c r="AB212" s="43" t="s">
        <v>53</v>
      </c>
      <c r="AC212" s="85">
        <v>3650</v>
      </c>
      <c r="AD212" s="141">
        <v>10</v>
      </c>
      <c r="AE212" s="142">
        <v>0</v>
      </c>
      <c r="AF212" s="69" t="str">
        <f>_xlfn.CONCAT(AG212," years ",AH212," days")</f>
        <v>4 years 35 days</v>
      </c>
      <c r="AG212" s="69">
        <v>4</v>
      </c>
      <c r="AH212" s="69">
        <v>35</v>
      </c>
      <c r="AI212" s="69">
        <v>1094970</v>
      </c>
      <c r="AJ212" s="67">
        <v>448488</v>
      </c>
      <c r="AK212" s="69">
        <v>2025</v>
      </c>
      <c r="AL212" s="61">
        <v>54298.224657534272</v>
      </c>
      <c r="AM212" s="143"/>
    </row>
    <row r="213" spans="1:39" x14ac:dyDescent="0.35">
      <c r="A213" s="69" t="s">
        <v>4124</v>
      </c>
      <c r="B213" s="41">
        <v>1101404674</v>
      </c>
      <c r="C213" s="41"/>
      <c r="D213" s="69"/>
      <c r="E213" s="101">
        <v>0</v>
      </c>
      <c r="F213" s="41" t="s">
        <v>260</v>
      </c>
      <c r="G213" s="69" t="s">
        <v>259</v>
      </c>
      <c r="H213" s="41">
        <v>9007000059</v>
      </c>
      <c r="I213" s="41" t="s">
        <v>261</v>
      </c>
      <c r="J213" s="41">
        <v>1202010217</v>
      </c>
      <c r="K213" s="41" t="s">
        <v>709</v>
      </c>
      <c r="L213" s="52" t="s">
        <v>710</v>
      </c>
      <c r="M213" s="69" t="s">
        <v>711</v>
      </c>
      <c r="N213" s="69"/>
      <c r="O213" s="69">
        <v>1</v>
      </c>
      <c r="P213" s="69" t="s">
        <v>50</v>
      </c>
      <c r="Q213" s="69" t="s">
        <v>51</v>
      </c>
      <c r="R213" s="69"/>
      <c r="S213" s="48">
        <v>45000</v>
      </c>
      <c r="T213" s="48">
        <v>45000</v>
      </c>
      <c r="U213" s="69"/>
      <c r="V213" s="69"/>
      <c r="W213" s="69"/>
      <c r="X213" s="69"/>
      <c r="Y213" s="69" t="s">
        <v>4129</v>
      </c>
      <c r="Z213" s="52">
        <v>12465845.199999999</v>
      </c>
      <c r="AA213" s="43" t="s">
        <v>52</v>
      </c>
      <c r="AB213" s="43" t="s">
        <v>53</v>
      </c>
      <c r="AC213" s="85">
        <v>3650</v>
      </c>
      <c r="AD213" s="141">
        <v>10</v>
      </c>
      <c r="AE213" s="142">
        <v>0</v>
      </c>
      <c r="AF213" s="69" t="str">
        <f t="shared" ref="AF213:AF223" si="30">_xlfn.CONCAT(AG213," years ",AH213," days")</f>
        <v>1 years 293 days</v>
      </c>
      <c r="AG213" s="69">
        <v>1</v>
      </c>
      <c r="AH213" s="69">
        <v>293</v>
      </c>
      <c r="AI213" s="69">
        <v>12465845.199999999</v>
      </c>
      <c r="AJ213" s="67">
        <v>2247267</v>
      </c>
      <c r="AK213" s="69">
        <v>2025</v>
      </c>
      <c r="AL213" s="61">
        <v>618169.74504109612</v>
      </c>
      <c r="AM213" s="143"/>
    </row>
    <row r="214" spans="1:39" x14ac:dyDescent="0.35">
      <c r="A214" s="69" t="s">
        <v>4124</v>
      </c>
      <c r="B214" s="41">
        <v>1101403245</v>
      </c>
      <c r="C214" s="41"/>
      <c r="D214" s="41" t="s">
        <v>708</v>
      </c>
      <c r="E214" s="101">
        <v>1</v>
      </c>
      <c r="F214" s="41" t="s">
        <v>260</v>
      </c>
      <c r="G214" s="69" t="s">
        <v>259</v>
      </c>
      <c r="H214" s="41">
        <v>9007000059</v>
      </c>
      <c r="I214" s="41" t="s">
        <v>261</v>
      </c>
      <c r="J214" s="41">
        <v>1202010217</v>
      </c>
      <c r="K214" s="41"/>
      <c r="L214" s="52" t="s">
        <v>713</v>
      </c>
      <c r="M214" s="69" t="s">
        <v>714</v>
      </c>
      <c r="N214" s="69"/>
      <c r="O214" s="69">
        <v>1</v>
      </c>
      <c r="P214" s="69" t="s">
        <v>50</v>
      </c>
      <c r="Q214" s="69" t="s">
        <v>51</v>
      </c>
      <c r="R214" s="69"/>
      <c r="S214" s="48">
        <v>43867</v>
      </c>
      <c r="T214" s="48">
        <v>43867</v>
      </c>
      <c r="U214" s="69"/>
      <c r="V214" s="69"/>
      <c r="W214" s="69"/>
      <c r="X214" s="69"/>
      <c r="Y214" s="69" t="s">
        <v>4127</v>
      </c>
      <c r="Z214" s="52">
        <v>230050</v>
      </c>
      <c r="AA214" s="43" t="s">
        <v>52</v>
      </c>
      <c r="AB214" s="43" t="s">
        <v>53</v>
      </c>
      <c r="AC214" s="85">
        <v>3650</v>
      </c>
      <c r="AD214" s="141">
        <v>10</v>
      </c>
      <c r="AE214" s="142">
        <v>0</v>
      </c>
      <c r="AF214" s="69" t="str">
        <f t="shared" si="30"/>
        <v>4 years 331 days</v>
      </c>
      <c r="AG214" s="69">
        <v>4</v>
      </c>
      <c r="AH214" s="69">
        <v>331</v>
      </c>
      <c r="AI214" s="69">
        <v>230050</v>
      </c>
      <c r="AJ214" s="67">
        <v>112882</v>
      </c>
      <c r="AK214" s="69">
        <v>2025</v>
      </c>
      <c r="AL214" s="61">
        <v>11408.027397260274</v>
      </c>
      <c r="AM214" s="143"/>
    </row>
    <row r="215" spans="1:39" x14ac:dyDescent="0.35">
      <c r="A215" s="69" t="s">
        <v>4124</v>
      </c>
      <c r="B215" s="41">
        <v>1101403287</v>
      </c>
      <c r="C215" s="41"/>
      <c r="D215" s="41" t="s">
        <v>708</v>
      </c>
      <c r="E215" s="101">
        <v>2</v>
      </c>
      <c r="F215" s="41" t="s">
        <v>260</v>
      </c>
      <c r="G215" s="69" t="s">
        <v>259</v>
      </c>
      <c r="H215" s="41">
        <v>9007000059</v>
      </c>
      <c r="I215" s="41" t="s">
        <v>261</v>
      </c>
      <c r="J215" s="41">
        <v>1202010217</v>
      </c>
      <c r="K215" s="41"/>
      <c r="L215" s="52" t="s">
        <v>716</v>
      </c>
      <c r="M215" s="69" t="s">
        <v>717</v>
      </c>
      <c r="N215" s="69"/>
      <c r="O215" s="69">
        <v>1</v>
      </c>
      <c r="P215" s="69" t="s">
        <v>50</v>
      </c>
      <c r="Q215" s="69" t="s">
        <v>51</v>
      </c>
      <c r="R215" s="69"/>
      <c r="S215" s="48">
        <v>43931</v>
      </c>
      <c r="T215" s="48">
        <v>43931</v>
      </c>
      <c r="U215" s="69"/>
      <c r="V215" s="69"/>
      <c r="W215" s="69"/>
      <c r="X215" s="69"/>
      <c r="Y215" s="69" t="s">
        <v>4127</v>
      </c>
      <c r="Z215" s="52">
        <v>314176</v>
      </c>
      <c r="AA215" s="43" t="s">
        <v>52</v>
      </c>
      <c r="AB215" s="43" t="s">
        <v>53</v>
      </c>
      <c r="AC215" s="85">
        <v>3650</v>
      </c>
      <c r="AD215" s="141">
        <v>10</v>
      </c>
      <c r="AE215" s="142">
        <v>0</v>
      </c>
      <c r="AF215" s="69" t="str">
        <f t="shared" si="30"/>
        <v>4 years 267 days</v>
      </c>
      <c r="AG215" s="69">
        <v>4</v>
      </c>
      <c r="AH215" s="69">
        <v>267</v>
      </c>
      <c r="AI215" s="69">
        <v>314176</v>
      </c>
      <c r="AJ215" s="67">
        <v>148653</v>
      </c>
      <c r="AK215" s="69">
        <v>2025</v>
      </c>
      <c r="AL215" s="61">
        <v>15579.276164383569</v>
      </c>
      <c r="AM215" s="143"/>
    </row>
    <row r="216" spans="1:39" x14ac:dyDescent="0.35">
      <c r="A216" s="69" t="s">
        <v>4124</v>
      </c>
      <c r="B216" s="41">
        <v>1101403571</v>
      </c>
      <c r="C216" s="41"/>
      <c r="D216" s="41" t="s">
        <v>708</v>
      </c>
      <c r="E216" s="101">
        <v>3</v>
      </c>
      <c r="F216" s="41" t="s">
        <v>260</v>
      </c>
      <c r="G216" s="69" t="s">
        <v>259</v>
      </c>
      <c r="H216" s="41">
        <v>9007000059</v>
      </c>
      <c r="I216" s="41" t="s">
        <v>261</v>
      </c>
      <c r="J216" s="41">
        <v>1202010217</v>
      </c>
      <c r="K216" s="41"/>
      <c r="L216" s="52" t="s">
        <v>719</v>
      </c>
      <c r="M216" s="69" t="s">
        <v>720</v>
      </c>
      <c r="N216" s="69"/>
      <c r="O216" s="69">
        <v>1</v>
      </c>
      <c r="P216" s="69" t="s">
        <v>50</v>
      </c>
      <c r="Q216" s="69" t="s">
        <v>51</v>
      </c>
      <c r="R216" s="69"/>
      <c r="S216" s="48">
        <v>44252</v>
      </c>
      <c r="T216" s="48">
        <v>44252</v>
      </c>
      <c r="U216" s="69"/>
      <c r="V216" s="69"/>
      <c r="W216" s="69"/>
      <c r="X216" s="69"/>
      <c r="Y216" s="69" t="s">
        <v>4128</v>
      </c>
      <c r="Z216" s="52">
        <v>203248</v>
      </c>
      <c r="AA216" s="43" t="s">
        <v>52</v>
      </c>
      <c r="AB216" s="43" t="s">
        <v>53</v>
      </c>
      <c r="AC216" s="85">
        <v>3650</v>
      </c>
      <c r="AD216" s="141">
        <v>10</v>
      </c>
      <c r="AE216" s="142">
        <v>0</v>
      </c>
      <c r="AF216" s="69" t="str">
        <f t="shared" si="30"/>
        <v>3 years 311 days</v>
      </c>
      <c r="AG216" s="69">
        <v>3</v>
      </c>
      <c r="AH216" s="69">
        <v>311</v>
      </c>
      <c r="AI216" s="69">
        <v>203248</v>
      </c>
      <c r="AJ216" s="67">
        <v>78292</v>
      </c>
      <c r="AK216" s="69">
        <v>2025</v>
      </c>
      <c r="AL216" s="61">
        <v>10079.116712328774</v>
      </c>
      <c r="AM216" s="143"/>
    </row>
    <row r="217" spans="1:39" x14ac:dyDescent="0.35">
      <c r="A217" s="69" t="s">
        <v>4124</v>
      </c>
      <c r="B217" s="41">
        <v>1101403794</v>
      </c>
      <c r="C217" s="41"/>
      <c r="D217" s="41" t="s">
        <v>708</v>
      </c>
      <c r="E217" s="101">
        <v>4</v>
      </c>
      <c r="F217" s="41" t="s">
        <v>260</v>
      </c>
      <c r="G217" s="69" t="s">
        <v>259</v>
      </c>
      <c r="H217" s="41">
        <v>9007000059</v>
      </c>
      <c r="I217" s="41" t="s">
        <v>261</v>
      </c>
      <c r="J217" s="41">
        <v>1202010217</v>
      </c>
      <c r="K217" s="41"/>
      <c r="L217" s="52" t="s">
        <v>722</v>
      </c>
      <c r="M217" s="69" t="s">
        <v>723</v>
      </c>
      <c r="N217" s="69"/>
      <c r="O217" s="69">
        <v>1</v>
      </c>
      <c r="P217" s="69" t="s">
        <v>50</v>
      </c>
      <c r="Q217" s="69" t="s">
        <v>51</v>
      </c>
      <c r="R217" s="69"/>
      <c r="S217" s="48">
        <v>44413</v>
      </c>
      <c r="T217" s="48">
        <v>44413</v>
      </c>
      <c r="U217" s="69"/>
      <c r="V217" s="69"/>
      <c r="W217" s="69"/>
      <c r="X217" s="69"/>
      <c r="Y217" s="69" t="s">
        <v>4128</v>
      </c>
      <c r="Z217" s="52">
        <v>27990</v>
      </c>
      <c r="AA217" s="43" t="s">
        <v>52</v>
      </c>
      <c r="AB217" s="43" t="s">
        <v>53</v>
      </c>
      <c r="AC217" s="85">
        <v>3650</v>
      </c>
      <c r="AD217" s="141">
        <v>10</v>
      </c>
      <c r="AE217" s="142">
        <v>0</v>
      </c>
      <c r="AF217" s="69" t="str">
        <f t="shared" si="30"/>
        <v>3 years 150 days</v>
      </c>
      <c r="AG217" s="69">
        <v>3</v>
      </c>
      <c r="AH217" s="69">
        <v>150</v>
      </c>
      <c r="AI217" s="69">
        <v>27990</v>
      </c>
      <c r="AJ217" s="67">
        <v>9547</v>
      </c>
      <c r="AK217" s="69">
        <v>2025</v>
      </c>
      <c r="AL217" s="61">
        <v>1388.271232876712</v>
      </c>
      <c r="AM217" s="143"/>
    </row>
    <row r="218" spans="1:39" x14ac:dyDescent="0.35">
      <c r="A218" s="69" t="s">
        <v>4124</v>
      </c>
      <c r="B218" s="41">
        <v>1101404549</v>
      </c>
      <c r="C218" s="41"/>
      <c r="D218" s="41" t="s">
        <v>708</v>
      </c>
      <c r="E218" s="101">
        <v>5</v>
      </c>
      <c r="F218" s="41" t="s">
        <v>260</v>
      </c>
      <c r="G218" s="69" t="s">
        <v>259</v>
      </c>
      <c r="H218" s="41">
        <v>9007000059</v>
      </c>
      <c r="I218" s="41" t="s">
        <v>261</v>
      </c>
      <c r="J218" s="41">
        <v>1202010217</v>
      </c>
      <c r="K218" s="41"/>
      <c r="L218" s="52" t="s">
        <v>725</v>
      </c>
      <c r="M218" s="69" t="s">
        <v>726</v>
      </c>
      <c r="N218" s="69"/>
      <c r="O218" s="69">
        <v>1</v>
      </c>
      <c r="P218" s="69" t="s">
        <v>50</v>
      </c>
      <c r="Q218" s="69" t="s">
        <v>51</v>
      </c>
      <c r="R218" s="69"/>
      <c r="S218" s="48">
        <v>44910</v>
      </c>
      <c r="T218" s="48">
        <v>44910</v>
      </c>
      <c r="U218" s="69"/>
      <c r="V218" s="69"/>
      <c r="W218" s="69"/>
      <c r="X218" s="69"/>
      <c r="Y218" s="69" t="s">
        <v>4131</v>
      </c>
      <c r="Z218" s="52">
        <v>143664</v>
      </c>
      <c r="AA218" s="43" t="s">
        <v>52</v>
      </c>
      <c r="AB218" s="43" t="s">
        <v>53</v>
      </c>
      <c r="AC218" s="85">
        <v>3650</v>
      </c>
      <c r="AD218" s="141">
        <v>10</v>
      </c>
      <c r="AE218" s="142">
        <v>0</v>
      </c>
      <c r="AF218" s="69" t="str">
        <f t="shared" si="30"/>
        <v>2 years 18 days</v>
      </c>
      <c r="AG218" s="69">
        <v>2</v>
      </c>
      <c r="AH218" s="69">
        <v>18</v>
      </c>
      <c r="AI218" s="69">
        <v>143664</v>
      </c>
      <c r="AJ218" s="67">
        <v>29441</v>
      </c>
      <c r="AK218" s="69">
        <v>2025</v>
      </c>
      <c r="AL218" s="61">
        <v>7124.4400000000023</v>
      </c>
      <c r="AM218" s="143"/>
    </row>
    <row r="219" spans="1:39" x14ac:dyDescent="0.35">
      <c r="A219" s="69" t="s">
        <v>4124</v>
      </c>
      <c r="B219" s="41">
        <v>1101404805</v>
      </c>
      <c r="C219" s="41"/>
      <c r="D219" s="41" t="s">
        <v>708</v>
      </c>
      <c r="E219" s="101">
        <v>6</v>
      </c>
      <c r="F219" s="41" t="s">
        <v>260</v>
      </c>
      <c r="G219" s="69" t="s">
        <v>259</v>
      </c>
      <c r="H219" s="41">
        <v>9007000059</v>
      </c>
      <c r="I219" s="41" t="s">
        <v>261</v>
      </c>
      <c r="J219" s="41">
        <v>1202010217</v>
      </c>
      <c r="K219" s="41"/>
      <c r="L219" s="52" t="s">
        <v>728</v>
      </c>
      <c r="M219" s="69" t="s">
        <v>729</v>
      </c>
      <c r="N219" s="69"/>
      <c r="O219" s="69">
        <v>1</v>
      </c>
      <c r="P219" s="69" t="s">
        <v>50</v>
      </c>
      <c r="Q219" s="69" t="s">
        <v>51</v>
      </c>
      <c r="R219" s="69"/>
      <c r="S219" s="48">
        <v>45108</v>
      </c>
      <c r="T219" s="48">
        <v>45108</v>
      </c>
      <c r="U219" s="69"/>
      <c r="V219" s="69"/>
      <c r="W219" s="69"/>
      <c r="X219" s="69"/>
      <c r="Y219" s="69" t="s">
        <v>4129</v>
      </c>
      <c r="Z219" s="52">
        <v>165540</v>
      </c>
      <c r="AA219" s="43" t="s">
        <v>52</v>
      </c>
      <c r="AB219" s="43" t="s">
        <v>53</v>
      </c>
      <c r="AC219" s="85">
        <v>3650</v>
      </c>
      <c r="AD219" s="141">
        <v>10</v>
      </c>
      <c r="AE219" s="142">
        <v>0</v>
      </c>
      <c r="AF219" s="69" t="str">
        <f t="shared" si="30"/>
        <v>1 years 185 days</v>
      </c>
      <c r="AG219" s="69">
        <v>1</v>
      </c>
      <c r="AH219" s="69">
        <v>185</v>
      </c>
      <c r="AI219" s="69">
        <v>165540</v>
      </c>
      <c r="AJ219" s="67">
        <v>24944</v>
      </c>
      <c r="AK219" s="69">
        <v>2025</v>
      </c>
      <c r="AL219" s="61">
        <v>8209.3534246575364</v>
      </c>
      <c r="AM219" s="143"/>
    </row>
    <row r="220" spans="1:39" x14ac:dyDescent="0.35">
      <c r="A220" s="69" t="s">
        <v>4124</v>
      </c>
      <c r="B220" s="41">
        <v>1101404812</v>
      </c>
      <c r="C220" s="41"/>
      <c r="D220" s="41" t="s">
        <v>708</v>
      </c>
      <c r="E220" s="101">
        <v>7</v>
      </c>
      <c r="F220" s="41" t="s">
        <v>260</v>
      </c>
      <c r="G220" s="69" t="s">
        <v>259</v>
      </c>
      <c r="H220" s="41">
        <v>9007000059</v>
      </c>
      <c r="I220" s="41" t="s">
        <v>261</v>
      </c>
      <c r="J220" s="41">
        <v>1202010217</v>
      </c>
      <c r="K220" s="41"/>
      <c r="L220" s="52" t="s">
        <v>731</v>
      </c>
      <c r="M220" s="69" t="s">
        <v>732</v>
      </c>
      <c r="N220" s="69"/>
      <c r="O220" s="69">
        <v>1</v>
      </c>
      <c r="P220" s="69" t="s">
        <v>50</v>
      </c>
      <c r="Q220" s="69" t="s">
        <v>51</v>
      </c>
      <c r="R220" s="69"/>
      <c r="S220" s="48">
        <v>45112</v>
      </c>
      <c r="T220" s="48">
        <v>45112</v>
      </c>
      <c r="U220" s="69"/>
      <c r="V220" s="69"/>
      <c r="W220" s="69"/>
      <c r="X220" s="69"/>
      <c r="Y220" s="69" t="s">
        <v>4129</v>
      </c>
      <c r="Z220" s="52">
        <v>175731</v>
      </c>
      <c r="AA220" s="43" t="s">
        <v>52</v>
      </c>
      <c r="AB220" s="43" t="s">
        <v>53</v>
      </c>
      <c r="AC220" s="85">
        <v>3650</v>
      </c>
      <c r="AD220" s="141">
        <v>10</v>
      </c>
      <c r="AE220" s="142">
        <v>0</v>
      </c>
      <c r="AF220" s="69" t="str">
        <f t="shared" si="30"/>
        <v>1 years 181 days</v>
      </c>
      <c r="AG220" s="69">
        <v>1</v>
      </c>
      <c r="AH220" s="69">
        <v>181</v>
      </c>
      <c r="AI220" s="69">
        <v>175731</v>
      </c>
      <c r="AJ220" s="67">
        <v>26287</v>
      </c>
      <c r="AK220" s="69">
        <v>2025</v>
      </c>
      <c r="AL220" s="61">
        <v>8714.7635616438347</v>
      </c>
      <c r="AM220" s="143"/>
    </row>
    <row r="221" spans="1:39" x14ac:dyDescent="0.35">
      <c r="A221" s="69" t="s">
        <v>4124</v>
      </c>
      <c r="B221" s="41">
        <v>1101404864</v>
      </c>
      <c r="C221" s="41"/>
      <c r="D221" s="41" t="s">
        <v>708</v>
      </c>
      <c r="E221" s="101">
        <v>8</v>
      </c>
      <c r="F221" s="41" t="s">
        <v>260</v>
      </c>
      <c r="G221" s="69" t="s">
        <v>259</v>
      </c>
      <c r="H221" s="41">
        <v>9007000059</v>
      </c>
      <c r="I221" s="41" t="s">
        <v>261</v>
      </c>
      <c r="J221" s="41">
        <v>1202010217</v>
      </c>
      <c r="K221" s="41" t="s">
        <v>734</v>
      </c>
      <c r="L221" s="52" t="s">
        <v>735</v>
      </c>
      <c r="M221" s="69" t="s">
        <v>49</v>
      </c>
      <c r="N221" s="69"/>
      <c r="O221" s="69">
        <v>1</v>
      </c>
      <c r="P221" s="69" t="s">
        <v>50</v>
      </c>
      <c r="Q221" s="69" t="s">
        <v>51</v>
      </c>
      <c r="R221" s="69"/>
      <c r="S221" s="48">
        <v>45161</v>
      </c>
      <c r="T221" s="48">
        <v>45161</v>
      </c>
      <c r="U221" s="69"/>
      <c r="V221" s="69"/>
      <c r="W221" s="69"/>
      <c r="X221" s="69"/>
      <c r="Y221" s="69" t="s">
        <v>4129</v>
      </c>
      <c r="Z221" s="52">
        <v>275305</v>
      </c>
      <c r="AA221" s="43" t="s">
        <v>52</v>
      </c>
      <c r="AB221" s="43" t="s">
        <v>53</v>
      </c>
      <c r="AC221" s="85">
        <v>3650</v>
      </c>
      <c r="AD221" s="141">
        <v>10</v>
      </c>
      <c r="AE221" s="142">
        <v>0</v>
      </c>
      <c r="AF221" s="69" t="str">
        <f t="shared" si="30"/>
        <v>1 years 132 days</v>
      </c>
      <c r="AG221" s="69">
        <v>1</v>
      </c>
      <c r="AH221" s="69">
        <v>132</v>
      </c>
      <c r="AI221" s="69">
        <v>275305</v>
      </c>
      <c r="AJ221" s="67">
        <v>37487</v>
      </c>
      <c r="AK221" s="69">
        <v>2025</v>
      </c>
      <c r="AL221" s="61">
        <v>13651.846575342468</v>
      </c>
      <c r="AM221" s="143"/>
    </row>
    <row r="222" spans="1:39" x14ac:dyDescent="0.35">
      <c r="A222" s="69" t="s">
        <v>4124</v>
      </c>
      <c r="B222" s="41">
        <v>1101504324</v>
      </c>
      <c r="C222" s="41"/>
      <c r="D222" s="41" t="s">
        <v>708</v>
      </c>
      <c r="E222" s="101">
        <v>9</v>
      </c>
      <c r="F222" s="41" t="s">
        <v>260</v>
      </c>
      <c r="G222" s="69" t="s">
        <v>259</v>
      </c>
      <c r="H222" s="41">
        <v>9007000059</v>
      </c>
      <c r="I222" s="41" t="s">
        <v>261</v>
      </c>
      <c r="J222" s="41">
        <v>1202010217</v>
      </c>
      <c r="K222" s="41"/>
      <c r="L222" s="52" t="s">
        <v>737</v>
      </c>
      <c r="M222" s="69" t="s">
        <v>738</v>
      </c>
      <c r="N222" s="69"/>
      <c r="O222" s="69">
        <v>1</v>
      </c>
      <c r="P222" s="69" t="s">
        <v>50</v>
      </c>
      <c r="Q222" s="69" t="s">
        <v>51</v>
      </c>
      <c r="R222" s="69"/>
      <c r="S222" s="48">
        <v>42400</v>
      </c>
      <c r="T222" s="48">
        <v>43340</v>
      </c>
      <c r="U222" s="69"/>
      <c r="V222" s="69"/>
      <c r="W222" s="69"/>
      <c r="X222" s="69"/>
      <c r="Y222" s="69" t="s">
        <v>4125</v>
      </c>
      <c r="Z222" s="52">
        <v>140000</v>
      </c>
      <c r="AA222" s="43" t="s">
        <v>52</v>
      </c>
      <c r="AB222" s="43" t="s">
        <v>53</v>
      </c>
      <c r="AC222" s="85">
        <v>2117</v>
      </c>
      <c r="AD222" s="141">
        <v>5</v>
      </c>
      <c r="AE222" s="142">
        <v>10</v>
      </c>
      <c r="AF222" s="69" t="str">
        <f t="shared" si="30"/>
        <v>5 years 292 days</v>
      </c>
      <c r="AG222" s="69">
        <v>5</v>
      </c>
      <c r="AH222" s="69">
        <v>292</v>
      </c>
      <c r="AI222" s="69">
        <v>140000</v>
      </c>
      <c r="AJ222" s="67">
        <v>140000</v>
      </c>
      <c r="AK222" s="69">
        <v>2025</v>
      </c>
      <c r="AL222" s="61">
        <v>0</v>
      </c>
      <c r="AM222" s="143"/>
    </row>
    <row r="223" spans="1:39" x14ac:dyDescent="0.35">
      <c r="A223" s="69" t="s">
        <v>4124</v>
      </c>
      <c r="B223" s="41">
        <v>1101504337</v>
      </c>
      <c r="C223" s="41"/>
      <c r="D223" s="41" t="s">
        <v>708</v>
      </c>
      <c r="E223" s="101">
        <v>10</v>
      </c>
      <c r="F223" s="41" t="s">
        <v>260</v>
      </c>
      <c r="G223" s="69" t="s">
        <v>259</v>
      </c>
      <c r="H223" s="41">
        <v>9007000059</v>
      </c>
      <c r="I223" s="41" t="s">
        <v>261</v>
      </c>
      <c r="J223" s="41">
        <v>1202010217</v>
      </c>
      <c r="K223" s="41"/>
      <c r="L223" s="52" t="s">
        <v>740</v>
      </c>
      <c r="M223" s="69" t="s">
        <v>741</v>
      </c>
      <c r="N223" s="69"/>
      <c r="O223" s="69">
        <v>1</v>
      </c>
      <c r="P223" s="69" t="s">
        <v>50</v>
      </c>
      <c r="Q223" s="69" t="s">
        <v>51</v>
      </c>
      <c r="R223" s="69"/>
      <c r="S223" s="48">
        <v>43581</v>
      </c>
      <c r="T223" s="48">
        <v>43581</v>
      </c>
      <c r="U223" s="69"/>
      <c r="V223" s="69"/>
      <c r="W223" s="69"/>
      <c r="X223" s="69"/>
      <c r="Y223" s="69" t="s">
        <v>4126</v>
      </c>
      <c r="Z223" s="52">
        <v>58440</v>
      </c>
      <c r="AA223" s="43" t="s">
        <v>52</v>
      </c>
      <c r="AB223" s="43" t="s">
        <v>53</v>
      </c>
      <c r="AC223" s="85">
        <v>3650</v>
      </c>
      <c r="AD223" s="141">
        <v>10</v>
      </c>
      <c r="AE223" s="142">
        <v>0</v>
      </c>
      <c r="AF223" s="69" t="str">
        <f t="shared" si="30"/>
        <v>5 years 252 days</v>
      </c>
      <c r="AG223" s="69">
        <v>5</v>
      </c>
      <c r="AH223" s="69">
        <v>252</v>
      </c>
      <c r="AI223" s="69">
        <v>58440</v>
      </c>
      <c r="AJ223" s="67">
        <v>33255</v>
      </c>
      <c r="AK223" s="69">
        <v>2025</v>
      </c>
      <c r="AL223" s="61">
        <v>2897.7452054794558</v>
      </c>
      <c r="AM223" s="143"/>
    </row>
    <row r="224" spans="1:39" x14ac:dyDescent="0.35">
      <c r="A224" s="69" t="s">
        <v>4124</v>
      </c>
      <c r="B224" s="41">
        <v>1101401512</v>
      </c>
      <c r="C224" s="41"/>
      <c r="D224" s="69"/>
      <c r="E224" s="101">
        <v>0</v>
      </c>
      <c r="F224" s="41" t="s">
        <v>260</v>
      </c>
      <c r="G224" s="69" t="s">
        <v>259</v>
      </c>
      <c r="H224" s="41">
        <v>9007000060</v>
      </c>
      <c r="I224" s="41" t="s">
        <v>743</v>
      </c>
      <c r="J224" s="41">
        <v>1202010218</v>
      </c>
      <c r="K224" s="41" t="s">
        <v>744</v>
      </c>
      <c r="L224" s="52" t="s">
        <v>745</v>
      </c>
      <c r="M224" s="69" t="s">
        <v>746</v>
      </c>
      <c r="N224" s="69"/>
      <c r="O224" s="69">
        <v>1</v>
      </c>
      <c r="P224" s="69" t="s">
        <v>50</v>
      </c>
      <c r="Q224" s="69" t="s">
        <v>51</v>
      </c>
      <c r="R224" s="69"/>
      <c r="S224" s="48">
        <v>41913</v>
      </c>
      <c r="T224" s="48">
        <v>43340</v>
      </c>
      <c r="U224" s="69"/>
      <c r="V224" s="69"/>
      <c r="W224" s="69"/>
      <c r="X224" s="69"/>
      <c r="Y224" s="69" t="s">
        <v>4125</v>
      </c>
      <c r="Z224" s="52">
        <v>40000</v>
      </c>
      <c r="AA224" s="43" t="s">
        <v>52</v>
      </c>
      <c r="AB224" s="43" t="s">
        <v>53</v>
      </c>
      <c r="AC224" s="85">
        <v>2227</v>
      </c>
      <c r="AD224" s="141">
        <v>6</v>
      </c>
      <c r="AE224" s="142">
        <v>1</v>
      </c>
      <c r="AF224" s="69" t="str">
        <f>_xlfn.CONCAT(AG224," years ",AH224," days")</f>
        <v>6 years 37 days</v>
      </c>
      <c r="AG224" s="69">
        <v>6</v>
      </c>
      <c r="AH224" s="69">
        <v>37</v>
      </c>
      <c r="AI224" s="69">
        <v>40000</v>
      </c>
      <c r="AJ224" s="67">
        <v>40000</v>
      </c>
      <c r="AK224" s="69">
        <v>2025</v>
      </c>
      <c r="AL224" s="61">
        <v>0</v>
      </c>
      <c r="AM224" s="143"/>
    </row>
    <row r="225" spans="1:39" x14ac:dyDescent="0.35">
      <c r="A225" s="69" t="s">
        <v>4124</v>
      </c>
      <c r="B225" s="41">
        <v>1101401547</v>
      </c>
      <c r="C225" s="41"/>
      <c r="D225" s="69"/>
      <c r="E225" s="101">
        <v>0</v>
      </c>
      <c r="F225" s="41" t="s">
        <v>260</v>
      </c>
      <c r="G225" s="69" t="s">
        <v>259</v>
      </c>
      <c r="H225" s="41">
        <v>9007000061</v>
      </c>
      <c r="I225" s="41" t="s">
        <v>743</v>
      </c>
      <c r="J225" s="41">
        <v>1202010218</v>
      </c>
      <c r="K225" s="41" t="s">
        <v>748</v>
      </c>
      <c r="L225" s="52" t="s">
        <v>749</v>
      </c>
      <c r="M225" s="69" t="s">
        <v>49</v>
      </c>
      <c r="N225" s="69"/>
      <c r="O225" s="69">
        <v>1</v>
      </c>
      <c r="P225" s="69" t="s">
        <v>50</v>
      </c>
      <c r="Q225" s="69" t="s">
        <v>51</v>
      </c>
      <c r="R225" s="69"/>
      <c r="S225" s="48">
        <v>41958</v>
      </c>
      <c r="T225" s="48">
        <v>43340</v>
      </c>
      <c r="U225" s="69"/>
      <c r="V225" s="69"/>
      <c r="W225" s="69"/>
      <c r="X225" s="69"/>
      <c r="Y225" s="69" t="s">
        <v>4125</v>
      </c>
      <c r="Z225" s="52">
        <v>3600</v>
      </c>
      <c r="AA225" s="43" t="s">
        <v>52</v>
      </c>
      <c r="AB225" s="43" t="s">
        <v>53</v>
      </c>
      <c r="AC225" s="85">
        <v>438</v>
      </c>
      <c r="AD225" s="141">
        <v>1</v>
      </c>
      <c r="AE225" s="142">
        <v>2</v>
      </c>
      <c r="AF225" s="69" t="str">
        <f>_xlfn.CONCAT(AG225," years ",AH225," days")</f>
        <v>1 years 73 days</v>
      </c>
      <c r="AG225" s="69">
        <v>1</v>
      </c>
      <c r="AH225" s="69">
        <v>73</v>
      </c>
      <c r="AI225" s="69">
        <v>3600</v>
      </c>
      <c r="AJ225" s="67">
        <v>3600</v>
      </c>
      <c r="AK225" s="69">
        <v>2025</v>
      </c>
      <c r="AL225" s="61">
        <v>0</v>
      </c>
      <c r="AM225" s="143"/>
    </row>
    <row r="226" spans="1:39" x14ac:dyDescent="0.35">
      <c r="A226" s="69" t="s">
        <v>4124</v>
      </c>
      <c r="B226" s="41">
        <v>1101403588</v>
      </c>
      <c r="C226" s="41"/>
      <c r="D226" s="69"/>
      <c r="E226" s="101">
        <v>0</v>
      </c>
      <c r="F226" s="41" t="s">
        <v>260</v>
      </c>
      <c r="G226" s="69" t="s">
        <v>259</v>
      </c>
      <c r="H226" s="41">
        <v>9007000062</v>
      </c>
      <c r="I226" s="41" t="s">
        <v>743</v>
      </c>
      <c r="J226" s="41">
        <v>1202010218</v>
      </c>
      <c r="K226" s="41" t="s">
        <v>751</v>
      </c>
      <c r="L226" s="52" t="s">
        <v>752</v>
      </c>
      <c r="M226" s="69" t="s">
        <v>753</v>
      </c>
      <c r="N226" s="69"/>
      <c r="O226" s="69">
        <v>1</v>
      </c>
      <c r="P226" s="69" t="s">
        <v>50</v>
      </c>
      <c r="Q226" s="69" t="s">
        <v>51</v>
      </c>
      <c r="R226" s="69"/>
      <c r="S226" s="48">
        <v>44263</v>
      </c>
      <c r="T226" s="48">
        <v>44263</v>
      </c>
      <c r="U226" s="69"/>
      <c r="V226" s="69"/>
      <c r="W226" s="69"/>
      <c r="X226" s="69"/>
      <c r="Y226" s="69" t="s">
        <v>4128</v>
      </c>
      <c r="Z226" s="52">
        <v>11475</v>
      </c>
      <c r="AA226" s="43" t="s">
        <v>52</v>
      </c>
      <c r="AB226" s="43" t="s">
        <v>53</v>
      </c>
      <c r="AC226" s="85">
        <v>3650</v>
      </c>
      <c r="AD226" s="141">
        <v>10</v>
      </c>
      <c r="AE226" s="142">
        <v>0</v>
      </c>
      <c r="AF226" s="69" t="str">
        <f>_xlfn.CONCAT(AG226," years ",AH226," days")</f>
        <v>3 years 300 days</v>
      </c>
      <c r="AG226" s="69">
        <v>3</v>
      </c>
      <c r="AH226" s="69">
        <v>300</v>
      </c>
      <c r="AI226" s="69">
        <v>11475</v>
      </c>
      <c r="AJ226" s="67">
        <v>4386</v>
      </c>
      <c r="AK226" s="69">
        <v>2025</v>
      </c>
      <c r="AL226" s="61">
        <v>568.68493150684844</v>
      </c>
      <c r="AM226" s="143"/>
    </row>
    <row r="227" spans="1:39" x14ac:dyDescent="0.35">
      <c r="A227" s="69" t="s">
        <v>4124</v>
      </c>
      <c r="B227" s="41">
        <v>1101401548</v>
      </c>
      <c r="C227" s="41"/>
      <c r="D227" s="69"/>
      <c r="E227" s="101">
        <v>0</v>
      </c>
      <c r="F227" s="41" t="s">
        <v>260</v>
      </c>
      <c r="G227" s="69" t="s">
        <v>259</v>
      </c>
      <c r="H227" s="41">
        <v>9007000063</v>
      </c>
      <c r="I227" s="41" t="s">
        <v>743</v>
      </c>
      <c r="J227" s="41">
        <v>1202010218</v>
      </c>
      <c r="K227" s="41" t="s">
        <v>755</v>
      </c>
      <c r="L227" s="52" t="s">
        <v>756</v>
      </c>
      <c r="M227" s="69" t="s">
        <v>757</v>
      </c>
      <c r="N227" s="69"/>
      <c r="O227" s="69">
        <v>1</v>
      </c>
      <c r="P227" s="69" t="s">
        <v>50</v>
      </c>
      <c r="Q227" s="69" t="s">
        <v>51</v>
      </c>
      <c r="R227" s="69"/>
      <c r="S227" s="48">
        <v>41958</v>
      </c>
      <c r="T227" s="48">
        <v>43340</v>
      </c>
      <c r="U227" s="69"/>
      <c r="V227" s="69"/>
      <c r="W227" s="69"/>
      <c r="X227" s="69"/>
      <c r="Y227" s="69" t="s">
        <v>4125</v>
      </c>
      <c r="Z227" s="52">
        <v>15000</v>
      </c>
      <c r="AA227" s="43" t="s">
        <v>52</v>
      </c>
      <c r="AB227" s="43" t="s">
        <v>53</v>
      </c>
      <c r="AC227" s="85">
        <v>2227</v>
      </c>
      <c r="AD227" s="141">
        <v>6</v>
      </c>
      <c r="AE227" s="142">
        <v>1</v>
      </c>
      <c r="AF227" s="69" t="str">
        <f>_xlfn.CONCAT(AG227," years ",AH227," days")</f>
        <v>6 years 37 days</v>
      </c>
      <c r="AG227" s="69">
        <v>6</v>
      </c>
      <c r="AH227" s="69">
        <v>37</v>
      </c>
      <c r="AI227" s="69">
        <v>15000</v>
      </c>
      <c r="AJ227" s="67">
        <v>15000</v>
      </c>
      <c r="AK227" s="69">
        <v>2025</v>
      </c>
      <c r="AL227" s="61">
        <v>0</v>
      </c>
      <c r="AM227" s="143"/>
    </row>
    <row r="228" spans="1:39" x14ac:dyDescent="0.35">
      <c r="A228" s="69" t="s">
        <v>4124</v>
      </c>
      <c r="B228" s="41">
        <v>1101404925</v>
      </c>
      <c r="C228" s="41"/>
      <c r="D228" s="69"/>
      <c r="E228" s="101">
        <v>0</v>
      </c>
      <c r="F228" s="41" t="s">
        <v>260</v>
      </c>
      <c r="G228" s="69" t="s">
        <v>259</v>
      </c>
      <c r="H228" s="41">
        <v>9007000064</v>
      </c>
      <c r="I228" s="41" t="s">
        <v>743</v>
      </c>
      <c r="J228" s="41">
        <v>1202010218</v>
      </c>
      <c r="K228" s="41" t="s">
        <v>759</v>
      </c>
      <c r="L228" s="52" t="s">
        <v>760</v>
      </c>
      <c r="M228" s="69" t="s">
        <v>761</v>
      </c>
      <c r="N228" s="69"/>
      <c r="O228" s="69">
        <v>2</v>
      </c>
      <c r="P228" s="69" t="s">
        <v>50</v>
      </c>
      <c r="Q228" s="69" t="s">
        <v>51</v>
      </c>
      <c r="R228" s="69"/>
      <c r="S228" s="48">
        <v>45199</v>
      </c>
      <c r="T228" s="48">
        <v>45199</v>
      </c>
      <c r="U228" s="69"/>
      <c r="V228" s="69"/>
      <c r="W228" s="69"/>
      <c r="X228" s="69"/>
      <c r="Y228" s="69" t="s">
        <v>4129</v>
      </c>
      <c r="Z228" s="52">
        <v>52871</v>
      </c>
      <c r="AA228" s="43" t="s">
        <v>52</v>
      </c>
      <c r="AB228" s="43" t="s">
        <v>53</v>
      </c>
      <c r="AC228" s="85">
        <v>3650</v>
      </c>
      <c r="AD228" s="141">
        <v>10</v>
      </c>
      <c r="AE228" s="142">
        <v>0</v>
      </c>
      <c r="AF228" s="69" t="str">
        <f t="shared" ref="AF228:AF229" si="31">_xlfn.CONCAT(AG228," years ",AH228," days")</f>
        <v>1 years 94 days</v>
      </c>
      <c r="AG228" s="69">
        <v>1</v>
      </c>
      <c r="AH228" s="69">
        <v>94</v>
      </c>
      <c r="AI228" s="69">
        <v>52871</v>
      </c>
      <c r="AJ228" s="67">
        <v>6649</v>
      </c>
      <c r="AK228" s="69">
        <v>2025</v>
      </c>
      <c r="AL228" s="61">
        <v>2621.5315068493146</v>
      </c>
      <c r="AM228" s="143"/>
    </row>
    <row r="229" spans="1:39" x14ac:dyDescent="0.35">
      <c r="A229" s="69" t="s">
        <v>4124</v>
      </c>
      <c r="B229" s="41">
        <v>1101404055</v>
      </c>
      <c r="C229" s="41"/>
      <c r="D229" s="41" t="s">
        <v>758</v>
      </c>
      <c r="E229" s="101">
        <v>1</v>
      </c>
      <c r="F229" s="41" t="s">
        <v>260</v>
      </c>
      <c r="G229" s="69" t="s">
        <v>259</v>
      </c>
      <c r="H229" s="41">
        <v>9007000064</v>
      </c>
      <c r="I229" s="41" t="s">
        <v>743</v>
      </c>
      <c r="J229" s="41">
        <v>1202010218</v>
      </c>
      <c r="K229" s="41"/>
      <c r="L229" s="52" t="s">
        <v>763</v>
      </c>
      <c r="M229" s="69" t="s">
        <v>764</v>
      </c>
      <c r="N229" s="69"/>
      <c r="O229" s="69">
        <v>2</v>
      </c>
      <c r="P229" s="69" t="s">
        <v>50</v>
      </c>
      <c r="Q229" s="69" t="s">
        <v>51</v>
      </c>
      <c r="R229" s="69"/>
      <c r="S229" s="48">
        <v>44651</v>
      </c>
      <c r="T229" s="48">
        <v>44651</v>
      </c>
      <c r="U229" s="69"/>
      <c r="V229" s="69"/>
      <c r="W229" s="69"/>
      <c r="X229" s="69"/>
      <c r="Y229" s="69" t="s">
        <v>4131</v>
      </c>
      <c r="Z229" s="52">
        <v>70500</v>
      </c>
      <c r="AA229" s="43" t="s">
        <v>52</v>
      </c>
      <c r="AB229" s="43" t="s">
        <v>53</v>
      </c>
      <c r="AC229" s="85">
        <v>3650</v>
      </c>
      <c r="AD229" s="141">
        <v>10</v>
      </c>
      <c r="AE229" s="142">
        <v>0</v>
      </c>
      <c r="AF229" s="69" t="str">
        <f t="shared" si="31"/>
        <v>2 years 277 days</v>
      </c>
      <c r="AG229" s="69">
        <v>2</v>
      </c>
      <c r="AH229" s="69">
        <v>277</v>
      </c>
      <c r="AI229" s="69">
        <v>70500</v>
      </c>
      <c r="AJ229" s="67">
        <v>19470</v>
      </c>
      <c r="AK229" s="69">
        <v>2025</v>
      </c>
      <c r="AL229" s="61">
        <v>3495.6164383561663</v>
      </c>
      <c r="AM229" s="143"/>
    </row>
    <row r="230" spans="1:39" x14ac:dyDescent="0.35">
      <c r="A230" s="69" t="s">
        <v>4124</v>
      </c>
      <c r="B230" s="41">
        <v>1101404126</v>
      </c>
      <c r="C230" s="41"/>
      <c r="D230" s="69"/>
      <c r="E230" s="101">
        <v>0</v>
      </c>
      <c r="F230" s="41" t="s">
        <v>260</v>
      </c>
      <c r="G230" s="69" t="s">
        <v>259</v>
      </c>
      <c r="H230" s="41">
        <v>9007000065</v>
      </c>
      <c r="I230" s="41" t="s">
        <v>743</v>
      </c>
      <c r="J230" s="41">
        <v>1202010218</v>
      </c>
      <c r="K230" s="41" t="s">
        <v>766</v>
      </c>
      <c r="L230" s="52" t="s">
        <v>767</v>
      </c>
      <c r="M230" s="69" t="s">
        <v>768</v>
      </c>
      <c r="N230" s="69"/>
      <c r="O230" s="69">
        <v>2</v>
      </c>
      <c r="P230" s="69" t="s">
        <v>50</v>
      </c>
      <c r="Q230" s="69" t="s">
        <v>51</v>
      </c>
      <c r="R230" s="69"/>
      <c r="S230" s="48">
        <v>44713</v>
      </c>
      <c r="T230" s="48">
        <v>44713</v>
      </c>
      <c r="U230" s="69"/>
      <c r="V230" s="69"/>
      <c r="W230" s="69"/>
      <c r="X230" s="69"/>
      <c r="Y230" s="69" t="s">
        <v>4131</v>
      </c>
      <c r="Z230" s="52">
        <v>415500</v>
      </c>
      <c r="AA230" s="43" t="s">
        <v>52</v>
      </c>
      <c r="AB230" s="43" t="s">
        <v>53</v>
      </c>
      <c r="AC230" s="85">
        <v>3650</v>
      </c>
      <c r="AD230" s="141">
        <v>10</v>
      </c>
      <c r="AE230" s="142">
        <v>0</v>
      </c>
      <c r="AF230" s="69" t="str">
        <f>_xlfn.CONCAT(AG230," years ",AH230," days")</f>
        <v>2 years 215 days</v>
      </c>
      <c r="AG230" s="69">
        <v>2</v>
      </c>
      <c r="AH230" s="69">
        <v>215</v>
      </c>
      <c r="AI230" s="69">
        <v>415500</v>
      </c>
      <c r="AJ230" s="67">
        <v>107575</v>
      </c>
      <c r="AK230" s="69">
        <v>2025</v>
      </c>
      <c r="AL230" s="61">
        <v>20603.904109589042</v>
      </c>
      <c r="AM230" s="143"/>
    </row>
    <row r="231" spans="1:39" x14ac:dyDescent="0.35">
      <c r="A231" s="69" t="s">
        <v>4124</v>
      </c>
      <c r="B231" s="41">
        <v>1101404692</v>
      </c>
      <c r="C231" s="41"/>
      <c r="D231" s="69"/>
      <c r="E231" s="101">
        <v>0</v>
      </c>
      <c r="F231" s="41" t="s">
        <v>260</v>
      </c>
      <c r="G231" s="69" t="s">
        <v>259</v>
      </c>
      <c r="H231" s="41">
        <v>9007000066</v>
      </c>
      <c r="I231" s="41" t="s">
        <v>743</v>
      </c>
      <c r="J231" s="41">
        <v>1202010218</v>
      </c>
      <c r="K231" s="41" t="s">
        <v>770</v>
      </c>
      <c r="L231" s="52" t="s">
        <v>771</v>
      </c>
      <c r="M231" s="69" t="s">
        <v>772</v>
      </c>
      <c r="N231" s="69"/>
      <c r="O231" s="69">
        <v>1</v>
      </c>
      <c r="P231" s="69" t="s">
        <v>50</v>
      </c>
      <c r="Q231" s="69" t="s">
        <v>51</v>
      </c>
      <c r="R231" s="69"/>
      <c r="S231" s="48">
        <v>45012</v>
      </c>
      <c r="T231" s="48">
        <v>45012</v>
      </c>
      <c r="U231" s="69"/>
      <c r="V231" s="69"/>
      <c r="W231" s="69"/>
      <c r="X231" s="69"/>
      <c r="Y231" s="69" t="s">
        <v>4129</v>
      </c>
      <c r="Z231" s="52">
        <v>190000</v>
      </c>
      <c r="AA231" s="43" t="s">
        <v>52</v>
      </c>
      <c r="AB231" s="43" t="s">
        <v>53</v>
      </c>
      <c r="AC231" s="85">
        <v>3650</v>
      </c>
      <c r="AD231" s="141">
        <v>10</v>
      </c>
      <c r="AE231" s="142">
        <v>0</v>
      </c>
      <c r="AF231" s="69" t="str">
        <f>_xlfn.CONCAT(AG231," years ",AH231," days")</f>
        <v>1 years 281 days</v>
      </c>
      <c r="AG231" s="69">
        <v>1</v>
      </c>
      <c r="AH231" s="69">
        <v>281</v>
      </c>
      <c r="AI231" s="69">
        <v>190000</v>
      </c>
      <c r="AJ231" s="67">
        <v>33627</v>
      </c>
      <c r="AK231" s="69">
        <v>2025</v>
      </c>
      <c r="AL231" s="61">
        <v>9422.3150684931461</v>
      </c>
      <c r="AM231" s="143"/>
    </row>
    <row r="232" spans="1:39" x14ac:dyDescent="0.35">
      <c r="A232" s="69" t="s">
        <v>4124</v>
      </c>
      <c r="B232" s="41">
        <v>1101504446</v>
      </c>
      <c r="C232" s="41"/>
      <c r="D232" s="69"/>
      <c r="E232" s="101">
        <v>0</v>
      </c>
      <c r="F232" s="41" t="s">
        <v>260</v>
      </c>
      <c r="G232" s="69" t="s">
        <v>259</v>
      </c>
      <c r="H232" s="41">
        <v>9007000067</v>
      </c>
      <c r="I232" s="41" t="s">
        <v>743</v>
      </c>
      <c r="J232" s="41">
        <v>1202010218</v>
      </c>
      <c r="K232" s="41" t="s">
        <v>774</v>
      </c>
      <c r="L232" s="52" t="s">
        <v>775</v>
      </c>
      <c r="M232" s="69" t="s">
        <v>776</v>
      </c>
      <c r="N232" s="69"/>
      <c r="O232" s="69">
        <v>1</v>
      </c>
      <c r="P232" s="69" t="s">
        <v>50</v>
      </c>
      <c r="Q232" s="69" t="s">
        <v>51</v>
      </c>
      <c r="R232" s="69"/>
      <c r="S232" s="48">
        <v>44834</v>
      </c>
      <c r="T232" s="48">
        <v>44834</v>
      </c>
      <c r="U232" s="69"/>
      <c r="V232" s="69"/>
      <c r="W232" s="69"/>
      <c r="X232" s="69"/>
      <c r="Y232" s="69" t="s">
        <v>4131</v>
      </c>
      <c r="Z232" s="52">
        <v>66000</v>
      </c>
      <c r="AA232" s="43" t="s">
        <v>52</v>
      </c>
      <c r="AB232" s="43" t="s">
        <v>53</v>
      </c>
      <c r="AC232" s="85">
        <v>3650</v>
      </c>
      <c r="AD232" s="141">
        <v>10</v>
      </c>
      <c r="AE232" s="142">
        <v>0</v>
      </c>
      <c r="AF232" s="69" t="str">
        <f>_xlfn.CONCAT(AG232," years ",AH232," days")</f>
        <v>2 years 94 days</v>
      </c>
      <c r="AG232" s="69">
        <v>2</v>
      </c>
      <c r="AH232" s="69">
        <v>94</v>
      </c>
      <c r="AI232" s="69">
        <v>66000</v>
      </c>
      <c r="AJ232" s="67">
        <v>14900</v>
      </c>
      <c r="AK232" s="69">
        <v>2025</v>
      </c>
      <c r="AL232" s="61">
        <v>3272.6027397260259</v>
      </c>
      <c r="AM232" s="143"/>
    </row>
    <row r="233" spans="1:39" x14ac:dyDescent="0.35">
      <c r="A233" s="69" t="s">
        <v>4124</v>
      </c>
      <c r="B233" s="41">
        <v>1101405250</v>
      </c>
      <c r="C233" s="41"/>
      <c r="D233" s="69"/>
      <c r="E233" s="101">
        <v>0</v>
      </c>
      <c r="F233" s="41" t="s">
        <v>260</v>
      </c>
      <c r="G233" s="69" t="s">
        <v>259</v>
      </c>
      <c r="H233" s="41">
        <v>9007000068</v>
      </c>
      <c r="I233" s="41" t="s">
        <v>743</v>
      </c>
      <c r="J233" s="41">
        <v>1202010218</v>
      </c>
      <c r="K233" s="41" t="s">
        <v>778</v>
      </c>
      <c r="L233" s="52" t="s">
        <v>779</v>
      </c>
      <c r="M233" s="69" t="s">
        <v>780</v>
      </c>
      <c r="N233" s="69"/>
      <c r="O233" s="69">
        <v>2</v>
      </c>
      <c r="P233" s="69" t="s">
        <v>50</v>
      </c>
      <c r="Q233" s="69" t="s">
        <v>51</v>
      </c>
      <c r="R233" s="69"/>
      <c r="S233" s="48">
        <v>45501</v>
      </c>
      <c r="T233" s="48">
        <v>45501</v>
      </c>
      <c r="U233" s="69"/>
      <c r="V233" s="69"/>
      <c r="W233" s="69"/>
      <c r="X233" s="69"/>
      <c r="Y233" s="69" t="s">
        <v>4130</v>
      </c>
      <c r="Z233" s="83">
        <v>92000</v>
      </c>
      <c r="AA233" s="43" t="s">
        <v>52</v>
      </c>
      <c r="AB233" s="43" t="s">
        <v>53</v>
      </c>
      <c r="AC233" s="85">
        <v>3650</v>
      </c>
      <c r="AD233" s="141">
        <v>10</v>
      </c>
      <c r="AE233" s="142">
        <v>0</v>
      </c>
      <c r="AF233" s="69" t="str">
        <f>_xlfn.CONCAT(AG233," years ",AH233," days")</f>
        <v>0 years 157 days</v>
      </c>
      <c r="AG233" s="69">
        <v>0</v>
      </c>
      <c r="AH233" s="69">
        <v>157</v>
      </c>
      <c r="AI233" s="69">
        <v>92000</v>
      </c>
      <c r="AJ233" s="67">
        <v>3957</v>
      </c>
      <c r="AK233" s="69">
        <v>2025</v>
      </c>
      <c r="AL233" s="61">
        <v>4562.4520547945212</v>
      </c>
      <c r="AM233" s="143"/>
    </row>
    <row r="234" spans="1:39" x14ac:dyDescent="0.35">
      <c r="A234" s="69" t="s">
        <v>4124</v>
      </c>
      <c r="B234" s="41">
        <v>1101403636</v>
      </c>
      <c r="C234" s="41"/>
      <c r="D234" s="69"/>
      <c r="E234" s="101">
        <v>0</v>
      </c>
      <c r="F234" s="41" t="s">
        <v>260</v>
      </c>
      <c r="G234" s="69" t="s">
        <v>259</v>
      </c>
      <c r="H234" s="41">
        <v>9007000069</v>
      </c>
      <c r="I234" s="41" t="s">
        <v>261</v>
      </c>
      <c r="J234" s="41">
        <v>1202010217</v>
      </c>
      <c r="K234" s="41" t="s">
        <v>782</v>
      </c>
      <c r="L234" s="52" t="s">
        <v>783</v>
      </c>
      <c r="M234" s="69" t="s">
        <v>784</v>
      </c>
      <c r="N234" s="69"/>
      <c r="O234" s="69">
        <v>2</v>
      </c>
      <c r="P234" s="69" t="s">
        <v>50</v>
      </c>
      <c r="Q234" s="69" t="s">
        <v>51</v>
      </c>
      <c r="R234" s="69"/>
      <c r="S234" s="48">
        <v>44296</v>
      </c>
      <c r="T234" s="48">
        <v>44296</v>
      </c>
      <c r="U234" s="69"/>
      <c r="V234" s="69"/>
      <c r="W234" s="69"/>
      <c r="X234" s="69"/>
      <c r="Y234" s="69" t="s">
        <v>4128</v>
      </c>
      <c r="Z234" s="52">
        <v>116000</v>
      </c>
      <c r="AA234" s="43" t="s">
        <v>52</v>
      </c>
      <c r="AB234" s="43" t="s">
        <v>53</v>
      </c>
      <c r="AC234" s="85">
        <v>3650</v>
      </c>
      <c r="AD234" s="141">
        <v>10</v>
      </c>
      <c r="AE234" s="142">
        <v>0</v>
      </c>
      <c r="AF234" s="69" t="str">
        <f t="shared" ref="AF234:AF236" si="32">_xlfn.CONCAT(AG234," years ",AH234," days")</f>
        <v>3 years 267 days</v>
      </c>
      <c r="AG234" s="69">
        <v>3</v>
      </c>
      <c r="AH234" s="69">
        <v>267</v>
      </c>
      <c r="AI234" s="69">
        <v>116000</v>
      </c>
      <c r="AJ234" s="67">
        <v>43285</v>
      </c>
      <c r="AK234" s="69">
        <v>2025</v>
      </c>
      <c r="AL234" s="61">
        <v>5752.808219178085</v>
      </c>
      <c r="AM234" s="143"/>
    </row>
    <row r="235" spans="1:39" x14ac:dyDescent="0.35">
      <c r="A235" s="69" t="s">
        <v>4124</v>
      </c>
      <c r="B235" s="41">
        <v>1101102829</v>
      </c>
      <c r="C235" s="41"/>
      <c r="D235" s="41" t="s">
        <v>781</v>
      </c>
      <c r="E235" s="101">
        <v>1</v>
      </c>
      <c r="F235" s="41" t="s">
        <v>260</v>
      </c>
      <c r="G235" s="69" t="s">
        <v>259</v>
      </c>
      <c r="H235" s="41">
        <v>9007000069</v>
      </c>
      <c r="I235" s="41" t="s">
        <v>261</v>
      </c>
      <c r="J235" s="41">
        <v>1202010217</v>
      </c>
      <c r="K235" s="41"/>
      <c r="L235" s="52" t="s">
        <v>786</v>
      </c>
      <c r="M235" s="69" t="s">
        <v>787</v>
      </c>
      <c r="N235" s="69"/>
      <c r="O235" s="69">
        <v>1</v>
      </c>
      <c r="P235" s="69" t="s">
        <v>50</v>
      </c>
      <c r="Q235" s="69" t="s">
        <v>51</v>
      </c>
      <c r="R235" s="69"/>
      <c r="S235" s="48">
        <v>43493</v>
      </c>
      <c r="T235" s="48">
        <v>43493</v>
      </c>
      <c r="U235" s="69"/>
      <c r="V235" s="69"/>
      <c r="W235" s="69"/>
      <c r="X235" s="69"/>
      <c r="Y235" s="69" t="s">
        <v>4126</v>
      </c>
      <c r="Z235" s="52">
        <v>13960</v>
      </c>
      <c r="AA235" s="43" t="s">
        <v>52</v>
      </c>
      <c r="AB235" s="43" t="s">
        <v>53</v>
      </c>
      <c r="AC235" s="85">
        <v>3650</v>
      </c>
      <c r="AD235" s="141">
        <v>10</v>
      </c>
      <c r="AE235" s="142">
        <v>0</v>
      </c>
      <c r="AF235" s="69" t="str">
        <f t="shared" si="32"/>
        <v>5 years 340 days</v>
      </c>
      <c r="AG235" s="69">
        <v>5</v>
      </c>
      <c r="AH235" s="69">
        <v>340</v>
      </c>
      <c r="AI235" s="69">
        <v>13960</v>
      </c>
      <c r="AJ235" s="67">
        <v>8277</v>
      </c>
      <c r="AK235" s="69">
        <v>2025</v>
      </c>
      <c r="AL235" s="61">
        <v>691.82191780821813</v>
      </c>
      <c r="AM235" s="143"/>
    </row>
    <row r="236" spans="1:39" x14ac:dyDescent="0.35">
      <c r="A236" s="69" t="s">
        <v>4124</v>
      </c>
      <c r="B236" s="41">
        <v>1101103627</v>
      </c>
      <c r="C236" s="41"/>
      <c r="D236" s="41" t="s">
        <v>781</v>
      </c>
      <c r="E236" s="101">
        <v>2</v>
      </c>
      <c r="F236" s="41" t="s">
        <v>260</v>
      </c>
      <c r="G236" s="69" t="s">
        <v>259</v>
      </c>
      <c r="H236" s="41">
        <v>9007000069</v>
      </c>
      <c r="I236" s="41" t="s">
        <v>261</v>
      </c>
      <c r="J236" s="41">
        <v>1202010217</v>
      </c>
      <c r="K236" s="41"/>
      <c r="L236" s="52" t="s">
        <v>789</v>
      </c>
      <c r="M236" s="69" t="s">
        <v>790</v>
      </c>
      <c r="N236" s="69"/>
      <c r="O236" s="69">
        <v>2</v>
      </c>
      <c r="P236" s="69" t="s">
        <v>50</v>
      </c>
      <c r="Q236" s="69" t="s">
        <v>51</v>
      </c>
      <c r="R236" s="69"/>
      <c r="S236" s="48">
        <v>44288</v>
      </c>
      <c r="T236" s="48">
        <v>44288</v>
      </c>
      <c r="U236" s="69"/>
      <c r="V236" s="69"/>
      <c r="W236" s="69"/>
      <c r="X236" s="69"/>
      <c r="Y236" s="69" t="s">
        <v>4128</v>
      </c>
      <c r="Z236" s="52">
        <v>116000</v>
      </c>
      <c r="AA236" s="43" t="s">
        <v>52</v>
      </c>
      <c r="AB236" s="43" t="s">
        <v>53</v>
      </c>
      <c r="AC236" s="85">
        <v>3650</v>
      </c>
      <c r="AD236" s="141">
        <v>10</v>
      </c>
      <c r="AE236" s="142">
        <v>0</v>
      </c>
      <c r="AF236" s="69" t="str">
        <f t="shared" si="32"/>
        <v>3 years 275 days</v>
      </c>
      <c r="AG236" s="69">
        <v>3</v>
      </c>
      <c r="AH236" s="69">
        <v>275</v>
      </c>
      <c r="AI236" s="69">
        <v>116000</v>
      </c>
      <c r="AJ236" s="67">
        <v>43540</v>
      </c>
      <c r="AK236" s="69">
        <v>2025</v>
      </c>
      <c r="AL236" s="61">
        <v>5752.0547945205471</v>
      </c>
      <c r="AM236" s="143"/>
    </row>
    <row r="237" spans="1:39" x14ac:dyDescent="0.35">
      <c r="A237" s="69" t="s">
        <v>4124</v>
      </c>
      <c r="B237" s="41">
        <v>1101403365</v>
      </c>
      <c r="C237" s="41"/>
      <c r="D237" s="69"/>
      <c r="E237" s="101">
        <v>0</v>
      </c>
      <c r="F237" s="41" t="s">
        <v>260</v>
      </c>
      <c r="G237" s="69" t="s">
        <v>259</v>
      </c>
      <c r="H237" s="41">
        <v>9007000070</v>
      </c>
      <c r="I237" s="41" t="s">
        <v>261</v>
      </c>
      <c r="J237" s="41">
        <v>1202010217</v>
      </c>
      <c r="K237" s="41" t="s">
        <v>792</v>
      </c>
      <c r="L237" s="52" t="s">
        <v>793</v>
      </c>
      <c r="M237" s="69" t="s">
        <v>794</v>
      </c>
      <c r="N237" s="69"/>
      <c r="O237" s="69">
        <v>1</v>
      </c>
      <c r="P237" s="69" t="s">
        <v>50</v>
      </c>
      <c r="Q237" s="69" t="s">
        <v>51</v>
      </c>
      <c r="R237" s="69"/>
      <c r="S237" s="48">
        <v>44053</v>
      </c>
      <c r="T237" s="48">
        <v>44053</v>
      </c>
      <c r="U237" s="69"/>
      <c r="V237" s="69"/>
      <c r="W237" s="69"/>
      <c r="X237" s="69"/>
      <c r="Y237" s="69" t="s">
        <v>4127</v>
      </c>
      <c r="Z237" s="52">
        <v>16000</v>
      </c>
      <c r="AA237" s="43" t="s">
        <v>52</v>
      </c>
      <c r="AB237" s="43" t="s">
        <v>53</v>
      </c>
      <c r="AC237" s="85">
        <v>3650</v>
      </c>
      <c r="AD237" s="141">
        <v>10</v>
      </c>
      <c r="AE237" s="142">
        <v>0</v>
      </c>
      <c r="AF237" s="69" t="str">
        <f>_xlfn.CONCAT(AG237," years ",AH237," days")</f>
        <v>4 years 145 days</v>
      </c>
      <c r="AG237" s="69">
        <v>4</v>
      </c>
      <c r="AH237" s="69">
        <v>145</v>
      </c>
      <c r="AI237" s="69">
        <v>16000</v>
      </c>
      <c r="AJ237" s="67">
        <v>7036</v>
      </c>
      <c r="AK237" s="69">
        <v>2025</v>
      </c>
      <c r="AL237" s="61">
        <v>793.04109589041036</v>
      </c>
      <c r="AM237" s="143"/>
    </row>
    <row r="238" spans="1:39" x14ac:dyDescent="0.35">
      <c r="A238" s="69" t="s">
        <v>4124</v>
      </c>
      <c r="B238" s="41">
        <v>1101403710</v>
      </c>
      <c r="C238" s="41"/>
      <c r="D238" s="69"/>
      <c r="E238" s="101">
        <v>0</v>
      </c>
      <c r="F238" s="41" t="s">
        <v>260</v>
      </c>
      <c r="G238" s="69" t="s">
        <v>259</v>
      </c>
      <c r="H238" s="41">
        <v>9007000071</v>
      </c>
      <c r="I238" s="41" t="s">
        <v>261</v>
      </c>
      <c r="J238" s="41">
        <v>1202010217</v>
      </c>
      <c r="K238" s="41" t="s">
        <v>796</v>
      </c>
      <c r="L238" s="52" t="s">
        <v>797</v>
      </c>
      <c r="M238" s="69" t="s">
        <v>798</v>
      </c>
      <c r="N238" s="69"/>
      <c r="O238" s="69">
        <v>1</v>
      </c>
      <c r="P238" s="69" t="s">
        <v>50</v>
      </c>
      <c r="Q238" s="69" t="s">
        <v>51</v>
      </c>
      <c r="R238" s="69"/>
      <c r="S238" s="48">
        <v>44344</v>
      </c>
      <c r="T238" s="48">
        <v>44344</v>
      </c>
      <c r="U238" s="69"/>
      <c r="V238" s="69"/>
      <c r="W238" s="69"/>
      <c r="X238" s="69"/>
      <c r="Y238" s="69" t="s">
        <v>4128</v>
      </c>
      <c r="Z238" s="52">
        <v>16500</v>
      </c>
      <c r="AA238" s="43" t="s">
        <v>52</v>
      </c>
      <c r="AB238" s="43" t="s">
        <v>53</v>
      </c>
      <c r="AC238" s="85">
        <v>3650</v>
      </c>
      <c r="AD238" s="141">
        <v>10</v>
      </c>
      <c r="AE238" s="142">
        <v>0</v>
      </c>
      <c r="AF238" s="69" t="str">
        <f>_xlfn.CONCAT(AG238," years ",AH238," days")</f>
        <v>3 years 219 days</v>
      </c>
      <c r="AG238" s="69">
        <v>3</v>
      </c>
      <c r="AH238" s="69">
        <v>219</v>
      </c>
      <c r="AI238" s="69">
        <v>16500</v>
      </c>
      <c r="AJ238" s="67">
        <v>5940</v>
      </c>
      <c r="AK238" s="69">
        <v>2025</v>
      </c>
      <c r="AL238" s="61">
        <v>818.21917808219132</v>
      </c>
      <c r="AM238" s="143"/>
    </row>
    <row r="239" spans="1:39" x14ac:dyDescent="0.35">
      <c r="A239" s="69" t="s">
        <v>4124</v>
      </c>
      <c r="B239" s="41">
        <v>1101403841</v>
      </c>
      <c r="C239" s="41"/>
      <c r="D239" s="69"/>
      <c r="E239" s="101">
        <v>0</v>
      </c>
      <c r="F239" s="41" t="s">
        <v>260</v>
      </c>
      <c r="G239" s="69" t="s">
        <v>259</v>
      </c>
      <c r="H239" s="41">
        <v>9007000072</v>
      </c>
      <c r="I239" s="41" t="s">
        <v>261</v>
      </c>
      <c r="J239" s="41">
        <v>1202010217</v>
      </c>
      <c r="K239" s="41" t="s">
        <v>800</v>
      </c>
      <c r="L239" s="52" t="s">
        <v>801</v>
      </c>
      <c r="M239" s="69" t="s">
        <v>802</v>
      </c>
      <c r="N239" s="69"/>
      <c r="O239" s="69">
        <v>2</v>
      </c>
      <c r="P239" s="69" t="s">
        <v>50</v>
      </c>
      <c r="Q239" s="69" t="s">
        <v>51</v>
      </c>
      <c r="R239" s="69"/>
      <c r="S239" s="48">
        <v>44459</v>
      </c>
      <c r="T239" s="48">
        <v>44459</v>
      </c>
      <c r="U239" s="69"/>
      <c r="V239" s="69"/>
      <c r="W239" s="69"/>
      <c r="X239" s="69"/>
      <c r="Y239" s="69" t="s">
        <v>4128</v>
      </c>
      <c r="Z239" s="52">
        <v>37000</v>
      </c>
      <c r="AA239" s="43" t="s">
        <v>52</v>
      </c>
      <c r="AB239" s="43" t="s">
        <v>53</v>
      </c>
      <c r="AC239" s="85">
        <v>3650</v>
      </c>
      <c r="AD239" s="141">
        <v>10</v>
      </c>
      <c r="AE239" s="142">
        <v>0</v>
      </c>
      <c r="AF239" s="69" t="str">
        <f>_xlfn.CONCAT(AG239," years ",AH239," days")</f>
        <v>3 years 104 days</v>
      </c>
      <c r="AG239" s="69">
        <v>3</v>
      </c>
      <c r="AH239" s="69">
        <v>104</v>
      </c>
      <c r="AI239" s="69">
        <v>37000</v>
      </c>
      <c r="AJ239" s="67">
        <v>12154</v>
      </c>
      <c r="AK239" s="69">
        <v>2025</v>
      </c>
      <c r="AL239" s="61">
        <v>1835.0410958904104</v>
      </c>
      <c r="AM239" s="143"/>
    </row>
    <row r="240" spans="1:39" x14ac:dyDescent="0.35">
      <c r="A240" s="69" t="s">
        <v>4124</v>
      </c>
      <c r="B240" s="41">
        <v>1101400289</v>
      </c>
      <c r="C240" s="41"/>
      <c r="D240" s="69"/>
      <c r="E240" s="101">
        <v>0</v>
      </c>
      <c r="F240" s="41" t="s">
        <v>260</v>
      </c>
      <c r="G240" s="69" t="s">
        <v>259</v>
      </c>
      <c r="H240" s="41">
        <v>9007000073</v>
      </c>
      <c r="I240" s="41" t="s">
        <v>261</v>
      </c>
      <c r="J240" s="41">
        <v>1202010217</v>
      </c>
      <c r="K240" s="41" t="s">
        <v>804</v>
      </c>
      <c r="L240" s="52" t="s">
        <v>805</v>
      </c>
      <c r="M240" s="69" t="s">
        <v>49</v>
      </c>
      <c r="N240" s="69"/>
      <c r="O240" s="69">
        <v>1</v>
      </c>
      <c r="P240" s="69" t="s">
        <v>50</v>
      </c>
      <c r="Q240" s="69" t="s">
        <v>51</v>
      </c>
      <c r="R240" s="69"/>
      <c r="S240" s="48">
        <v>39577</v>
      </c>
      <c r="T240" s="48">
        <v>43340</v>
      </c>
      <c r="U240" s="69"/>
      <c r="V240" s="69"/>
      <c r="W240" s="69"/>
      <c r="X240" s="69"/>
      <c r="Y240" s="69" t="s">
        <v>4125</v>
      </c>
      <c r="Z240" s="52">
        <v>6250</v>
      </c>
      <c r="AA240" s="43" t="s">
        <v>52</v>
      </c>
      <c r="AB240" s="43" t="s">
        <v>53</v>
      </c>
      <c r="AC240" s="85">
        <v>365</v>
      </c>
      <c r="AD240" s="141">
        <v>1</v>
      </c>
      <c r="AE240" s="142">
        <v>0</v>
      </c>
      <c r="AF240" s="69" t="str">
        <f>_xlfn.CONCAT(AG240," years ",AH240," days")</f>
        <v>1 years 0 days</v>
      </c>
      <c r="AG240" s="69">
        <v>1</v>
      </c>
      <c r="AH240" s="69">
        <v>0</v>
      </c>
      <c r="AI240" s="69">
        <v>6250</v>
      </c>
      <c r="AJ240" s="67">
        <v>6250</v>
      </c>
      <c r="AK240" s="69">
        <v>2025</v>
      </c>
      <c r="AL240" s="61">
        <v>0</v>
      </c>
      <c r="AM240" s="143"/>
    </row>
    <row r="241" spans="1:39" x14ac:dyDescent="0.35">
      <c r="A241" s="69" t="s">
        <v>4124</v>
      </c>
      <c r="B241" s="41">
        <v>1101400740</v>
      </c>
      <c r="C241" s="41"/>
      <c r="D241" s="69"/>
      <c r="E241" s="101">
        <v>0</v>
      </c>
      <c r="F241" s="41" t="s">
        <v>260</v>
      </c>
      <c r="G241" s="69" t="s">
        <v>259</v>
      </c>
      <c r="H241" s="41">
        <v>9007000074</v>
      </c>
      <c r="I241" s="41" t="s">
        <v>261</v>
      </c>
      <c r="J241" s="41">
        <v>1202010217</v>
      </c>
      <c r="K241" s="41" t="s">
        <v>807</v>
      </c>
      <c r="L241" s="52" t="s">
        <v>808</v>
      </c>
      <c r="M241" s="69" t="s">
        <v>809</v>
      </c>
      <c r="N241" s="69"/>
      <c r="O241" s="69">
        <v>1</v>
      </c>
      <c r="P241" s="69" t="s">
        <v>50</v>
      </c>
      <c r="Q241" s="69" t="s">
        <v>51</v>
      </c>
      <c r="R241" s="69"/>
      <c r="S241" s="48">
        <v>41076</v>
      </c>
      <c r="T241" s="48">
        <v>43340</v>
      </c>
      <c r="U241" s="69"/>
      <c r="V241" s="69"/>
      <c r="W241" s="69"/>
      <c r="X241" s="69"/>
      <c r="Y241" s="69" t="s">
        <v>4125</v>
      </c>
      <c r="Z241" s="52">
        <v>12000</v>
      </c>
      <c r="AA241" s="43" t="s">
        <v>52</v>
      </c>
      <c r="AB241" s="43" t="s">
        <v>53</v>
      </c>
      <c r="AC241" s="85">
        <v>1387</v>
      </c>
      <c r="AD241" s="141">
        <v>3</v>
      </c>
      <c r="AE241" s="142">
        <v>10</v>
      </c>
      <c r="AF241" s="69" t="str">
        <f t="shared" ref="AF241:AF242" si="33">_xlfn.CONCAT(AG241," years ",AH241," days")</f>
        <v>3 years 292 days</v>
      </c>
      <c r="AG241" s="69">
        <v>3</v>
      </c>
      <c r="AH241" s="69">
        <v>292</v>
      </c>
      <c r="AI241" s="69">
        <v>12000</v>
      </c>
      <c r="AJ241" s="67">
        <v>12000</v>
      </c>
      <c r="AK241" s="69">
        <v>2025</v>
      </c>
      <c r="AL241" s="61">
        <v>0</v>
      </c>
      <c r="AM241" s="143"/>
    </row>
    <row r="242" spans="1:39" x14ac:dyDescent="0.35">
      <c r="A242" s="69" t="s">
        <v>4124</v>
      </c>
      <c r="B242" s="41">
        <v>1101104050</v>
      </c>
      <c r="C242" s="41"/>
      <c r="D242" s="41" t="s">
        <v>806</v>
      </c>
      <c r="E242" s="101">
        <v>1</v>
      </c>
      <c r="F242" s="41" t="s">
        <v>260</v>
      </c>
      <c r="G242" s="69" t="s">
        <v>259</v>
      </c>
      <c r="H242" s="41">
        <v>9007000074</v>
      </c>
      <c r="I242" s="41" t="s">
        <v>261</v>
      </c>
      <c r="J242" s="41">
        <v>1202010217</v>
      </c>
      <c r="K242" s="41"/>
      <c r="L242" s="52" t="s">
        <v>811</v>
      </c>
      <c r="M242" s="69" t="s">
        <v>812</v>
      </c>
      <c r="N242" s="69"/>
      <c r="O242" s="69">
        <v>1</v>
      </c>
      <c r="P242" s="69" t="s">
        <v>50</v>
      </c>
      <c r="Q242" s="69" t="s">
        <v>51</v>
      </c>
      <c r="R242" s="69"/>
      <c r="S242" s="48">
        <v>44638</v>
      </c>
      <c r="T242" s="48">
        <v>44638</v>
      </c>
      <c r="U242" s="69"/>
      <c r="V242" s="69"/>
      <c r="W242" s="69"/>
      <c r="X242" s="69"/>
      <c r="Y242" s="69" t="s">
        <v>4131</v>
      </c>
      <c r="Z242" s="52">
        <v>40000</v>
      </c>
      <c r="AA242" s="43" t="s">
        <v>52</v>
      </c>
      <c r="AB242" s="43" t="s">
        <v>53</v>
      </c>
      <c r="AC242" s="85">
        <v>3650</v>
      </c>
      <c r="AD242" s="141">
        <v>10</v>
      </c>
      <c r="AE242" s="142">
        <v>0</v>
      </c>
      <c r="AF242" s="69" t="str">
        <f t="shared" si="33"/>
        <v>2 years 290 days</v>
      </c>
      <c r="AG242" s="69">
        <v>2</v>
      </c>
      <c r="AH242" s="69">
        <v>290</v>
      </c>
      <c r="AI242" s="69">
        <v>40000</v>
      </c>
      <c r="AJ242" s="67">
        <v>11178</v>
      </c>
      <c r="AK242" s="69">
        <v>2025</v>
      </c>
      <c r="AL242" s="61">
        <v>1983.6438356164381</v>
      </c>
      <c r="AM242" s="143"/>
    </row>
    <row r="243" spans="1:39" x14ac:dyDescent="0.35">
      <c r="A243" s="69" t="s">
        <v>4124</v>
      </c>
      <c r="B243" s="41">
        <v>1101402767</v>
      </c>
      <c r="C243" s="41"/>
      <c r="D243" s="69"/>
      <c r="E243" s="101">
        <v>0</v>
      </c>
      <c r="F243" s="41" t="s">
        <v>260</v>
      </c>
      <c r="G243" s="69" t="s">
        <v>259</v>
      </c>
      <c r="H243" s="41">
        <v>9007000075</v>
      </c>
      <c r="I243" s="41" t="s">
        <v>261</v>
      </c>
      <c r="J243" s="41">
        <v>1202010217</v>
      </c>
      <c r="K243" s="41" t="s">
        <v>814</v>
      </c>
      <c r="L243" s="52" t="s">
        <v>815</v>
      </c>
      <c r="M243" s="69" t="s">
        <v>816</v>
      </c>
      <c r="N243" s="69"/>
      <c r="O243" s="69">
        <v>1</v>
      </c>
      <c r="P243" s="69" t="s">
        <v>50</v>
      </c>
      <c r="Q243" s="69" t="s">
        <v>51</v>
      </c>
      <c r="R243" s="69"/>
      <c r="S243" s="48">
        <v>43450</v>
      </c>
      <c r="T243" s="48">
        <v>43450</v>
      </c>
      <c r="U243" s="69"/>
      <c r="V243" s="69"/>
      <c r="W243" s="69"/>
      <c r="X243" s="69"/>
      <c r="Y243" s="69" t="s">
        <v>4125</v>
      </c>
      <c r="Z243" s="52">
        <v>31000</v>
      </c>
      <c r="AA243" s="43" t="s">
        <v>52</v>
      </c>
      <c r="AB243" s="43" t="s">
        <v>53</v>
      </c>
      <c r="AC243" s="85">
        <v>3650</v>
      </c>
      <c r="AD243" s="141">
        <v>10</v>
      </c>
      <c r="AE243" s="142">
        <v>0</v>
      </c>
      <c r="AF243" s="69" t="str">
        <f t="shared" ref="AF243:AF244" si="34">_xlfn.CONCAT(AG243," years ",AH243," days")</f>
        <v>6 years 18 days</v>
      </c>
      <c r="AG243" s="69">
        <v>6</v>
      </c>
      <c r="AH243" s="69">
        <v>18</v>
      </c>
      <c r="AI243" s="69">
        <v>31000</v>
      </c>
      <c r="AJ243" s="67">
        <v>18744</v>
      </c>
      <c r="AK243" s="69">
        <v>2025</v>
      </c>
      <c r="AL243" s="61">
        <v>1537.6438356164363</v>
      </c>
      <c r="AM243" s="143"/>
    </row>
    <row r="244" spans="1:39" x14ac:dyDescent="0.35">
      <c r="A244" s="69" t="s">
        <v>4124</v>
      </c>
      <c r="B244" s="41">
        <v>1101404672</v>
      </c>
      <c r="C244" s="41"/>
      <c r="D244" s="41" t="s">
        <v>813</v>
      </c>
      <c r="E244" s="101">
        <v>1</v>
      </c>
      <c r="F244" s="41" t="s">
        <v>260</v>
      </c>
      <c r="G244" s="69" t="s">
        <v>259</v>
      </c>
      <c r="H244" s="41">
        <v>9007000075</v>
      </c>
      <c r="I244" s="41" t="s">
        <v>261</v>
      </c>
      <c r="J244" s="41">
        <v>1202010217</v>
      </c>
      <c r="K244" s="41" t="s">
        <v>818</v>
      </c>
      <c r="L244" s="52" t="s">
        <v>819</v>
      </c>
      <c r="M244" s="69" t="s">
        <v>820</v>
      </c>
      <c r="N244" s="69"/>
      <c r="O244" s="69">
        <v>1</v>
      </c>
      <c r="P244" s="69" t="s">
        <v>50</v>
      </c>
      <c r="Q244" s="69" t="s">
        <v>51</v>
      </c>
      <c r="R244" s="69"/>
      <c r="S244" s="48">
        <v>45000</v>
      </c>
      <c r="T244" s="48">
        <v>45000</v>
      </c>
      <c r="U244" s="69"/>
      <c r="V244" s="69"/>
      <c r="W244" s="69"/>
      <c r="X244" s="69"/>
      <c r="Y244" s="69" t="s">
        <v>4129</v>
      </c>
      <c r="Z244" s="52">
        <v>10215108.869999997</v>
      </c>
      <c r="AA244" s="43" t="s">
        <v>52</v>
      </c>
      <c r="AB244" s="43" t="s">
        <v>53</v>
      </c>
      <c r="AC244" s="85">
        <v>3650</v>
      </c>
      <c r="AD244" s="141">
        <v>10</v>
      </c>
      <c r="AE244" s="142">
        <v>0</v>
      </c>
      <c r="AF244" s="69" t="str">
        <f t="shared" si="34"/>
        <v>1 years 293 days</v>
      </c>
      <c r="AG244" s="69">
        <v>1</v>
      </c>
      <c r="AH244" s="69">
        <v>293</v>
      </c>
      <c r="AI244" s="69">
        <v>10215108.869999997</v>
      </c>
      <c r="AJ244" s="67">
        <v>1841518</v>
      </c>
      <c r="AK244" s="69">
        <v>2025</v>
      </c>
      <c r="AL244" s="61">
        <v>506557.71072328696</v>
      </c>
      <c r="AM244" s="143"/>
    </row>
    <row r="245" spans="1:39" x14ac:dyDescent="0.35">
      <c r="A245" s="69" t="s">
        <v>4124</v>
      </c>
      <c r="B245" s="41">
        <v>1101404089</v>
      </c>
      <c r="C245" s="41"/>
      <c r="D245" s="69"/>
      <c r="E245" s="101">
        <v>0</v>
      </c>
      <c r="F245" s="41" t="s">
        <v>260</v>
      </c>
      <c r="G245" s="69" t="s">
        <v>259</v>
      </c>
      <c r="H245" s="41">
        <v>9007000076</v>
      </c>
      <c r="I245" s="41" t="s">
        <v>261</v>
      </c>
      <c r="J245" s="41">
        <v>1202010217</v>
      </c>
      <c r="K245" s="41" t="s">
        <v>822</v>
      </c>
      <c r="L245" s="52" t="s">
        <v>823</v>
      </c>
      <c r="M245" s="69" t="s">
        <v>824</v>
      </c>
      <c r="N245" s="69"/>
      <c r="O245" s="69">
        <v>1</v>
      </c>
      <c r="P245" s="69" t="s">
        <v>50</v>
      </c>
      <c r="Q245" s="69" t="s">
        <v>51</v>
      </c>
      <c r="R245" s="69"/>
      <c r="S245" s="48">
        <v>44682</v>
      </c>
      <c r="T245" s="48">
        <v>44682</v>
      </c>
      <c r="U245" s="69"/>
      <c r="V245" s="69"/>
      <c r="W245" s="69"/>
      <c r="X245" s="69"/>
      <c r="Y245" s="69" t="s">
        <v>4131</v>
      </c>
      <c r="Z245" s="52">
        <v>21500</v>
      </c>
      <c r="AA245" s="43" t="s">
        <v>52</v>
      </c>
      <c r="AB245" s="43" t="s">
        <v>53</v>
      </c>
      <c r="AC245" s="85">
        <v>3650</v>
      </c>
      <c r="AD245" s="141">
        <v>10</v>
      </c>
      <c r="AE245" s="142">
        <v>0</v>
      </c>
      <c r="AF245" s="69" t="str">
        <f t="shared" ref="AF245:AF246" si="35">_xlfn.CONCAT(AG245," years ",AH245," days")</f>
        <v>2 years 246 days</v>
      </c>
      <c r="AG245" s="69">
        <v>2</v>
      </c>
      <c r="AH245" s="69">
        <v>246</v>
      </c>
      <c r="AI245" s="69">
        <v>21500</v>
      </c>
      <c r="AJ245" s="67">
        <v>5749</v>
      </c>
      <c r="AK245" s="69">
        <v>2025</v>
      </c>
      <c r="AL245" s="61">
        <v>1066.2054794520536</v>
      </c>
      <c r="AM245" s="143"/>
    </row>
    <row r="246" spans="1:39" x14ac:dyDescent="0.35">
      <c r="A246" s="69" t="s">
        <v>4124</v>
      </c>
      <c r="B246" s="41">
        <v>1101404679</v>
      </c>
      <c r="C246" s="41"/>
      <c r="D246" s="41" t="s">
        <v>821</v>
      </c>
      <c r="E246" s="101">
        <v>1</v>
      </c>
      <c r="F246" s="41" t="s">
        <v>260</v>
      </c>
      <c r="G246" s="69" t="s">
        <v>259</v>
      </c>
      <c r="H246" s="41">
        <v>9007000076</v>
      </c>
      <c r="I246" s="41" t="s">
        <v>261</v>
      </c>
      <c r="J246" s="41">
        <v>1202010217</v>
      </c>
      <c r="K246" s="41" t="s">
        <v>826</v>
      </c>
      <c r="L246" s="52" t="s">
        <v>827</v>
      </c>
      <c r="M246" s="69" t="s">
        <v>828</v>
      </c>
      <c r="N246" s="69"/>
      <c r="O246" s="69">
        <v>1</v>
      </c>
      <c r="P246" s="69" t="s">
        <v>50</v>
      </c>
      <c r="Q246" s="69" t="s">
        <v>51</v>
      </c>
      <c r="R246" s="69"/>
      <c r="S246" s="48">
        <v>45000</v>
      </c>
      <c r="T246" s="48">
        <v>45000</v>
      </c>
      <c r="U246" s="69"/>
      <c r="V246" s="69"/>
      <c r="W246" s="69"/>
      <c r="X246" s="69"/>
      <c r="Y246" s="69" t="s">
        <v>4129</v>
      </c>
      <c r="Z246" s="52">
        <v>7223083</v>
      </c>
      <c r="AA246" s="43" t="s">
        <v>52</v>
      </c>
      <c r="AB246" s="43" t="s">
        <v>53</v>
      </c>
      <c r="AC246" s="85">
        <v>3650</v>
      </c>
      <c r="AD246" s="141">
        <v>10</v>
      </c>
      <c r="AE246" s="142">
        <v>0</v>
      </c>
      <c r="AF246" s="69" t="str">
        <f t="shared" si="35"/>
        <v>1 years 293 days</v>
      </c>
      <c r="AG246" s="69">
        <v>1</v>
      </c>
      <c r="AH246" s="69">
        <v>293</v>
      </c>
      <c r="AI246" s="69">
        <v>7223083</v>
      </c>
      <c r="AJ246" s="67">
        <v>1302134</v>
      </c>
      <c r="AK246" s="69">
        <v>2025</v>
      </c>
      <c r="AL246" s="61">
        <v>358185.62657534261</v>
      </c>
      <c r="AM246" s="143"/>
    </row>
    <row r="247" spans="1:39" x14ac:dyDescent="0.35">
      <c r="A247" s="69" t="s">
        <v>4124</v>
      </c>
      <c r="B247" s="41">
        <v>1101401345</v>
      </c>
      <c r="C247" s="41"/>
      <c r="D247" s="69"/>
      <c r="E247" s="101">
        <v>0</v>
      </c>
      <c r="F247" s="41" t="s">
        <v>260</v>
      </c>
      <c r="G247" s="69" t="s">
        <v>259</v>
      </c>
      <c r="H247" s="41">
        <v>9007000077</v>
      </c>
      <c r="I247" s="41" t="s">
        <v>261</v>
      </c>
      <c r="J247" s="41">
        <v>1202010217</v>
      </c>
      <c r="K247" s="41" t="s">
        <v>830</v>
      </c>
      <c r="L247" s="52" t="s">
        <v>831</v>
      </c>
      <c r="M247" s="69" t="s">
        <v>832</v>
      </c>
      <c r="N247" s="69"/>
      <c r="O247" s="69">
        <v>2</v>
      </c>
      <c r="P247" s="69" t="s">
        <v>50</v>
      </c>
      <c r="Q247" s="69" t="s">
        <v>51</v>
      </c>
      <c r="R247" s="69"/>
      <c r="S247" s="48">
        <v>41699</v>
      </c>
      <c r="T247" s="48">
        <v>43340</v>
      </c>
      <c r="U247" s="69"/>
      <c r="V247" s="69"/>
      <c r="W247" s="69"/>
      <c r="X247" s="69"/>
      <c r="Y247" s="69" t="s">
        <v>4125</v>
      </c>
      <c r="Z247" s="52">
        <v>1175000</v>
      </c>
      <c r="AA247" s="43" t="s">
        <v>52</v>
      </c>
      <c r="AB247" s="43" t="s">
        <v>53</v>
      </c>
      <c r="AC247" s="85">
        <v>3723</v>
      </c>
      <c r="AD247" s="141">
        <v>10</v>
      </c>
      <c r="AE247" s="142">
        <v>2</v>
      </c>
      <c r="AF247" s="69" t="str">
        <f t="shared" ref="AF247:AF251" si="36">_xlfn.CONCAT(AG247," years ",AH247," days")</f>
        <v>6 years 128 days</v>
      </c>
      <c r="AG247" s="69">
        <v>6</v>
      </c>
      <c r="AH247" s="69">
        <v>128</v>
      </c>
      <c r="AI247" s="69">
        <v>1175000</v>
      </c>
      <c r="AJ247" s="67">
        <v>731258</v>
      </c>
      <c r="AK247" s="69">
        <v>2025</v>
      </c>
      <c r="AL247" s="61">
        <v>57125.024442653637</v>
      </c>
      <c r="AM247" s="143"/>
    </row>
    <row r="248" spans="1:39" x14ac:dyDescent="0.35">
      <c r="A248" s="69" t="s">
        <v>4124</v>
      </c>
      <c r="B248" s="41">
        <v>1101400910</v>
      </c>
      <c r="C248" s="41"/>
      <c r="D248" s="41" t="s">
        <v>829</v>
      </c>
      <c r="E248" s="101">
        <v>1</v>
      </c>
      <c r="F248" s="41" t="s">
        <v>260</v>
      </c>
      <c r="G248" s="69" t="s">
        <v>259</v>
      </c>
      <c r="H248" s="41">
        <v>9007000077</v>
      </c>
      <c r="I248" s="41" t="s">
        <v>261</v>
      </c>
      <c r="J248" s="41">
        <v>1202010217</v>
      </c>
      <c r="K248" s="41"/>
      <c r="L248" s="52" t="s">
        <v>834</v>
      </c>
      <c r="M248" s="69" t="s">
        <v>835</v>
      </c>
      <c r="N248" s="69"/>
      <c r="O248" s="69">
        <v>1</v>
      </c>
      <c r="P248" s="69" t="s">
        <v>50</v>
      </c>
      <c r="Q248" s="69" t="s">
        <v>51</v>
      </c>
      <c r="R248" s="69"/>
      <c r="S248" s="48">
        <v>41302</v>
      </c>
      <c r="T248" s="48">
        <v>43340</v>
      </c>
      <c r="U248" s="69"/>
      <c r="V248" s="69"/>
      <c r="W248" s="69"/>
      <c r="X248" s="69"/>
      <c r="Y248" s="69" t="s">
        <v>4125</v>
      </c>
      <c r="Z248" s="52">
        <v>260000</v>
      </c>
      <c r="AA248" s="43" t="s">
        <v>52</v>
      </c>
      <c r="AB248" s="43" t="s">
        <v>53</v>
      </c>
      <c r="AC248" s="85">
        <v>3431</v>
      </c>
      <c r="AD248" s="141">
        <v>9</v>
      </c>
      <c r="AE248" s="142">
        <v>5</v>
      </c>
      <c r="AF248" s="69" t="str">
        <f t="shared" si="36"/>
        <v>6 years 128 days</v>
      </c>
      <c r="AG248" s="69">
        <v>6</v>
      </c>
      <c r="AH248" s="69">
        <v>128</v>
      </c>
      <c r="AI248" s="69">
        <v>260000</v>
      </c>
      <c r="AJ248" s="67">
        <v>175581</v>
      </c>
      <c r="AK248" s="69">
        <v>2025</v>
      </c>
      <c r="AL248" s="61">
        <v>13716.580880209833</v>
      </c>
      <c r="AM248" s="143"/>
    </row>
    <row r="249" spans="1:39" x14ac:dyDescent="0.35">
      <c r="A249" s="69" t="s">
        <v>4124</v>
      </c>
      <c r="B249" s="41">
        <v>1101402839</v>
      </c>
      <c r="C249" s="41"/>
      <c r="D249" s="41" t="s">
        <v>829</v>
      </c>
      <c r="E249" s="101">
        <v>2</v>
      </c>
      <c r="F249" s="41" t="s">
        <v>260</v>
      </c>
      <c r="G249" s="69" t="s">
        <v>259</v>
      </c>
      <c r="H249" s="41">
        <v>9007000077</v>
      </c>
      <c r="I249" s="41" t="s">
        <v>261</v>
      </c>
      <c r="J249" s="41">
        <v>1202010217</v>
      </c>
      <c r="K249" s="41"/>
      <c r="L249" s="52" t="s">
        <v>837</v>
      </c>
      <c r="M249" s="69" t="s">
        <v>838</v>
      </c>
      <c r="N249" s="69"/>
      <c r="O249" s="69">
        <v>1</v>
      </c>
      <c r="P249" s="69" t="s">
        <v>50</v>
      </c>
      <c r="Q249" s="69" t="s">
        <v>51</v>
      </c>
      <c r="R249" s="69"/>
      <c r="S249" s="48">
        <v>43497</v>
      </c>
      <c r="T249" s="48">
        <v>43497</v>
      </c>
      <c r="U249" s="69"/>
      <c r="V249" s="69"/>
      <c r="W249" s="69"/>
      <c r="X249" s="69"/>
      <c r="Y249" s="69" t="s">
        <v>4126</v>
      </c>
      <c r="Z249" s="52">
        <v>143163</v>
      </c>
      <c r="AA249" s="43" t="s">
        <v>52</v>
      </c>
      <c r="AB249" s="43" t="s">
        <v>53</v>
      </c>
      <c r="AC249" s="85">
        <v>3650</v>
      </c>
      <c r="AD249" s="141">
        <v>10</v>
      </c>
      <c r="AE249" s="142">
        <v>0</v>
      </c>
      <c r="AF249" s="69" t="str">
        <f t="shared" si="36"/>
        <v>5 years 336 days</v>
      </c>
      <c r="AG249" s="69">
        <v>5</v>
      </c>
      <c r="AH249" s="69">
        <v>336</v>
      </c>
      <c r="AI249" s="69">
        <v>143163</v>
      </c>
      <c r="AJ249" s="67">
        <v>84721</v>
      </c>
      <c r="AK249" s="69">
        <v>2025</v>
      </c>
      <c r="AL249" s="61">
        <v>7099.4336986301496</v>
      </c>
      <c r="AM249" s="143"/>
    </row>
    <row r="250" spans="1:39" x14ac:dyDescent="0.35">
      <c r="A250" s="69" t="s">
        <v>4124</v>
      </c>
      <c r="B250" s="41">
        <v>1101402963</v>
      </c>
      <c r="C250" s="41"/>
      <c r="D250" s="41" t="s">
        <v>829</v>
      </c>
      <c r="E250" s="101">
        <v>3</v>
      </c>
      <c r="F250" s="41" t="s">
        <v>260</v>
      </c>
      <c r="G250" s="69" t="s">
        <v>259</v>
      </c>
      <c r="H250" s="41">
        <v>9007000077</v>
      </c>
      <c r="I250" s="41" t="s">
        <v>261</v>
      </c>
      <c r="J250" s="41">
        <v>1202010217</v>
      </c>
      <c r="K250" s="41"/>
      <c r="L250" s="52" t="s">
        <v>840</v>
      </c>
      <c r="M250" s="69" t="s">
        <v>841</v>
      </c>
      <c r="N250" s="69"/>
      <c r="O250" s="69">
        <v>1</v>
      </c>
      <c r="P250" s="69" t="s">
        <v>50</v>
      </c>
      <c r="Q250" s="69" t="s">
        <v>51</v>
      </c>
      <c r="R250" s="69"/>
      <c r="S250" s="48">
        <v>43599</v>
      </c>
      <c r="T250" s="48">
        <v>43599</v>
      </c>
      <c r="U250" s="69"/>
      <c r="V250" s="69"/>
      <c r="W250" s="69"/>
      <c r="X250" s="69"/>
      <c r="Y250" s="69" t="s">
        <v>4126</v>
      </c>
      <c r="Z250" s="52">
        <v>143163</v>
      </c>
      <c r="AA250" s="43" t="s">
        <v>52</v>
      </c>
      <c r="AB250" s="43" t="s">
        <v>53</v>
      </c>
      <c r="AC250" s="85">
        <v>3650</v>
      </c>
      <c r="AD250" s="141">
        <v>10</v>
      </c>
      <c r="AE250" s="142">
        <v>0</v>
      </c>
      <c r="AF250" s="69" t="str">
        <f t="shared" si="36"/>
        <v>5 years 234 days</v>
      </c>
      <c r="AG250" s="69">
        <v>5</v>
      </c>
      <c r="AH250" s="69">
        <v>234</v>
      </c>
      <c r="AI250" s="69">
        <v>143163</v>
      </c>
      <c r="AJ250" s="67">
        <v>80760</v>
      </c>
      <c r="AK250" s="69">
        <v>2025</v>
      </c>
      <c r="AL250" s="61">
        <v>7098.9369863013708</v>
      </c>
      <c r="AM250" s="143"/>
    </row>
    <row r="251" spans="1:39" x14ac:dyDescent="0.35">
      <c r="A251" s="69" t="s">
        <v>4124</v>
      </c>
      <c r="B251" s="41">
        <v>1101100041</v>
      </c>
      <c r="C251" s="41"/>
      <c r="D251" s="41" t="s">
        <v>829</v>
      </c>
      <c r="E251" s="101">
        <v>4</v>
      </c>
      <c r="F251" s="41" t="s">
        <v>260</v>
      </c>
      <c r="G251" s="69" t="s">
        <v>259</v>
      </c>
      <c r="H251" s="41">
        <v>9007000077</v>
      </c>
      <c r="I251" s="41" t="s">
        <v>261</v>
      </c>
      <c r="J251" s="41">
        <v>1202010217</v>
      </c>
      <c r="K251" s="41" t="s">
        <v>843</v>
      </c>
      <c r="L251" s="52" t="s">
        <v>844</v>
      </c>
      <c r="M251" s="69" t="s">
        <v>49</v>
      </c>
      <c r="N251" s="69"/>
      <c r="O251" s="69">
        <v>1</v>
      </c>
      <c r="P251" s="69" t="s">
        <v>50</v>
      </c>
      <c r="Q251" s="69" t="s">
        <v>51</v>
      </c>
      <c r="R251" s="69"/>
      <c r="S251" s="48">
        <v>37835</v>
      </c>
      <c r="T251" s="48">
        <v>43340</v>
      </c>
      <c r="U251" s="69"/>
      <c r="V251" s="69"/>
      <c r="W251" s="69"/>
      <c r="X251" s="69"/>
      <c r="Y251" s="69" t="s">
        <v>4125</v>
      </c>
      <c r="Z251" s="52">
        <v>1800</v>
      </c>
      <c r="AA251" s="43" t="s">
        <v>52</v>
      </c>
      <c r="AB251" s="43" t="s">
        <v>53</v>
      </c>
      <c r="AC251" s="85">
        <v>365</v>
      </c>
      <c r="AD251" s="141">
        <v>1</v>
      </c>
      <c r="AE251" s="142">
        <v>0</v>
      </c>
      <c r="AF251" s="69" t="str">
        <f t="shared" si="36"/>
        <v>1 years 0 days</v>
      </c>
      <c r="AG251" s="69">
        <v>1</v>
      </c>
      <c r="AH251" s="69">
        <v>0</v>
      </c>
      <c r="AI251" s="69">
        <v>1800</v>
      </c>
      <c r="AJ251" s="67">
        <v>1800</v>
      </c>
      <c r="AK251" s="69">
        <v>2025</v>
      </c>
      <c r="AL251" s="61">
        <v>0</v>
      </c>
      <c r="AM251" s="143"/>
    </row>
    <row r="252" spans="1:39" x14ac:dyDescent="0.35">
      <c r="A252" s="69" t="s">
        <v>4124</v>
      </c>
      <c r="B252" s="41">
        <v>1101100132</v>
      </c>
      <c r="C252" s="41"/>
      <c r="D252" s="41" t="s">
        <v>845</v>
      </c>
      <c r="E252" s="101">
        <v>17</v>
      </c>
      <c r="F252" s="41" t="s">
        <v>260</v>
      </c>
      <c r="G252" s="69" t="s">
        <v>259</v>
      </c>
      <c r="H252" s="41">
        <v>9007000078</v>
      </c>
      <c r="I252" s="41" t="s">
        <v>261</v>
      </c>
      <c r="J252" s="41">
        <v>1202010217</v>
      </c>
      <c r="K252" s="41" t="s">
        <v>896</v>
      </c>
      <c r="L252" s="52" t="s">
        <v>897</v>
      </c>
      <c r="M252" s="69" t="s">
        <v>49</v>
      </c>
      <c r="N252" s="69"/>
      <c r="O252" s="69">
        <v>1</v>
      </c>
      <c r="P252" s="69" t="s">
        <v>50</v>
      </c>
      <c r="Q252" s="69" t="s">
        <v>51</v>
      </c>
      <c r="R252" s="69"/>
      <c r="S252" s="48">
        <v>38484</v>
      </c>
      <c r="T252" s="48">
        <v>43340</v>
      </c>
      <c r="U252" s="69"/>
      <c r="V252" s="69"/>
      <c r="W252" s="69"/>
      <c r="X252" s="69"/>
      <c r="Y252" s="69" t="s">
        <v>4125</v>
      </c>
      <c r="Z252" s="52">
        <v>3800</v>
      </c>
      <c r="AA252" s="43" t="s">
        <v>52</v>
      </c>
      <c r="AB252" s="43" t="s">
        <v>53</v>
      </c>
      <c r="AC252" s="85">
        <v>365</v>
      </c>
      <c r="AD252" s="141">
        <v>1</v>
      </c>
      <c r="AE252" s="142">
        <v>0</v>
      </c>
      <c r="AF252" s="69" t="str">
        <f t="shared" ref="AF252:AF278" si="37">_xlfn.CONCAT(AG252," years ",AH252," days")</f>
        <v>1 years 0 days</v>
      </c>
      <c r="AG252" s="69">
        <v>1</v>
      </c>
      <c r="AH252" s="69">
        <v>0</v>
      </c>
      <c r="AI252" s="69">
        <v>3800</v>
      </c>
      <c r="AJ252" s="67">
        <v>3800</v>
      </c>
      <c r="AK252" s="69">
        <v>2025</v>
      </c>
      <c r="AL252" s="61">
        <v>0</v>
      </c>
      <c r="AM252" s="143"/>
    </row>
    <row r="253" spans="1:39" x14ac:dyDescent="0.35">
      <c r="A253" s="69" t="s">
        <v>4124</v>
      </c>
      <c r="B253" s="41">
        <v>1101400390</v>
      </c>
      <c r="C253" s="41"/>
      <c r="D253" s="69"/>
      <c r="E253" s="101">
        <v>0</v>
      </c>
      <c r="F253" s="41" t="s">
        <v>260</v>
      </c>
      <c r="G253" s="69" t="s">
        <v>259</v>
      </c>
      <c r="H253" s="41">
        <v>9007000078</v>
      </c>
      <c r="I253" s="41" t="s">
        <v>261</v>
      </c>
      <c r="J253" s="41">
        <v>1202010217</v>
      </c>
      <c r="K253" s="41" t="s">
        <v>846</v>
      </c>
      <c r="L253" s="52" t="s">
        <v>847</v>
      </c>
      <c r="M253" s="69" t="s">
        <v>49</v>
      </c>
      <c r="N253" s="69"/>
      <c r="O253" s="69">
        <v>1</v>
      </c>
      <c r="P253" s="69" t="s">
        <v>50</v>
      </c>
      <c r="Q253" s="69" t="s">
        <v>51</v>
      </c>
      <c r="R253" s="69"/>
      <c r="S253" s="48">
        <v>40122</v>
      </c>
      <c r="T253" s="48">
        <v>43340</v>
      </c>
      <c r="U253" s="69"/>
      <c r="V253" s="69"/>
      <c r="W253" s="69"/>
      <c r="X253" s="69"/>
      <c r="Y253" s="69" t="s">
        <v>4125</v>
      </c>
      <c r="Z253" s="52">
        <v>23000</v>
      </c>
      <c r="AA253" s="43" t="s">
        <v>52</v>
      </c>
      <c r="AB253" s="43" t="s">
        <v>53</v>
      </c>
      <c r="AC253" s="85">
        <v>438</v>
      </c>
      <c r="AD253" s="141">
        <v>1</v>
      </c>
      <c r="AE253" s="142">
        <v>2</v>
      </c>
      <c r="AF253" s="69" t="str">
        <f t="shared" si="37"/>
        <v>1 years 73 days</v>
      </c>
      <c r="AG253" s="69">
        <v>1</v>
      </c>
      <c r="AH253" s="69">
        <v>73</v>
      </c>
      <c r="AI253" s="69">
        <v>23000</v>
      </c>
      <c r="AJ253" s="67">
        <v>23000</v>
      </c>
      <c r="AK253" s="69">
        <v>2025</v>
      </c>
      <c r="AL253" s="61">
        <v>0</v>
      </c>
      <c r="AM253" s="143"/>
    </row>
    <row r="254" spans="1:39" x14ac:dyDescent="0.35">
      <c r="A254" s="69" t="s">
        <v>4124</v>
      </c>
      <c r="B254" s="41">
        <v>1101400756</v>
      </c>
      <c r="C254" s="41"/>
      <c r="D254" s="41" t="s">
        <v>845</v>
      </c>
      <c r="E254" s="101">
        <v>1</v>
      </c>
      <c r="F254" s="41" t="s">
        <v>260</v>
      </c>
      <c r="G254" s="69" t="s">
        <v>259</v>
      </c>
      <c r="H254" s="41">
        <v>9007000078</v>
      </c>
      <c r="I254" s="41" t="s">
        <v>261</v>
      </c>
      <c r="J254" s="41">
        <v>1202010217</v>
      </c>
      <c r="K254" s="41" t="s">
        <v>846</v>
      </c>
      <c r="L254" s="52" t="s">
        <v>849</v>
      </c>
      <c r="M254" s="69" t="s">
        <v>850</v>
      </c>
      <c r="N254" s="69"/>
      <c r="O254" s="69">
        <v>1</v>
      </c>
      <c r="P254" s="69" t="s">
        <v>50</v>
      </c>
      <c r="Q254" s="69" t="s">
        <v>51</v>
      </c>
      <c r="R254" s="69"/>
      <c r="S254" s="48">
        <v>41118</v>
      </c>
      <c r="T254" s="48">
        <v>43340</v>
      </c>
      <c r="U254" s="69"/>
      <c r="V254" s="69"/>
      <c r="W254" s="69"/>
      <c r="X254" s="69"/>
      <c r="Y254" s="69" t="s">
        <v>4125</v>
      </c>
      <c r="Z254" s="52">
        <v>75000</v>
      </c>
      <c r="AA254" s="43" t="s">
        <v>52</v>
      </c>
      <c r="AB254" s="43" t="s">
        <v>53</v>
      </c>
      <c r="AC254" s="85">
        <v>1424</v>
      </c>
      <c r="AD254" s="141">
        <v>3</v>
      </c>
      <c r="AE254" s="142">
        <v>11</v>
      </c>
      <c r="AF254" s="69" t="str">
        <f t="shared" si="37"/>
        <v>3 years 329 days</v>
      </c>
      <c r="AG254" s="69">
        <v>3</v>
      </c>
      <c r="AH254" s="69">
        <v>329</v>
      </c>
      <c r="AI254" s="69">
        <v>75000</v>
      </c>
      <c r="AJ254" s="67">
        <v>75000</v>
      </c>
      <c r="AK254" s="69">
        <v>2025</v>
      </c>
      <c r="AL254" s="61">
        <v>0</v>
      </c>
      <c r="AM254" s="143"/>
    </row>
    <row r="255" spans="1:39" x14ac:dyDescent="0.35">
      <c r="A255" s="69" t="s">
        <v>4124</v>
      </c>
      <c r="B255" s="41">
        <v>1101400795</v>
      </c>
      <c r="C255" s="41"/>
      <c r="D255" s="41" t="s">
        <v>845</v>
      </c>
      <c r="E255" s="101">
        <v>2</v>
      </c>
      <c r="F255" s="41" t="s">
        <v>260</v>
      </c>
      <c r="G255" s="69" t="s">
        <v>259</v>
      </c>
      <c r="H255" s="41">
        <v>9007000078</v>
      </c>
      <c r="I255" s="41" t="s">
        <v>261</v>
      </c>
      <c r="J255" s="41">
        <v>1202010217</v>
      </c>
      <c r="K255" s="41" t="s">
        <v>846</v>
      </c>
      <c r="L255" s="52" t="s">
        <v>852</v>
      </c>
      <c r="M255" s="69" t="s">
        <v>853</v>
      </c>
      <c r="N255" s="69"/>
      <c r="O255" s="69">
        <v>1</v>
      </c>
      <c r="P255" s="69" t="s">
        <v>50</v>
      </c>
      <c r="Q255" s="69" t="s">
        <v>51</v>
      </c>
      <c r="R255" s="69"/>
      <c r="S255" s="48">
        <v>41183</v>
      </c>
      <c r="T255" s="48">
        <v>43340</v>
      </c>
      <c r="U255" s="69"/>
      <c r="V255" s="69"/>
      <c r="W255" s="69"/>
      <c r="X255" s="69"/>
      <c r="Y255" s="69" t="s">
        <v>4125</v>
      </c>
      <c r="Z255" s="52">
        <v>150000</v>
      </c>
      <c r="AA255" s="43" t="s">
        <v>52</v>
      </c>
      <c r="AB255" s="43" t="s">
        <v>53</v>
      </c>
      <c r="AC255" s="85">
        <v>1497</v>
      </c>
      <c r="AD255" s="141">
        <v>4</v>
      </c>
      <c r="AE255" s="142">
        <v>1</v>
      </c>
      <c r="AF255" s="69" t="str">
        <f t="shared" si="37"/>
        <v>4 years 37 days</v>
      </c>
      <c r="AG255" s="69">
        <v>4</v>
      </c>
      <c r="AH255" s="69">
        <v>37</v>
      </c>
      <c r="AI255" s="69">
        <v>150000</v>
      </c>
      <c r="AJ255" s="67">
        <v>150000</v>
      </c>
      <c r="AK255" s="69">
        <v>2025</v>
      </c>
      <c r="AL255" s="61">
        <v>0</v>
      </c>
      <c r="AM255" s="143"/>
    </row>
    <row r="256" spans="1:39" x14ac:dyDescent="0.35">
      <c r="A256" s="69" t="s">
        <v>4124</v>
      </c>
      <c r="B256" s="41">
        <v>1101403414</v>
      </c>
      <c r="C256" s="41"/>
      <c r="D256" s="41" t="s">
        <v>845</v>
      </c>
      <c r="E256" s="101">
        <v>3</v>
      </c>
      <c r="F256" s="41" t="s">
        <v>260</v>
      </c>
      <c r="G256" s="69" t="s">
        <v>259</v>
      </c>
      <c r="H256" s="41">
        <v>9007000078</v>
      </c>
      <c r="I256" s="41" t="s">
        <v>261</v>
      </c>
      <c r="J256" s="41">
        <v>1202010217</v>
      </c>
      <c r="K256" s="41" t="s">
        <v>846</v>
      </c>
      <c r="L256" s="52" t="s">
        <v>855</v>
      </c>
      <c r="M256" s="69" t="s">
        <v>856</v>
      </c>
      <c r="N256" s="69"/>
      <c r="O256" s="69">
        <v>100</v>
      </c>
      <c r="P256" s="69" t="s">
        <v>50</v>
      </c>
      <c r="Q256" s="69" t="s">
        <v>51</v>
      </c>
      <c r="R256" s="69"/>
      <c r="S256" s="48">
        <v>44114</v>
      </c>
      <c r="T256" s="48">
        <v>44114</v>
      </c>
      <c r="U256" s="69"/>
      <c r="V256" s="69"/>
      <c r="W256" s="69"/>
      <c r="X256" s="69"/>
      <c r="Y256" s="69" t="s">
        <v>4127</v>
      </c>
      <c r="Z256" s="52">
        <v>164500</v>
      </c>
      <c r="AA256" s="43" t="s">
        <v>52</v>
      </c>
      <c r="AB256" s="43" t="s">
        <v>53</v>
      </c>
      <c r="AC256" s="85">
        <v>3650</v>
      </c>
      <c r="AD256" s="141">
        <v>10</v>
      </c>
      <c r="AE256" s="142">
        <v>0</v>
      </c>
      <c r="AF256" s="69" t="str">
        <f t="shared" si="37"/>
        <v>4 years 84 days</v>
      </c>
      <c r="AG256" s="69">
        <v>4</v>
      </c>
      <c r="AH256" s="69">
        <v>84</v>
      </c>
      <c r="AI256" s="69">
        <v>164500</v>
      </c>
      <c r="AJ256" s="67">
        <v>69586</v>
      </c>
      <c r="AK256" s="69">
        <v>2025</v>
      </c>
      <c r="AL256" s="61">
        <v>8157.1506849315047</v>
      </c>
      <c r="AM256" s="143"/>
    </row>
    <row r="257" spans="1:39" x14ac:dyDescent="0.35">
      <c r="A257" s="69" t="s">
        <v>4124</v>
      </c>
      <c r="B257" s="41">
        <v>1101404031</v>
      </c>
      <c r="C257" s="41"/>
      <c r="D257" s="41" t="s">
        <v>845</v>
      </c>
      <c r="E257" s="101">
        <v>4</v>
      </c>
      <c r="F257" s="41" t="s">
        <v>260</v>
      </c>
      <c r="G257" s="69" t="s">
        <v>259</v>
      </c>
      <c r="H257" s="41">
        <v>9007000078</v>
      </c>
      <c r="I257" s="41" t="s">
        <v>261</v>
      </c>
      <c r="J257" s="41">
        <v>1202010217</v>
      </c>
      <c r="K257" s="41" t="s">
        <v>846</v>
      </c>
      <c r="L257" s="52" t="s">
        <v>858</v>
      </c>
      <c r="M257" s="69" t="s">
        <v>859</v>
      </c>
      <c r="N257" s="69"/>
      <c r="O257" s="69">
        <v>10</v>
      </c>
      <c r="P257" s="69" t="s">
        <v>50</v>
      </c>
      <c r="Q257" s="69" t="s">
        <v>51</v>
      </c>
      <c r="R257" s="69"/>
      <c r="S257" s="48">
        <v>44621</v>
      </c>
      <c r="T257" s="48">
        <v>44621</v>
      </c>
      <c r="U257" s="69"/>
      <c r="V257" s="69"/>
      <c r="W257" s="69"/>
      <c r="X257" s="69"/>
      <c r="Y257" s="69" t="s">
        <v>4131</v>
      </c>
      <c r="Z257" s="52">
        <v>109450</v>
      </c>
      <c r="AA257" s="43" t="s">
        <v>52</v>
      </c>
      <c r="AB257" s="43" t="s">
        <v>53</v>
      </c>
      <c r="AC257" s="85">
        <v>3650</v>
      </c>
      <c r="AD257" s="141">
        <v>10</v>
      </c>
      <c r="AE257" s="142">
        <v>0</v>
      </c>
      <c r="AF257" s="69" t="str">
        <f t="shared" si="37"/>
        <v>2 years 307 days</v>
      </c>
      <c r="AG257" s="69">
        <v>2</v>
      </c>
      <c r="AH257" s="69">
        <v>307</v>
      </c>
      <c r="AI257" s="69">
        <v>109450</v>
      </c>
      <c r="AJ257" s="67">
        <v>31096</v>
      </c>
      <c r="AK257" s="69">
        <v>2025</v>
      </c>
      <c r="AL257" s="61">
        <v>5427.3150684931461</v>
      </c>
      <c r="AM257" s="143"/>
    </row>
    <row r="258" spans="1:39" x14ac:dyDescent="0.35">
      <c r="A258" s="69" t="s">
        <v>4124</v>
      </c>
      <c r="B258" s="41">
        <v>1101404100</v>
      </c>
      <c r="C258" s="41"/>
      <c r="D258" s="41" t="s">
        <v>845</v>
      </c>
      <c r="E258" s="101">
        <v>5</v>
      </c>
      <c r="F258" s="41" t="s">
        <v>260</v>
      </c>
      <c r="G258" s="69" t="s">
        <v>259</v>
      </c>
      <c r="H258" s="41">
        <v>9007000078</v>
      </c>
      <c r="I258" s="41" t="s">
        <v>261</v>
      </c>
      <c r="J258" s="41">
        <v>1202010217</v>
      </c>
      <c r="K258" s="41" t="s">
        <v>846</v>
      </c>
      <c r="L258" s="52" t="s">
        <v>861</v>
      </c>
      <c r="M258" s="69" t="s">
        <v>862</v>
      </c>
      <c r="N258" s="69"/>
      <c r="O258" s="69">
        <v>215</v>
      </c>
      <c r="P258" s="69" t="s">
        <v>50</v>
      </c>
      <c r="Q258" s="69" t="s">
        <v>51</v>
      </c>
      <c r="R258" s="69"/>
      <c r="S258" s="48">
        <v>44693</v>
      </c>
      <c r="T258" s="48">
        <v>44693</v>
      </c>
      <c r="U258" s="69"/>
      <c r="V258" s="69"/>
      <c r="W258" s="69"/>
      <c r="X258" s="69"/>
      <c r="Y258" s="69" t="s">
        <v>4131</v>
      </c>
      <c r="Z258" s="52">
        <v>80600</v>
      </c>
      <c r="AA258" s="43" t="s">
        <v>52</v>
      </c>
      <c r="AB258" s="43" t="s">
        <v>53</v>
      </c>
      <c r="AC258" s="85">
        <v>1825</v>
      </c>
      <c r="AD258" s="141">
        <v>5</v>
      </c>
      <c r="AE258" s="142">
        <v>0</v>
      </c>
      <c r="AF258" s="69" t="str">
        <f t="shared" si="37"/>
        <v>2 years 235 days</v>
      </c>
      <c r="AG258" s="69">
        <v>2</v>
      </c>
      <c r="AH258" s="69">
        <v>235</v>
      </c>
      <c r="AI258" s="69">
        <v>80600</v>
      </c>
      <c r="AJ258" s="67">
        <v>42619</v>
      </c>
      <c r="AK258" s="69">
        <v>2025</v>
      </c>
      <c r="AL258" s="61">
        <v>7993.3835616438373</v>
      </c>
      <c r="AM258" s="143"/>
    </row>
    <row r="259" spans="1:39" x14ac:dyDescent="0.35">
      <c r="A259" s="69" t="s">
        <v>4124</v>
      </c>
      <c r="B259" s="41">
        <v>1101404189</v>
      </c>
      <c r="C259" s="41"/>
      <c r="D259" s="41" t="s">
        <v>845</v>
      </c>
      <c r="E259" s="101">
        <v>6</v>
      </c>
      <c r="F259" s="41" t="s">
        <v>260</v>
      </c>
      <c r="G259" s="69" t="s">
        <v>259</v>
      </c>
      <c r="H259" s="41">
        <v>9007000078</v>
      </c>
      <c r="I259" s="41" t="s">
        <v>261</v>
      </c>
      <c r="J259" s="41">
        <v>1202010217</v>
      </c>
      <c r="K259" s="41" t="s">
        <v>846</v>
      </c>
      <c r="L259" s="52" t="s">
        <v>864</v>
      </c>
      <c r="M259" s="69" t="s">
        <v>865</v>
      </c>
      <c r="N259" s="69"/>
      <c r="O259" s="69">
        <v>400</v>
      </c>
      <c r="P259" s="69" t="s">
        <v>50</v>
      </c>
      <c r="Q259" s="69" t="s">
        <v>51</v>
      </c>
      <c r="R259" s="69"/>
      <c r="S259" s="48">
        <v>44828</v>
      </c>
      <c r="T259" s="48">
        <v>44828</v>
      </c>
      <c r="U259" s="69"/>
      <c r="V259" s="69"/>
      <c r="W259" s="69"/>
      <c r="X259" s="69"/>
      <c r="Y259" s="69" t="s">
        <v>4131</v>
      </c>
      <c r="Z259" s="52">
        <v>880000</v>
      </c>
      <c r="AA259" s="43" t="s">
        <v>52</v>
      </c>
      <c r="AB259" s="43" t="s">
        <v>53</v>
      </c>
      <c r="AC259" s="85">
        <v>3650</v>
      </c>
      <c r="AD259" s="141">
        <v>10</v>
      </c>
      <c r="AE259" s="142">
        <v>0</v>
      </c>
      <c r="AF259" s="69" t="str">
        <f t="shared" si="37"/>
        <v>2 years 100 days</v>
      </c>
      <c r="AG259" s="69">
        <v>2</v>
      </c>
      <c r="AH259" s="69">
        <v>100</v>
      </c>
      <c r="AI259" s="69">
        <v>880000</v>
      </c>
      <c r="AJ259" s="67">
        <v>200110</v>
      </c>
      <c r="AK259" s="69">
        <v>2025</v>
      </c>
      <c r="AL259" s="61">
        <v>43637.945205479453</v>
      </c>
      <c r="AM259" s="143"/>
    </row>
    <row r="260" spans="1:39" x14ac:dyDescent="0.35">
      <c r="A260" s="69" t="s">
        <v>4124</v>
      </c>
      <c r="B260" s="41">
        <v>1101404548</v>
      </c>
      <c r="C260" s="41"/>
      <c r="D260" s="41" t="s">
        <v>845</v>
      </c>
      <c r="E260" s="101">
        <v>7</v>
      </c>
      <c r="F260" s="41" t="s">
        <v>260</v>
      </c>
      <c r="G260" s="69" t="s">
        <v>259</v>
      </c>
      <c r="H260" s="41">
        <v>9007000078</v>
      </c>
      <c r="I260" s="41" t="s">
        <v>261</v>
      </c>
      <c r="J260" s="41">
        <v>1202010217</v>
      </c>
      <c r="K260" s="41" t="s">
        <v>846</v>
      </c>
      <c r="L260" s="52" t="s">
        <v>867</v>
      </c>
      <c r="M260" s="69" t="s">
        <v>49</v>
      </c>
      <c r="N260" s="69"/>
      <c r="O260" s="69">
        <v>1</v>
      </c>
      <c r="P260" s="69" t="s">
        <v>50</v>
      </c>
      <c r="Q260" s="69" t="s">
        <v>51</v>
      </c>
      <c r="R260" s="69"/>
      <c r="S260" s="48">
        <v>44910</v>
      </c>
      <c r="T260" s="48">
        <v>44910</v>
      </c>
      <c r="U260" s="69"/>
      <c r="V260" s="69"/>
      <c r="W260" s="69"/>
      <c r="X260" s="69"/>
      <c r="Y260" s="69" t="s">
        <v>4131</v>
      </c>
      <c r="Z260" s="52">
        <v>884800</v>
      </c>
      <c r="AA260" s="43" t="s">
        <v>52</v>
      </c>
      <c r="AB260" s="43" t="s">
        <v>53</v>
      </c>
      <c r="AC260" s="85">
        <v>3650</v>
      </c>
      <c r="AD260" s="141">
        <v>10</v>
      </c>
      <c r="AE260" s="142">
        <v>0</v>
      </c>
      <c r="AF260" s="69" t="str">
        <f t="shared" si="37"/>
        <v>2 years 18 days</v>
      </c>
      <c r="AG260" s="69">
        <v>2</v>
      </c>
      <c r="AH260" s="69">
        <v>18</v>
      </c>
      <c r="AI260" s="69">
        <v>884800</v>
      </c>
      <c r="AJ260" s="67">
        <v>181323</v>
      </c>
      <c r="AK260" s="69">
        <v>2025</v>
      </c>
      <c r="AL260" s="61">
        <v>43876.780821917811</v>
      </c>
      <c r="AM260" s="143"/>
    </row>
    <row r="261" spans="1:39" x14ac:dyDescent="0.35">
      <c r="A261" s="69" t="s">
        <v>4124</v>
      </c>
      <c r="B261" s="41">
        <v>1101404696</v>
      </c>
      <c r="C261" s="41"/>
      <c r="D261" s="41" t="s">
        <v>845</v>
      </c>
      <c r="E261" s="101">
        <v>8</v>
      </c>
      <c r="F261" s="41" t="s">
        <v>260</v>
      </c>
      <c r="G261" s="69" t="s">
        <v>259</v>
      </c>
      <c r="H261" s="41">
        <v>9007000078</v>
      </c>
      <c r="I261" s="41" t="s">
        <v>261</v>
      </c>
      <c r="J261" s="41">
        <v>1202010217</v>
      </c>
      <c r="K261" s="41" t="s">
        <v>846</v>
      </c>
      <c r="L261" s="52" t="s">
        <v>869</v>
      </c>
      <c r="M261" s="69" t="s">
        <v>870</v>
      </c>
      <c r="N261" s="69"/>
      <c r="O261" s="69">
        <v>1</v>
      </c>
      <c r="P261" s="69" t="s">
        <v>50</v>
      </c>
      <c r="Q261" s="69" t="s">
        <v>51</v>
      </c>
      <c r="R261" s="69"/>
      <c r="S261" s="48">
        <v>45016</v>
      </c>
      <c r="T261" s="48">
        <v>45016</v>
      </c>
      <c r="U261" s="69"/>
      <c r="V261" s="69"/>
      <c r="W261" s="69"/>
      <c r="X261" s="69"/>
      <c r="Y261" s="69" t="s">
        <v>4129</v>
      </c>
      <c r="Z261" s="52">
        <v>674400</v>
      </c>
      <c r="AA261" s="43" t="s">
        <v>52</v>
      </c>
      <c r="AB261" s="43" t="s">
        <v>53</v>
      </c>
      <c r="AC261" s="85">
        <v>3650</v>
      </c>
      <c r="AD261" s="141">
        <v>10</v>
      </c>
      <c r="AE261" s="142">
        <v>0</v>
      </c>
      <c r="AF261" s="69" t="str">
        <f t="shared" si="37"/>
        <v>1 years 277 days</v>
      </c>
      <c r="AG261" s="69">
        <v>1</v>
      </c>
      <c r="AH261" s="69">
        <v>277</v>
      </c>
      <c r="AI261" s="69">
        <v>674400</v>
      </c>
      <c r="AJ261" s="67">
        <v>118805</v>
      </c>
      <c r="AK261" s="69">
        <v>2025</v>
      </c>
      <c r="AL261" s="61">
        <v>33443.109589041123</v>
      </c>
      <c r="AM261" s="143"/>
    </row>
    <row r="262" spans="1:39" x14ac:dyDescent="0.35">
      <c r="A262" s="69" t="s">
        <v>4124</v>
      </c>
      <c r="B262" s="41">
        <v>1101404677</v>
      </c>
      <c r="C262" s="41"/>
      <c r="D262" s="41" t="s">
        <v>845</v>
      </c>
      <c r="E262" s="101">
        <v>9</v>
      </c>
      <c r="F262" s="41" t="s">
        <v>260</v>
      </c>
      <c r="G262" s="69" t="s">
        <v>259</v>
      </c>
      <c r="H262" s="41">
        <v>9007000078</v>
      </c>
      <c r="I262" s="41" t="s">
        <v>261</v>
      </c>
      <c r="J262" s="41">
        <v>1202010217</v>
      </c>
      <c r="K262" s="41" t="s">
        <v>846</v>
      </c>
      <c r="L262" s="52" t="s">
        <v>872</v>
      </c>
      <c r="M262" s="69" t="s">
        <v>873</v>
      </c>
      <c r="N262" s="69"/>
      <c r="O262" s="69">
        <v>1</v>
      </c>
      <c r="P262" s="69" t="s">
        <v>50</v>
      </c>
      <c r="Q262" s="69" t="s">
        <v>51</v>
      </c>
      <c r="R262" s="69"/>
      <c r="S262" s="48">
        <v>45000</v>
      </c>
      <c r="T262" s="48">
        <v>45000</v>
      </c>
      <c r="U262" s="69"/>
      <c r="V262" s="69"/>
      <c r="W262" s="69"/>
      <c r="X262" s="69"/>
      <c r="Y262" s="69" t="s">
        <v>4129</v>
      </c>
      <c r="Z262" s="52">
        <v>1114300</v>
      </c>
      <c r="AA262" s="43" t="s">
        <v>52</v>
      </c>
      <c r="AB262" s="43" t="s">
        <v>53</v>
      </c>
      <c r="AC262" s="85">
        <v>3650</v>
      </c>
      <c r="AD262" s="141">
        <v>10</v>
      </c>
      <c r="AE262" s="142">
        <v>0</v>
      </c>
      <c r="AF262" s="69" t="str">
        <f t="shared" si="37"/>
        <v>1 years 293 days</v>
      </c>
      <c r="AG262" s="69">
        <v>1</v>
      </c>
      <c r="AH262" s="69">
        <v>293</v>
      </c>
      <c r="AI262" s="69">
        <v>1114300</v>
      </c>
      <c r="AJ262" s="67">
        <v>200879</v>
      </c>
      <c r="AK262" s="69">
        <v>2025</v>
      </c>
      <c r="AL262" s="61">
        <v>55257.356164383586</v>
      </c>
      <c r="AM262" s="143"/>
    </row>
    <row r="263" spans="1:39" x14ac:dyDescent="0.35">
      <c r="A263" s="69" t="s">
        <v>4124</v>
      </c>
      <c r="B263" s="41">
        <v>1101404725</v>
      </c>
      <c r="C263" s="41"/>
      <c r="D263" s="41" t="s">
        <v>845</v>
      </c>
      <c r="E263" s="101">
        <v>10</v>
      </c>
      <c r="F263" s="80" t="s">
        <v>260</v>
      </c>
      <c r="G263" s="69" t="s">
        <v>259</v>
      </c>
      <c r="H263" s="80">
        <v>9007000078</v>
      </c>
      <c r="I263" s="41" t="s">
        <v>261</v>
      </c>
      <c r="J263" s="41">
        <v>1202010217</v>
      </c>
      <c r="K263" s="80" t="s">
        <v>846</v>
      </c>
      <c r="L263" s="52" t="s">
        <v>875</v>
      </c>
      <c r="M263" s="69" t="s">
        <v>876</v>
      </c>
      <c r="N263" s="69"/>
      <c r="O263" s="69">
        <v>250</v>
      </c>
      <c r="P263" s="69" t="s">
        <v>50</v>
      </c>
      <c r="Q263" s="69" t="s">
        <v>51</v>
      </c>
      <c r="R263" s="69"/>
      <c r="S263" s="48">
        <v>44593</v>
      </c>
      <c r="T263" s="48">
        <v>44593</v>
      </c>
      <c r="U263" s="69"/>
      <c r="V263" s="69"/>
      <c r="W263" s="69"/>
      <c r="X263" s="69"/>
      <c r="Y263" s="69" t="s">
        <v>4131</v>
      </c>
      <c r="Z263" s="84">
        <v>64350</v>
      </c>
      <c r="AA263" s="43" t="s">
        <v>52</v>
      </c>
      <c r="AB263" s="43" t="s">
        <v>53</v>
      </c>
      <c r="AC263" s="85">
        <v>3650</v>
      </c>
      <c r="AD263" s="141">
        <v>10</v>
      </c>
      <c r="AE263" s="142">
        <v>0</v>
      </c>
      <c r="AF263" s="69" t="str">
        <f t="shared" si="37"/>
        <v>2 years 335 days</v>
      </c>
      <c r="AG263" s="69">
        <v>2</v>
      </c>
      <c r="AH263" s="69">
        <v>335</v>
      </c>
      <c r="AI263" s="69">
        <v>64350</v>
      </c>
      <c r="AJ263" s="67">
        <v>18776.16</v>
      </c>
      <c r="AK263" s="69">
        <v>2025</v>
      </c>
      <c r="AL263" s="61">
        <v>3190.9906849314721</v>
      </c>
      <c r="AM263" s="143"/>
    </row>
    <row r="264" spans="1:39" x14ac:dyDescent="0.35">
      <c r="A264" s="69" t="s">
        <v>4124</v>
      </c>
      <c r="B264" s="41">
        <v>1101504333</v>
      </c>
      <c r="C264" s="41"/>
      <c r="D264" s="41" t="s">
        <v>845</v>
      </c>
      <c r="E264" s="101">
        <v>19</v>
      </c>
      <c r="F264" s="80" t="s">
        <v>260</v>
      </c>
      <c r="G264" s="69" t="s">
        <v>259</v>
      </c>
      <c r="H264" s="80">
        <v>9007000078</v>
      </c>
      <c r="I264" s="41" t="s">
        <v>261</v>
      </c>
      <c r="J264" s="41">
        <v>1202010217</v>
      </c>
      <c r="K264" s="80" t="s">
        <v>846</v>
      </c>
      <c r="L264" s="52" t="s">
        <v>902</v>
      </c>
      <c r="M264" s="69" t="s">
        <v>876</v>
      </c>
      <c r="N264" s="69"/>
      <c r="O264" s="69">
        <v>75</v>
      </c>
      <c r="P264" s="69" t="s">
        <v>50</v>
      </c>
      <c r="Q264" s="69" t="s">
        <v>51</v>
      </c>
      <c r="R264" s="69"/>
      <c r="S264" s="48">
        <v>44593</v>
      </c>
      <c r="T264" s="48">
        <v>44593</v>
      </c>
      <c r="U264" s="69"/>
      <c r="V264" s="69"/>
      <c r="W264" s="69"/>
      <c r="X264" s="69"/>
      <c r="Y264" s="69" t="s">
        <v>4131</v>
      </c>
      <c r="Z264" s="84">
        <v>123750</v>
      </c>
      <c r="AA264" s="43" t="s">
        <v>52</v>
      </c>
      <c r="AB264" s="43" t="s">
        <v>53</v>
      </c>
      <c r="AC264" s="85">
        <v>3650</v>
      </c>
      <c r="AD264" s="141">
        <v>10</v>
      </c>
      <c r="AE264" s="142">
        <v>0</v>
      </c>
      <c r="AF264" s="69" t="str">
        <f t="shared" si="37"/>
        <v>2 years 335 days</v>
      </c>
      <c r="AG264" s="69">
        <v>2</v>
      </c>
      <c r="AH264" s="69">
        <v>335</v>
      </c>
      <c r="AI264" s="69">
        <v>123750</v>
      </c>
      <c r="AJ264" s="67">
        <v>36108</v>
      </c>
      <c r="AK264" s="69">
        <v>2025</v>
      </c>
      <c r="AL264" s="61">
        <v>6136.520547945147</v>
      </c>
      <c r="AM264" s="143"/>
    </row>
    <row r="265" spans="1:39" x14ac:dyDescent="0.35">
      <c r="A265" s="69" t="s">
        <v>4124</v>
      </c>
      <c r="B265" s="41">
        <v>1101504430</v>
      </c>
      <c r="C265" s="41"/>
      <c r="D265" s="41" t="s">
        <v>845</v>
      </c>
      <c r="E265" s="101">
        <v>22</v>
      </c>
      <c r="F265" s="80" t="s">
        <v>260</v>
      </c>
      <c r="G265" s="69" t="s">
        <v>259</v>
      </c>
      <c r="H265" s="80">
        <v>9007000078</v>
      </c>
      <c r="I265" s="41" t="s">
        <v>261</v>
      </c>
      <c r="J265" s="41">
        <v>1202010217</v>
      </c>
      <c r="K265" s="80" t="s">
        <v>846</v>
      </c>
      <c r="L265" s="52" t="s">
        <v>909</v>
      </c>
      <c r="M265" s="69" t="s">
        <v>876</v>
      </c>
      <c r="N265" s="69"/>
      <c r="O265" s="69">
        <v>32</v>
      </c>
      <c r="P265" s="69" t="s">
        <v>50</v>
      </c>
      <c r="Q265" s="69" t="s">
        <v>51</v>
      </c>
      <c r="R265" s="69"/>
      <c r="S265" s="48">
        <v>44593</v>
      </c>
      <c r="T265" s="48">
        <v>44593</v>
      </c>
      <c r="U265" s="69"/>
      <c r="V265" s="69"/>
      <c r="W265" s="69"/>
      <c r="X265" s="69"/>
      <c r="Y265" s="69" t="s">
        <v>4131</v>
      </c>
      <c r="Z265" s="84">
        <v>52800</v>
      </c>
      <c r="AA265" s="43" t="s">
        <v>52</v>
      </c>
      <c r="AB265" s="43" t="s">
        <v>53</v>
      </c>
      <c r="AC265" s="85">
        <v>3650</v>
      </c>
      <c r="AD265" s="141">
        <v>10</v>
      </c>
      <c r="AE265" s="142">
        <v>0</v>
      </c>
      <c r="AF265" s="69" t="str">
        <f t="shared" si="37"/>
        <v>2 years 335 days</v>
      </c>
      <c r="AG265" s="69">
        <v>2</v>
      </c>
      <c r="AH265" s="69">
        <v>335</v>
      </c>
      <c r="AI265" s="69">
        <v>52800</v>
      </c>
      <c r="AJ265" s="67">
        <v>15406.080000000002</v>
      </c>
      <c r="AK265" s="69">
        <v>2025</v>
      </c>
      <c r="AL265" s="61">
        <v>2618.2487671232593</v>
      </c>
      <c r="AM265" s="143"/>
    </row>
    <row r="266" spans="1:39" x14ac:dyDescent="0.35">
      <c r="A266" s="69" t="s">
        <v>4124</v>
      </c>
      <c r="B266" s="41">
        <v>1101504456</v>
      </c>
      <c r="C266" s="41"/>
      <c r="D266" s="41" t="s">
        <v>845</v>
      </c>
      <c r="E266" s="101">
        <v>24</v>
      </c>
      <c r="F266" s="80" t="s">
        <v>260</v>
      </c>
      <c r="G266" s="69" t="s">
        <v>259</v>
      </c>
      <c r="H266" s="80">
        <v>9007000078</v>
      </c>
      <c r="I266" s="41" t="s">
        <v>261</v>
      </c>
      <c r="J266" s="41">
        <v>1202010217</v>
      </c>
      <c r="K266" s="80" t="s">
        <v>846</v>
      </c>
      <c r="L266" s="52" t="s">
        <v>913</v>
      </c>
      <c r="M266" s="69" t="s">
        <v>876</v>
      </c>
      <c r="N266" s="69"/>
      <c r="O266" s="69">
        <v>36</v>
      </c>
      <c r="P266" s="69" t="s">
        <v>50</v>
      </c>
      <c r="Q266" s="69" t="s">
        <v>51</v>
      </c>
      <c r="R266" s="69"/>
      <c r="S266" s="48">
        <v>44593</v>
      </c>
      <c r="T266" s="48">
        <v>44593</v>
      </c>
      <c r="U266" s="69"/>
      <c r="V266" s="69"/>
      <c r="W266" s="69"/>
      <c r="X266" s="69"/>
      <c r="Y266" s="69" t="s">
        <v>4131</v>
      </c>
      <c r="Z266" s="84">
        <v>59400</v>
      </c>
      <c r="AA266" s="43" t="s">
        <v>52</v>
      </c>
      <c r="AB266" s="43" t="s">
        <v>53</v>
      </c>
      <c r="AC266" s="85">
        <v>3650</v>
      </c>
      <c r="AD266" s="141">
        <v>10</v>
      </c>
      <c r="AE266" s="142">
        <v>0</v>
      </c>
      <c r="AF266" s="69" t="str">
        <f t="shared" si="37"/>
        <v>2 years 335 days</v>
      </c>
      <c r="AG266" s="69">
        <v>2</v>
      </c>
      <c r="AH266" s="69">
        <v>335</v>
      </c>
      <c r="AI266" s="69">
        <v>59400</v>
      </c>
      <c r="AJ266" s="67">
        <v>17331.84</v>
      </c>
      <c r="AK266" s="69">
        <v>2025</v>
      </c>
      <c r="AL266" s="61">
        <v>2945.5298630136676</v>
      </c>
      <c r="AM266" s="143"/>
    </row>
    <row r="267" spans="1:39" x14ac:dyDescent="0.35">
      <c r="A267" s="69" t="s">
        <v>4124</v>
      </c>
      <c r="B267" s="41">
        <v>1101504443</v>
      </c>
      <c r="C267" s="41"/>
      <c r="D267" s="41" t="s">
        <v>845</v>
      </c>
      <c r="E267" s="101">
        <v>25</v>
      </c>
      <c r="F267" s="80" t="s">
        <v>260</v>
      </c>
      <c r="G267" s="69" t="s">
        <v>259</v>
      </c>
      <c r="H267" s="80">
        <v>9007000078</v>
      </c>
      <c r="I267" s="41" t="s">
        <v>261</v>
      </c>
      <c r="J267" s="41">
        <v>1202010217</v>
      </c>
      <c r="K267" s="80" t="s">
        <v>846</v>
      </c>
      <c r="L267" s="52" t="s">
        <v>915</v>
      </c>
      <c r="M267" s="69" t="s">
        <v>876</v>
      </c>
      <c r="N267" s="69"/>
      <c r="O267" s="69">
        <v>30</v>
      </c>
      <c r="P267" s="69" t="s">
        <v>50</v>
      </c>
      <c r="Q267" s="69" t="s">
        <v>51</v>
      </c>
      <c r="R267" s="69"/>
      <c r="S267" s="48">
        <v>44593</v>
      </c>
      <c r="T267" s="48">
        <v>44593</v>
      </c>
      <c r="U267" s="69"/>
      <c r="V267" s="69"/>
      <c r="W267" s="69"/>
      <c r="X267" s="69"/>
      <c r="Y267" s="69" t="s">
        <v>4131</v>
      </c>
      <c r="Z267" s="84">
        <v>49500</v>
      </c>
      <c r="AA267" s="43" t="s">
        <v>52</v>
      </c>
      <c r="AB267" s="43" t="s">
        <v>53</v>
      </c>
      <c r="AC267" s="85">
        <v>3650</v>
      </c>
      <c r="AD267" s="141">
        <v>10</v>
      </c>
      <c r="AE267" s="142">
        <v>0</v>
      </c>
      <c r="AF267" s="69" t="str">
        <f t="shared" si="37"/>
        <v>2 years 335 days</v>
      </c>
      <c r="AG267" s="69">
        <v>2</v>
      </c>
      <c r="AH267" s="69">
        <v>335</v>
      </c>
      <c r="AI267" s="69">
        <v>49500</v>
      </c>
      <c r="AJ267" s="67">
        <v>14443.2</v>
      </c>
      <c r="AK267" s="69">
        <v>2025</v>
      </c>
      <c r="AL267" s="61">
        <v>2454.6082191780552</v>
      </c>
      <c r="AM267" s="143"/>
    </row>
    <row r="268" spans="1:39" x14ac:dyDescent="0.35">
      <c r="A268" s="69" t="s">
        <v>4124</v>
      </c>
      <c r="B268" s="41">
        <v>1101504536</v>
      </c>
      <c r="C268" s="41"/>
      <c r="D268" s="41" t="s">
        <v>845</v>
      </c>
      <c r="E268" s="101">
        <v>26</v>
      </c>
      <c r="F268" s="80" t="s">
        <v>260</v>
      </c>
      <c r="G268" s="69" t="s">
        <v>259</v>
      </c>
      <c r="H268" s="80">
        <v>9007000078</v>
      </c>
      <c r="I268" s="41" t="s">
        <v>261</v>
      </c>
      <c r="J268" s="41">
        <v>1202010217</v>
      </c>
      <c r="K268" s="80" t="s">
        <v>846</v>
      </c>
      <c r="L268" s="52" t="s">
        <v>917</v>
      </c>
      <c r="M268" s="69" t="s">
        <v>876</v>
      </c>
      <c r="N268" s="69"/>
      <c r="O268" s="69">
        <v>38</v>
      </c>
      <c r="P268" s="69" t="s">
        <v>50</v>
      </c>
      <c r="Q268" s="69" t="s">
        <v>51</v>
      </c>
      <c r="R268" s="69"/>
      <c r="S268" s="48">
        <v>44593</v>
      </c>
      <c r="T268" s="48">
        <v>44593</v>
      </c>
      <c r="U268" s="69"/>
      <c r="V268" s="69"/>
      <c r="W268" s="69"/>
      <c r="X268" s="69"/>
      <c r="Y268" s="69" t="s">
        <v>4131</v>
      </c>
      <c r="Z268" s="84">
        <v>62700</v>
      </c>
      <c r="AA268" s="43" t="s">
        <v>52</v>
      </c>
      <c r="AB268" s="43" t="s">
        <v>53</v>
      </c>
      <c r="AC268" s="85">
        <v>3650</v>
      </c>
      <c r="AD268" s="141">
        <v>10</v>
      </c>
      <c r="AE268" s="142">
        <v>0</v>
      </c>
      <c r="AF268" s="69" t="str">
        <f t="shared" si="37"/>
        <v>2 years 335 days</v>
      </c>
      <c r="AG268" s="69">
        <v>2</v>
      </c>
      <c r="AH268" s="69">
        <v>335</v>
      </c>
      <c r="AI268" s="69">
        <v>62700</v>
      </c>
      <c r="AJ268" s="67">
        <v>18294.72</v>
      </c>
      <c r="AK268" s="69">
        <v>2025</v>
      </c>
      <c r="AL268" s="61">
        <v>3109.1704109588718</v>
      </c>
      <c r="AM268" s="143"/>
    </row>
    <row r="269" spans="1:39" x14ac:dyDescent="0.35">
      <c r="A269" s="69" t="s">
        <v>4124</v>
      </c>
      <c r="B269" s="41">
        <v>1101404800</v>
      </c>
      <c r="C269" s="41"/>
      <c r="D269" s="41" t="s">
        <v>845</v>
      </c>
      <c r="E269" s="101">
        <v>11</v>
      </c>
      <c r="F269" s="41" t="s">
        <v>260</v>
      </c>
      <c r="G269" s="69" t="s">
        <v>259</v>
      </c>
      <c r="H269" s="41">
        <v>9007000078</v>
      </c>
      <c r="I269" s="41" t="s">
        <v>261</v>
      </c>
      <c r="J269" s="41">
        <v>1202010217</v>
      </c>
      <c r="K269" s="41" t="s">
        <v>846</v>
      </c>
      <c r="L269" s="52" t="s">
        <v>878</v>
      </c>
      <c r="M269" s="69" t="s">
        <v>879</v>
      </c>
      <c r="N269" s="69"/>
      <c r="O269" s="69">
        <v>1</v>
      </c>
      <c r="P269" s="69" t="s">
        <v>50</v>
      </c>
      <c r="Q269" s="69" t="s">
        <v>51</v>
      </c>
      <c r="R269" s="69"/>
      <c r="S269" s="48">
        <v>45108</v>
      </c>
      <c r="T269" s="48">
        <v>45108</v>
      </c>
      <c r="U269" s="69"/>
      <c r="V269" s="69"/>
      <c r="W269" s="69"/>
      <c r="X269" s="69"/>
      <c r="Y269" s="69" t="s">
        <v>4129</v>
      </c>
      <c r="Z269" s="52">
        <v>257280</v>
      </c>
      <c r="AA269" s="43" t="s">
        <v>52</v>
      </c>
      <c r="AB269" s="43" t="s">
        <v>53</v>
      </c>
      <c r="AC269" s="85">
        <v>3650</v>
      </c>
      <c r="AD269" s="141">
        <v>10</v>
      </c>
      <c r="AE269" s="142">
        <v>0</v>
      </c>
      <c r="AF269" s="69" t="str">
        <f t="shared" si="37"/>
        <v>1 years 185 days</v>
      </c>
      <c r="AG269" s="69">
        <v>1</v>
      </c>
      <c r="AH269" s="69">
        <v>185</v>
      </c>
      <c r="AI269" s="69">
        <v>257280</v>
      </c>
      <c r="AJ269" s="67">
        <v>38768</v>
      </c>
      <c r="AK269" s="69">
        <v>2025</v>
      </c>
      <c r="AL269" s="61">
        <v>12758.487671232877</v>
      </c>
      <c r="AM269" s="143"/>
    </row>
    <row r="270" spans="1:39" x14ac:dyDescent="0.35">
      <c r="A270" s="69" t="s">
        <v>4124</v>
      </c>
      <c r="B270" s="41">
        <v>1101404813</v>
      </c>
      <c r="C270" s="41"/>
      <c r="D270" s="41" t="s">
        <v>845</v>
      </c>
      <c r="E270" s="101">
        <v>12</v>
      </c>
      <c r="F270" s="41" t="s">
        <v>260</v>
      </c>
      <c r="G270" s="69" t="s">
        <v>259</v>
      </c>
      <c r="H270" s="41">
        <v>9007000078</v>
      </c>
      <c r="I270" s="41" t="s">
        <v>261</v>
      </c>
      <c r="J270" s="41">
        <v>1202010217</v>
      </c>
      <c r="K270" s="41" t="s">
        <v>846</v>
      </c>
      <c r="L270" s="52" t="s">
        <v>881</v>
      </c>
      <c r="M270" s="69" t="s">
        <v>882</v>
      </c>
      <c r="N270" s="69"/>
      <c r="O270" s="69">
        <v>1</v>
      </c>
      <c r="P270" s="69" t="s">
        <v>50</v>
      </c>
      <c r="Q270" s="69" t="s">
        <v>51</v>
      </c>
      <c r="R270" s="69"/>
      <c r="S270" s="48">
        <v>45112</v>
      </c>
      <c r="T270" s="48">
        <v>45112</v>
      </c>
      <c r="U270" s="69"/>
      <c r="V270" s="69"/>
      <c r="W270" s="69"/>
      <c r="X270" s="69"/>
      <c r="Y270" s="69" t="s">
        <v>4129</v>
      </c>
      <c r="Z270" s="52">
        <v>44220</v>
      </c>
      <c r="AA270" s="43" t="s">
        <v>52</v>
      </c>
      <c r="AB270" s="43" t="s">
        <v>53</v>
      </c>
      <c r="AC270" s="85">
        <v>3650</v>
      </c>
      <c r="AD270" s="141">
        <v>10</v>
      </c>
      <c r="AE270" s="142">
        <v>0</v>
      </c>
      <c r="AF270" s="69" t="str">
        <f t="shared" si="37"/>
        <v>1 years 181 days</v>
      </c>
      <c r="AG270" s="69">
        <v>1</v>
      </c>
      <c r="AH270" s="69">
        <v>181</v>
      </c>
      <c r="AI270" s="69">
        <v>44220</v>
      </c>
      <c r="AJ270" s="67">
        <v>6615</v>
      </c>
      <c r="AK270" s="69">
        <v>2025</v>
      </c>
      <c r="AL270" s="61">
        <v>2192.6547945205475</v>
      </c>
      <c r="AM270" s="143"/>
    </row>
    <row r="271" spans="1:39" x14ac:dyDescent="0.35">
      <c r="A271" s="69" t="s">
        <v>4124</v>
      </c>
      <c r="B271" s="41">
        <v>1101404866</v>
      </c>
      <c r="C271" s="41"/>
      <c r="D271" s="41" t="s">
        <v>845</v>
      </c>
      <c r="E271" s="101">
        <v>13</v>
      </c>
      <c r="F271" s="41" t="s">
        <v>260</v>
      </c>
      <c r="G271" s="69" t="s">
        <v>259</v>
      </c>
      <c r="H271" s="41">
        <v>9007000078</v>
      </c>
      <c r="I271" s="41" t="s">
        <v>261</v>
      </c>
      <c r="J271" s="41">
        <v>1202010217</v>
      </c>
      <c r="K271" s="41" t="s">
        <v>846</v>
      </c>
      <c r="L271" s="52" t="s">
        <v>884</v>
      </c>
      <c r="M271" s="69" t="s">
        <v>885</v>
      </c>
      <c r="N271" s="69"/>
      <c r="O271" s="69">
        <v>100</v>
      </c>
      <c r="P271" s="69" t="s">
        <v>50</v>
      </c>
      <c r="Q271" s="69" t="s">
        <v>51</v>
      </c>
      <c r="R271" s="69"/>
      <c r="S271" s="48">
        <v>45162</v>
      </c>
      <c r="T271" s="48">
        <v>45162</v>
      </c>
      <c r="U271" s="69"/>
      <c r="V271" s="69"/>
      <c r="W271" s="69"/>
      <c r="X271" s="69"/>
      <c r="Y271" s="69" t="s">
        <v>4129</v>
      </c>
      <c r="Z271" s="52">
        <v>201000</v>
      </c>
      <c r="AA271" s="43" t="s">
        <v>52</v>
      </c>
      <c r="AB271" s="43" t="s">
        <v>53</v>
      </c>
      <c r="AC271" s="85">
        <v>3650</v>
      </c>
      <c r="AD271" s="141">
        <v>10</v>
      </c>
      <c r="AE271" s="142">
        <v>0</v>
      </c>
      <c r="AF271" s="69" t="str">
        <f t="shared" si="37"/>
        <v>1 years 131 days</v>
      </c>
      <c r="AG271" s="69">
        <v>1</v>
      </c>
      <c r="AH271" s="69">
        <v>131</v>
      </c>
      <c r="AI271" s="69">
        <v>201000</v>
      </c>
      <c r="AJ271" s="67">
        <v>27314</v>
      </c>
      <c r="AK271" s="69">
        <v>2025</v>
      </c>
      <c r="AL271" s="61">
        <v>9967.3698630136932</v>
      </c>
      <c r="AM271" s="143"/>
    </row>
    <row r="272" spans="1:39" x14ac:dyDescent="0.35">
      <c r="A272" s="69" t="s">
        <v>4124</v>
      </c>
      <c r="B272" s="41">
        <v>1101404930</v>
      </c>
      <c r="C272" s="41"/>
      <c r="D272" s="41" t="s">
        <v>845</v>
      </c>
      <c r="E272" s="101">
        <v>14</v>
      </c>
      <c r="F272" s="41" t="s">
        <v>260</v>
      </c>
      <c r="G272" s="69" t="s">
        <v>259</v>
      </c>
      <c r="H272" s="41">
        <v>9007000078</v>
      </c>
      <c r="I272" s="41" t="s">
        <v>261</v>
      </c>
      <c r="J272" s="41">
        <v>1202010217</v>
      </c>
      <c r="K272" s="41" t="s">
        <v>846</v>
      </c>
      <c r="L272" s="52" t="s">
        <v>887</v>
      </c>
      <c r="M272" s="69" t="s">
        <v>888</v>
      </c>
      <c r="N272" s="69"/>
      <c r="O272" s="69">
        <v>100</v>
      </c>
      <c r="P272" s="69" t="s">
        <v>50</v>
      </c>
      <c r="Q272" s="69" t="s">
        <v>51</v>
      </c>
      <c r="R272" s="69"/>
      <c r="S272" s="48">
        <v>45199</v>
      </c>
      <c r="T272" s="48">
        <v>45199</v>
      </c>
      <c r="U272" s="69"/>
      <c r="V272" s="69"/>
      <c r="W272" s="69"/>
      <c r="X272" s="69"/>
      <c r="Y272" s="69" t="s">
        <v>4129</v>
      </c>
      <c r="Z272" s="52">
        <v>201000</v>
      </c>
      <c r="AA272" s="43" t="s">
        <v>52</v>
      </c>
      <c r="AB272" s="43" t="s">
        <v>53</v>
      </c>
      <c r="AC272" s="85">
        <v>3650</v>
      </c>
      <c r="AD272" s="141">
        <v>10</v>
      </c>
      <c r="AE272" s="142">
        <v>0</v>
      </c>
      <c r="AF272" s="69" t="str">
        <f t="shared" si="37"/>
        <v>1 years 94 days</v>
      </c>
      <c r="AG272" s="69">
        <v>1</v>
      </c>
      <c r="AH272" s="69">
        <v>94</v>
      </c>
      <c r="AI272" s="69">
        <v>201000</v>
      </c>
      <c r="AJ272" s="67">
        <v>25276</v>
      </c>
      <c r="AK272" s="69">
        <v>2025</v>
      </c>
      <c r="AL272" s="61">
        <v>9967.8356164383586</v>
      </c>
      <c r="AM272" s="143"/>
    </row>
    <row r="273" spans="1:39" x14ac:dyDescent="0.35">
      <c r="A273" s="69" t="s">
        <v>4124</v>
      </c>
      <c r="B273" s="41">
        <v>1101404979</v>
      </c>
      <c r="C273" s="41"/>
      <c r="D273" s="41" t="s">
        <v>845</v>
      </c>
      <c r="E273" s="101">
        <v>15</v>
      </c>
      <c r="F273" s="41" t="s">
        <v>260</v>
      </c>
      <c r="G273" s="69" t="s">
        <v>259</v>
      </c>
      <c r="H273" s="41">
        <v>9007000078</v>
      </c>
      <c r="I273" s="41" t="s">
        <v>261</v>
      </c>
      <c r="J273" s="41">
        <v>1202010217</v>
      </c>
      <c r="K273" s="41" t="s">
        <v>846</v>
      </c>
      <c r="L273" s="52" t="s">
        <v>890</v>
      </c>
      <c r="M273" s="69" t="s">
        <v>891</v>
      </c>
      <c r="N273" s="69"/>
      <c r="O273" s="69">
        <v>50</v>
      </c>
      <c r="P273" s="69" t="s">
        <v>50</v>
      </c>
      <c r="Q273" s="69" t="s">
        <v>51</v>
      </c>
      <c r="R273" s="69"/>
      <c r="S273" s="48">
        <v>45231</v>
      </c>
      <c r="T273" s="48">
        <v>45231</v>
      </c>
      <c r="U273" s="69"/>
      <c r="V273" s="69"/>
      <c r="W273" s="69"/>
      <c r="X273" s="69"/>
      <c r="Y273" s="69" t="s">
        <v>4129</v>
      </c>
      <c r="Z273" s="52">
        <v>100500</v>
      </c>
      <c r="AA273" s="43" t="s">
        <v>52</v>
      </c>
      <c r="AB273" s="43" t="s">
        <v>53</v>
      </c>
      <c r="AC273" s="85">
        <v>3650</v>
      </c>
      <c r="AD273" s="141">
        <v>10</v>
      </c>
      <c r="AE273" s="142">
        <v>0</v>
      </c>
      <c r="AF273" s="69" t="str">
        <f t="shared" si="37"/>
        <v>1 years 62 days</v>
      </c>
      <c r="AG273" s="69">
        <v>1</v>
      </c>
      <c r="AH273" s="69">
        <v>62</v>
      </c>
      <c r="AI273" s="69">
        <v>100500</v>
      </c>
      <c r="AJ273" s="67">
        <v>11757</v>
      </c>
      <c r="AK273" s="69">
        <v>2025</v>
      </c>
      <c r="AL273" s="61">
        <v>4983.8219178082218</v>
      </c>
      <c r="AM273" s="143"/>
    </row>
    <row r="274" spans="1:39" x14ac:dyDescent="0.35">
      <c r="A274" s="69" t="s">
        <v>4124</v>
      </c>
      <c r="B274" s="41">
        <v>1101405019</v>
      </c>
      <c r="C274" s="41"/>
      <c r="D274" s="41" t="s">
        <v>845</v>
      </c>
      <c r="E274" s="101">
        <v>16</v>
      </c>
      <c r="F274" s="41" t="s">
        <v>260</v>
      </c>
      <c r="G274" s="69" t="s">
        <v>259</v>
      </c>
      <c r="H274" s="41">
        <v>9007000078</v>
      </c>
      <c r="I274" s="41" t="s">
        <v>261</v>
      </c>
      <c r="J274" s="41">
        <v>1202010217</v>
      </c>
      <c r="K274" s="41" t="s">
        <v>846</v>
      </c>
      <c r="L274" s="52" t="s">
        <v>893</v>
      </c>
      <c r="M274" s="69" t="s">
        <v>894</v>
      </c>
      <c r="N274" s="69"/>
      <c r="O274" s="69">
        <v>150</v>
      </c>
      <c r="P274" s="69" t="s">
        <v>50</v>
      </c>
      <c r="Q274" s="69" t="s">
        <v>51</v>
      </c>
      <c r="R274" s="69"/>
      <c r="S274" s="48">
        <v>45266</v>
      </c>
      <c r="T274" s="48">
        <v>45266</v>
      </c>
      <c r="U274" s="69"/>
      <c r="V274" s="69"/>
      <c r="W274" s="69"/>
      <c r="X274" s="69"/>
      <c r="Y274" s="69" t="s">
        <v>4129</v>
      </c>
      <c r="Z274" s="52">
        <v>293460</v>
      </c>
      <c r="AA274" s="43" t="s">
        <v>52</v>
      </c>
      <c r="AB274" s="43" t="s">
        <v>53</v>
      </c>
      <c r="AC274" s="85">
        <v>3650</v>
      </c>
      <c r="AD274" s="141">
        <v>10</v>
      </c>
      <c r="AE274" s="142">
        <v>0</v>
      </c>
      <c r="AF274" s="69" t="str">
        <f t="shared" si="37"/>
        <v>1 years 27 days</v>
      </c>
      <c r="AG274" s="69">
        <v>1</v>
      </c>
      <c r="AH274" s="69">
        <v>27</v>
      </c>
      <c r="AI274" s="69">
        <v>293460</v>
      </c>
      <c r="AJ274" s="67">
        <v>31517</v>
      </c>
      <c r="AK274" s="69">
        <v>2025</v>
      </c>
      <c r="AL274" s="61">
        <v>14552.200000000004</v>
      </c>
      <c r="AM274" s="143"/>
    </row>
    <row r="275" spans="1:39" x14ac:dyDescent="0.35">
      <c r="A275" s="69" t="s">
        <v>4124</v>
      </c>
      <c r="B275" s="41">
        <v>1101504393</v>
      </c>
      <c r="C275" s="41"/>
      <c r="D275" s="41" t="s">
        <v>845</v>
      </c>
      <c r="E275" s="101">
        <v>18</v>
      </c>
      <c r="F275" s="41" t="s">
        <v>260</v>
      </c>
      <c r="G275" s="69" t="s">
        <v>259</v>
      </c>
      <c r="H275" s="41">
        <v>9007000078</v>
      </c>
      <c r="I275" s="41" t="s">
        <v>261</v>
      </c>
      <c r="J275" s="41">
        <v>1202010217</v>
      </c>
      <c r="K275" s="41" t="s">
        <v>846</v>
      </c>
      <c r="L275" s="52" t="s">
        <v>899</v>
      </c>
      <c r="M275" s="69" t="s">
        <v>900</v>
      </c>
      <c r="N275" s="69"/>
      <c r="O275" s="69">
        <v>100</v>
      </c>
      <c r="P275" s="69" t="s">
        <v>50</v>
      </c>
      <c r="Q275" s="69" t="s">
        <v>51</v>
      </c>
      <c r="R275" s="69"/>
      <c r="S275" s="48">
        <v>44378</v>
      </c>
      <c r="T275" s="48">
        <v>44378</v>
      </c>
      <c r="U275" s="69"/>
      <c r="V275" s="69"/>
      <c r="W275" s="69"/>
      <c r="X275" s="69"/>
      <c r="Y275" s="69" t="s">
        <v>4128</v>
      </c>
      <c r="Z275" s="52">
        <v>160000</v>
      </c>
      <c r="AA275" s="43" t="s">
        <v>52</v>
      </c>
      <c r="AB275" s="43" t="s">
        <v>53</v>
      </c>
      <c r="AC275" s="85">
        <v>3650</v>
      </c>
      <c r="AD275" s="141">
        <v>10</v>
      </c>
      <c r="AE275" s="142">
        <v>0</v>
      </c>
      <c r="AF275" s="69" t="str">
        <f t="shared" si="37"/>
        <v>3 years 185 days</v>
      </c>
      <c r="AG275" s="69">
        <v>3</v>
      </c>
      <c r="AH275" s="69">
        <v>185</v>
      </c>
      <c r="AI275" s="69">
        <v>160000</v>
      </c>
      <c r="AJ275" s="67">
        <v>56110</v>
      </c>
      <c r="AK275" s="69">
        <v>2025</v>
      </c>
      <c r="AL275" s="61">
        <v>7933.8356164383586</v>
      </c>
      <c r="AM275" s="143"/>
    </row>
    <row r="276" spans="1:39" x14ac:dyDescent="0.35">
      <c r="A276" s="69" t="s">
        <v>4124</v>
      </c>
      <c r="B276" s="41">
        <v>1101504424</v>
      </c>
      <c r="C276" s="41"/>
      <c r="D276" s="41" t="s">
        <v>845</v>
      </c>
      <c r="E276" s="101">
        <v>20</v>
      </c>
      <c r="F276" s="80" t="s">
        <v>260</v>
      </c>
      <c r="G276" s="69" t="s">
        <v>259</v>
      </c>
      <c r="H276" s="80">
        <v>9007000078</v>
      </c>
      <c r="I276" s="41" t="s">
        <v>261</v>
      </c>
      <c r="J276" s="41">
        <v>1202010217</v>
      </c>
      <c r="K276" s="80" t="s">
        <v>846</v>
      </c>
      <c r="L276" s="52" t="s">
        <v>904</v>
      </c>
      <c r="M276" s="69" t="s">
        <v>905</v>
      </c>
      <c r="N276" s="69"/>
      <c r="O276" s="69">
        <v>35</v>
      </c>
      <c r="P276" s="69" t="s">
        <v>50</v>
      </c>
      <c r="Q276" s="69" t="s">
        <v>51</v>
      </c>
      <c r="R276" s="69"/>
      <c r="S276" s="48">
        <v>44548</v>
      </c>
      <c r="T276" s="48">
        <v>44548</v>
      </c>
      <c r="U276" s="69"/>
      <c r="V276" s="69"/>
      <c r="W276" s="69"/>
      <c r="X276" s="69"/>
      <c r="Y276" s="69" t="s">
        <v>4128</v>
      </c>
      <c r="Z276" s="84">
        <v>59500</v>
      </c>
      <c r="AA276" s="43" t="s">
        <v>52</v>
      </c>
      <c r="AB276" s="43" t="s">
        <v>53</v>
      </c>
      <c r="AC276" s="85">
        <v>3650</v>
      </c>
      <c r="AD276" s="141">
        <v>10</v>
      </c>
      <c r="AE276" s="142">
        <v>0</v>
      </c>
      <c r="AF276" s="69" t="str">
        <f t="shared" si="37"/>
        <v>3 years 15 days</v>
      </c>
      <c r="AG276" s="69">
        <v>3</v>
      </c>
      <c r="AH276" s="69">
        <v>15</v>
      </c>
      <c r="AI276" s="69">
        <v>59500</v>
      </c>
      <c r="AJ276" s="67">
        <v>18094.650000000001</v>
      </c>
      <c r="AK276" s="69">
        <v>2025</v>
      </c>
      <c r="AL276" s="61">
        <v>2950.4184931506825</v>
      </c>
      <c r="AM276" s="143"/>
    </row>
    <row r="277" spans="1:39" x14ac:dyDescent="0.35">
      <c r="A277" s="69" t="s">
        <v>4124</v>
      </c>
      <c r="B277" s="41">
        <v>1101504425</v>
      </c>
      <c r="C277" s="41"/>
      <c r="D277" s="41" t="s">
        <v>845</v>
      </c>
      <c r="E277" s="101">
        <v>21</v>
      </c>
      <c r="F277" s="80" t="s">
        <v>260</v>
      </c>
      <c r="G277" s="69" t="s">
        <v>259</v>
      </c>
      <c r="H277" s="80">
        <v>9007000078</v>
      </c>
      <c r="I277" s="41" t="s">
        <v>261</v>
      </c>
      <c r="J277" s="41">
        <v>1202010217</v>
      </c>
      <c r="K277" s="80" t="s">
        <v>846</v>
      </c>
      <c r="L277" s="52" t="s">
        <v>907</v>
      </c>
      <c r="M277" s="69" t="s">
        <v>905</v>
      </c>
      <c r="N277" s="69"/>
      <c r="O277" s="69">
        <v>35</v>
      </c>
      <c r="P277" s="69" t="s">
        <v>50</v>
      </c>
      <c r="Q277" s="69" t="s">
        <v>51</v>
      </c>
      <c r="R277" s="69"/>
      <c r="S277" s="48">
        <v>44548</v>
      </c>
      <c r="T277" s="48">
        <v>44548</v>
      </c>
      <c r="U277" s="69"/>
      <c r="V277" s="69"/>
      <c r="W277" s="69"/>
      <c r="X277" s="69"/>
      <c r="Y277" s="69" t="s">
        <v>4128</v>
      </c>
      <c r="Z277" s="84">
        <v>59500</v>
      </c>
      <c r="AA277" s="43" t="s">
        <v>52</v>
      </c>
      <c r="AB277" s="43" t="s">
        <v>53</v>
      </c>
      <c r="AC277" s="85">
        <v>3650</v>
      </c>
      <c r="AD277" s="141">
        <v>10</v>
      </c>
      <c r="AE277" s="142">
        <v>0</v>
      </c>
      <c r="AF277" s="69" t="str">
        <f t="shared" si="37"/>
        <v>3 years 15 days</v>
      </c>
      <c r="AG277" s="69">
        <v>3</v>
      </c>
      <c r="AH277" s="69">
        <v>15</v>
      </c>
      <c r="AI277" s="69">
        <v>59500</v>
      </c>
      <c r="AJ277" s="67">
        <v>18094.650000000001</v>
      </c>
      <c r="AK277" s="69">
        <v>2025</v>
      </c>
      <c r="AL277" s="61">
        <v>2950.4184931506825</v>
      </c>
      <c r="AM277" s="143"/>
    </row>
    <row r="278" spans="1:39" x14ac:dyDescent="0.35">
      <c r="A278" s="69" t="s">
        <v>4124</v>
      </c>
      <c r="B278" s="41">
        <v>1101504426</v>
      </c>
      <c r="C278" s="41"/>
      <c r="D278" s="41" t="s">
        <v>845</v>
      </c>
      <c r="E278" s="101">
        <v>23</v>
      </c>
      <c r="F278" s="80" t="s">
        <v>260</v>
      </c>
      <c r="G278" s="69" t="s">
        <v>259</v>
      </c>
      <c r="H278" s="80">
        <v>9007000078</v>
      </c>
      <c r="I278" s="41" t="s">
        <v>261</v>
      </c>
      <c r="J278" s="41">
        <v>1202010217</v>
      </c>
      <c r="K278" s="80" t="s">
        <v>846</v>
      </c>
      <c r="L278" s="52" t="s">
        <v>911</v>
      </c>
      <c r="M278" s="69" t="s">
        <v>905</v>
      </c>
      <c r="N278" s="69"/>
      <c r="O278" s="69">
        <v>30</v>
      </c>
      <c r="P278" s="69" t="s">
        <v>50</v>
      </c>
      <c r="Q278" s="69" t="s">
        <v>51</v>
      </c>
      <c r="R278" s="69"/>
      <c r="S278" s="48">
        <v>44548</v>
      </c>
      <c r="T278" s="48">
        <v>44548</v>
      </c>
      <c r="U278" s="69"/>
      <c r="V278" s="69"/>
      <c r="W278" s="69"/>
      <c r="X278" s="69"/>
      <c r="Y278" s="69" t="s">
        <v>4128</v>
      </c>
      <c r="Z278" s="84">
        <v>51000</v>
      </c>
      <c r="AA278" s="43" t="s">
        <v>52</v>
      </c>
      <c r="AB278" s="43" t="s">
        <v>53</v>
      </c>
      <c r="AC278" s="85">
        <v>3650</v>
      </c>
      <c r="AD278" s="141">
        <v>10</v>
      </c>
      <c r="AE278" s="142">
        <v>0</v>
      </c>
      <c r="AF278" s="69" t="str">
        <f t="shared" si="37"/>
        <v>3 years 15 days</v>
      </c>
      <c r="AG278" s="69">
        <v>3</v>
      </c>
      <c r="AH278" s="69">
        <v>15</v>
      </c>
      <c r="AI278" s="69">
        <v>51000</v>
      </c>
      <c r="AJ278" s="67">
        <v>15509.7</v>
      </c>
      <c r="AK278" s="69">
        <v>2025</v>
      </c>
      <c r="AL278" s="61">
        <v>2528.9301369862987</v>
      </c>
      <c r="AM278" s="143"/>
    </row>
    <row r="279" spans="1:39" x14ac:dyDescent="0.35">
      <c r="A279" s="69" t="s">
        <v>4124</v>
      </c>
      <c r="B279" s="41">
        <v>1101100353</v>
      </c>
      <c r="C279" s="41"/>
      <c r="D279" s="69"/>
      <c r="E279" s="101">
        <v>0</v>
      </c>
      <c r="F279" s="41" t="s">
        <v>260</v>
      </c>
      <c r="G279" s="69" t="s">
        <v>259</v>
      </c>
      <c r="H279" s="41">
        <v>9007000079</v>
      </c>
      <c r="I279" s="41" t="s">
        <v>261</v>
      </c>
      <c r="J279" s="41">
        <v>1202010217</v>
      </c>
      <c r="K279" s="41" t="s">
        <v>919</v>
      </c>
      <c r="L279" s="52" t="s">
        <v>920</v>
      </c>
      <c r="M279" s="69" t="s">
        <v>49</v>
      </c>
      <c r="N279" s="69"/>
      <c r="O279" s="69">
        <v>1</v>
      </c>
      <c r="P279" s="69" t="s">
        <v>50</v>
      </c>
      <c r="Q279" s="69" t="s">
        <v>51</v>
      </c>
      <c r="R279" s="69"/>
      <c r="S279" s="48">
        <v>40014</v>
      </c>
      <c r="T279" s="48">
        <v>43340</v>
      </c>
      <c r="U279" s="69"/>
      <c r="V279" s="69"/>
      <c r="W279" s="69"/>
      <c r="X279" s="69"/>
      <c r="Y279" s="69" t="s">
        <v>4125</v>
      </c>
      <c r="Z279" s="52">
        <v>2800</v>
      </c>
      <c r="AA279" s="43" t="s">
        <v>52</v>
      </c>
      <c r="AB279" s="43" t="s">
        <v>53</v>
      </c>
      <c r="AC279" s="85">
        <v>365</v>
      </c>
      <c r="AD279" s="141">
        <v>1</v>
      </c>
      <c r="AE279" s="142">
        <v>0</v>
      </c>
      <c r="AF279" s="69" t="str">
        <f t="shared" ref="AF279:AF281" si="38">_xlfn.CONCAT(AG279," years ",AH279," days")</f>
        <v>1 years 0 days</v>
      </c>
      <c r="AG279" s="69">
        <v>1</v>
      </c>
      <c r="AH279" s="69">
        <v>0</v>
      </c>
      <c r="AI279" s="69">
        <v>2800</v>
      </c>
      <c r="AJ279" s="67">
        <v>2800</v>
      </c>
      <c r="AK279" s="69">
        <v>2025</v>
      </c>
      <c r="AL279" s="61">
        <v>0</v>
      </c>
      <c r="AM279" s="143"/>
    </row>
    <row r="280" spans="1:39" x14ac:dyDescent="0.35">
      <c r="A280" s="69" t="s">
        <v>4124</v>
      </c>
      <c r="B280" s="41">
        <v>1101404980</v>
      </c>
      <c r="C280" s="41"/>
      <c r="D280" s="41" t="s">
        <v>918</v>
      </c>
      <c r="E280" s="101">
        <v>1</v>
      </c>
      <c r="F280" s="41" t="s">
        <v>260</v>
      </c>
      <c r="G280" s="69" t="s">
        <v>259</v>
      </c>
      <c r="H280" s="41">
        <v>9007000079</v>
      </c>
      <c r="I280" s="41" t="s">
        <v>261</v>
      </c>
      <c r="J280" s="41">
        <v>1202010217</v>
      </c>
      <c r="K280" s="41" t="s">
        <v>818</v>
      </c>
      <c r="L280" s="52" t="s">
        <v>922</v>
      </c>
      <c r="M280" s="69" t="s">
        <v>923</v>
      </c>
      <c r="N280" s="69"/>
      <c r="O280" s="69">
        <v>3</v>
      </c>
      <c r="P280" s="69" t="s">
        <v>50</v>
      </c>
      <c r="Q280" s="69" t="s">
        <v>51</v>
      </c>
      <c r="R280" s="69"/>
      <c r="S280" s="48">
        <v>45231</v>
      </c>
      <c r="T280" s="48">
        <v>45231</v>
      </c>
      <c r="U280" s="69"/>
      <c r="V280" s="69"/>
      <c r="W280" s="69"/>
      <c r="X280" s="69"/>
      <c r="Y280" s="69" t="s">
        <v>4129</v>
      </c>
      <c r="Z280" s="52">
        <v>500070</v>
      </c>
      <c r="AA280" s="43" t="s">
        <v>52</v>
      </c>
      <c r="AB280" s="43" t="s">
        <v>53</v>
      </c>
      <c r="AC280" s="85">
        <v>3650</v>
      </c>
      <c r="AD280" s="141">
        <v>10</v>
      </c>
      <c r="AE280" s="142">
        <v>0</v>
      </c>
      <c r="AF280" s="69" t="str">
        <f t="shared" si="38"/>
        <v>1 years 62 days</v>
      </c>
      <c r="AG280" s="69">
        <v>1</v>
      </c>
      <c r="AH280" s="69">
        <v>62</v>
      </c>
      <c r="AI280" s="69">
        <v>500070</v>
      </c>
      <c r="AJ280" s="67">
        <v>58501</v>
      </c>
      <c r="AK280" s="69">
        <v>2025</v>
      </c>
      <c r="AL280" s="61">
        <v>24798.331506849325</v>
      </c>
      <c r="AM280" s="143"/>
    </row>
    <row r="281" spans="1:39" x14ac:dyDescent="0.35">
      <c r="A281" s="69" t="s">
        <v>4124</v>
      </c>
      <c r="B281" s="41">
        <v>1101102816</v>
      </c>
      <c r="C281" s="41"/>
      <c r="D281" s="41" t="s">
        <v>918</v>
      </c>
      <c r="E281" s="101">
        <v>2</v>
      </c>
      <c r="F281" s="41" t="s">
        <v>260</v>
      </c>
      <c r="G281" s="69" t="s">
        <v>259</v>
      </c>
      <c r="H281" s="41">
        <v>9007000079</v>
      </c>
      <c r="I281" s="41" t="s">
        <v>261</v>
      </c>
      <c r="J281" s="41">
        <v>1202010217</v>
      </c>
      <c r="K281" s="41"/>
      <c r="L281" s="52" t="s">
        <v>925</v>
      </c>
      <c r="M281" s="69" t="s">
        <v>926</v>
      </c>
      <c r="N281" s="69"/>
      <c r="O281" s="69">
        <v>1</v>
      </c>
      <c r="P281" s="69" t="s">
        <v>50</v>
      </c>
      <c r="Q281" s="69" t="s">
        <v>51</v>
      </c>
      <c r="R281" s="69"/>
      <c r="S281" s="48">
        <v>43480</v>
      </c>
      <c r="T281" s="48">
        <v>43480</v>
      </c>
      <c r="U281" s="69"/>
      <c r="V281" s="69"/>
      <c r="W281" s="69"/>
      <c r="X281" s="69"/>
      <c r="Y281" s="69" t="s">
        <v>4126</v>
      </c>
      <c r="Z281" s="52">
        <v>9000</v>
      </c>
      <c r="AA281" s="43" t="s">
        <v>52</v>
      </c>
      <c r="AB281" s="43" t="s">
        <v>53</v>
      </c>
      <c r="AC281" s="85">
        <v>3650</v>
      </c>
      <c r="AD281" s="141">
        <v>10</v>
      </c>
      <c r="AE281" s="142">
        <v>0</v>
      </c>
      <c r="AF281" s="69" t="str">
        <f t="shared" si="38"/>
        <v>5 years 353 days</v>
      </c>
      <c r="AG281" s="69">
        <v>5</v>
      </c>
      <c r="AH281" s="69">
        <v>353</v>
      </c>
      <c r="AI281" s="69">
        <v>9000</v>
      </c>
      <c r="AJ281" s="67">
        <v>9000</v>
      </c>
      <c r="AK281" s="69">
        <v>2025</v>
      </c>
      <c r="AL281" s="61">
        <v>0</v>
      </c>
      <c r="AM281" s="143"/>
    </row>
    <row r="282" spans="1:39" x14ac:dyDescent="0.35">
      <c r="A282" s="69" t="s">
        <v>4124</v>
      </c>
      <c r="B282" s="41">
        <v>1101100938</v>
      </c>
      <c r="C282" s="41"/>
      <c r="D282" s="69"/>
      <c r="E282" s="101">
        <v>0</v>
      </c>
      <c r="F282" s="41" t="s">
        <v>260</v>
      </c>
      <c r="G282" s="69" t="s">
        <v>259</v>
      </c>
      <c r="H282" s="41">
        <v>9007000080</v>
      </c>
      <c r="I282" s="41" t="s">
        <v>261</v>
      </c>
      <c r="J282" s="41">
        <v>1202010217</v>
      </c>
      <c r="K282" s="41" t="s">
        <v>928</v>
      </c>
      <c r="L282" s="52" t="s">
        <v>929</v>
      </c>
      <c r="M282" s="69" t="s">
        <v>49</v>
      </c>
      <c r="N282" s="69"/>
      <c r="O282" s="69">
        <v>1</v>
      </c>
      <c r="P282" s="69" t="s">
        <v>50</v>
      </c>
      <c r="Q282" s="69" t="s">
        <v>51</v>
      </c>
      <c r="R282" s="69"/>
      <c r="S282" s="48">
        <v>41329</v>
      </c>
      <c r="T282" s="48">
        <v>43340</v>
      </c>
      <c r="U282" s="69"/>
      <c r="V282" s="69"/>
      <c r="W282" s="69"/>
      <c r="X282" s="69"/>
      <c r="Y282" s="69" t="s">
        <v>4125</v>
      </c>
      <c r="Z282" s="52">
        <v>24000</v>
      </c>
      <c r="AA282" s="43" t="s">
        <v>52</v>
      </c>
      <c r="AB282" s="43" t="s">
        <v>53</v>
      </c>
      <c r="AC282" s="85">
        <v>1643</v>
      </c>
      <c r="AD282" s="141">
        <v>4</v>
      </c>
      <c r="AE282" s="142">
        <v>6</v>
      </c>
      <c r="AF282" s="69" t="str">
        <f t="shared" ref="AF282:AF283" si="39">_xlfn.CONCAT(AG282," years ",AH282," days")</f>
        <v>4 years 183 days</v>
      </c>
      <c r="AG282" s="69">
        <v>4</v>
      </c>
      <c r="AH282" s="69">
        <v>183</v>
      </c>
      <c r="AI282" s="69">
        <v>24000</v>
      </c>
      <c r="AJ282" s="67">
        <v>24000</v>
      </c>
      <c r="AK282" s="69">
        <v>2025</v>
      </c>
      <c r="AL282" s="61">
        <v>0</v>
      </c>
      <c r="AM282" s="143"/>
    </row>
    <row r="283" spans="1:39" x14ac:dyDescent="0.35">
      <c r="A283" s="69" t="s">
        <v>4124</v>
      </c>
      <c r="B283" s="41">
        <v>1101404651</v>
      </c>
      <c r="C283" s="41"/>
      <c r="D283" s="41" t="s">
        <v>927</v>
      </c>
      <c r="E283" s="101">
        <v>1</v>
      </c>
      <c r="F283" s="41" t="s">
        <v>260</v>
      </c>
      <c r="G283" s="69" t="s">
        <v>259</v>
      </c>
      <c r="H283" s="41">
        <v>9007000080</v>
      </c>
      <c r="I283" s="41" t="s">
        <v>261</v>
      </c>
      <c r="J283" s="41">
        <v>1202010217</v>
      </c>
      <c r="K283" s="41" t="s">
        <v>818</v>
      </c>
      <c r="L283" s="52" t="s">
        <v>931</v>
      </c>
      <c r="M283" s="69" t="s">
        <v>932</v>
      </c>
      <c r="N283" s="69"/>
      <c r="O283" s="69">
        <v>1</v>
      </c>
      <c r="P283" s="69" t="s">
        <v>50</v>
      </c>
      <c r="Q283" s="69" t="s">
        <v>51</v>
      </c>
      <c r="R283" s="69"/>
      <c r="S283" s="48">
        <v>44986</v>
      </c>
      <c r="T283" s="48">
        <v>44986</v>
      </c>
      <c r="U283" s="69"/>
      <c r="V283" s="69"/>
      <c r="W283" s="69"/>
      <c r="X283" s="69"/>
      <c r="Y283" s="69" t="s">
        <v>4129</v>
      </c>
      <c r="Z283" s="52">
        <v>485012</v>
      </c>
      <c r="AA283" s="43" t="s">
        <v>52</v>
      </c>
      <c r="AB283" s="43" t="s">
        <v>53</v>
      </c>
      <c r="AC283" s="85">
        <v>3650</v>
      </c>
      <c r="AD283" s="141">
        <v>10</v>
      </c>
      <c r="AE283" s="142">
        <v>0</v>
      </c>
      <c r="AF283" s="69" t="str">
        <f t="shared" si="39"/>
        <v>1 years 307 days</v>
      </c>
      <c r="AG283" s="69">
        <v>1</v>
      </c>
      <c r="AH283" s="69">
        <v>307</v>
      </c>
      <c r="AI283" s="69">
        <v>485012</v>
      </c>
      <c r="AJ283" s="67">
        <v>89295</v>
      </c>
      <c r="AK283" s="69">
        <v>2025</v>
      </c>
      <c r="AL283" s="61">
        <v>24051.64</v>
      </c>
      <c r="AM283" s="143"/>
    </row>
    <row r="284" spans="1:39" x14ac:dyDescent="0.35">
      <c r="A284" s="69" t="s">
        <v>4124</v>
      </c>
      <c r="B284" s="41">
        <v>1101403395</v>
      </c>
      <c r="C284" s="41"/>
      <c r="D284" s="69"/>
      <c r="E284" s="101">
        <v>0</v>
      </c>
      <c r="F284" s="41" t="s">
        <v>260</v>
      </c>
      <c r="G284" s="69" t="s">
        <v>259</v>
      </c>
      <c r="H284" s="41">
        <v>9007000081</v>
      </c>
      <c r="I284" s="41" t="s">
        <v>261</v>
      </c>
      <c r="J284" s="41">
        <v>1202010217</v>
      </c>
      <c r="K284" s="41" t="s">
        <v>934</v>
      </c>
      <c r="L284" s="52" t="s">
        <v>935</v>
      </c>
      <c r="M284" s="69" t="s">
        <v>936</v>
      </c>
      <c r="N284" s="69"/>
      <c r="O284" s="69">
        <v>2</v>
      </c>
      <c r="P284" s="69" t="s">
        <v>50</v>
      </c>
      <c r="Q284" s="69" t="s">
        <v>51</v>
      </c>
      <c r="R284" s="69"/>
      <c r="S284" s="48">
        <v>44101</v>
      </c>
      <c r="T284" s="48">
        <v>44101</v>
      </c>
      <c r="U284" s="69"/>
      <c r="V284" s="69"/>
      <c r="W284" s="69"/>
      <c r="X284" s="69"/>
      <c r="Y284" s="69" t="s">
        <v>4127</v>
      </c>
      <c r="Z284" s="52">
        <v>581200</v>
      </c>
      <c r="AA284" s="43" t="s">
        <v>52</v>
      </c>
      <c r="AB284" s="43" t="s">
        <v>53</v>
      </c>
      <c r="AC284" s="85">
        <v>3650</v>
      </c>
      <c r="AD284" s="141">
        <v>10</v>
      </c>
      <c r="AE284" s="142">
        <v>0</v>
      </c>
      <c r="AF284" s="69" t="str">
        <f t="shared" ref="AF284:AF287" si="40">_xlfn.CONCAT(AG284," years ",AH284," days")</f>
        <v>4 years 97 days</v>
      </c>
      <c r="AG284" s="69">
        <v>4</v>
      </c>
      <c r="AH284" s="69">
        <v>97</v>
      </c>
      <c r="AI284" s="69">
        <v>581200</v>
      </c>
      <c r="AJ284" s="67">
        <v>247926</v>
      </c>
      <c r="AK284" s="69">
        <v>2025</v>
      </c>
      <c r="AL284" s="61">
        <v>28820.739726027416</v>
      </c>
      <c r="AM284" s="143"/>
    </row>
    <row r="285" spans="1:39" x14ac:dyDescent="0.35">
      <c r="A285" s="69" t="s">
        <v>4124</v>
      </c>
      <c r="B285" s="41">
        <v>1101403502</v>
      </c>
      <c r="C285" s="41"/>
      <c r="D285" s="41" t="s">
        <v>933</v>
      </c>
      <c r="E285" s="101">
        <v>1</v>
      </c>
      <c r="F285" s="41" t="s">
        <v>260</v>
      </c>
      <c r="G285" s="69" t="s">
        <v>259</v>
      </c>
      <c r="H285" s="41">
        <v>9007000081</v>
      </c>
      <c r="I285" s="41" t="s">
        <v>261</v>
      </c>
      <c r="J285" s="41">
        <v>1202010217</v>
      </c>
      <c r="K285" s="41" t="s">
        <v>934</v>
      </c>
      <c r="L285" s="52" t="s">
        <v>938</v>
      </c>
      <c r="M285" s="69" t="s">
        <v>939</v>
      </c>
      <c r="N285" s="69"/>
      <c r="O285" s="69">
        <v>1</v>
      </c>
      <c r="P285" s="69" t="s">
        <v>50</v>
      </c>
      <c r="Q285" s="69" t="s">
        <v>51</v>
      </c>
      <c r="R285" s="69"/>
      <c r="S285" s="48">
        <v>44195</v>
      </c>
      <c r="T285" s="48">
        <v>44195</v>
      </c>
      <c r="U285" s="69"/>
      <c r="V285" s="69"/>
      <c r="W285" s="69"/>
      <c r="X285" s="69"/>
      <c r="Y285" s="69" t="s">
        <v>4127</v>
      </c>
      <c r="Z285" s="52">
        <v>428868</v>
      </c>
      <c r="AA285" s="43" t="s">
        <v>52</v>
      </c>
      <c r="AB285" s="43" t="s">
        <v>53</v>
      </c>
      <c r="AC285" s="85">
        <v>3650</v>
      </c>
      <c r="AD285" s="141">
        <v>10</v>
      </c>
      <c r="AE285" s="142">
        <v>0</v>
      </c>
      <c r="AF285" s="69" t="str">
        <f t="shared" si="40"/>
        <v>4 years 3 days</v>
      </c>
      <c r="AG285" s="69">
        <v>4</v>
      </c>
      <c r="AH285" s="69">
        <v>3</v>
      </c>
      <c r="AI285" s="69">
        <v>428868</v>
      </c>
      <c r="AJ285" s="67">
        <v>171900</v>
      </c>
      <c r="AK285" s="69">
        <v>2025</v>
      </c>
      <c r="AL285" s="61">
        <v>21266.847123287705</v>
      </c>
      <c r="AM285" s="143"/>
    </row>
    <row r="286" spans="1:39" x14ac:dyDescent="0.35">
      <c r="A286" s="69" t="s">
        <v>4124</v>
      </c>
      <c r="B286" s="41">
        <v>1101403503</v>
      </c>
      <c r="C286" s="41"/>
      <c r="D286" s="41" t="s">
        <v>933</v>
      </c>
      <c r="E286" s="101">
        <v>2</v>
      </c>
      <c r="F286" s="41" t="s">
        <v>260</v>
      </c>
      <c r="G286" s="69" t="s">
        <v>259</v>
      </c>
      <c r="H286" s="41">
        <v>9007000081</v>
      </c>
      <c r="I286" s="41" t="s">
        <v>261</v>
      </c>
      <c r="J286" s="41">
        <v>1202010217</v>
      </c>
      <c r="K286" s="41" t="s">
        <v>934</v>
      </c>
      <c r="L286" s="52" t="s">
        <v>941</v>
      </c>
      <c r="M286" s="69" t="s">
        <v>942</v>
      </c>
      <c r="N286" s="69"/>
      <c r="O286" s="69">
        <v>1</v>
      </c>
      <c r="P286" s="69" t="s">
        <v>50</v>
      </c>
      <c r="Q286" s="69" t="s">
        <v>51</v>
      </c>
      <c r="R286" s="69"/>
      <c r="S286" s="48">
        <v>44195</v>
      </c>
      <c r="T286" s="48">
        <v>44195</v>
      </c>
      <c r="U286" s="69"/>
      <c r="V286" s="69"/>
      <c r="W286" s="69"/>
      <c r="X286" s="69"/>
      <c r="Y286" s="69" t="s">
        <v>4127</v>
      </c>
      <c r="Z286" s="52">
        <v>592986.96</v>
      </c>
      <c r="AA286" s="43" t="s">
        <v>52</v>
      </c>
      <c r="AB286" s="43" t="s">
        <v>53</v>
      </c>
      <c r="AC286" s="85">
        <v>3650</v>
      </c>
      <c r="AD286" s="141">
        <v>10</v>
      </c>
      <c r="AE286" s="142">
        <v>0</v>
      </c>
      <c r="AF286" s="69" t="str">
        <f t="shared" si="40"/>
        <v>4 years 3 days</v>
      </c>
      <c r="AG286" s="69">
        <v>4</v>
      </c>
      <c r="AH286" s="69">
        <v>3</v>
      </c>
      <c r="AI286" s="69">
        <v>592986.96</v>
      </c>
      <c r="AJ286" s="67">
        <v>237682</v>
      </c>
      <c r="AK286" s="69">
        <v>2025</v>
      </c>
      <c r="AL286" s="61">
        <v>29405.834279452043</v>
      </c>
      <c r="AM286" s="143"/>
    </row>
    <row r="287" spans="1:39" x14ac:dyDescent="0.35">
      <c r="A287" s="69" t="s">
        <v>4124</v>
      </c>
      <c r="B287" s="41">
        <v>1101100464</v>
      </c>
      <c r="C287" s="41"/>
      <c r="D287" s="41" t="s">
        <v>933</v>
      </c>
      <c r="E287" s="101">
        <v>3</v>
      </c>
      <c r="F287" s="41" t="s">
        <v>260</v>
      </c>
      <c r="G287" s="69" t="s">
        <v>259</v>
      </c>
      <c r="H287" s="41">
        <v>9007000081</v>
      </c>
      <c r="I287" s="41" t="s">
        <v>261</v>
      </c>
      <c r="J287" s="41">
        <v>1202010217</v>
      </c>
      <c r="K287" s="41" t="s">
        <v>944</v>
      </c>
      <c r="L287" s="52" t="s">
        <v>945</v>
      </c>
      <c r="M287" s="69" t="s">
        <v>49</v>
      </c>
      <c r="N287" s="69"/>
      <c r="O287" s="69">
        <v>1</v>
      </c>
      <c r="P287" s="69" t="s">
        <v>50</v>
      </c>
      <c r="Q287" s="69" t="s">
        <v>51</v>
      </c>
      <c r="R287" s="69"/>
      <c r="S287" s="48">
        <v>40374</v>
      </c>
      <c r="T287" s="48">
        <v>43340</v>
      </c>
      <c r="U287" s="69"/>
      <c r="V287" s="69"/>
      <c r="W287" s="69"/>
      <c r="X287" s="69"/>
      <c r="Y287" s="69" t="s">
        <v>4125</v>
      </c>
      <c r="Z287" s="52">
        <v>7500</v>
      </c>
      <c r="AA287" s="43" t="s">
        <v>52</v>
      </c>
      <c r="AB287" s="43" t="s">
        <v>53</v>
      </c>
      <c r="AC287" s="85">
        <v>694</v>
      </c>
      <c r="AD287" s="141">
        <v>1</v>
      </c>
      <c r="AE287" s="142">
        <v>11</v>
      </c>
      <c r="AF287" s="69" t="str">
        <f t="shared" si="40"/>
        <v>1 years 329 days</v>
      </c>
      <c r="AG287" s="69">
        <v>1</v>
      </c>
      <c r="AH287" s="69">
        <v>329</v>
      </c>
      <c r="AI287" s="69">
        <v>7500</v>
      </c>
      <c r="AJ287" s="67">
        <v>7500</v>
      </c>
      <c r="AK287" s="69">
        <v>2025</v>
      </c>
      <c r="AL287" s="61">
        <v>0</v>
      </c>
      <c r="AM287" s="143"/>
    </row>
    <row r="288" spans="1:39" x14ac:dyDescent="0.35">
      <c r="A288" s="69" t="s">
        <v>4124</v>
      </c>
      <c r="B288" s="41">
        <v>1101101552</v>
      </c>
      <c r="C288" s="41"/>
      <c r="D288" s="69"/>
      <c r="E288" s="101">
        <v>0</v>
      </c>
      <c r="F288" s="41" t="s">
        <v>260</v>
      </c>
      <c r="G288" s="69" t="s">
        <v>259</v>
      </c>
      <c r="H288" s="41">
        <v>9007000082</v>
      </c>
      <c r="I288" s="41" t="s">
        <v>261</v>
      </c>
      <c r="J288" s="41">
        <v>1202010217</v>
      </c>
      <c r="K288" s="41" t="s">
        <v>947</v>
      </c>
      <c r="L288" s="52" t="s">
        <v>948</v>
      </c>
      <c r="M288" s="69" t="s">
        <v>949</v>
      </c>
      <c r="N288" s="69"/>
      <c r="O288" s="69">
        <v>2</v>
      </c>
      <c r="P288" s="69" t="s">
        <v>50</v>
      </c>
      <c r="Q288" s="69" t="s">
        <v>51</v>
      </c>
      <c r="R288" s="69"/>
      <c r="S288" s="48">
        <v>41965</v>
      </c>
      <c r="T288" s="48">
        <v>43340</v>
      </c>
      <c r="U288" s="69"/>
      <c r="V288" s="69"/>
      <c r="W288" s="69"/>
      <c r="X288" s="69"/>
      <c r="Y288" s="69" t="s">
        <v>4125</v>
      </c>
      <c r="Z288" s="52">
        <v>21000</v>
      </c>
      <c r="AA288" s="43" t="s">
        <v>52</v>
      </c>
      <c r="AB288" s="43" t="s">
        <v>53</v>
      </c>
      <c r="AC288" s="85">
        <v>2263</v>
      </c>
      <c r="AD288" s="141">
        <v>6</v>
      </c>
      <c r="AE288" s="142">
        <v>2</v>
      </c>
      <c r="AF288" s="69" t="str">
        <f t="shared" ref="AF288:AF290" si="41">_xlfn.CONCAT(AG288," years ",AH288," days")</f>
        <v>6 years 73 days</v>
      </c>
      <c r="AG288" s="69">
        <v>6</v>
      </c>
      <c r="AH288" s="69">
        <v>73</v>
      </c>
      <c r="AI288" s="69">
        <v>21000</v>
      </c>
      <c r="AJ288" s="67">
        <v>21000</v>
      </c>
      <c r="AK288" s="69">
        <v>2025</v>
      </c>
      <c r="AL288" s="61">
        <v>0</v>
      </c>
      <c r="AM288" s="143"/>
    </row>
    <row r="289" spans="1:39" x14ac:dyDescent="0.35">
      <c r="A289" s="69" t="s">
        <v>4124</v>
      </c>
      <c r="B289" s="41">
        <v>1101402810</v>
      </c>
      <c r="C289" s="41"/>
      <c r="D289" s="41" t="s">
        <v>946</v>
      </c>
      <c r="E289" s="101">
        <v>1</v>
      </c>
      <c r="F289" s="41" t="s">
        <v>260</v>
      </c>
      <c r="G289" s="69" t="s">
        <v>259</v>
      </c>
      <c r="H289" s="41">
        <v>9007000082</v>
      </c>
      <c r="I289" s="41" t="s">
        <v>261</v>
      </c>
      <c r="J289" s="41">
        <v>1202010217</v>
      </c>
      <c r="K289" s="41"/>
      <c r="L289" s="52" t="s">
        <v>951</v>
      </c>
      <c r="M289" s="69" t="s">
        <v>952</v>
      </c>
      <c r="N289" s="69"/>
      <c r="O289" s="69">
        <v>2</v>
      </c>
      <c r="P289" s="69" t="s">
        <v>50</v>
      </c>
      <c r="Q289" s="69" t="s">
        <v>51</v>
      </c>
      <c r="R289" s="69"/>
      <c r="S289" s="48">
        <v>43473</v>
      </c>
      <c r="T289" s="48">
        <v>43473</v>
      </c>
      <c r="U289" s="69"/>
      <c r="V289" s="69"/>
      <c r="W289" s="69"/>
      <c r="X289" s="69"/>
      <c r="Y289" s="69" t="s">
        <v>4126</v>
      </c>
      <c r="Z289" s="52">
        <v>15318</v>
      </c>
      <c r="AA289" s="43" t="s">
        <v>52</v>
      </c>
      <c r="AB289" s="43" t="s">
        <v>53</v>
      </c>
      <c r="AC289" s="85">
        <v>3650</v>
      </c>
      <c r="AD289" s="141">
        <v>10</v>
      </c>
      <c r="AE289" s="142">
        <v>0</v>
      </c>
      <c r="AF289" s="69" t="str">
        <f t="shared" si="41"/>
        <v>5 years 360 days</v>
      </c>
      <c r="AG289" s="69">
        <v>5</v>
      </c>
      <c r="AH289" s="69">
        <v>360</v>
      </c>
      <c r="AI289" s="69">
        <v>15318</v>
      </c>
      <c r="AJ289" s="67">
        <v>9166</v>
      </c>
      <c r="AK289" s="69">
        <v>2025</v>
      </c>
      <c r="AL289" s="61">
        <v>759.22465753424694</v>
      </c>
      <c r="AM289" s="143"/>
    </row>
    <row r="290" spans="1:39" x14ac:dyDescent="0.35">
      <c r="A290" s="69" t="s">
        <v>4124</v>
      </c>
      <c r="B290" s="41">
        <v>1101404037</v>
      </c>
      <c r="C290" s="41"/>
      <c r="D290" s="41" t="s">
        <v>946</v>
      </c>
      <c r="E290" s="101">
        <v>2</v>
      </c>
      <c r="F290" s="41" t="s">
        <v>260</v>
      </c>
      <c r="G290" s="69" t="s">
        <v>259</v>
      </c>
      <c r="H290" s="41">
        <v>9007000082</v>
      </c>
      <c r="I290" s="41" t="s">
        <v>261</v>
      </c>
      <c r="J290" s="41">
        <v>1202010217</v>
      </c>
      <c r="K290" s="41" t="s">
        <v>818</v>
      </c>
      <c r="L290" s="52" t="s">
        <v>954</v>
      </c>
      <c r="M290" s="69" t="s">
        <v>955</v>
      </c>
      <c r="N290" s="69"/>
      <c r="O290" s="69">
        <v>3</v>
      </c>
      <c r="P290" s="69" t="s">
        <v>50</v>
      </c>
      <c r="Q290" s="69" t="s">
        <v>51</v>
      </c>
      <c r="R290" s="69"/>
      <c r="S290" s="48">
        <v>44621</v>
      </c>
      <c r="T290" s="48">
        <v>44621</v>
      </c>
      <c r="U290" s="69"/>
      <c r="V290" s="69"/>
      <c r="W290" s="69"/>
      <c r="X290" s="69"/>
      <c r="Y290" s="69" t="s">
        <v>4131</v>
      </c>
      <c r="Z290" s="52">
        <v>369580</v>
      </c>
      <c r="AA290" s="43" t="s">
        <v>52</v>
      </c>
      <c r="AB290" s="43" t="s">
        <v>53</v>
      </c>
      <c r="AC290" s="85">
        <v>3650</v>
      </c>
      <c r="AD290" s="141">
        <v>10</v>
      </c>
      <c r="AE290" s="142">
        <v>0</v>
      </c>
      <c r="AF290" s="69" t="str">
        <f t="shared" si="41"/>
        <v>2 years 307 days</v>
      </c>
      <c r="AG290" s="69">
        <v>2</v>
      </c>
      <c r="AH290" s="69">
        <v>307</v>
      </c>
      <c r="AI290" s="69">
        <v>369580</v>
      </c>
      <c r="AJ290" s="67">
        <v>105001</v>
      </c>
      <c r="AK290" s="69">
        <v>2025</v>
      </c>
      <c r="AL290" s="61">
        <v>18327.339726027392</v>
      </c>
      <c r="AM290" s="143"/>
    </row>
    <row r="291" spans="1:39" x14ac:dyDescent="0.35">
      <c r="A291" s="69" t="s">
        <v>4124</v>
      </c>
      <c r="B291" s="41">
        <v>1101401085</v>
      </c>
      <c r="C291" s="41"/>
      <c r="D291" s="69"/>
      <c r="E291" s="101">
        <v>0</v>
      </c>
      <c r="F291" s="41" t="s">
        <v>260</v>
      </c>
      <c r="G291" s="69" t="s">
        <v>259</v>
      </c>
      <c r="H291" s="41">
        <v>9007000083</v>
      </c>
      <c r="I291" s="41" t="s">
        <v>261</v>
      </c>
      <c r="J291" s="41">
        <v>1202010217</v>
      </c>
      <c r="K291" s="41" t="s">
        <v>957</v>
      </c>
      <c r="L291" s="52" t="s">
        <v>958</v>
      </c>
      <c r="M291" s="69" t="s">
        <v>959</v>
      </c>
      <c r="N291" s="69"/>
      <c r="O291" s="69">
        <v>1</v>
      </c>
      <c r="P291" s="69" t="s">
        <v>50</v>
      </c>
      <c r="Q291" s="69" t="s">
        <v>51</v>
      </c>
      <c r="R291" s="69"/>
      <c r="S291" s="48">
        <v>41431</v>
      </c>
      <c r="T291" s="48">
        <v>43340</v>
      </c>
      <c r="U291" s="69"/>
      <c r="V291" s="69"/>
      <c r="W291" s="69"/>
      <c r="X291" s="69"/>
      <c r="Y291" s="69" t="s">
        <v>4125</v>
      </c>
      <c r="Z291" s="52">
        <v>52500</v>
      </c>
      <c r="AA291" s="43" t="s">
        <v>52</v>
      </c>
      <c r="AB291" s="43" t="s">
        <v>53</v>
      </c>
      <c r="AC291" s="85">
        <v>1752</v>
      </c>
      <c r="AD291" s="141">
        <v>4</v>
      </c>
      <c r="AE291" s="142">
        <v>10</v>
      </c>
      <c r="AF291" s="69" t="str">
        <f>_xlfn.CONCAT(AG291," years ",AH291," days")</f>
        <v>4 years 292 days</v>
      </c>
      <c r="AG291" s="69">
        <v>4</v>
      </c>
      <c r="AH291" s="69">
        <v>292</v>
      </c>
      <c r="AI291" s="69">
        <v>52500</v>
      </c>
      <c r="AJ291" s="67">
        <v>52500</v>
      </c>
      <c r="AK291" s="69">
        <v>2025</v>
      </c>
      <c r="AL291" s="61">
        <v>0</v>
      </c>
      <c r="AM291" s="143"/>
    </row>
    <row r="292" spans="1:39" x14ac:dyDescent="0.35">
      <c r="A292" s="69" t="s">
        <v>4124</v>
      </c>
      <c r="B292" s="41">
        <v>1101504501</v>
      </c>
      <c r="C292" s="41"/>
      <c r="D292" s="41" t="s">
        <v>960</v>
      </c>
      <c r="E292" s="101">
        <v>66</v>
      </c>
      <c r="F292" s="41" t="s">
        <v>260</v>
      </c>
      <c r="G292" s="69" t="s">
        <v>259</v>
      </c>
      <c r="H292" s="41">
        <v>9007000090</v>
      </c>
      <c r="I292" s="41" t="s">
        <v>261</v>
      </c>
      <c r="J292" s="41">
        <v>1202010217</v>
      </c>
      <c r="K292" s="41"/>
      <c r="L292" s="52" t="s">
        <v>1105</v>
      </c>
      <c r="M292" s="69" t="s">
        <v>49</v>
      </c>
      <c r="N292" s="69"/>
      <c r="O292" s="69">
        <v>1</v>
      </c>
      <c r="P292" s="69" t="s">
        <v>50</v>
      </c>
      <c r="Q292" s="69" t="s">
        <v>51</v>
      </c>
      <c r="R292" s="69"/>
      <c r="S292" s="48">
        <v>42075</v>
      </c>
      <c r="T292" s="48">
        <v>43340</v>
      </c>
      <c r="U292" s="69"/>
      <c r="V292" s="69"/>
      <c r="W292" s="69"/>
      <c r="X292" s="69"/>
      <c r="Y292" s="69" t="s">
        <v>4125</v>
      </c>
      <c r="Z292" s="52">
        <v>9750</v>
      </c>
      <c r="AA292" s="43" t="s">
        <v>52</v>
      </c>
      <c r="AB292" s="43" t="s">
        <v>53</v>
      </c>
      <c r="AC292" s="85">
        <v>548</v>
      </c>
      <c r="AD292" s="141">
        <v>1</v>
      </c>
      <c r="AE292" s="142">
        <v>6</v>
      </c>
      <c r="AF292" s="69" t="str">
        <f>_xlfn.CONCAT(AG292," years ",AH292," days")</f>
        <v>1 years 183 days</v>
      </c>
      <c r="AG292" s="69">
        <v>1</v>
      </c>
      <c r="AH292" s="69">
        <v>183</v>
      </c>
      <c r="AI292" s="69">
        <v>9750</v>
      </c>
      <c r="AJ292" s="67">
        <v>9750</v>
      </c>
      <c r="AK292" s="69">
        <v>2025</v>
      </c>
      <c r="AL292" s="61">
        <v>0</v>
      </c>
      <c r="AM292" s="143"/>
    </row>
    <row r="293" spans="1:39" x14ac:dyDescent="0.35">
      <c r="A293" s="69" t="s">
        <v>4124</v>
      </c>
      <c r="B293" s="41">
        <v>1101504427</v>
      </c>
      <c r="C293" s="41"/>
      <c r="D293" s="41" t="s">
        <v>960</v>
      </c>
      <c r="E293" s="101">
        <v>63</v>
      </c>
      <c r="F293" s="41" t="s">
        <v>260</v>
      </c>
      <c r="G293" s="69" t="s">
        <v>259</v>
      </c>
      <c r="H293" s="41">
        <v>9007000090</v>
      </c>
      <c r="I293" s="41" t="s">
        <v>261</v>
      </c>
      <c r="J293" s="41">
        <v>1202010217</v>
      </c>
      <c r="K293" s="41"/>
      <c r="L293" s="52" t="s">
        <v>1099</v>
      </c>
      <c r="M293" s="69" t="s">
        <v>49</v>
      </c>
      <c r="N293" s="69"/>
      <c r="O293" s="69">
        <v>1</v>
      </c>
      <c r="P293" s="69" t="s">
        <v>50</v>
      </c>
      <c r="Q293" s="69" t="s">
        <v>51</v>
      </c>
      <c r="R293" s="69"/>
      <c r="S293" s="48">
        <v>38806</v>
      </c>
      <c r="T293" s="48">
        <v>43340</v>
      </c>
      <c r="U293" s="69"/>
      <c r="V293" s="69"/>
      <c r="W293" s="69"/>
      <c r="X293" s="69"/>
      <c r="Y293" s="69" t="s">
        <v>4125</v>
      </c>
      <c r="Z293" s="52">
        <v>2600</v>
      </c>
      <c r="AA293" s="43" t="s">
        <v>52</v>
      </c>
      <c r="AB293" s="43" t="s">
        <v>53</v>
      </c>
      <c r="AC293" s="85">
        <v>292</v>
      </c>
      <c r="AD293" s="141">
        <v>0</v>
      </c>
      <c r="AE293" s="142">
        <v>10</v>
      </c>
      <c r="AF293" s="69" t="str">
        <f t="shared" ref="AF293:AF295" si="42">_xlfn.CONCAT(AG293," years ",AH293," days")</f>
        <v>0 years 292 days</v>
      </c>
      <c r="AG293" s="69">
        <v>0</v>
      </c>
      <c r="AH293" s="69">
        <v>292</v>
      </c>
      <c r="AI293" s="69">
        <v>2600</v>
      </c>
      <c r="AJ293" s="67">
        <v>2600</v>
      </c>
      <c r="AK293" s="69">
        <v>2025</v>
      </c>
      <c r="AL293" s="61">
        <v>0</v>
      </c>
      <c r="AM293" s="143"/>
    </row>
    <row r="294" spans="1:39" x14ac:dyDescent="0.35">
      <c r="A294" s="69" t="s">
        <v>4124</v>
      </c>
      <c r="B294" s="41">
        <v>1101504341</v>
      </c>
      <c r="C294" s="41"/>
      <c r="D294" s="41" t="s">
        <v>960</v>
      </c>
      <c r="E294" s="101">
        <v>60</v>
      </c>
      <c r="F294" s="41" t="s">
        <v>260</v>
      </c>
      <c r="G294" s="69" t="s">
        <v>259</v>
      </c>
      <c r="H294" s="41">
        <v>9007000090</v>
      </c>
      <c r="I294" s="41" t="s">
        <v>261</v>
      </c>
      <c r="J294" s="41">
        <v>1202010217</v>
      </c>
      <c r="K294" s="41"/>
      <c r="L294" s="52" t="s">
        <v>1093</v>
      </c>
      <c r="M294" s="69" t="s">
        <v>49</v>
      </c>
      <c r="N294" s="69"/>
      <c r="O294" s="69">
        <v>1</v>
      </c>
      <c r="P294" s="69" t="s">
        <v>50</v>
      </c>
      <c r="Q294" s="69" t="s">
        <v>51</v>
      </c>
      <c r="R294" s="69"/>
      <c r="S294" s="48">
        <v>41368</v>
      </c>
      <c r="T294" s="48">
        <v>43340</v>
      </c>
      <c r="U294" s="69"/>
      <c r="V294" s="69"/>
      <c r="W294" s="69"/>
      <c r="X294" s="69"/>
      <c r="Y294" s="69" t="s">
        <v>4125</v>
      </c>
      <c r="Z294" s="52">
        <v>35000</v>
      </c>
      <c r="AA294" s="43" t="s">
        <v>52</v>
      </c>
      <c r="AB294" s="43" t="s">
        <v>53</v>
      </c>
      <c r="AC294" s="85">
        <v>1679</v>
      </c>
      <c r="AD294" s="141">
        <v>4</v>
      </c>
      <c r="AE294" s="142">
        <v>7</v>
      </c>
      <c r="AF294" s="69" t="str">
        <f t="shared" si="42"/>
        <v>4 years 219 days</v>
      </c>
      <c r="AG294" s="69">
        <v>4</v>
      </c>
      <c r="AH294" s="69">
        <v>219</v>
      </c>
      <c r="AI294" s="69">
        <v>35000</v>
      </c>
      <c r="AJ294" s="67">
        <v>35000</v>
      </c>
      <c r="AK294" s="69">
        <v>2025</v>
      </c>
      <c r="AL294" s="61">
        <v>0</v>
      </c>
      <c r="AM294" s="143"/>
    </row>
    <row r="295" spans="1:39" x14ac:dyDescent="0.35">
      <c r="A295" s="69" t="s">
        <v>4124</v>
      </c>
      <c r="B295" s="41">
        <v>1101504329</v>
      </c>
      <c r="C295" s="41"/>
      <c r="D295" s="41" t="s">
        <v>960</v>
      </c>
      <c r="E295" s="101">
        <v>57</v>
      </c>
      <c r="F295" s="41" t="s">
        <v>260</v>
      </c>
      <c r="G295" s="69" t="s">
        <v>259</v>
      </c>
      <c r="H295" s="41">
        <v>9007000090</v>
      </c>
      <c r="I295" s="41" t="s">
        <v>261</v>
      </c>
      <c r="J295" s="41">
        <v>1202010217</v>
      </c>
      <c r="K295" s="41"/>
      <c r="L295" s="52" t="s">
        <v>1087</v>
      </c>
      <c r="M295" s="69" t="s">
        <v>738</v>
      </c>
      <c r="N295" s="69"/>
      <c r="O295" s="69">
        <v>1</v>
      </c>
      <c r="P295" s="69" t="s">
        <v>50</v>
      </c>
      <c r="Q295" s="69" t="s">
        <v>51</v>
      </c>
      <c r="R295" s="69"/>
      <c r="S295" s="48">
        <v>43140</v>
      </c>
      <c r="T295" s="48">
        <v>43340</v>
      </c>
      <c r="U295" s="69"/>
      <c r="V295" s="69"/>
      <c r="W295" s="69"/>
      <c r="X295" s="69"/>
      <c r="Y295" s="69" t="s">
        <v>4125</v>
      </c>
      <c r="Z295" s="52">
        <v>225000</v>
      </c>
      <c r="AA295" s="43" t="s">
        <v>52</v>
      </c>
      <c r="AB295" s="43" t="s">
        <v>53</v>
      </c>
      <c r="AC295" s="85">
        <v>3431</v>
      </c>
      <c r="AD295" s="141">
        <v>9</v>
      </c>
      <c r="AE295" s="142">
        <v>5</v>
      </c>
      <c r="AF295" s="69" t="str">
        <f t="shared" si="42"/>
        <v>6 years 128 days</v>
      </c>
      <c r="AG295" s="69">
        <v>6</v>
      </c>
      <c r="AH295" s="69">
        <v>128</v>
      </c>
      <c r="AI295" s="69">
        <v>225000</v>
      </c>
      <c r="AJ295" s="67">
        <v>151945</v>
      </c>
      <c r="AK295" s="69">
        <v>2025</v>
      </c>
      <c r="AL295" s="61">
        <v>11870.214223258517</v>
      </c>
      <c r="AM295" s="143"/>
    </row>
    <row r="296" spans="1:39" x14ac:dyDescent="0.35">
      <c r="A296" s="69" t="s">
        <v>4124</v>
      </c>
      <c r="B296" s="41">
        <v>1101504434</v>
      </c>
      <c r="C296" s="41"/>
      <c r="D296" s="41" t="s">
        <v>960</v>
      </c>
      <c r="E296" s="101">
        <v>64</v>
      </c>
      <c r="F296" s="41" t="s">
        <v>260</v>
      </c>
      <c r="G296" s="69" t="s">
        <v>259</v>
      </c>
      <c r="H296" s="41">
        <v>9007000090</v>
      </c>
      <c r="I296" s="41" t="s">
        <v>261</v>
      </c>
      <c r="J296" s="41">
        <v>1202010217</v>
      </c>
      <c r="K296" s="41"/>
      <c r="L296" s="52" t="s">
        <v>1101</v>
      </c>
      <c r="M296" s="69" t="s">
        <v>49</v>
      </c>
      <c r="N296" s="69"/>
      <c r="O296" s="69">
        <v>1</v>
      </c>
      <c r="P296" s="69" t="s">
        <v>50</v>
      </c>
      <c r="Q296" s="69" t="s">
        <v>51</v>
      </c>
      <c r="R296" s="69"/>
      <c r="S296" s="48">
        <v>37854</v>
      </c>
      <c r="T296" s="48">
        <v>43340</v>
      </c>
      <c r="U296" s="69"/>
      <c r="V296" s="69"/>
      <c r="W296" s="69"/>
      <c r="X296" s="69"/>
      <c r="Y296" s="69" t="s">
        <v>4125</v>
      </c>
      <c r="Z296" s="52">
        <v>13000</v>
      </c>
      <c r="AA296" s="43" t="s">
        <v>52</v>
      </c>
      <c r="AB296" s="43" t="s">
        <v>53</v>
      </c>
      <c r="AC296" s="85">
        <v>365</v>
      </c>
      <c r="AD296" s="141">
        <v>1</v>
      </c>
      <c r="AE296" s="142">
        <v>0</v>
      </c>
      <c r="AF296" s="69" t="str">
        <f>_xlfn.CONCAT(AG296," years ",AH296," days")</f>
        <v>1 years 0 days</v>
      </c>
      <c r="AG296" s="69">
        <v>1</v>
      </c>
      <c r="AH296" s="69">
        <v>0</v>
      </c>
      <c r="AI296" s="69">
        <v>13000</v>
      </c>
      <c r="AJ296" s="67">
        <v>13000</v>
      </c>
      <c r="AK296" s="69">
        <v>2025</v>
      </c>
      <c r="AL296" s="61">
        <v>0</v>
      </c>
      <c r="AM296" s="143"/>
    </row>
    <row r="297" spans="1:39" x14ac:dyDescent="0.35">
      <c r="A297" s="69" t="s">
        <v>4124</v>
      </c>
      <c r="B297" s="41">
        <v>1101504336</v>
      </c>
      <c r="C297" s="41"/>
      <c r="D297" s="41" t="s">
        <v>960</v>
      </c>
      <c r="E297" s="101">
        <v>59</v>
      </c>
      <c r="F297" s="41" t="s">
        <v>260</v>
      </c>
      <c r="G297" s="69" t="s">
        <v>259</v>
      </c>
      <c r="H297" s="41">
        <v>9007000090</v>
      </c>
      <c r="I297" s="41" t="s">
        <v>261</v>
      </c>
      <c r="J297" s="41">
        <v>1202010217</v>
      </c>
      <c r="K297" s="41"/>
      <c r="L297" s="52" t="s">
        <v>1091</v>
      </c>
      <c r="M297" s="69" t="s">
        <v>49</v>
      </c>
      <c r="N297" s="69"/>
      <c r="O297" s="69">
        <v>1</v>
      </c>
      <c r="P297" s="69" t="s">
        <v>50</v>
      </c>
      <c r="Q297" s="69" t="s">
        <v>51</v>
      </c>
      <c r="R297" s="69"/>
      <c r="S297" s="48">
        <v>41359</v>
      </c>
      <c r="T297" s="48">
        <v>43340</v>
      </c>
      <c r="U297" s="69"/>
      <c r="V297" s="69"/>
      <c r="W297" s="69"/>
      <c r="X297" s="69"/>
      <c r="Y297" s="69" t="s">
        <v>4125</v>
      </c>
      <c r="Z297" s="52">
        <v>55000</v>
      </c>
      <c r="AA297" s="43" t="s">
        <v>52</v>
      </c>
      <c r="AB297" s="43" t="s">
        <v>53</v>
      </c>
      <c r="AC297" s="85">
        <v>1679</v>
      </c>
      <c r="AD297" s="141">
        <v>4</v>
      </c>
      <c r="AE297" s="142">
        <v>7</v>
      </c>
      <c r="AF297" s="69" t="str">
        <f t="shared" ref="AF297:AF298" si="43">_xlfn.CONCAT(AG297," years ",AH297," days")</f>
        <v>4 years 219 days</v>
      </c>
      <c r="AG297" s="69">
        <v>4</v>
      </c>
      <c r="AH297" s="69">
        <v>219</v>
      </c>
      <c r="AI297" s="69">
        <v>55000</v>
      </c>
      <c r="AJ297" s="67">
        <v>55000</v>
      </c>
      <c r="AK297" s="69">
        <v>2025</v>
      </c>
      <c r="AL297" s="61">
        <v>0</v>
      </c>
      <c r="AM297" s="143"/>
    </row>
    <row r="298" spans="1:39" x14ac:dyDescent="0.35">
      <c r="A298" s="69" t="s">
        <v>4124</v>
      </c>
      <c r="B298" s="41">
        <v>1101504312</v>
      </c>
      <c r="C298" s="41"/>
      <c r="D298" s="41" t="s">
        <v>960</v>
      </c>
      <c r="E298" s="101">
        <v>56</v>
      </c>
      <c r="F298" s="41" t="s">
        <v>260</v>
      </c>
      <c r="G298" s="69" t="s">
        <v>259</v>
      </c>
      <c r="H298" s="41">
        <v>9007000090</v>
      </c>
      <c r="I298" s="41" t="s">
        <v>261</v>
      </c>
      <c r="J298" s="41">
        <v>1202010217</v>
      </c>
      <c r="K298" s="41"/>
      <c r="L298" s="52" t="s">
        <v>1085</v>
      </c>
      <c r="M298" s="69" t="s">
        <v>49</v>
      </c>
      <c r="N298" s="69"/>
      <c r="O298" s="69">
        <v>1</v>
      </c>
      <c r="P298" s="69" t="s">
        <v>50</v>
      </c>
      <c r="Q298" s="69" t="s">
        <v>51</v>
      </c>
      <c r="R298" s="69"/>
      <c r="S298" s="48">
        <v>41303</v>
      </c>
      <c r="T298" s="48">
        <v>43340</v>
      </c>
      <c r="U298" s="69"/>
      <c r="V298" s="69"/>
      <c r="W298" s="69"/>
      <c r="X298" s="69"/>
      <c r="Y298" s="69" t="s">
        <v>4125</v>
      </c>
      <c r="Z298" s="52">
        <v>830000</v>
      </c>
      <c r="AA298" s="43" t="s">
        <v>52</v>
      </c>
      <c r="AB298" s="43" t="s">
        <v>53</v>
      </c>
      <c r="AC298" s="85">
        <v>1606</v>
      </c>
      <c r="AD298" s="141">
        <v>4</v>
      </c>
      <c r="AE298" s="142">
        <v>5</v>
      </c>
      <c r="AF298" s="69" t="str">
        <f t="shared" si="43"/>
        <v>4 years 146 days</v>
      </c>
      <c r="AG298" s="69">
        <v>4</v>
      </c>
      <c r="AH298" s="69">
        <v>146</v>
      </c>
      <c r="AI298" s="69">
        <v>830000</v>
      </c>
      <c r="AJ298" s="67">
        <v>830000</v>
      </c>
      <c r="AK298" s="69">
        <v>2025</v>
      </c>
      <c r="AL298" s="61">
        <v>0</v>
      </c>
      <c r="AM298" s="143"/>
    </row>
    <row r="299" spans="1:39" x14ac:dyDescent="0.35">
      <c r="A299" s="69" t="s">
        <v>4124</v>
      </c>
      <c r="B299" s="41">
        <v>1101504389</v>
      </c>
      <c r="C299" s="41"/>
      <c r="D299" s="41" t="s">
        <v>960</v>
      </c>
      <c r="E299" s="101">
        <v>62</v>
      </c>
      <c r="F299" s="41" t="s">
        <v>260</v>
      </c>
      <c r="G299" s="69" t="s">
        <v>259</v>
      </c>
      <c r="H299" s="41">
        <v>9007000090</v>
      </c>
      <c r="I299" s="41" t="s">
        <v>261</v>
      </c>
      <c r="J299" s="41">
        <v>1202010217</v>
      </c>
      <c r="K299" s="41"/>
      <c r="L299" s="52" t="s">
        <v>1097</v>
      </c>
      <c r="M299" s="69" t="s">
        <v>49</v>
      </c>
      <c r="N299" s="69"/>
      <c r="O299" s="69">
        <v>1</v>
      </c>
      <c r="P299" s="69" t="s">
        <v>50</v>
      </c>
      <c r="Q299" s="69" t="s">
        <v>51</v>
      </c>
      <c r="R299" s="69"/>
      <c r="S299" s="48">
        <v>40422</v>
      </c>
      <c r="T299" s="48">
        <v>43340</v>
      </c>
      <c r="U299" s="69"/>
      <c r="V299" s="69"/>
      <c r="W299" s="69"/>
      <c r="X299" s="69"/>
      <c r="Y299" s="69" t="s">
        <v>4125</v>
      </c>
      <c r="Z299" s="52">
        <v>32000</v>
      </c>
      <c r="AA299" s="43" t="s">
        <v>52</v>
      </c>
      <c r="AB299" s="43" t="s">
        <v>53</v>
      </c>
      <c r="AC299" s="85">
        <v>730</v>
      </c>
      <c r="AD299" s="141">
        <v>2</v>
      </c>
      <c r="AE299" s="142">
        <v>0</v>
      </c>
      <c r="AF299" s="69" t="str">
        <f>_xlfn.CONCAT(AG299," years ",AH299," days")</f>
        <v>2 years 0 days</v>
      </c>
      <c r="AG299" s="69">
        <v>2</v>
      </c>
      <c r="AH299" s="69">
        <v>0</v>
      </c>
      <c r="AI299" s="69">
        <v>32000</v>
      </c>
      <c r="AJ299" s="67">
        <v>32000</v>
      </c>
      <c r="AK299" s="69">
        <v>2025</v>
      </c>
      <c r="AL299" s="61">
        <v>0</v>
      </c>
      <c r="AM299" s="143"/>
    </row>
    <row r="300" spans="1:39" x14ac:dyDescent="0.35">
      <c r="A300" s="69" t="s">
        <v>4124</v>
      </c>
      <c r="B300" s="41">
        <v>1101504382</v>
      </c>
      <c r="C300" s="41"/>
      <c r="D300" s="41" t="s">
        <v>960</v>
      </c>
      <c r="E300" s="101">
        <v>58</v>
      </c>
      <c r="F300" s="41" t="s">
        <v>260</v>
      </c>
      <c r="G300" s="69" t="s">
        <v>259</v>
      </c>
      <c r="H300" s="41">
        <v>9007000090</v>
      </c>
      <c r="I300" s="41" t="s">
        <v>261</v>
      </c>
      <c r="J300" s="41">
        <v>1202010217</v>
      </c>
      <c r="K300" s="41"/>
      <c r="L300" s="52" t="s">
        <v>1089</v>
      </c>
      <c r="M300" s="69" t="s">
        <v>49</v>
      </c>
      <c r="N300" s="69"/>
      <c r="O300" s="69">
        <v>1</v>
      </c>
      <c r="P300" s="69" t="s">
        <v>50</v>
      </c>
      <c r="Q300" s="69" t="s">
        <v>51</v>
      </c>
      <c r="R300" s="69"/>
      <c r="S300" s="48">
        <v>41703</v>
      </c>
      <c r="T300" s="48">
        <v>43340</v>
      </c>
      <c r="U300" s="69"/>
      <c r="V300" s="69"/>
      <c r="W300" s="69"/>
      <c r="X300" s="69"/>
      <c r="Y300" s="69" t="s">
        <v>4125</v>
      </c>
      <c r="Z300" s="52">
        <v>125000</v>
      </c>
      <c r="AA300" s="43" t="s">
        <v>52</v>
      </c>
      <c r="AB300" s="43" t="s">
        <v>53</v>
      </c>
      <c r="AC300" s="85">
        <v>2008</v>
      </c>
      <c r="AD300" s="141">
        <v>5</v>
      </c>
      <c r="AE300" s="142">
        <v>6</v>
      </c>
      <c r="AF300" s="69" t="str">
        <f t="shared" ref="AF300:AF301" si="44">_xlfn.CONCAT(AG300," years ",AH300," days")</f>
        <v>5 years 183 days</v>
      </c>
      <c r="AG300" s="69">
        <v>5</v>
      </c>
      <c r="AH300" s="69">
        <v>183</v>
      </c>
      <c r="AI300" s="69">
        <v>125000</v>
      </c>
      <c r="AJ300" s="67">
        <v>125000</v>
      </c>
      <c r="AK300" s="69">
        <v>2025</v>
      </c>
      <c r="AL300" s="61">
        <v>0</v>
      </c>
      <c r="AM300" s="143"/>
    </row>
    <row r="301" spans="1:39" x14ac:dyDescent="0.35">
      <c r="A301" s="69" t="s">
        <v>4124</v>
      </c>
      <c r="B301" s="41">
        <v>1101504352</v>
      </c>
      <c r="C301" s="41"/>
      <c r="D301" s="41" t="s">
        <v>960</v>
      </c>
      <c r="E301" s="101">
        <v>61</v>
      </c>
      <c r="F301" s="41" t="s">
        <v>260</v>
      </c>
      <c r="G301" s="69" t="s">
        <v>259</v>
      </c>
      <c r="H301" s="41">
        <v>9007000090</v>
      </c>
      <c r="I301" s="41" t="s">
        <v>261</v>
      </c>
      <c r="J301" s="41">
        <v>1202010217</v>
      </c>
      <c r="K301" s="41"/>
      <c r="L301" s="52" t="s">
        <v>1095</v>
      </c>
      <c r="M301" s="69" t="s">
        <v>49</v>
      </c>
      <c r="N301" s="69"/>
      <c r="O301" s="69">
        <v>1</v>
      </c>
      <c r="P301" s="69" t="s">
        <v>50</v>
      </c>
      <c r="Q301" s="69" t="s">
        <v>51</v>
      </c>
      <c r="R301" s="69"/>
      <c r="S301" s="48">
        <v>41759</v>
      </c>
      <c r="T301" s="48">
        <v>43340</v>
      </c>
      <c r="U301" s="69"/>
      <c r="V301" s="69"/>
      <c r="W301" s="69"/>
      <c r="X301" s="69"/>
      <c r="Y301" s="69" t="s">
        <v>4125</v>
      </c>
      <c r="Z301" s="52">
        <v>42000</v>
      </c>
      <c r="AA301" s="43" t="s">
        <v>52</v>
      </c>
      <c r="AB301" s="43" t="s">
        <v>53</v>
      </c>
      <c r="AC301" s="85">
        <v>365</v>
      </c>
      <c r="AD301" s="141">
        <v>1</v>
      </c>
      <c r="AE301" s="142">
        <v>0</v>
      </c>
      <c r="AF301" s="69" t="str">
        <f t="shared" si="44"/>
        <v>1 years 0 days</v>
      </c>
      <c r="AG301" s="69">
        <v>1</v>
      </c>
      <c r="AH301" s="69">
        <v>0</v>
      </c>
      <c r="AI301" s="69">
        <v>42000</v>
      </c>
      <c r="AJ301" s="67">
        <v>42000</v>
      </c>
      <c r="AK301" s="69">
        <v>2025</v>
      </c>
      <c r="AL301" s="61">
        <v>0</v>
      </c>
      <c r="AM301" s="143"/>
    </row>
    <row r="302" spans="1:39" x14ac:dyDescent="0.35">
      <c r="A302" s="69" t="s">
        <v>4124</v>
      </c>
      <c r="B302" s="41">
        <v>1101504452</v>
      </c>
      <c r="C302" s="41"/>
      <c r="D302" s="41" t="s">
        <v>960</v>
      </c>
      <c r="E302" s="101">
        <v>65</v>
      </c>
      <c r="F302" s="41" t="s">
        <v>260</v>
      </c>
      <c r="G302" s="69" t="s">
        <v>259</v>
      </c>
      <c r="H302" s="41">
        <v>9007000090</v>
      </c>
      <c r="I302" s="41" t="s">
        <v>261</v>
      </c>
      <c r="J302" s="41">
        <v>1202010217</v>
      </c>
      <c r="K302" s="41"/>
      <c r="L302" s="52" t="s">
        <v>1103</v>
      </c>
      <c r="M302" s="69" t="s">
        <v>49</v>
      </c>
      <c r="N302" s="69"/>
      <c r="O302" s="69">
        <v>1</v>
      </c>
      <c r="P302" s="69" t="s">
        <v>50</v>
      </c>
      <c r="Q302" s="69" t="s">
        <v>51</v>
      </c>
      <c r="R302" s="69"/>
      <c r="S302" s="48">
        <v>41992</v>
      </c>
      <c r="T302" s="48">
        <v>43340</v>
      </c>
      <c r="U302" s="69"/>
      <c r="V302" s="69"/>
      <c r="W302" s="69"/>
      <c r="X302" s="69"/>
      <c r="Y302" s="69" t="s">
        <v>4125</v>
      </c>
      <c r="Z302" s="52">
        <v>3800</v>
      </c>
      <c r="AA302" s="43" t="s">
        <v>52</v>
      </c>
      <c r="AB302" s="43" t="s">
        <v>53</v>
      </c>
      <c r="AC302" s="85">
        <v>475</v>
      </c>
      <c r="AD302" s="141">
        <v>1</v>
      </c>
      <c r="AE302" s="142">
        <v>4</v>
      </c>
      <c r="AF302" s="69" t="str">
        <f t="shared" ref="AF302:AF303" si="45">_xlfn.CONCAT(AG302," years ",AH302," days")</f>
        <v>1 years 110 days</v>
      </c>
      <c r="AG302" s="69">
        <v>1</v>
      </c>
      <c r="AH302" s="69">
        <v>110</v>
      </c>
      <c r="AI302" s="69">
        <v>3800</v>
      </c>
      <c r="AJ302" s="67">
        <v>3800</v>
      </c>
      <c r="AK302" s="69">
        <v>2025</v>
      </c>
      <c r="AL302" s="61">
        <v>0</v>
      </c>
      <c r="AM302" s="143"/>
    </row>
    <row r="303" spans="1:39" x14ac:dyDescent="0.35">
      <c r="A303" s="69" t="s">
        <v>4124</v>
      </c>
      <c r="B303" s="41">
        <v>1101504560</v>
      </c>
      <c r="C303" s="41"/>
      <c r="D303" s="41" t="s">
        <v>960</v>
      </c>
      <c r="E303" s="101">
        <v>68</v>
      </c>
      <c r="F303" s="41" t="s">
        <v>260</v>
      </c>
      <c r="G303" s="69" t="s">
        <v>259</v>
      </c>
      <c r="H303" s="41">
        <v>9007000090</v>
      </c>
      <c r="I303" s="41" t="s">
        <v>261</v>
      </c>
      <c r="J303" s="41">
        <v>1202010217</v>
      </c>
      <c r="K303" s="41"/>
      <c r="L303" s="52" t="s">
        <v>1110</v>
      </c>
      <c r="M303" s="69" t="s">
        <v>49</v>
      </c>
      <c r="N303" s="69"/>
      <c r="O303" s="69">
        <v>1</v>
      </c>
      <c r="P303" s="69" t="s">
        <v>50</v>
      </c>
      <c r="Q303" s="69" t="s">
        <v>51</v>
      </c>
      <c r="R303" s="69"/>
      <c r="S303" s="48">
        <v>42259</v>
      </c>
      <c r="T303" s="48">
        <v>43340</v>
      </c>
      <c r="U303" s="69"/>
      <c r="V303" s="69"/>
      <c r="W303" s="69"/>
      <c r="X303" s="69"/>
      <c r="Y303" s="69" t="s">
        <v>4125</v>
      </c>
      <c r="Z303" s="52">
        <v>130000</v>
      </c>
      <c r="AA303" s="43" t="s">
        <v>52</v>
      </c>
      <c r="AB303" s="43" t="s">
        <v>53</v>
      </c>
      <c r="AC303" s="85">
        <v>2555</v>
      </c>
      <c r="AD303" s="141">
        <v>7</v>
      </c>
      <c r="AE303" s="142">
        <v>0</v>
      </c>
      <c r="AF303" s="69" t="str">
        <f t="shared" si="45"/>
        <v>6 years 128 days</v>
      </c>
      <c r="AG303" s="69">
        <v>6</v>
      </c>
      <c r="AH303" s="69">
        <v>128</v>
      </c>
      <c r="AI303" s="69">
        <v>130000</v>
      </c>
      <c r="AJ303" s="67">
        <v>117890</v>
      </c>
      <c r="AK303" s="69">
        <v>2025</v>
      </c>
      <c r="AL303" s="61">
        <v>9209.8043052837602</v>
      </c>
      <c r="AM303" s="143"/>
    </row>
    <row r="304" spans="1:39" x14ac:dyDescent="0.35">
      <c r="A304" s="69" t="s">
        <v>4124</v>
      </c>
      <c r="B304" s="41">
        <v>1101400228</v>
      </c>
      <c r="C304" s="41"/>
      <c r="D304" s="69"/>
      <c r="E304" s="101">
        <v>0</v>
      </c>
      <c r="F304" s="41" t="s">
        <v>260</v>
      </c>
      <c r="G304" s="69" t="s">
        <v>259</v>
      </c>
      <c r="H304" s="41">
        <v>9007000090</v>
      </c>
      <c r="I304" s="41" t="s">
        <v>261</v>
      </c>
      <c r="J304" s="41">
        <v>1202010217</v>
      </c>
      <c r="K304" s="41"/>
      <c r="L304" s="52" t="s">
        <v>961</v>
      </c>
      <c r="M304" s="69" t="s">
        <v>49</v>
      </c>
      <c r="N304" s="69"/>
      <c r="O304" s="69">
        <v>1</v>
      </c>
      <c r="P304" s="69" t="s">
        <v>50</v>
      </c>
      <c r="Q304" s="69" t="s">
        <v>51</v>
      </c>
      <c r="R304" s="69"/>
      <c r="S304" s="48">
        <v>39177</v>
      </c>
      <c r="T304" s="48">
        <v>43340</v>
      </c>
      <c r="U304" s="69"/>
      <c r="V304" s="69"/>
      <c r="W304" s="69"/>
      <c r="X304" s="69"/>
      <c r="Y304" s="69" t="s">
        <v>4125</v>
      </c>
      <c r="Z304" s="52">
        <v>72500</v>
      </c>
      <c r="AA304" s="43" t="s">
        <v>52</v>
      </c>
      <c r="AB304" s="43" t="s">
        <v>53</v>
      </c>
      <c r="AC304" s="85">
        <v>1314</v>
      </c>
      <c r="AD304" s="141">
        <v>3</v>
      </c>
      <c r="AE304" s="142">
        <v>7</v>
      </c>
      <c r="AF304" s="69" t="str">
        <f t="shared" ref="AF304:AF364" si="46">_xlfn.CONCAT(AG304," years ",AH304," days")</f>
        <v>3 years 219 days</v>
      </c>
      <c r="AG304" s="69">
        <v>3</v>
      </c>
      <c r="AH304" s="69">
        <v>219</v>
      </c>
      <c r="AI304" s="69">
        <v>72500</v>
      </c>
      <c r="AJ304" s="67">
        <v>72500</v>
      </c>
      <c r="AK304" s="69">
        <v>2025</v>
      </c>
      <c r="AL304" s="61">
        <v>0</v>
      </c>
      <c r="AM304" s="143"/>
    </row>
    <row r="305" spans="1:39" x14ac:dyDescent="0.35">
      <c r="A305" s="69" t="s">
        <v>4124</v>
      </c>
      <c r="B305" s="41">
        <v>1101400319</v>
      </c>
      <c r="C305" s="41"/>
      <c r="D305" s="41" t="s">
        <v>960</v>
      </c>
      <c r="E305" s="101">
        <v>1</v>
      </c>
      <c r="F305" s="41" t="s">
        <v>260</v>
      </c>
      <c r="G305" s="69" t="s">
        <v>259</v>
      </c>
      <c r="H305" s="41">
        <v>9007000090</v>
      </c>
      <c r="I305" s="41" t="s">
        <v>261</v>
      </c>
      <c r="J305" s="41">
        <v>1202010217</v>
      </c>
      <c r="K305" s="41"/>
      <c r="L305" s="52" t="s">
        <v>963</v>
      </c>
      <c r="M305" s="69" t="s">
        <v>49</v>
      </c>
      <c r="N305" s="69"/>
      <c r="O305" s="69">
        <v>1</v>
      </c>
      <c r="P305" s="69" t="s">
        <v>50</v>
      </c>
      <c r="Q305" s="69" t="s">
        <v>51</v>
      </c>
      <c r="R305" s="69"/>
      <c r="S305" s="48">
        <v>39841</v>
      </c>
      <c r="T305" s="48">
        <v>43340</v>
      </c>
      <c r="U305" s="69"/>
      <c r="V305" s="69"/>
      <c r="W305" s="69"/>
      <c r="X305" s="69"/>
      <c r="Y305" s="69" t="s">
        <v>4125</v>
      </c>
      <c r="Z305" s="52">
        <v>950</v>
      </c>
      <c r="AA305" s="43" t="s">
        <v>52</v>
      </c>
      <c r="AB305" s="43" t="s">
        <v>53</v>
      </c>
      <c r="AC305" s="85">
        <v>183</v>
      </c>
      <c r="AD305" s="141">
        <v>0</v>
      </c>
      <c r="AE305" s="142">
        <v>6</v>
      </c>
      <c r="AF305" s="69" t="str">
        <f t="shared" si="46"/>
        <v>0 years 183 days</v>
      </c>
      <c r="AG305" s="69">
        <v>0</v>
      </c>
      <c r="AH305" s="69">
        <v>183</v>
      </c>
      <c r="AI305" s="69">
        <v>950</v>
      </c>
      <c r="AJ305" s="67">
        <v>950</v>
      </c>
      <c r="AK305" s="69">
        <v>2025</v>
      </c>
      <c r="AL305" s="61">
        <v>0</v>
      </c>
      <c r="AM305" s="143"/>
    </row>
    <row r="306" spans="1:39" x14ac:dyDescent="0.35">
      <c r="A306" s="69" t="s">
        <v>4124</v>
      </c>
      <c r="B306" s="41">
        <v>1101400368</v>
      </c>
      <c r="C306" s="41"/>
      <c r="D306" s="41" t="s">
        <v>960</v>
      </c>
      <c r="E306" s="101">
        <v>2</v>
      </c>
      <c r="F306" s="41" t="s">
        <v>260</v>
      </c>
      <c r="G306" s="69" t="s">
        <v>259</v>
      </c>
      <c r="H306" s="41">
        <v>9007000090</v>
      </c>
      <c r="I306" s="41" t="s">
        <v>261</v>
      </c>
      <c r="J306" s="41">
        <v>1202010217</v>
      </c>
      <c r="K306" s="41"/>
      <c r="L306" s="52" t="s">
        <v>965</v>
      </c>
      <c r="M306" s="69" t="s">
        <v>49</v>
      </c>
      <c r="N306" s="69"/>
      <c r="O306" s="69">
        <v>1</v>
      </c>
      <c r="P306" s="69" t="s">
        <v>50</v>
      </c>
      <c r="Q306" s="69" t="s">
        <v>51</v>
      </c>
      <c r="R306" s="69"/>
      <c r="S306" s="48">
        <v>40078</v>
      </c>
      <c r="T306" s="48">
        <v>43340</v>
      </c>
      <c r="U306" s="69"/>
      <c r="V306" s="69"/>
      <c r="W306" s="69"/>
      <c r="X306" s="69"/>
      <c r="Y306" s="69" t="s">
        <v>4125</v>
      </c>
      <c r="Z306" s="52">
        <v>1100</v>
      </c>
      <c r="AA306" s="43" t="s">
        <v>52</v>
      </c>
      <c r="AB306" s="43" t="s">
        <v>53</v>
      </c>
      <c r="AC306" s="85">
        <v>183</v>
      </c>
      <c r="AD306" s="141">
        <v>0</v>
      </c>
      <c r="AE306" s="142">
        <v>6</v>
      </c>
      <c r="AF306" s="69" t="str">
        <f t="shared" si="46"/>
        <v>0 years 183 days</v>
      </c>
      <c r="AG306" s="69">
        <v>0</v>
      </c>
      <c r="AH306" s="69">
        <v>183</v>
      </c>
      <c r="AI306" s="69">
        <v>1100</v>
      </c>
      <c r="AJ306" s="67">
        <v>1100</v>
      </c>
      <c r="AK306" s="69">
        <v>2025</v>
      </c>
      <c r="AL306" s="61">
        <v>0</v>
      </c>
      <c r="AM306" s="143"/>
    </row>
    <row r="307" spans="1:39" x14ac:dyDescent="0.35">
      <c r="A307" s="69" t="s">
        <v>4124</v>
      </c>
      <c r="B307" s="41">
        <v>1101400376</v>
      </c>
      <c r="C307" s="41"/>
      <c r="D307" s="41" t="s">
        <v>960</v>
      </c>
      <c r="E307" s="101">
        <v>3</v>
      </c>
      <c r="F307" s="41" t="s">
        <v>260</v>
      </c>
      <c r="G307" s="69" t="s">
        <v>259</v>
      </c>
      <c r="H307" s="41">
        <v>9007000090</v>
      </c>
      <c r="I307" s="41" t="s">
        <v>261</v>
      </c>
      <c r="J307" s="41">
        <v>1202010217</v>
      </c>
      <c r="K307" s="41"/>
      <c r="L307" s="52" t="s">
        <v>967</v>
      </c>
      <c r="M307" s="69" t="s">
        <v>49</v>
      </c>
      <c r="N307" s="69"/>
      <c r="O307" s="69">
        <v>1</v>
      </c>
      <c r="P307" s="69" t="s">
        <v>50</v>
      </c>
      <c r="Q307" s="69" t="s">
        <v>51</v>
      </c>
      <c r="R307" s="69"/>
      <c r="S307" s="48">
        <v>40096</v>
      </c>
      <c r="T307" s="48">
        <v>43340</v>
      </c>
      <c r="U307" s="69"/>
      <c r="V307" s="69"/>
      <c r="W307" s="69"/>
      <c r="X307" s="69"/>
      <c r="Y307" s="69" t="s">
        <v>4125</v>
      </c>
      <c r="Z307" s="52">
        <v>11500</v>
      </c>
      <c r="AA307" s="43" t="s">
        <v>52</v>
      </c>
      <c r="AB307" s="43" t="s">
        <v>53</v>
      </c>
      <c r="AC307" s="85">
        <v>402</v>
      </c>
      <c r="AD307" s="141">
        <v>1</v>
      </c>
      <c r="AE307" s="142">
        <v>1</v>
      </c>
      <c r="AF307" s="69" t="str">
        <f t="shared" si="46"/>
        <v>1 years 37 days</v>
      </c>
      <c r="AG307" s="69">
        <v>1</v>
      </c>
      <c r="AH307" s="69">
        <v>37</v>
      </c>
      <c r="AI307" s="69">
        <v>11500</v>
      </c>
      <c r="AJ307" s="67">
        <v>11500</v>
      </c>
      <c r="AK307" s="69">
        <v>2025</v>
      </c>
      <c r="AL307" s="61">
        <v>0</v>
      </c>
      <c r="AM307" s="143"/>
    </row>
    <row r="308" spans="1:39" x14ac:dyDescent="0.35">
      <c r="A308" s="69" t="s">
        <v>4124</v>
      </c>
      <c r="B308" s="41">
        <v>1101400417</v>
      </c>
      <c r="C308" s="41"/>
      <c r="D308" s="41" t="s">
        <v>960</v>
      </c>
      <c r="E308" s="101">
        <v>4</v>
      </c>
      <c r="F308" s="41" t="s">
        <v>260</v>
      </c>
      <c r="G308" s="69" t="s">
        <v>259</v>
      </c>
      <c r="H308" s="41">
        <v>9007000090</v>
      </c>
      <c r="I308" s="41" t="s">
        <v>261</v>
      </c>
      <c r="J308" s="41">
        <v>1202010217</v>
      </c>
      <c r="K308" s="41"/>
      <c r="L308" s="52" t="s">
        <v>969</v>
      </c>
      <c r="M308" s="69" t="s">
        <v>49</v>
      </c>
      <c r="N308" s="69"/>
      <c r="O308" s="69">
        <v>1</v>
      </c>
      <c r="P308" s="69" t="s">
        <v>50</v>
      </c>
      <c r="Q308" s="69" t="s">
        <v>51</v>
      </c>
      <c r="R308" s="69"/>
      <c r="S308" s="48">
        <v>40219</v>
      </c>
      <c r="T308" s="48">
        <v>43340</v>
      </c>
      <c r="U308" s="69"/>
      <c r="V308" s="69"/>
      <c r="W308" s="69"/>
      <c r="X308" s="69"/>
      <c r="Y308" s="69" t="s">
        <v>4125</v>
      </c>
      <c r="Z308" s="52">
        <v>350</v>
      </c>
      <c r="AA308" s="43" t="s">
        <v>52</v>
      </c>
      <c r="AB308" s="43" t="s">
        <v>53</v>
      </c>
      <c r="AC308" s="85">
        <v>183</v>
      </c>
      <c r="AD308" s="141">
        <v>0</v>
      </c>
      <c r="AE308" s="142">
        <v>6</v>
      </c>
      <c r="AF308" s="69" t="str">
        <f t="shared" si="46"/>
        <v>0 years 183 days</v>
      </c>
      <c r="AG308" s="69">
        <v>0</v>
      </c>
      <c r="AH308" s="69">
        <v>183</v>
      </c>
      <c r="AI308" s="69">
        <v>350</v>
      </c>
      <c r="AJ308" s="67">
        <v>350</v>
      </c>
      <c r="AK308" s="69">
        <v>2025</v>
      </c>
      <c r="AL308" s="61">
        <v>0</v>
      </c>
      <c r="AM308" s="143"/>
    </row>
    <row r="309" spans="1:39" x14ac:dyDescent="0.35">
      <c r="A309" s="69" t="s">
        <v>4124</v>
      </c>
      <c r="B309" s="41">
        <v>1101400419</v>
      </c>
      <c r="C309" s="41"/>
      <c r="D309" s="41" t="s">
        <v>960</v>
      </c>
      <c r="E309" s="101">
        <v>5</v>
      </c>
      <c r="F309" s="41" t="s">
        <v>260</v>
      </c>
      <c r="G309" s="69" t="s">
        <v>259</v>
      </c>
      <c r="H309" s="41">
        <v>9007000090</v>
      </c>
      <c r="I309" s="41" t="s">
        <v>261</v>
      </c>
      <c r="J309" s="41">
        <v>1202010217</v>
      </c>
      <c r="K309" s="41"/>
      <c r="L309" s="52" t="s">
        <v>971</v>
      </c>
      <c r="M309" s="69" t="s">
        <v>49</v>
      </c>
      <c r="N309" s="69"/>
      <c r="O309" s="69">
        <v>1</v>
      </c>
      <c r="P309" s="69" t="s">
        <v>50</v>
      </c>
      <c r="Q309" s="69" t="s">
        <v>51</v>
      </c>
      <c r="R309" s="69"/>
      <c r="S309" s="48">
        <v>40248</v>
      </c>
      <c r="T309" s="48">
        <v>43340</v>
      </c>
      <c r="U309" s="69"/>
      <c r="V309" s="69"/>
      <c r="W309" s="69"/>
      <c r="X309" s="69"/>
      <c r="Y309" s="69" t="s">
        <v>4125</v>
      </c>
      <c r="Z309" s="52">
        <v>18000</v>
      </c>
      <c r="AA309" s="43" t="s">
        <v>52</v>
      </c>
      <c r="AB309" s="43" t="s">
        <v>53</v>
      </c>
      <c r="AC309" s="85">
        <v>548</v>
      </c>
      <c r="AD309" s="141">
        <v>1</v>
      </c>
      <c r="AE309" s="142">
        <v>6</v>
      </c>
      <c r="AF309" s="69" t="str">
        <f t="shared" si="46"/>
        <v>1 years 183 days</v>
      </c>
      <c r="AG309" s="69">
        <v>1</v>
      </c>
      <c r="AH309" s="69">
        <v>183</v>
      </c>
      <c r="AI309" s="69">
        <v>18000</v>
      </c>
      <c r="AJ309" s="67">
        <v>18000</v>
      </c>
      <c r="AK309" s="69">
        <v>2025</v>
      </c>
      <c r="AL309" s="61">
        <v>0</v>
      </c>
      <c r="AM309" s="143"/>
    </row>
    <row r="310" spans="1:39" x14ac:dyDescent="0.35">
      <c r="A310" s="69" t="s">
        <v>4124</v>
      </c>
      <c r="B310" s="41">
        <v>1101400428</v>
      </c>
      <c r="C310" s="41"/>
      <c r="D310" s="41" t="s">
        <v>960</v>
      </c>
      <c r="E310" s="101">
        <v>6</v>
      </c>
      <c r="F310" s="41" t="s">
        <v>260</v>
      </c>
      <c r="G310" s="69" t="s">
        <v>259</v>
      </c>
      <c r="H310" s="41">
        <v>9007000090</v>
      </c>
      <c r="I310" s="41" t="s">
        <v>261</v>
      </c>
      <c r="J310" s="41">
        <v>1202010217</v>
      </c>
      <c r="K310" s="41"/>
      <c r="L310" s="52" t="s">
        <v>973</v>
      </c>
      <c r="M310" s="69" t="s">
        <v>49</v>
      </c>
      <c r="N310" s="69"/>
      <c r="O310" s="69">
        <v>1</v>
      </c>
      <c r="P310" s="69" t="s">
        <v>50</v>
      </c>
      <c r="Q310" s="69" t="s">
        <v>51</v>
      </c>
      <c r="R310" s="69"/>
      <c r="S310" s="48">
        <v>40267</v>
      </c>
      <c r="T310" s="48">
        <v>43340</v>
      </c>
      <c r="U310" s="69"/>
      <c r="V310" s="69"/>
      <c r="W310" s="69"/>
      <c r="X310" s="69"/>
      <c r="Y310" s="69" t="s">
        <v>4125</v>
      </c>
      <c r="Z310" s="52">
        <v>65000</v>
      </c>
      <c r="AA310" s="43" t="s">
        <v>52</v>
      </c>
      <c r="AB310" s="43" t="s">
        <v>53</v>
      </c>
      <c r="AC310" s="85">
        <v>2409</v>
      </c>
      <c r="AD310" s="141">
        <v>6</v>
      </c>
      <c r="AE310" s="142">
        <v>7</v>
      </c>
      <c r="AF310" s="69" t="str">
        <f t="shared" si="46"/>
        <v>6 years 128 days</v>
      </c>
      <c r="AG310" s="69">
        <v>6</v>
      </c>
      <c r="AH310" s="69">
        <v>128</v>
      </c>
      <c r="AI310" s="69">
        <v>65000</v>
      </c>
      <c r="AJ310" s="67">
        <v>62518</v>
      </c>
      <c r="AK310" s="69">
        <v>2025</v>
      </c>
      <c r="AL310" s="61">
        <v>2481.9999999999927</v>
      </c>
      <c r="AM310" s="143"/>
    </row>
    <row r="311" spans="1:39" x14ac:dyDescent="0.35">
      <c r="A311" s="69" t="s">
        <v>4124</v>
      </c>
      <c r="B311" s="41">
        <v>1101400434</v>
      </c>
      <c r="C311" s="41"/>
      <c r="D311" s="41" t="s">
        <v>960</v>
      </c>
      <c r="E311" s="101">
        <v>7</v>
      </c>
      <c r="F311" s="41" t="s">
        <v>260</v>
      </c>
      <c r="G311" s="69" t="s">
        <v>259</v>
      </c>
      <c r="H311" s="41">
        <v>9007000090</v>
      </c>
      <c r="I311" s="41" t="s">
        <v>261</v>
      </c>
      <c r="J311" s="41">
        <v>1202010217</v>
      </c>
      <c r="K311" s="41"/>
      <c r="L311" s="52" t="s">
        <v>975</v>
      </c>
      <c r="M311" s="69" t="s">
        <v>49</v>
      </c>
      <c r="N311" s="69"/>
      <c r="O311" s="69">
        <v>1</v>
      </c>
      <c r="P311" s="69" t="s">
        <v>50</v>
      </c>
      <c r="Q311" s="69" t="s">
        <v>51</v>
      </c>
      <c r="R311" s="69"/>
      <c r="S311" s="48">
        <v>40268</v>
      </c>
      <c r="T311" s="48">
        <v>43340</v>
      </c>
      <c r="U311" s="69"/>
      <c r="V311" s="69"/>
      <c r="W311" s="69"/>
      <c r="X311" s="69"/>
      <c r="Y311" s="69" t="s">
        <v>4125</v>
      </c>
      <c r="Z311" s="52">
        <v>42000</v>
      </c>
      <c r="AA311" s="43" t="s">
        <v>52</v>
      </c>
      <c r="AB311" s="43" t="s">
        <v>53</v>
      </c>
      <c r="AC311" s="85">
        <v>2409</v>
      </c>
      <c r="AD311" s="141">
        <v>6</v>
      </c>
      <c r="AE311" s="142">
        <v>7</v>
      </c>
      <c r="AF311" s="69" t="str">
        <f t="shared" si="46"/>
        <v>6 years 128 days</v>
      </c>
      <c r="AG311" s="69">
        <v>6</v>
      </c>
      <c r="AH311" s="69">
        <v>128</v>
      </c>
      <c r="AI311" s="69">
        <v>42000</v>
      </c>
      <c r="AJ311" s="67">
        <v>40396</v>
      </c>
      <c r="AK311" s="69">
        <v>2025</v>
      </c>
      <c r="AL311" s="61">
        <v>1604</v>
      </c>
      <c r="AM311" s="143"/>
    </row>
    <row r="312" spans="1:39" x14ac:dyDescent="0.35">
      <c r="A312" s="69" t="s">
        <v>4124</v>
      </c>
      <c r="B312" s="41">
        <v>1101400537</v>
      </c>
      <c r="C312" s="41"/>
      <c r="D312" s="41" t="s">
        <v>960</v>
      </c>
      <c r="E312" s="101">
        <v>8</v>
      </c>
      <c r="F312" s="41" t="s">
        <v>260</v>
      </c>
      <c r="G312" s="69" t="s">
        <v>259</v>
      </c>
      <c r="H312" s="41">
        <v>9007000090</v>
      </c>
      <c r="I312" s="41" t="s">
        <v>261</v>
      </c>
      <c r="J312" s="41">
        <v>1202010217</v>
      </c>
      <c r="K312" s="41"/>
      <c r="L312" s="52" t="s">
        <v>977</v>
      </c>
      <c r="M312" s="69" t="s">
        <v>49</v>
      </c>
      <c r="N312" s="69"/>
      <c r="O312" s="69">
        <v>1</v>
      </c>
      <c r="P312" s="69" t="s">
        <v>50</v>
      </c>
      <c r="Q312" s="69" t="s">
        <v>51</v>
      </c>
      <c r="R312" s="69"/>
      <c r="S312" s="48">
        <v>40501</v>
      </c>
      <c r="T312" s="48">
        <v>43340</v>
      </c>
      <c r="U312" s="69"/>
      <c r="V312" s="69"/>
      <c r="W312" s="69"/>
      <c r="X312" s="69"/>
      <c r="Y312" s="69" t="s">
        <v>4125</v>
      </c>
      <c r="Z312" s="52">
        <v>43000</v>
      </c>
      <c r="AA312" s="43" t="s">
        <v>52</v>
      </c>
      <c r="AB312" s="43" t="s">
        <v>53</v>
      </c>
      <c r="AC312" s="85">
        <v>803</v>
      </c>
      <c r="AD312" s="141">
        <v>2</v>
      </c>
      <c r="AE312" s="142">
        <v>2</v>
      </c>
      <c r="AF312" s="69" t="str">
        <f t="shared" si="46"/>
        <v>2 years 73 days</v>
      </c>
      <c r="AG312" s="69">
        <v>2</v>
      </c>
      <c r="AH312" s="69">
        <v>73</v>
      </c>
      <c r="AI312" s="69">
        <v>43000</v>
      </c>
      <c r="AJ312" s="67">
        <v>43000</v>
      </c>
      <c r="AK312" s="69">
        <v>2025</v>
      </c>
      <c r="AL312" s="61">
        <v>0</v>
      </c>
      <c r="AM312" s="143"/>
    </row>
    <row r="313" spans="1:39" x14ac:dyDescent="0.35">
      <c r="A313" s="69" t="s">
        <v>4124</v>
      </c>
      <c r="B313" s="41">
        <v>1101400538</v>
      </c>
      <c r="C313" s="41"/>
      <c r="D313" s="41" t="s">
        <v>960</v>
      </c>
      <c r="E313" s="101">
        <v>9</v>
      </c>
      <c r="F313" s="41" t="s">
        <v>260</v>
      </c>
      <c r="G313" s="69" t="s">
        <v>259</v>
      </c>
      <c r="H313" s="41">
        <v>9007000090</v>
      </c>
      <c r="I313" s="41" t="s">
        <v>261</v>
      </c>
      <c r="J313" s="41">
        <v>1202010217</v>
      </c>
      <c r="K313" s="41"/>
      <c r="L313" s="52" t="s">
        <v>979</v>
      </c>
      <c r="M313" s="69" t="s">
        <v>49</v>
      </c>
      <c r="N313" s="69"/>
      <c r="O313" s="69">
        <v>1</v>
      </c>
      <c r="P313" s="69" t="s">
        <v>50</v>
      </c>
      <c r="Q313" s="69" t="s">
        <v>51</v>
      </c>
      <c r="R313" s="69"/>
      <c r="S313" s="48">
        <v>40501</v>
      </c>
      <c r="T313" s="48">
        <v>43340</v>
      </c>
      <c r="U313" s="69"/>
      <c r="V313" s="69"/>
      <c r="W313" s="69"/>
      <c r="X313" s="69"/>
      <c r="Y313" s="69" t="s">
        <v>4125</v>
      </c>
      <c r="Z313" s="52">
        <v>43000</v>
      </c>
      <c r="AA313" s="43" t="s">
        <v>52</v>
      </c>
      <c r="AB313" s="43" t="s">
        <v>53</v>
      </c>
      <c r="AC313" s="85">
        <v>803</v>
      </c>
      <c r="AD313" s="141">
        <v>2</v>
      </c>
      <c r="AE313" s="142">
        <v>2</v>
      </c>
      <c r="AF313" s="69" t="str">
        <f t="shared" si="46"/>
        <v>2 years 73 days</v>
      </c>
      <c r="AG313" s="69">
        <v>2</v>
      </c>
      <c r="AH313" s="69">
        <v>73</v>
      </c>
      <c r="AI313" s="69">
        <v>43000</v>
      </c>
      <c r="AJ313" s="67">
        <v>43000</v>
      </c>
      <c r="AK313" s="69">
        <v>2025</v>
      </c>
      <c r="AL313" s="61">
        <v>0</v>
      </c>
      <c r="AM313" s="143"/>
    </row>
    <row r="314" spans="1:39" x14ac:dyDescent="0.35">
      <c r="A314" s="69" t="s">
        <v>4124</v>
      </c>
      <c r="B314" s="41">
        <v>1101400543</v>
      </c>
      <c r="C314" s="41"/>
      <c r="D314" s="41" t="s">
        <v>960</v>
      </c>
      <c r="E314" s="101">
        <v>10</v>
      </c>
      <c r="F314" s="41" t="s">
        <v>260</v>
      </c>
      <c r="G314" s="69" t="s">
        <v>259</v>
      </c>
      <c r="H314" s="41">
        <v>9007000090</v>
      </c>
      <c r="I314" s="41" t="s">
        <v>261</v>
      </c>
      <c r="J314" s="41">
        <v>1202010217</v>
      </c>
      <c r="K314" s="41"/>
      <c r="L314" s="52" t="s">
        <v>981</v>
      </c>
      <c r="M314" s="69" t="s">
        <v>49</v>
      </c>
      <c r="N314" s="69"/>
      <c r="O314" s="69">
        <v>1</v>
      </c>
      <c r="P314" s="69" t="s">
        <v>50</v>
      </c>
      <c r="Q314" s="69" t="s">
        <v>51</v>
      </c>
      <c r="R314" s="69"/>
      <c r="S314" s="48">
        <v>40511</v>
      </c>
      <c r="T314" s="48">
        <v>43340</v>
      </c>
      <c r="U314" s="69"/>
      <c r="V314" s="69"/>
      <c r="W314" s="69"/>
      <c r="X314" s="69"/>
      <c r="Y314" s="69" t="s">
        <v>4125</v>
      </c>
      <c r="Z314" s="52">
        <v>18500</v>
      </c>
      <c r="AA314" s="43" t="s">
        <v>52</v>
      </c>
      <c r="AB314" s="43" t="s">
        <v>53</v>
      </c>
      <c r="AC314" s="85">
        <v>840</v>
      </c>
      <c r="AD314" s="141">
        <v>2</v>
      </c>
      <c r="AE314" s="142">
        <v>4</v>
      </c>
      <c r="AF314" s="69" t="str">
        <f t="shared" si="46"/>
        <v>2 years 110 days</v>
      </c>
      <c r="AG314" s="69">
        <v>2</v>
      </c>
      <c r="AH314" s="69">
        <v>110</v>
      </c>
      <c r="AI314" s="69">
        <v>18500</v>
      </c>
      <c r="AJ314" s="67">
        <v>18500</v>
      </c>
      <c r="AK314" s="69">
        <v>2025</v>
      </c>
      <c r="AL314" s="61">
        <v>0</v>
      </c>
      <c r="AM314" s="143"/>
    </row>
    <row r="315" spans="1:39" x14ac:dyDescent="0.35">
      <c r="A315" s="69" t="s">
        <v>4124</v>
      </c>
      <c r="B315" s="41">
        <v>1101400566</v>
      </c>
      <c r="C315" s="41"/>
      <c r="D315" s="41" t="s">
        <v>960</v>
      </c>
      <c r="E315" s="101">
        <v>11</v>
      </c>
      <c r="F315" s="41" t="s">
        <v>260</v>
      </c>
      <c r="G315" s="69" t="s">
        <v>259</v>
      </c>
      <c r="H315" s="41">
        <v>9007000090</v>
      </c>
      <c r="I315" s="41" t="s">
        <v>261</v>
      </c>
      <c r="J315" s="41">
        <v>1202010217</v>
      </c>
      <c r="K315" s="41"/>
      <c r="L315" s="52" t="s">
        <v>983</v>
      </c>
      <c r="M315" s="69" t="s">
        <v>49</v>
      </c>
      <c r="N315" s="69"/>
      <c r="O315" s="69">
        <v>1</v>
      </c>
      <c r="P315" s="69" t="s">
        <v>50</v>
      </c>
      <c r="Q315" s="69" t="s">
        <v>51</v>
      </c>
      <c r="R315" s="69"/>
      <c r="S315" s="48">
        <v>40568</v>
      </c>
      <c r="T315" s="48">
        <v>43340</v>
      </c>
      <c r="U315" s="69"/>
      <c r="V315" s="69"/>
      <c r="W315" s="69"/>
      <c r="X315" s="69"/>
      <c r="Y315" s="69" t="s">
        <v>4125</v>
      </c>
      <c r="Z315" s="52">
        <v>4600</v>
      </c>
      <c r="AA315" s="43" t="s">
        <v>52</v>
      </c>
      <c r="AB315" s="43" t="s">
        <v>53</v>
      </c>
      <c r="AC315" s="85">
        <v>876</v>
      </c>
      <c r="AD315" s="141">
        <v>2</v>
      </c>
      <c r="AE315" s="142">
        <v>5</v>
      </c>
      <c r="AF315" s="69" t="str">
        <f t="shared" si="46"/>
        <v>2 years 146 days</v>
      </c>
      <c r="AG315" s="69">
        <v>2</v>
      </c>
      <c r="AH315" s="69">
        <v>146</v>
      </c>
      <c r="AI315" s="69">
        <v>4600</v>
      </c>
      <c r="AJ315" s="67">
        <v>4600</v>
      </c>
      <c r="AK315" s="69">
        <v>2025</v>
      </c>
      <c r="AL315" s="61">
        <v>0</v>
      </c>
      <c r="AM315" s="143"/>
    </row>
    <row r="316" spans="1:39" x14ac:dyDescent="0.35">
      <c r="A316" s="69" t="s">
        <v>4124</v>
      </c>
      <c r="B316" s="41">
        <v>1101400585</v>
      </c>
      <c r="C316" s="41"/>
      <c r="D316" s="41" t="s">
        <v>960</v>
      </c>
      <c r="E316" s="101">
        <v>12</v>
      </c>
      <c r="F316" s="41" t="s">
        <v>260</v>
      </c>
      <c r="G316" s="69" t="s">
        <v>259</v>
      </c>
      <c r="H316" s="41">
        <v>9007000090</v>
      </c>
      <c r="I316" s="41" t="s">
        <v>261</v>
      </c>
      <c r="J316" s="41">
        <v>1202010217</v>
      </c>
      <c r="K316" s="41"/>
      <c r="L316" s="52" t="s">
        <v>985</v>
      </c>
      <c r="M316" s="69" t="s">
        <v>49</v>
      </c>
      <c r="N316" s="69"/>
      <c r="O316" s="69">
        <v>1</v>
      </c>
      <c r="P316" s="69" t="s">
        <v>50</v>
      </c>
      <c r="Q316" s="69" t="s">
        <v>51</v>
      </c>
      <c r="R316" s="69"/>
      <c r="S316" s="48">
        <v>40607</v>
      </c>
      <c r="T316" s="48">
        <v>43340</v>
      </c>
      <c r="U316" s="69"/>
      <c r="V316" s="69"/>
      <c r="W316" s="69"/>
      <c r="X316" s="69"/>
      <c r="Y316" s="69" t="s">
        <v>4125</v>
      </c>
      <c r="Z316" s="52">
        <v>60000</v>
      </c>
      <c r="AA316" s="43" t="s">
        <v>52</v>
      </c>
      <c r="AB316" s="43" t="s">
        <v>53</v>
      </c>
      <c r="AC316" s="85">
        <v>913</v>
      </c>
      <c r="AD316" s="141">
        <v>2</v>
      </c>
      <c r="AE316" s="142">
        <v>6</v>
      </c>
      <c r="AF316" s="69" t="str">
        <f t="shared" si="46"/>
        <v>2 years 183 days</v>
      </c>
      <c r="AG316" s="69">
        <v>2</v>
      </c>
      <c r="AH316" s="69">
        <v>183</v>
      </c>
      <c r="AI316" s="69">
        <v>60000</v>
      </c>
      <c r="AJ316" s="67">
        <v>60000</v>
      </c>
      <c r="AK316" s="69">
        <v>2025</v>
      </c>
      <c r="AL316" s="61">
        <v>0</v>
      </c>
      <c r="AM316" s="143"/>
    </row>
    <row r="317" spans="1:39" x14ac:dyDescent="0.35">
      <c r="A317" s="69" t="s">
        <v>4124</v>
      </c>
      <c r="B317" s="41">
        <v>1101400590</v>
      </c>
      <c r="C317" s="41"/>
      <c r="D317" s="41" t="s">
        <v>960</v>
      </c>
      <c r="E317" s="101">
        <v>13</v>
      </c>
      <c r="F317" s="41" t="s">
        <v>260</v>
      </c>
      <c r="G317" s="69" t="s">
        <v>259</v>
      </c>
      <c r="H317" s="41">
        <v>9007000090</v>
      </c>
      <c r="I317" s="41" t="s">
        <v>261</v>
      </c>
      <c r="J317" s="41">
        <v>1202010217</v>
      </c>
      <c r="K317" s="41"/>
      <c r="L317" s="52" t="s">
        <v>987</v>
      </c>
      <c r="M317" s="69" t="s">
        <v>49</v>
      </c>
      <c r="N317" s="69"/>
      <c r="O317" s="69">
        <v>1</v>
      </c>
      <c r="P317" s="69" t="s">
        <v>50</v>
      </c>
      <c r="Q317" s="69" t="s">
        <v>51</v>
      </c>
      <c r="R317" s="69"/>
      <c r="S317" s="48">
        <v>40617</v>
      </c>
      <c r="T317" s="48">
        <v>43340</v>
      </c>
      <c r="U317" s="69"/>
      <c r="V317" s="69"/>
      <c r="W317" s="69"/>
      <c r="X317" s="69"/>
      <c r="Y317" s="69" t="s">
        <v>4125</v>
      </c>
      <c r="Z317" s="52">
        <v>1200</v>
      </c>
      <c r="AA317" s="43" t="s">
        <v>52</v>
      </c>
      <c r="AB317" s="43" t="s">
        <v>53</v>
      </c>
      <c r="AC317" s="85">
        <v>183</v>
      </c>
      <c r="AD317" s="141">
        <v>0</v>
      </c>
      <c r="AE317" s="142">
        <v>6</v>
      </c>
      <c r="AF317" s="69" t="str">
        <f t="shared" si="46"/>
        <v>0 years 183 days</v>
      </c>
      <c r="AG317" s="69">
        <v>0</v>
      </c>
      <c r="AH317" s="69">
        <v>183</v>
      </c>
      <c r="AI317" s="69">
        <v>1200</v>
      </c>
      <c r="AJ317" s="67">
        <v>1200</v>
      </c>
      <c r="AK317" s="69">
        <v>2025</v>
      </c>
      <c r="AL317" s="61">
        <v>0</v>
      </c>
      <c r="AM317" s="143"/>
    </row>
    <row r="318" spans="1:39" x14ac:dyDescent="0.35">
      <c r="A318" s="69" t="s">
        <v>4124</v>
      </c>
      <c r="B318" s="41">
        <v>1101400616</v>
      </c>
      <c r="C318" s="41"/>
      <c r="D318" s="41" t="s">
        <v>960</v>
      </c>
      <c r="E318" s="101">
        <v>14</v>
      </c>
      <c r="F318" s="41" t="s">
        <v>260</v>
      </c>
      <c r="G318" s="69" t="s">
        <v>259</v>
      </c>
      <c r="H318" s="41">
        <v>9007000090</v>
      </c>
      <c r="I318" s="41" t="s">
        <v>261</v>
      </c>
      <c r="J318" s="41">
        <v>1202010217</v>
      </c>
      <c r="K318" s="41"/>
      <c r="L318" s="52" t="s">
        <v>989</v>
      </c>
      <c r="M318" s="69" t="s">
        <v>49</v>
      </c>
      <c r="N318" s="69"/>
      <c r="O318" s="69">
        <v>1</v>
      </c>
      <c r="P318" s="69" t="s">
        <v>50</v>
      </c>
      <c r="Q318" s="69" t="s">
        <v>51</v>
      </c>
      <c r="R318" s="69"/>
      <c r="S318" s="48">
        <v>40690</v>
      </c>
      <c r="T318" s="48">
        <v>43340</v>
      </c>
      <c r="U318" s="69"/>
      <c r="V318" s="69"/>
      <c r="W318" s="69"/>
      <c r="X318" s="69"/>
      <c r="Y318" s="69" t="s">
        <v>4125</v>
      </c>
      <c r="Z318" s="52">
        <v>7000</v>
      </c>
      <c r="AA318" s="43" t="s">
        <v>52</v>
      </c>
      <c r="AB318" s="43" t="s">
        <v>53</v>
      </c>
      <c r="AC318" s="85">
        <v>986</v>
      </c>
      <c r="AD318" s="141">
        <v>2</v>
      </c>
      <c r="AE318" s="142">
        <v>9</v>
      </c>
      <c r="AF318" s="69" t="str">
        <f t="shared" si="46"/>
        <v>2 years 256 days</v>
      </c>
      <c r="AG318" s="69">
        <v>2</v>
      </c>
      <c r="AH318" s="69">
        <v>256</v>
      </c>
      <c r="AI318" s="69">
        <v>7000</v>
      </c>
      <c r="AJ318" s="67">
        <v>7000</v>
      </c>
      <c r="AK318" s="69">
        <v>2025</v>
      </c>
      <c r="AL318" s="61">
        <v>0</v>
      </c>
      <c r="AM318" s="143"/>
    </row>
    <row r="319" spans="1:39" x14ac:dyDescent="0.35">
      <c r="A319" s="69" t="s">
        <v>4124</v>
      </c>
      <c r="B319" s="41">
        <v>1101400635</v>
      </c>
      <c r="C319" s="41"/>
      <c r="D319" s="41" t="s">
        <v>960</v>
      </c>
      <c r="E319" s="101">
        <v>15</v>
      </c>
      <c r="F319" s="41" t="s">
        <v>260</v>
      </c>
      <c r="G319" s="69" t="s">
        <v>259</v>
      </c>
      <c r="H319" s="41">
        <v>9007000090</v>
      </c>
      <c r="I319" s="41" t="s">
        <v>261</v>
      </c>
      <c r="J319" s="41">
        <v>1202010217</v>
      </c>
      <c r="K319" s="41"/>
      <c r="L319" s="52" t="s">
        <v>991</v>
      </c>
      <c r="M319" s="69" t="s">
        <v>992</v>
      </c>
      <c r="N319" s="69"/>
      <c r="O319" s="69">
        <v>1</v>
      </c>
      <c r="P319" s="69" t="s">
        <v>50</v>
      </c>
      <c r="Q319" s="69" t="s">
        <v>51</v>
      </c>
      <c r="R319" s="69"/>
      <c r="S319" s="48">
        <v>40760</v>
      </c>
      <c r="T319" s="48">
        <v>43340</v>
      </c>
      <c r="U319" s="69"/>
      <c r="V319" s="69"/>
      <c r="W319" s="69"/>
      <c r="X319" s="69"/>
      <c r="Y319" s="69" t="s">
        <v>4125</v>
      </c>
      <c r="Z319" s="52">
        <v>19500</v>
      </c>
      <c r="AA319" s="43" t="s">
        <v>52</v>
      </c>
      <c r="AB319" s="43" t="s">
        <v>53</v>
      </c>
      <c r="AC319" s="85">
        <v>1059</v>
      </c>
      <c r="AD319" s="141">
        <v>2</v>
      </c>
      <c r="AE319" s="142">
        <v>11</v>
      </c>
      <c r="AF319" s="69" t="str">
        <f t="shared" si="46"/>
        <v>2 years 329 days</v>
      </c>
      <c r="AG319" s="69">
        <v>2</v>
      </c>
      <c r="AH319" s="69">
        <v>329</v>
      </c>
      <c r="AI319" s="69">
        <v>19500</v>
      </c>
      <c r="AJ319" s="67">
        <v>19500</v>
      </c>
      <c r="AK319" s="69">
        <v>2025</v>
      </c>
      <c r="AL319" s="61">
        <v>0</v>
      </c>
      <c r="AM319" s="143"/>
    </row>
    <row r="320" spans="1:39" x14ac:dyDescent="0.35">
      <c r="A320" s="69" t="s">
        <v>4124</v>
      </c>
      <c r="B320" s="41">
        <v>1101400636</v>
      </c>
      <c r="C320" s="41"/>
      <c r="D320" s="41" t="s">
        <v>960</v>
      </c>
      <c r="E320" s="101">
        <v>16</v>
      </c>
      <c r="F320" s="41" t="s">
        <v>260</v>
      </c>
      <c r="G320" s="69" t="s">
        <v>259</v>
      </c>
      <c r="H320" s="41">
        <v>9007000090</v>
      </c>
      <c r="I320" s="41" t="s">
        <v>261</v>
      </c>
      <c r="J320" s="41">
        <v>1202010217</v>
      </c>
      <c r="K320" s="41"/>
      <c r="L320" s="52" t="s">
        <v>994</v>
      </c>
      <c r="M320" s="69" t="s">
        <v>49</v>
      </c>
      <c r="N320" s="69"/>
      <c r="O320" s="69">
        <v>1</v>
      </c>
      <c r="P320" s="69" t="s">
        <v>50</v>
      </c>
      <c r="Q320" s="69" t="s">
        <v>51</v>
      </c>
      <c r="R320" s="69"/>
      <c r="S320" s="48">
        <v>40760</v>
      </c>
      <c r="T320" s="48">
        <v>43340</v>
      </c>
      <c r="U320" s="69"/>
      <c r="V320" s="69"/>
      <c r="W320" s="69"/>
      <c r="X320" s="69"/>
      <c r="Y320" s="69" t="s">
        <v>4125</v>
      </c>
      <c r="Z320" s="52">
        <v>2400</v>
      </c>
      <c r="AA320" s="43" t="s">
        <v>52</v>
      </c>
      <c r="AB320" s="43" t="s">
        <v>53</v>
      </c>
      <c r="AC320" s="85">
        <v>183</v>
      </c>
      <c r="AD320" s="141">
        <v>0</v>
      </c>
      <c r="AE320" s="142">
        <v>6</v>
      </c>
      <c r="AF320" s="69" t="str">
        <f t="shared" si="46"/>
        <v>0 years 183 days</v>
      </c>
      <c r="AG320" s="69">
        <v>0</v>
      </c>
      <c r="AH320" s="69">
        <v>183</v>
      </c>
      <c r="AI320" s="69">
        <v>2400</v>
      </c>
      <c r="AJ320" s="67">
        <v>2400</v>
      </c>
      <c r="AK320" s="69">
        <v>2025</v>
      </c>
      <c r="AL320" s="61">
        <v>0</v>
      </c>
      <c r="AM320" s="143"/>
    </row>
    <row r="321" spans="1:39" x14ac:dyDescent="0.35">
      <c r="A321" s="69" t="s">
        <v>4124</v>
      </c>
      <c r="B321" s="41">
        <v>1101400640</v>
      </c>
      <c r="C321" s="41"/>
      <c r="D321" s="41" t="s">
        <v>960</v>
      </c>
      <c r="E321" s="101">
        <v>17</v>
      </c>
      <c r="F321" s="41" t="s">
        <v>260</v>
      </c>
      <c r="G321" s="69" t="s">
        <v>259</v>
      </c>
      <c r="H321" s="41">
        <v>9007000090</v>
      </c>
      <c r="I321" s="41" t="s">
        <v>261</v>
      </c>
      <c r="J321" s="41">
        <v>1202010217</v>
      </c>
      <c r="K321" s="41"/>
      <c r="L321" s="52" t="s">
        <v>996</v>
      </c>
      <c r="M321" s="69" t="s">
        <v>49</v>
      </c>
      <c r="N321" s="69"/>
      <c r="O321" s="69">
        <v>1</v>
      </c>
      <c r="P321" s="69" t="s">
        <v>50</v>
      </c>
      <c r="Q321" s="69" t="s">
        <v>51</v>
      </c>
      <c r="R321" s="69"/>
      <c r="S321" s="48">
        <v>40764</v>
      </c>
      <c r="T321" s="48">
        <v>43340</v>
      </c>
      <c r="U321" s="69"/>
      <c r="V321" s="69"/>
      <c r="W321" s="69"/>
      <c r="X321" s="69"/>
      <c r="Y321" s="69" t="s">
        <v>4125</v>
      </c>
      <c r="Z321" s="52">
        <v>45000</v>
      </c>
      <c r="AA321" s="43" t="s">
        <v>52</v>
      </c>
      <c r="AB321" s="43" t="s">
        <v>53</v>
      </c>
      <c r="AC321" s="85">
        <v>1059</v>
      </c>
      <c r="AD321" s="141">
        <v>2</v>
      </c>
      <c r="AE321" s="142">
        <v>11</v>
      </c>
      <c r="AF321" s="69" t="str">
        <f t="shared" si="46"/>
        <v>2 years 329 days</v>
      </c>
      <c r="AG321" s="69">
        <v>2</v>
      </c>
      <c r="AH321" s="69">
        <v>329</v>
      </c>
      <c r="AI321" s="69">
        <v>45000</v>
      </c>
      <c r="AJ321" s="67">
        <v>45000</v>
      </c>
      <c r="AK321" s="69">
        <v>2025</v>
      </c>
      <c r="AL321" s="61">
        <v>0</v>
      </c>
      <c r="AM321" s="143"/>
    </row>
    <row r="322" spans="1:39" x14ac:dyDescent="0.35">
      <c r="A322" s="69" t="s">
        <v>4124</v>
      </c>
      <c r="B322" s="41">
        <v>1101400650</v>
      </c>
      <c r="C322" s="41"/>
      <c r="D322" s="41" t="s">
        <v>960</v>
      </c>
      <c r="E322" s="101">
        <v>18</v>
      </c>
      <c r="F322" s="41" t="s">
        <v>260</v>
      </c>
      <c r="G322" s="69" t="s">
        <v>259</v>
      </c>
      <c r="H322" s="41">
        <v>9007000090</v>
      </c>
      <c r="I322" s="41" t="s">
        <v>261</v>
      </c>
      <c r="J322" s="41">
        <v>1202010217</v>
      </c>
      <c r="K322" s="41"/>
      <c r="L322" s="52" t="s">
        <v>998</v>
      </c>
      <c r="M322" s="69" t="s">
        <v>49</v>
      </c>
      <c r="N322" s="69"/>
      <c r="O322" s="69">
        <v>1</v>
      </c>
      <c r="P322" s="69" t="s">
        <v>50</v>
      </c>
      <c r="Q322" s="69" t="s">
        <v>51</v>
      </c>
      <c r="R322" s="69"/>
      <c r="S322" s="48">
        <v>40794</v>
      </c>
      <c r="T322" s="48">
        <v>43340</v>
      </c>
      <c r="U322" s="69"/>
      <c r="V322" s="69"/>
      <c r="W322" s="69"/>
      <c r="X322" s="69"/>
      <c r="Y322" s="69" t="s">
        <v>4125</v>
      </c>
      <c r="Z322" s="52">
        <v>970000</v>
      </c>
      <c r="AA322" s="43" t="s">
        <v>52</v>
      </c>
      <c r="AB322" s="43" t="s">
        <v>53</v>
      </c>
      <c r="AC322" s="85">
        <v>2920</v>
      </c>
      <c r="AD322" s="141">
        <v>8</v>
      </c>
      <c r="AE322" s="142">
        <v>0</v>
      </c>
      <c r="AF322" s="69" t="str">
        <f t="shared" si="46"/>
        <v>6 years 128 days</v>
      </c>
      <c r="AG322" s="69">
        <v>6</v>
      </c>
      <c r="AH322" s="69">
        <v>128</v>
      </c>
      <c r="AI322" s="69">
        <v>970000</v>
      </c>
      <c r="AJ322" s="67">
        <v>769688</v>
      </c>
      <c r="AK322" s="69">
        <v>2025</v>
      </c>
      <c r="AL322" s="61">
        <v>60127.06849315064</v>
      </c>
      <c r="AM322" s="143"/>
    </row>
    <row r="323" spans="1:39" x14ac:dyDescent="0.35">
      <c r="A323" s="69" t="s">
        <v>4124</v>
      </c>
      <c r="B323" s="41">
        <v>1101400653</v>
      </c>
      <c r="C323" s="41"/>
      <c r="D323" s="41" t="s">
        <v>960</v>
      </c>
      <c r="E323" s="101">
        <v>19</v>
      </c>
      <c r="F323" s="41" t="s">
        <v>260</v>
      </c>
      <c r="G323" s="69" t="s">
        <v>259</v>
      </c>
      <c r="H323" s="41">
        <v>9007000090</v>
      </c>
      <c r="I323" s="41" t="s">
        <v>261</v>
      </c>
      <c r="J323" s="41">
        <v>1202010217</v>
      </c>
      <c r="K323" s="41"/>
      <c r="L323" s="52" t="s">
        <v>1000</v>
      </c>
      <c r="M323" s="69" t="s">
        <v>49</v>
      </c>
      <c r="N323" s="69"/>
      <c r="O323" s="69">
        <v>1</v>
      </c>
      <c r="P323" s="69" t="s">
        <v>50</v>
      </c>
      <c r="Q323" s="69" t="s">
        <v>51</v>
      </c>
      <c r="R323" s="69"/>
      <c r="S323" s="48">
        <v>40802</v>
      </c>
      <c r="T323" s="48">
        <v>43340</v>
      </c>
      <c r="U323" s="69"/>
      <c r="V323" s="69"/>
      <c r="W323" s="69"/>
      <c r="X323" s="69"/>
      <c r="Y323" s="69" t="s">
        <v>4125</v>
      </c>
      <c r="Z323" s="52">
        <v>41000</v>
      </c>
      <c r="AA323" s="43" t="s">
        <v>52</v>
      </c>
      <c r="AB323" s="43" t="s">
        <v>53</v>
      </c>
      <c r="AC323" s="85">
        <v>1095</v>
      </c>
      <c r="AD323" s="141">
        <v>3</v>
      </c>
      <c r="AE323" s="142">
        <v>0</v>
      </c>
      <c r="AF323" s="69" t="str">
        <f t="shared" si="46"/>
        <v>3 years 0 days</v>
      </c>
      <c r="AG323" s="69">
        <v>3</v>
      </c>
      <c r="AH323" s="69">
        <v>0</v>
      </c>
      <c r="AI323" s="69">
        <v>41000</v>
      </c>
      <c r="AJ323" s="67">
        <v>41000</v>
      </c>
      <c r="AK323" s="69">
        <v>2025</v>
      </c>
      <c r="AL323" s="61">
        <v>0</v>
      </c>
      <c r="AM323" s="143"/>
    </row>
    <row r="324" spans="1:39" x14ac:dyDescent="0.35">
      <c r="A324" s="69" t="s">
        <v>4124</v>
      </c>
      <c r="B324" s="41">
        <v>1101400700</v>
      </c>
      <c r="C324" s="41"/>
      <c r="D324" s="41" t="s">
        <v>960</v>
      </c>
      <c r="E324" s="101">
        <v>20</v>
      </c>
      <c r="F324" s="41" t="s">
        <v>260</v>
      </c>
      <c r="G324" s="69" t="s">
        <v>259</v>
      </c>
      <c r="H324" s="41">
        <v>9007000090</v>
      </c>
      <c r="I324" s="41" t="s">
        <v>261</v>
      </c>
      <c r="J324" s="41">
        <v>1202010217</v>
      </c>
      <c r="K324" s="41"/>
      <c r="L324" s="52" t="s">
        <v>1002</v>
      </c>
      <c r="M324" s="69" t="s">
        <v>1003</v>
      </c>
      <c r="N324" s="69"/>
      <c r="O324" s="69">
        <v>1</v>
      </c>
      <c r="P324" s="69" t="s">
        <v>50</v>
      </c>
      <c r="Q324" s="69" t="s">
        <v>51</v>
      </c>
      <c r="R324" s="69"/>
      <c r="S324" s="48">
        <v>40962</v>
      </c>
      <c r="T324" s="48">
        <v>43340</v>
      </c>
      <c r="U324" s="69"/>
      <c r="V324" s="69"/>
      <c r="W324" s="69"/>
      <c r="X324" s="69"/>
      <c r="Y324" s="69" t="s">
        <v>4125</v>
      </c>
      <c r="Z324" s="52">
        <v>137685.75523511664</v>
      </c>
      <c r="AA324" s="43" t="s">
        <v>52</v>
      </c>
      <c r="AB324" s="43" t="s">
        <v>53</v>
      </c>
      <c r="AC324" s="85">
        <v>1272</v>
      </c>
      <c r="AD324" s="141">
        <v>3</v>
      </c>
      <c r="AE324" s="142">
        <v>6</v>
      </c>
      <c r="AF324" s="69" t="str">
        <f t="shared" si="46"/>
        <v>3 years 177 days</v>
      </c>
      <c r="AG324" s="69">
        <v>3</v>
      </c>
      <c r="AH324" s="69">
        <v>177</v>
      </c>
      <c r="AI324" s="69">
        <v>137685.75523511664</v>
      </c>
      <c r="AJ324" s="67">
        <v>137686</v>
      </c>
      <c r="AK324" s="69">
        <v>2025</v>
      </c>
      <c r="AL324" s="61">
        <v>0</v>
      </c>
      <c r="AM324" s="143"/>
    </row>
    <row r="325" spans="1:39" x14ac:dyDescent="0.35">
      <c r="A325" s="69" t="s">
        <v>4124</v>
      </c>
      <c r="B325" s="41">
        <v>1101401176</v>
      </c>
      <c r="C325" s="41"/>
      <c r="D325" s="41" t="s">
        <v>960</v>
      </c>
      <c r="E325" s="101">
        <v>21</v>
      </c>
      <c r="F325" s="41" t="s">
        <v>260</v>
      </c>
      <c r="G325" s="69" t="s">
        <v>259</v>
      </c>
      <c r="H325" s="41">
        <v>9007000090</v>
      </c>
      <c r="I325" s="41" t="s">
        <v>261</v>
      </c>
      <c r="J325" s="41">
        <v>1202010217</v>
      </c>
      <c r="K325" s="41"/>
      <c r="L325" s="52" t="s">
        <v>1005</v>
      </c>
      <c r="M325" s="69" t="s">
        <v>49</v>
      </c>
      <c r="N325" s="69"/>
      <c r="O325" s="69">
        <v>1</v>
      </c>
      <c r="P325" s="69" t="s">
        <v>50</v>
      </c>
      <c r="Q325" s="69" t="s">
        <v>51</v>
      </c>
      <c r="R325" s="69"/>
      <c r="S325" s="48">
        <v>41516</v>
      </c>
      <c r="T325" s="48">
        <v>43340</v>
      </c>
      <c r="U325" s="69"/>
      <c r="V325" s="69"/>
      <c r="W325" s="69"/>
      <c r="X325" s="69"/>
      <c r="Y325" s="69" t="s">
        <v>4125</v>
      </c>
      <c r="Z325" s="52">
        <v>80000</v>
      </c>
      <c r="AA325" s="43" t="s">
        <v>52</v>
      </c>
      <c r="AB325" s="43" t="s">
        <v>53</v>
      </c>
      <c r="AC325" s="85">
        <v>1825</v>
      </c>
      <c r="AD325" s="141">
        <v>5</v>
      </c>
      <c r="AE325" s="142">
        <v>0</v>
      </c>
      <c r="AF325" s="69" t="str">
        <f t="shared" si="46"/>
        <v>5 years 0 days</v>
      </c>
      <c r="AG325" s="69">
        <v>5</v>
      </c>
      <c r="AH325" s="69">
        <v>0</v>
      </c>
      <c r="AI325" s="69">
        <v>80000</v>
      </c>
      <c r="AJ325" s="67">
        <v>80000</v>
      </c>
      <c r="AK325" s="69">
        <v>2025</v>
      </c>
      <c r="AL325" s="61">
        <v>0</v>
      </c>
      <c r="AM325" s="143"/>
    </row>
    <row r="326" spans="1:39" x14ac:dyDescent="0.35">
      <c r="A326" s="69" t="s">
        <v>4124</v>
      </c>
      <c r="B326" s="41">
        <v>1101401182</v>
      </c>
      <c r="C326" s="41"/>
      <c r="D326" s="41" t="s">
        <v>960</v>
      </c>
      <c r="E326" s="101">
        <v>22</v>
      </c>
      <c r="F326" s="41" t="s">
        <v>260</v>
      </c>
      <c r="G326" s="69" t="s">
        <v>259</v>
      </c>
      <c r="H326" s="41">
        <v>9007000090</v>
      </c>
      <c r="I326" s="41" t="s">
        <v>261</v>
      </c>
      <c r="J326" s="41">
        <v>1202010217</v>
      </c>
      <c r="K326" s="41"/>
      <c r="L326" s="52" t="s">
        <v>1007</v>
      </c>
      <c r="M326" s="69" t="s">
        <v>49</v>
      </c>
      <c r="N326" s="69"/>
      <c r="O326" s="69">
        <v>1</v>
      </c>
      <c r="P326" s="69" t="s">
        <v>50</v>
      </c>
      <c r="Q326" s="69" t="s">
        <v>51</v>
      </c>
      <c r="R326" s="69"/>
      <c r="S326" s="48">
        <v>41519</v>
      </c>
      <c r="T326" s="48">
        <v>43340</v>
      </c>
      <c r="U326" s="69"/>
      <c r="V326" s="69"/>
      <c r="W326" s="69"/>
      <c r="X326" s="69"/>
      <c r="Y326" s="69" t="s">
        <v>4125</v>
      </c>
      <c r="Z326" s="52">
        <v>67500</v>
      </c>
      <c r="AA326" s="43" t="s">
        <v>52</v>
      </c>
      <c r="AB326" s="43" t="s">
        <v>53</v>
      </c>
      <c r="AC326" s="85">
        <v>1825</v>
      </c>
      <c r="AD326" s="141">
        <v>5</v>
      </c>
      <c r="AE326" s="142">
        <v>0</v>
      </c>
      <c r="AF326" s="69" t="str">
        <f t="shared" si="46"/>
        <v>5 years 0 days</v>
      </c>
      <c r="AG326" s="69">
        <v>5</v>
      </c>
      <c r="AH326" s="69">
        <v>0</v>
      </c>
      <c r="AI326" s="69">
        <v>67500</v>
      </c>
      <c r="AJ326" s="67">
        <v>67500</v>
      </c>
      <c r="AK326" s="69">
        <v>2025</v>
      </c>
      <c r="AL326" s="61">
        <v>0</v>
      </c>
      <c r="AM326" s="143"/>
    </row>
    <row r="327" spans="1:39" x14ac:dyDescent="0.35">
      <c r="A327" s="69" t="s">
        <v>4124</v>
      </c>
      <c r="B327" s="41">
        <v>1101401298</v>
      </c>
      <c r="C327" s="41"/>
      <c r="D327" s="41" t="s">
        <v>960</v>
      </c>
      <c r="E327" s="101">
        <v>23</v>
      </c>
      <c r="F327" s="41" t="s">
        <v>260</v>
      </c>
      <c r="G327" s="69" t="s">
        <v>259</v>
      </c>
      <c r="H327" s="41">
        <v>9007000090</v>
      </c>
      <c r="I327" s="41" t="s">
        <v>261</v>
      </c>
      <c r="J327" s="41">
        <v>1202010217</v>
      </c>
      <c r="K327" s="41"/>
      <c r="L327" s="52" t="s">
        <v>1009</v>
      </c>
      <c r="M327" s="69" t="s">
        <v>1010</v>
      </c>
      <c r="N327" s="69"/>
      <c r="O327" s="69">
        <v>1</v>
      </c>
      <c r="P327" s="69" t="s">
        <v>50</v>
      </c>
      <c r="Q327" s="69" t="s">
        <v>51</v>
      </c>
      <c r="R327" s="69"/>
      <c r="S327" s="48">
        <v>41638</v>
      </c>
      <c r="T327" s="48">
        <v>43340</v>
      </c>
      <c r="U327" s="69"/>
      <c r="V327" s="69"/>
      <c r="W327" s="69"/>
      <c r="X327" s="69"/>
      <c r="Y327" s="69" t="s">
        <v>4125</v>
      </c>
      <c r="Z327" s="52">
        <v>5000</v>
      </c>
      <c r="AA327" s="43" t="s">
        <v>52</v>
      </c>
      <c r="AB327" s="43" t="s">
        <v>53</v>
      </c>
      <c r="AC327" s="85">
        <v>1935</v>
      </c>
      <c r="AD327" s="141">
        <v>5</v>
      </c>
      <c r="AE327" s="142">
        <v>4</v>
      </c>
      <c r="AF327" s="69" t="str">
        <f t="shared" si="46"/>
        <v>5 years 110 days</v>
      </c>
      <c r="AG327" s="69">
        <v>5</v>
      </c>
      <c r="AH327" s="69">
        <v>110</v>
      </c>
      <c r="AI327" s="69">
        <v>5000</v>
      </c>
      <c r="AJ327" s="67">
        <v>5000</v>
      </c>
      <c r="AK327" s="69">
        <v>2025</v>
      </c>
      <c r="AL327" s="61">
        <v>0</v>
      </c>
      <c r="AM327" s="143"/>
    </row>
    <row r="328" spans="1:39" x14ac:dyDescent="0.35">
      <c r="A328" s="69" t="s">
        <v>4124</v>
      </c>
      <c r="B328" s="41">
        <v>1101401511</v>
      </c>
      <c r="C328" s="41"/>
      <c r="D328" s="41" t="s">
        <v>960</v>
      </c>
      <c r="E328" s="101">
        <v>24</v>
      </c>
      <c r="F328" s="41" t="s">
        <v>260</v>
      </c>
      <c r="G328" s="69" t="s">
        <v>259</v>
      </c>
      <c r="H328" s="41">
        <v>9007000090</v>
      </c>
      <c r="I328" s="41" t="s">
        <v>261</v>
      </c>
      <c r="J328" s="41">
        <v>1202010217</v>
      </c>
      <c r="K328" s="41"/>
      <c r="L328" s="52" t="s">
        <v>1012</v>
      </c>
      <c r="M328" s="69" t="s">
        <v>1013</v>
      </c>
      <c r="N328" s="69"/>
      <c r="O328" s="69">
        <v>1</v>
      </c>
      <c r="P328" s="69" t="s">
        <v>50</v>
      </c>
      <c r="Q328" s="69" t="s">
        <v>51</v>
      </c>
      <c r="R328" s="69"/>
      <c r="S328" s="48">
        <v>41912</v>
      </c>
      <c r="T328" s="48">
        <v>43340</v>
      </c>
      <c r="U328" s="69"/>
      <c r="V328" s="69"/>
      <c r="W328" s="69"/>
      <c r="X328" s="69"/>
      <c r="Y328" s="69" t="s">
        <v>4125</v>
      </c>
      <c r="Z328" s="52">
        <v>1375000</v>
      </c>
      <c r="AA328" s="43" t="s">
        <v>52</v>
      </c>
      <c r="AB328" s="43" t="s">
        <v>53</v>
      </c>
      <c r="AC328" s="85">
        <v>2227</v>
      </c>
      <c r="AD328" s="141">
        <v>6</v>
      </c>
      <c r="AE328" s="142">
        <v>1</v>
      </c>
      <c r="AF328" s="69" t="str">
        <f t="shared" si="46"/>
        <v>6 years 37 days</v>
      </c>
      <c r="AG328" s="69">
        <v>6</v>
      </c>
      <c r="AH328" s="69">
        <v>37</v>
      </c>
      <c r="AI328" s="69">
        <v>1375000</v>
      </c>
      <c r="AJ328" s="67">
        <v>1375000</v>
      </c>
      <c r="AK328" s="69">
        <v>2025</v>
      </c>
      <c r="AL328" s="61">
        <v>0</v>
      </c>
      <c r="AM328" s="143"/>
    </row>
    <row r="329" spans="1:39" x14ac:dyDescent="0.35">
      <c r="A329" s="69" t="s">
        <v>4124</v>
      </c>
      <c r="B329" s="41">
        <v>1101401806</v>
      </c>
      <c r="C329" s="41"/>
      <c r="D329" s="41" t="s">
        <v>960</v>
      </c>
      <c r="E329" s="101">
        <v>25</v>
      </c>
      <c r="F329" s="41" t="s">
        <v>260</v>
      </c>
      <c r="G329" s="69" t="s">
        <v>259</v>
      </c>
      <c r="H329" s="41">
        <v>9007000090</v>
      </c>
      <c r="I329" s="41" t="s">
        <v>261</v>
      </c>
      <c r="J329" s="41">
        <v>1202010217</v>
      </c>
      <c r="K329" s="41"/>
      <c r="L329" s="52" t="s">
        <v>1015</v>
      </c>
      <c r="M329" s="69" t="s">
        <v>1016</v>
      </c>
      <c r="N329" s="69"/>
      <c r="O329" s="69">
        <v>1</v>
      </c>
      <c r="P329" s="69" t="s">
        <v>50</v>
      </c>
      <c r="Q329" s="69" t="s">
        <v>51</v>
      </c>
      <c r="R329" s="69"/>
      <c r="S329" s="48">
        <v>42373</v>
      </c>
      <c r="T329" s="48">
        <v>43340</v>
      </c>
      <c r="U329" s="69"/>
      <c r="V329" s="69"/>
      <c r="W329" s="69"/>
      <c r="X329" s="69"/>
      <c r="Y329" s="69" t="s">
        <v>4125</v>
      </c>
      <c r="Z329" s="52">
        <v>235000</v>
      </c>
      <c r="AA329" s="43" t="s">
        <v>52</v>
      </c>
      <c r="AB329" s="43" t="s">
        <v>53</v>
      </c>
      <c r="AC329" s="85">
        <v>803</v>
      </c>
      <c r="AD329" s="141">
        <v>2</v>
      </c>
      <c r="AE329" s="142">
        <v>2</v>
      </c>
      <c r="AF329" s="69" t="str">
        <f t="shared" si="46"/>
        <v>2 years 73 days</v>
      </c>
      <c r="AG329" s="69">
        <v>2</v>
      </c>
      <c r="AH329" s="69">
        <v>73</v>
      </c>
      <c r="AI329" s="69">
        <v>235000</v>
      </c>
      <c r="AJ329" s="67">
        <v>235000</v>
      </c>
      <c r="AK329" s="69">
        <v>2025</v>
      </c>
      <c r="AL329" s="61">
        <v>0</v>
      </c>
      <c r="AM329" s="143"/>
    </row>
    <row r="330" spans="1:39" x14ac:dyDescent="0.35">
      <c r="A330" s="69" t="s">
        <v>4124</v>
      </c>
      <c r="B330" s="41">
        <v>1101402538</v>
      </c>
      <c r="C330" s="41"/>
      <c r="D330" s="41" t="s">
        <v>960</v>
      </c>
      <c r="E330" s="101">
        <v>26</v>
      </c>
      <c r="F330" s="41" t="s">
        <v>260</v>
      </c>
      <c r="G330" s="69" t="s">
        <v>259</v>
      </c>
      <c r="H330" s="41">
        <v>9007000090</v>
      </c>
      <c r="I330" s="41" t="s">
        <v>261</v>
      </c>
      <c r="J330" s="41">
        <v>1202010217</v>
      </c>
      <c r="K330" s="41"/>
      <c r="L330" s="52" t="s">
        <v>1018</v>
      </c>
      <c r="M330" s="69" t="s">
        <v>1019</v>
      </c>
      <c r="N330" s="69"/>
      <c r="O330" s="69">
        <v>1</v>
      </c>
      <c r="P330" s="69" t="s">
        <v>50</v>
      </c>
      <c r="Q330" s="69" t="s">
        <v>51</v>
      </c>
      <c r="R330" s="69"/>
      <c r="S330" s="48">
        <v>43200</v>
      </c>
      <c r="T330" s="48">
        <v>43340</v>
      </c>
      <c r="U330" s="69"/>
      <c r="V330" s="69"/>
      <c r="W330" s="69"/>
      <c r="X330" s="69"/>
      <c r="Y330" s="69" t="s">
        <v>4125</v>
      </c>
      <c r="Z330" s="52">
        <v>175000</v>
      </c>
      <c r="AA330" s="43" t="s">
        <v>52</v>
      </c>
      <c r="AB330" s="43" t="s">
        <v>53</v>
      </c>
      <c r="AC330" s="85">
        <v>1497</v>
      </c>
      <c r="AD330" s="141">
        <v>4</v>
      </c>
      <c r="AE330" s="142">
        <v>1</v>
      </c>
      <c r="AF330" s="69" t="str">
        <f t="shared" si="46"/>
        <v>4 years 37 days</v>
      </c>
      <c r="AG330" s="69">
        <v>4</v>
      </c>
      <c r="AH330" s="69">
        <v>37</v>
      </c>
      <c r="AI330" s="69">
        <v>175000</v>
      </c>
      <c r="AJ330" s="67">
        <v>175000</v>
      </c>
      <c r="AK330" s="69">
        <v>2025</v>
      </c>
      <c r="AL330" s="61">
        <v>0</v>
      </c>
      <c r="AM330" s="143"/>
    </row>
    <row r="331" spans="1:39" x14ac:dyDescent="0.35">
      <c r="A331" s="69" t="s">
        <v>4124</v>
      </c>
      <c r="B331" s="41">
        <v>1101402883</v>
      </c>
      <c r="C331" s="41"/>
      <c r="D331" s="41" t="s">
        <v>960</v>
      </c>
      <c r="E331" s="101">
        <v>27</v>
      </c>
      <c r="F331" s="41" t="s">
        <v>260</v>
      </c>
      <c r="G331" s="69" t="s">
        <v>259</v>
      </c>
      <c r="H331" s="41">
        <v>9007000090</v>
      </c>
      <c r="I331" s="41" t="s">
        <v>261</v>
      </c>
      <c r="J331" s="41">
        <v>1202010217</v>
      </c>
      <c r="K331" s="41"/>
      <c r="L331" s="52" t="s">
        <v>1021</v>
      </c>
      <c r="M331" s="69" t="s">
        <v>1022</v>
      </c>
      <c r="N331" s="69"/>
      <c r="O331" s="69">
        <v>1</v>
      </c>
      <c r="P331" s="69" t="s">
        <v>50</v>
      </c>
      <c r="Q331" s="69" t="s">
        <v>51</v>
      </c>
      <c r="R331" s="69"/>
      <c r="S331" s="48">
        <v>43525</v>
      </c>
      <c r="T331" s="48">
        <v>43525</v>
      </c>
      <c r="U331" s="69"/>
      <c r="V331" s="69"/>
      <c r="W331" s="69"/>
      <c r="X331" s="69"/>
      <c r="Y331" s="69" t="s">
        <v>4126</v>
      </c>
      <c r="Z331" s="52">
        <v>1100</v>
      </c>
      <c r="AA331" s="43" t="s">
        <v>52</v>
      </c>
      <c r="AB331" s="43" t="s">
        <v>53</v>
      </c>
      <c r="AC331" s="85">
        <v>3650</v>
      </c>
      <c r="AD331" s="141">
        <v>10</v>
      </c>
      <c r="AE331" s="142">
        <v>0</v>
      </c>
      <c r="AF331" s="69" t="str">
        <f t="shared" si="46"/>
        <v>5 years 308 days</v>
      </c>
      <c r="AG331" s="69">
        <v>5</v>
      </c>
      <c r="AH331" s="69">
        <v>308</v>
      </c>
      <c r="AI331" s="69">
        <v>1100</v>
      </c>
      <c r="AJ331" s="67">
        <v>1100</v>
      </c>
      <c r="AK331" s="69">
        <v>2025</v>
      </c>
      <c r="AL331" s="61">
        <v>0</v>
      </c>
      <c r="AM331" s="143"/>
    </row>
    <row r="332" spans="1:39" x14ac:dyDescent="0.35">
      <c r="A332" s="69" t="s">
        <v>4124</v>
      </c>
      <c r="B332" s="41">
        <v>1101404723</v>
      </c>
      <c r="C332" s="41"/>
      <c r="D332" s="41" t="s">
        <v>960</v>
      </c>
      <c r="E332" s="101">
        <v>28</v>
      </c>
      <c r="F332" s="41" t="s">
        <v>260</v>
      </c>
      <c r="G332" s="69" t="s">
        <v>259</v>
      </c>
      <c r="H332" s="41">
        <v>9007000090</v>
      </c>
      <c r="I332" s="41" t="s">
        <v>261</v>
      </c>
      <c r="J332" s="41">
        <v>1202010217</v>
      </c>
      <c r="K332" s="41"/>
      <c r="L332" s="52" t="s">
        <v>1024</v>
      </c>
      <c r="M332" s="69" t="s">
        <v>1025</v>
      </c>
      <c r="N332" s="69"/>
      <c r="O332" s="69">
        <v>1</v>
      </c>
      <c r="P332" s="69" t="s">
        <v>50</v>
      </c>
      <c r="Q332" s="69" t="s">
        <v>51</v>
      </c>
      <c r="R332" s="69"/>
      <c r="S332" s="48">
        <v>42908</v>
      </c>
      <c r="T332" s="48">
        <v>43340</v>
      </c>
      <c r="U332" s="69"/>
      <c r="V332" s="69"/>
      <c r="W332" s="69"/>
      <c r="X332" s="69"/>
      <c r="Y332" s="69" t="s">
        <v>4125</v>
      </c>
      <c r="Z332" s="52">
        <v>8000</v>
      </c>
      <c r="AA332" s="43" t="s">
        <v>52</v>
      </c>
      <c r="AB332" s="43" t="s">
        <v>53</v>
      </c>
      <c r="AC332" s="85">
        <v>657</v>
      </c>
      <c r="AD332" s="141">
        <v>1</v>
      </c>
      <c r="AE332" s="142">
        <v>10</v>
      </c>
      <c r="AF332" s="69" t="str">
        <f t="shared" si="46"/>
        <v>1 years 292 days</v>
      </c>
      <c r="AG332" s="69">
        <v>1</v>
      </c>
      <c r="AH332" s="69">
        <v>292</v>
      </c>
      <c r="AI332" s="69">
        <v>8000</v>
      </c>
      <c r="AJ332" s="67">
        <v>8000</v>
      </c>
      <c r="AK332" s="69">
        <v>2025</v>
      </c>
      <c r="AL332" s="61">
        <v>0</v>
      </c>
      <c r="AM332" s="143"/>
    </row>
    <row r="333" spans="1:39" x14ac:dyDescent="0.35">
      <c r="A333" s="69" t="s">
        <v>4124</v>
      </c>
      <c r="B333" s="41">
        <v>1101100042</v>
      </c>
      <c r="C333" s="41"/>
      <c r="D333" s="41" t="s">
        <v>960</v>
      </c>
      <c r="E333" s="101">
        <v>29</v>
      </c>
      <c r="F333" s="41" t="s">
        <v>260</v>
      </c>
      <c r="G333" s="69" t="s">
        <v>259</v>
      </c>
      <c r="H333" s="41">
        <v>9007000090</v>
      </c>
      <c r="I333" s="41" t="s">
        <v>261</v>
      </c>
      <c r="J333" s="41">
        <v>1202010217</v>
      </c>
      <c r="K333" s="41"/>
      <c r="L333" s="52" t="s">
        <v>1027</v>
      </c>
      <c r="M333" s="69" t="s">
        <v>49</v>
      </c>
      <c r="N333" s="69"/>
      <c r="O333" s="69">
        <v>1</v>
      </c>
      <c r="P333" s="69" t="s">
        <v>50</v>
      </c>
      <c r="Q333" s="69" t="s">
        <v>51</v>
      </c>
      <c r="R333" s="69"/>
      <c r="S333" s="48">
        <v>37841</v>
      </c>
      <c r="T333" s="48">
        <v>43340</v>
      </c>
      <c r="U333" s="69"/>
      <c r="V333" s="69"/>
      <c r="W333" s="69"/>
      <c r="X333" s="69"/>
      <c r="Y333" s="69" t="s">
        <v>4125</v>
      </c>
      <c r="Z333" s="52">
        <v>1300</v>
      </c>
      <c r="AA333" s="43" t="s">
        <v>52</v>
      </c>
      <c r="AB333" s="43" t="s">
        <v>53</v>
      </c>
      <c r="AC333" s="85">
        <v>183</v>
      </c>
      <c r="AD333" s="141">
        <v>0</v>
      </c>
      <c r="AE333" s="142">
        <v>6</v>
      </c>
      <c r="AF333" s="69" t="str">
        <f t="shared" si="46"/>
        <v>0 years 183 days</v>
      </c>
      <c r="AG333" s="69">
        <v>0</v>
      </c>
      <c r="AH333" s="69">
        <v>183</v>
      </c>
      <c r="AI333" s="69">
        <v>1300</v>
      </c>
      <c r="AJ333" s="67">
        <v>1300</v>
      </c>
      <c r="AK333" s="69">
        <v>2025</v>
      </c>
      <c r="AL333" s="61">
        <v>0</v>
      </c>
      <c r="AM333" s="143"/>
    </row>
    <row r="334" spans="1:39" x14ac:dyDescent="0.35">
      <c r="A334" s="69" t="s">
        <v>4124</v>
      </c>
      <c r="B334" s="41">
        <v>1101100046</v>
      </c>
      <c r="C334" s="41"/>
      <c r="D334" s="41" t="s">
        <v>960</v>
      </c>
      <c r="E334" s="101">
        <v>30</v>
      </c>
      <c r="F334" s="41" t="s">
        <v>260</v>
      </c>
      <c r="G334" s="69" t="s">
        <v>259</v>
      </c>
      <c r="H334" s="41">
        <v>9007000090</v>
      </c>
      <c r="I334" s="41" t="s">
        <v>261</v>
      </c>
      <c r="J334" s="41">
        <v>1202010217</v>
      </c>
      <c r="K334" s="41"/>
      <c r="L334" s="52" t="s">
        <v>1029</v>
      </c>
      <c r="M334" s="69" t="s">
        <v>49</v>
      </c>
      <c r="N334" s="69"/>
      <c r="O334" s="69">
        <v>1</v>
      </c>
      <c r="P334" s="69" t="s">
        <v>50</v>
      </c>
      <c r="Q334" s="69" t="s">
        <v>51</v>
      </c>
      <c r="R334" s="69"/>
      <c r="S334" s="48">
        <v>37862</v>
      </c>
      <c r="T334" s="48">
        <v>43340</v>
      </c>
      <c r="U334" s="69"/>
      <c r="V334" s="69"/>
      <c r="W334" s="69"/>
      <c r="X334" s="69"/>
      <c r="Y334" s="69" t="s">
        <v>4125</v>
      </c>
      <c r="Z334" s="52">
        <v>3000</v>
      </c>
      <c r="AA334" s="43" t="s">
        <v>52</v>
      </c>
      <c r="AB334" s="43" t="s">
        <v>53</v>
      </c>
      <c r="AC334" s="85">
        <v>365</v>
      </c>
      <c r="AD334" s="141">
        <v>1</v>
      </c>
      <c r="AE334" s="142">
        <v>0</v>
      </c>
      <c r="AF334" s="69" t="str">
        <f t="shared" si="46"/>
        <v>1 years 0 days</v>
      </c>
      <c r="AG334" s="69">
        <v>1</v>
      </c>
      <c r="AH334" s="69">
        <v>0</v>
      </c>
      <c r="AI334" s="69">
        <v>3000</v>
      </c>
      <c r="AJ334" s="67">
        <v>3000</v>
      </c>
      <c r="AK334" s="69">
        <v>2025</v>
      </c>
      <c r="AL334" s="61">
        <v>0</v>
      </c>
      <c r="AM334" s="143"/>
    </row>
    <row r="335" spans="1:39" x14ac:dyDescent="0.35">
      <c r="A335" s="69" t="s">
        <v>4124</v>
      </c>
      <c r="B335" s="41">
        <v>1101100047</v>
      </c>
      <c r="C335" s="41"/>
      <c r="D335" s="41" t="s">
        <v>960</v>
      </c>
      <c r="E335" s="101">
        <v>31</v>
      </c>
      <c r="F335" s="41" t="s">
        <v>260</v>
      </c>
      <c r="G335" s="69" t="s">
        <v>259</v>
      </c>
      <c r="H335" s="41">
        <v>9007000090</v>
      </c>
      <c r="I335" s="41" t="s">
        <v>261</v>
      </c>
      <c r="J335" s="41">
        <v>1202010217</v>
      </c>
      <c r="K335" s="41"/>
      <c r="L335" s="52" t="s">
        <v>1031</v>
      </c>
      <c r="M335" s="69" t="s">
        <v>49</v>
      </c>
      <c r="N335" s="69"/>
      <c r="O335" s="69">
        <v>1</v>
      </c>
      <c r="P335" s="69" t="s">
        <v>50</v>
      </c>
      <c r="Q335" s="69" t="s">
        <v>51</v>
      </c>
      <c r="R335" s="69"/>
      <c r="S335" s="48">
        <v>37865</v>
      </c>
      <c r="T335" s="48">
        <v>43340</v>
      </c>
      <c r="U335" s="69"/>
      <c r="V335" s="69"/>
      <c r="W335" s="69"/>
      <c r="X335" s="69"/>
      <c r="Y335" s="69" t="s">
        <v>4125</v>
      </c>
      <c r="Z335" s="52">
        <v>3200</v>
      </c>
      <c r="AA335" s="43" t="s">
        <v>52</v>
      </c>
      <c r="AB335" s="43" t="s">
        <v>53</v>
      </c>
      <c r="AC335" s="85">
        <v>365</v>
      </c>
      <c r="AD335" s="141">
        <v>1</v>
      </c>
      <c r="AE335" s="142">
        <v>0</v>
      </c>
      <c r="AF335" s="69" t="str">
        <f t="shared" si="46"/>
        <v>1 years 0 days</v>
      </c>
      <c r="AG335" s="69">
        <v>1</v>
      </c>
      <c r="AH335" s="69">
        <v>0</v>
      </c>
      <c r="AI335" s="69">
        <v>3200</v>
      </c>
      <c r="AJ335" s="67">
        <v>3200</v>
      </c>
      <c r="AK335" s="69">
        <v>2025</v>
      </c>
      <c r="AL335" s="61">
        <v>0</v>
      </c>
      <c r="AM335" s="143"/>
    </row>
    <row r="336" spans="1:39" x14ac:dyDescent="0.35">
      <c r="A336" s="69" t="s">
        <v>4124</v>
      </c>
      <c r="B336" s="41">
        <v>1101100064</v>
      </c>
      <c r="C336" s="41"/>
      <c r="D336" s="41" t="s">
        <v>960</v>
      </c>
      <c r="E336" s="101">
        <v>32</v>
      </c>
      <c r="F336" s="41" t="s">
        <v>260</v>
      </c>
      <c r="G336" s="69" t="s">
        <v>259</v>
      </c>
      <c r="H336" s="41">
        <v>9007000090</v>
      </c>
      <c r="I336" s="41" t="s">
        <v>261</v>
      </c>
      <c r="J336" s="41">
        <v>1202010217</v>
      </c>
      <c r="K336" s="41"/>
      <c r="L336" s="52" t="s">
        <v>1033</v>
      </c>
      <c r="M336" s="69" t="s">
        <v>49</v>
      </c>
      <c r="N336" s="69"/>
      <c r="O336" s="69">
        <v>1</v>
      </c>
      <c r="P336" s="69" t="s">
        <v>50</v>
      </c>
      <c r="Q336" s="69" t="s">
        <v>51</v>
      </c>
      <c r="R336" s="69"/>
      <c r="S336" s="48">
        <v>37969</v>
      </c>
      <c r="T336" s="48">
        <v>43340</v>
      </c>
      <c r="U336" s="69"/>
      <c r="V336" s="69"/>
      <c r="W336" s="69"/>
      <c r="X336" s="69"/>
      <c r="Y336" s="69" t="s">
        <v>4125</v>
      </c>
      <c r="Z336" s="52">
        <v>400000</v>
      </c>
      <c r="AA336" s="43" t="s">
        <v>52</v>
      </c>
      <c r="AB336" s="43" t="s">
        <v>53</v>
      </c>
      <c r="AC336" s="85">
        <v>548</v>
      </c>
      <c r="AD336" s="141">
        <v>1</v>
      </c>
      <c r="AE336" s="142">
        <v>6</v>
      </c>
      <c r="AF336" s="69" t="str">
        <f t="shared" si="46"/>
        <v>1 years 183 days</v>
      </c>
      <c r="AG336" s="69">
        <v>1</v>
      </c>
      <c r="AH336" s="69">
        <v>183</v>
      </c>
      <c r="AI336" s="69">
        <v>400000</v>
      </c>
      <c r="AJ336" s="67">
        <v>400000</v>
      </c>
      <c r="AK336" s="69">
        <v>2025</v>
      </c>
      <c r="AL336" s="61">
        <v>0</v>
      </c>
      <c r="AM336" s="143"/>
    </row>
    <row r="337" spans="1:39" x14ac:dyDescent="0.35">
      <c r="A337" s="69" t="s">
        <v>4124</v>
      </c>
      <c r="B337" s="41">
        <v>1101100206</v>
      </c>
      <c r="C337" s="41"/>
      <c r="D337" s="41" t="s">
        <v>960</v>
      </c>
      <c r="E337" s="101">
        <v>33</v>
      </c>
      <c r="F337" s="41" t="s">
        <v>260</v>
      </c>
      <c r="G337" s="69" t="s">
        <v>259</v>
      </c>
      <c r="H337" s="41">
        <v>9007000090</v>
      </c>
      <c r="I337" s="41" t="s">
        <v>261</v>
      </c>
      <c r="J337" s="41">
        <v>1202010217</v>
      </c>
      <c r="K337" s="41"/>
      <c r="L337" s="52" t="s">
        <v>1035</v>
      </c>
      <c r="M337" s="69" t="s">
        <v>1036</v>
      </c>
      <c r="N337" s="69"/>
      <c r="O337" s="69">
        <v>1</v>
      </c>
      <c r="P337" s="69" t="s">
        <v>50</v>
      </c>
      <c r="Q337" s="69" t="s">
        <v>51</v>
      </c>
      <c r="R337" s="69"/>
      <c r="S337" s="48">
        <v>39092</v>
      </c>
      <c r="T337" s="48">
        <v>43340</v>
      </c>
      <c r="U337" s="69"/>
      <c r="V337" s="69"/>
      <c r="W337" s="69"/>
      <c r="X337" s="69"/>
      <c r="Y337" s="69" t="s">
        <v>4125</v>
      </c>
      <c r="Z337" s="52">
        <v>11000</v>
      </c>
      <c r="AA337" s="43" t="s">
        <v>52</v>
      </c>
      <c r="AB337" s="43" t="s">
        <v>53</v>
      </c>
      <c r="AC337" s="85">
        <v>365</v>
      </c>
      <c r="AD337" s="141">
        <v>1</v>
      </c>
      <c r="AE337" s="142">
        <v>0</v>
      </c>
      <c r="AF337" s="69" t="str">
        <f t="shared" si="46"/>
        <v>1 years 0 days</v>
      </c>
      <c r="AG337" s="69">
        <v>1</v>
      </c>
      <c r="AH337" s="69">
        <v>0</v>
      </c>
      <c r="AI337" s="69">
        <v>11000</v>
      </c>
      <c r="AJ337" s="67">
        <v>11000</v>
      </c>
      <c r="AK337" s="69">
        <v>2025</v>
      </c>
      <c r="AL337" s="61">
        <v>0</v>
      </c>
      <c r="AM337" s="143"/>
    </row>
    <row r="338" spans="1:39" x14ac:dyDescent="0.35">
      <c r="A338" s="69" t="s">
        <v>4124</v>
      </c>
      <c r="B338" s="41">
        <v>1101100162</v>
      </c>
      <c r="C338" s="41"/>
      <c r="D338" s="41" t="s">
        <v>960</v>
      </c>
      <c r="E338" s="101">
        <v>34</v>
      </c>
      <c r="F338" s="41" t="s">
        <v>260</v>
      </c>
      <c r="G338" s="69" t="s">
        <v>259</v>
      </c>
      <c r="H338" s="41">
        <v>9007000090</v>
      </c>
      <c r="I338" s="41" t="s">
        <v>261</v>
      </c>
      <c r="J338" s="41">
        <v>1202010217</v>
      </c>
      <c r="K338" s="41"/>
      <c r="L338" s="52" t="s">
        <v>1038</v>
      </c>
      <c r="M338" s="69" t="s">
        <v>49</v>
      </c>
      <c r="N338" s="69"/>
      <c r="O338" s="69">
        <v>1</v>
      </c>
      <c r="P338" s="69" t="s">
        <v>50</v>
      </c>
      <c r="Q338" s="69" t="s">
        <v>51</v>
      </c>
      <c r="R338" s="69"/>
      <c r="S338" s="48">
        <v>38931</v>
      </c>
      <c r="T338" s="48">
        <v>43340</v>
      </c>
      <c r="U338" s="69"/>
      <c r="V338" s="69"/>
      <c r="W338" s="69"/>
      <c r="X338" s="69"/>
      <c r="Y338" s="69" t="s">
        <v>4125</v>
      </c>
      <c r="Z338" s="52">
        <v>20000</v>
      </c>
      <c r="AA338" s="43" t="s">
        <v>52</v>
      </c>
      <c r="AB338" s="43" t="s">
        <v>53</v>
      </c>
      <c r="AC338" s="85">
        <v>1059</v>
      </c>
      <c r="AD338" s="141">
        <v>2</v>
      </c>
      <c r="AE338" s="142">
        <v>11</v>
      </c>
      <c r="AF338" s="69" t="str">
        <f t="shared" si="46"/>
        <v>2 years 329 days</v>
      </c>
      <c r="AG338" s="69">
        <v>2</v>
      </c>
      <c r="AH338" s="69">
        <v>329</v>
      </c>
      <c r="AI338" s="69">
        <v>20000</v>
      </c>
      <c r="AJ338" s="67">
        <v>20000</v>
      </c>
      <c r="AK338" s="69">
        <v>2025</v>
      </c>
      <c r="AL338" s="61">
        <v>0</v>
      </c>
      <c r="AM338" s="143"/>
    </row>
    <row r="339" spans="1:39" x14ac:dyDescent="0.35">
      <c r="A339" s="69" t="s">
        <v>4124</v>
      </c>
      <c r="B339" s="41">
        <v>1101100397</v>
      </c>
      <c r="C339" s="41"/>
      <c r="D339" s="41" t="s">
        <v>960</v>
      </c>
      <c r="E339" s="101">
        <v>35</v>
      </c>
      <c r="F339" s="41" t="s">
        <v>260</v>
      </c>
      <c r="G339" s="69" t="s">
        <v>259</v>
      </c>
      <c r="H339" s="41">
        <v>9007000090</v>
      </c>
      <c r="I339" s="41" t="s">
        <v>261</v>
      </c>
      <c r="J339" s="41">
        <v>1202010217</v>
      </c>
      <c r="K339" s="41"/>
      <c r="L339" s="52" t="s">
        <v>1040</v>
      </c>
      <c r="M339" s="69" t="s">
        <v>49</v>
      </c>
      <c r="N339" s="69"/>
      <c r="O339" s="69">
        <v>1</v>
      </c>
      <c r="P339" s="69" t="s">
        <v>50</v>
      </c>
      <c r="Q339" s="69" t="s">
        <v>51</v>
      </c>
      <c r="R339" s="69"/>
      <c r="S339" s="48">
        <v>40137</v>
      </c>
      <c r="T339" s="48">
        <v>43340</v>
      </c>
      <c r="U339" s="69"/>
      <c r="V339" s="69"/>
      <c r="W339" s="69"/>
      <c r="X339" s="69"/>
      <c r="Y339" s="69" t="s">
        <v>4125</v>
      </c>
      <c r="Z339" s="52">
        <v>15500</v>
      </c>
      <c r="AA339" s="43" t="s">
        <v>52</v>
      </c>
      <c r="AB339" s="43" t="s">
        <v>53</v>
      </c>
      <c r="AC339" s="85">
        <v>438</v>
      </c>
      <c r="AD339" s="141">
        <v>1</v>
      </c>
      <c r="AE339" s="142">
        <v>2</v>
      </c>
      <c r="AF339" s="69" t="str">
        <f t="shared" si="46"/>
        <v>1 years 73 days</v>
      </c>
      <c r="AG339" s="69">
        <v>1</v>
      </c>
      <c r="AH339" s="69">
        <v>73</v>
      </c>
      <c r="AI339" s="69">
        <v>15500</v>
      </c>
      <c r="AJ339" s="67">
        <v>15500</v>
      </c>
      <c r="AK339" s="69">
        <v>2025</v>
      </c>
      <c r="AL339" s="61">
        <v>0</v>
      </c>
      <c r="AM339" s="143"/>
    </row>
    <row r="340" spans="1:39" x14ac:dyDescent="0.35">
      <c r="A340" s="69" t="s">
        <v>4124</v>
      </c>
      <c r="B340" s="41">
        <v>1101100396</v>
      </c>
      <c r="C340" s="41"/>
      <c r="D340" s="41" t="s">
        <v>960</v>
      </c>
      <c r="E340" s="101">
        <v>36</v>
      </c>
      <c r="F340" s="41" t="s">
        <v>260</v>
      </c>
      <c r="G340" s="69" t="s">
        <v>259</v>
      </c>
      <c r="H340" s="41">
        <v>9007000090</v>
      </c>
      <c r="I340" s="41" t="s">
        <v>261</v>
      </c>
      <c r="J340" s="41">
        <v>1202010217</v>
      </c>
      <c r="K340" s="41"/>
      <c r="L340" s="52" t="s">
        <v>1042</v>
      </c>
      <c r="M340" s="69" t="s">
        <v>49</v>
      </c>
      <c r="N340" s="69"/>
      <c r="O340" s="69">
        <v>1</v>
      </c>
      <c r="P340" s="69" t="s">
        <v>50</v>
      </c>
      <c r="Q340" s="69" t="s">
        <v>51</v>
      </c>
      <c r="R340" s="69"/>
      <c r="S340" s="48">
        <v>40132</v>
      </c>
      <c r="T340" s="48">
        <v>43340</v>
      </c>
      <c r="U340" s="69"/>
      <c r="V340" s="69"/>
      <c r="W340" s="69"/>
      <c r="X340" s="69"/>
      <c r="Y340" s="69" t="s">
        <v>4125</v>
      </c>
      <c r="Z340" s="52">
        <v>70000</v>
      </c>
      <c r="AA340" s="43" t="s">
        <v>52</v>
      </c>
      <c r="AB340" s="43" t="s">
        <v>53</v>
      </c>
      <c r="AC340" s="85">
        <v>438</v>
      </c>
      <c r="AD340" s="141">
        <v>1</v>
      </c>
      <c r="AE340" s="142">
        <v>2</v>
      </c>
      <c r="AF340" s="69" t="str">
        <f t="shared" si="46"/>
        <v>1 years 73 days</v>
      </c>
      <c r="AG340" s="69">
        <v>1</v>
      </c>
      <c r="AH340" s="69">
        <v>73</v>
      </c>
      <c r="AI340" s="69">
        <v>70000</v>
      </c>
      <c r="AJ340" s="67">
        <v>70000</v>
      </c>
      <c r="AK340" s="69">
        <v>2025</v>
      </c>
      <c r="AL340" s="61">
        <v>0</v>
      </c>
      <c r="AM340" s="143"/>
    </row>
    <row r="341" spans="1:39" x14ac:dyDescent="0.35">
      <c r="A341" s="69" t="s">
        <v>4124</v>
      </c>
      <c r="B341" s="41">
        <v>1101100357</v>
      </c>
      <c r="C341" s="41"/>
      <c r="D341" s="41" t="s">
        <v>960</v>
      </c>
      <c r="E341" s="101">
        <v>37</v>
      </c>
      <c r="F341" s="41" t="s">
        <v>260</v>
      </c>
      <c r="G341" s="69" t="s">
        <v>259</v>
      </c>
      <c r="H341" s="41">
        <v>9007000090</v>
      </c>
      <c r="I341" s="41" t="s">
        <v>261</v>
      </c>
      <c r="J341" s="41">
        <v>1202010217</v>
      </c>
      <c r="K341" s="41"/>
      <c r="L341" s="52" t="s">
        <v>1044</v>
      </c>
      <c r="M341" s="69" t="s">
        <v>49</v>
      </c>
      <c r="N341" s="69"/>
      <c r="O341" s="69">
        <v>1</v>
      </c>
      <c r="P341" s="69" t="s">
        <v>50</v>
      </c>
      <c r="Q341" s="69" t="s">
        <v>51</v>
      </c>
      <c r="R341" s="69"/>
      <c r="S341" s="48">
        <v>40030</v>
      </c>
      <c r="T341" s="48">
        <v>43340</v>
      </c>
      <c r="U341" s="69"/>
      <c r="V341" s="69"/>
      <c r="W341" s="69"/>
      <c r="X341" s="69"/>
      <c r="Y341" s="69" t="s">
        <v>4125</v>
      </c>
      <c r="Z341" s="52">
        <v>105000</v>
      </c>
      <c r="AA341" s="43" t="s">
        <v>52</v>
      </c>
      <c r="AB341" s="43" t="s">
        <v>53</v>
      </c>
      <c r="AC341" s="85">
        <v>2154</v>
      </c>
      <c r="AD341" s="141">
        <v>5</v>
      </c>
      <c r="AE341" s="142">
        <v>11</v>
      </c>
      <c r="AF341" s="69" t="str">
        <f t="shared" si="46"/>
        <v>5 years 329 days</v>
      </c>
      <c r="AG341" s="69">
        <v>5</v>
      </c>
      <c r="AH341" s="69">
        <v>329</v>
      </c>
      <c r="AI341" s="69">
        <v>105000</v>
      </c>
      <c r="AJ341" s="67">
        <v>105000</v>
      </c>
      <c r="AK341" s="69">
        <v>2025</v>
      </c>
      <c r="AL341" s="61">
        <v>0</v>
      </c>
      <c r="AM341" s="143"/>
    </row>
    <row r="342" spans="1:39" x14ac:dyDescent="0.35">
      <c r="A342" s="69" t="s">
        <v>4124</v>
      </c>
      <c r="B342" s="41">
        <v>1101100516</v>
      </c>
      <c r="C342" s="41"/>
      <c r="D342" s="41" t="s">
        <v>960</v>
      </c>
      <c r="E342" s="101">
        <v>38</v>
      </c>
      <c r="F342" s="41" t="s">
        <v>260</v>
      </c>
      <c r="G342" s="69" t="s">
        <v>259</v>
      </c>
      <c r="H342" s="41">
        <v>9007000090</v>
      </c>
      <c r="I342" s="41" t="s">
        <v>261</v>
      </c>
      <c r="J342" s="41">
        <v>1202010217</v>
      </c>
      <c r="K342" s="41"/>
      <c r="L342" s="52" t="s">
        <v>1046</v>
      </c>
      <c r="M342" s="69" t="s">
        <v>49</v>
      </c>
      <c r="N342" s="69"/>
      <c r="O342" s="69">
        <v>1</v>
      </c>
      <c r="P342" s="69" t="s">
        <v>50</v>
      </c>
      <c r="Q342" s="69" t="s">
        <v>51</v>
      </c>
      <c r="R342" s="69"/>
      <c r="S342" s="48">
        <v>40487</v>
      </c>
      <c r="T342" s="48">
        <v>43340</v>
      </c>
      <c r="U342" s="69"/>
      <c r="V342" s="69"/>
      <c r="W342" s="69"/>
      <c r="X342" s="69"/>
      <c r="Y342" s="69" t="s">
        <v>4125</v>
      </c>
      <c r="Z342" s="52">
        <v>205000</v>
      </c>
      <c r="AA342" s="43" t="s">
        <v>52</v>
      </c>
      <c r="AB342" s="43" t="s">
        <v>53</v>
      </c>
      <c r="AC342" s="85">
        <v>803</v>
      </c>
      <c r="AD342" s="141">
        <v>2</v>
      </c>
      <c r="AE342" s="142">
        <v>2</v>
      </c>
      <c r="AF342" s="69" t="str">
        <f t="shared" si="46"/>
        <v>2 years 73 days</v>
      </c>
      <c r="AG342" s="69">
        <v>2</v>
      </c>
      <c r="AH342" s="69">
        <v>73</v>
      </c>
      <c r="AI342" s="69">
        <v>205000</v>
      </c>
      <c r="AJ342" s="67">
        <v>205000</v>
      </c>
      <c r="AK342" s="69">
        <v>2025</v>
      </c>
      <c r="AL342" s="61">
        <v>0</v>
      </c>
      <c r="AM342" s="143"/>
    </row>
    <row r="343" spans="1:39" x14ac:dyDescent="0.35">
      <c r="A343" s="69" t="s">
        <v>4124</v>
      </c>
      <c r="B343" s="41">
        <v>1101100560</v>
      </c>
      <c r="C343" s="41"/>
      <c r="D343" s="41" t="s">
        <v>960</v>
      </c>
      <c r="E343" s="101">
        <v>39</v>
      </c>
      <c r="F343" s="41" t="s">
        <v>260</v>
      </c>
      <c r="G343" s="69" t="s">
        <v>259</v>
      </c>
      <c r="H343" s="41">
        <v>9007000090</v>
      </c>
      <c r="I343" s="41" t="s">
        <v>261</v>
      </c>
      <c r="J343" s="41">
        <v>1202010217</v>
      </c>
      <c r="K343" s="41"/>
      <c r="L343" s="52" t="s">
        <v>1048</v>
      </c>
      <c r="M343" s="69" t="s">
        <v>49</v>
      </c>
      <c r="N343" s="69"/>
      <c r="O343" s="69">
        <v>1</v>
      </c>
      <c r="P343" s="69" t="s">
        <v>50</v>
      </c>
      <c r="Q343" s="69" t="s">
        <v>51</v>
      </c>
      <c r="R343" s="69"/>
      <c r="S343" s="48">
        <v>40559</v>
      </c>
      <c r="T343" s="48">
        <v>43340</v>
      </c>
      <c r="U343" s="69"/>
      <c r="V343" s="69"/>
      <c r="W343" s="69"/>
      <c r="X343" s="69"/>
      <c r="Y343" s="69" t="s">
        <v>4125</v>
      </c>
      <c r="Z343" s="52">
        <v>30000</v>
      </c>
      <c r="AA343" s="43" t="s">
        <v>52</v>
      </c>
      <c r="AB343" s="43" t="s">
        <v>53</v>
      </c>
      <c r="AC343" s="85">
        <v>876</v>
      </c>
      <c r="AD343" s="141">
        <v>2</v>
      </c>
      <c r="AE343" s="142">
        <v>5</v>
      </c>
      <c r="AF343" s="69" t="str">
        <f t="shared" si="46"/>
        <v>2 years 146 days</v>
      </c>
      <c r="AG343" s="69">
        <v>2</v>
      </c>
      <c r="AH343" s="69">
        <v>146</v>
      </c>
      <c r="AI343" s="69">
        <v>30000</v>
      </c>
      <c r="AJ343" s="67">
        <v>30000</v>
      </c>
      <c r="AK343" s="69">
        <v>2025</v>
      </c>
      <c r="AL343" s="61">
        <v>0</v>
      </c>
      <c r="AM343" s="143"/>
    </row>
    <row r="344" spans="1:39" x14ac:dyDescent="0.35">
      <c r="A344" s="69" t="s">
        <v>4124</v>
      </c>
      <c r="B344" s="41">
        <v>1101100449</v>
      </c>
      <c r="C344" s="41"/>
      <c r="D344" s="41" t="s">
        <v>960</v>
      </c>
      <c r="E344" s="101">
        <v>40</v>
      </c>
      <c r="F344" s="41" t="s">
        <v>260</v>
      </c>
      <c r="G344" s="69" t="s">
        <v>259</v>
      </c>
      <c r="H344" s="41">
        <v>9007000090</v>
      </c>
      <c r="I344" s="41" t="s">
        <v>261</v>
      </c>
      <c r="J344" s="41">
        <v>1202010217</v>
      </c>
      <c r="K344" s="41"/>
      <c r="L344" s="52" t="s">
        <v>1050</v>
      </c>
      <c r="M344" s="69" t="s">
        <v>49</v>
      </c>
      <c r="N344" s="69"/>
      <c r="O344" s="69">
        <v>1</v>
      </c>
      <c r="P344" s="69" t="s">
        <v>50</v>
      </c>
      <c r="Q344" s="69" t="s">
        <v>51</v>
      </c>
      <c r="R344" s="69"/>
      <c r="S344" s="48">
        <v>40313</v>
      </c>
      <c r="T344" s="48">
        <v>43340</v>
      </c>
      <c r="U344" s="69"/>
      <c r="V344" s="69"/>
      <c r="W344" s="69"/>
      <c r="X344" s="69"/>
      <c r="Y344" s="69" t="s">
        <v>4125</v>
      </c>
      <c r="Z344" s="52">
        <v>14000</v>
      </c>
      <c r="AA344" s="43" t="s">
        <v>52</v>
      </c>
      <c r="AB344" s="43" t="s">
        <v>53</v>
      </c>
      <c r="AC344" s="85">
        <v>2446</v>
      </c>
      <c r="AD344" s="141">
        <v>6</v>
      </c>
      <c r="AE344" s="142">
        <v>9</v>
      </c>
      <c r="AF344" s="69" t="str">
        <f t="shared" si="46"/>
        <v>6 years 128 days</v>
      </c>
      <c r="AG344" s="69">
        <v>6</v>
      </c>
      <c r="AH344" s="69">
        <v>128</v>
      </c>
      <c r="AI344" s="69">
        <v>14000</v>
      </c>
      <c r="AJ344" s="67">
        <v>14000</v>
      </c>
      <c r="AK344" s="69">
        <v>2025</v>
      </c>
      <c r="AL344" s="61">
        <v>0</v>
      </c>
      <c r="AM344" s="143"/>
    </row>
    <row r="345" spans="1:39" x14ac:dyDescent="0.35">
      <c r="A345" s="69" t="s">
        <v>4124</v>
      </c>
      <c r="B345" s="41">
        <v>1101100182</v>
      </c>
      <c r="C345" s="41"/>
      <c r="D345" s="41" t="s">
        <v>960</v>
      </c>
      <c r="E345" s="101">
        <v>41</v>
      </c>
      <c r="F345" s="41" t="s">
        <v>260</v>
      </c>
      <c r="G345" s="69" t="s">
        <v>259</v>
      </c>
      <c r="H345" s="41">
        <v>9007000090</v>
      </c>
      <c r="I345" s="41" t="s">
        <v>261</v>
      </c>
      <c r="J345" s="41">
        <v>1202010217</v>
      </c>
      <c r="K345" s="41"/>
      <c r="L345" s="52" t="s">
        <v>1052</v>
      </c>
      <c r="M345" s="69" t="s">
        <v>49</v>
      </c>
      <c r="N345" s="69"/>
      <c r="O345" s="69">
        <v>1</v>
      </c>
      <c r="P345" s="69" t="s">
        <v>50</v>
      </c>
      <c r="Q345" s="69" t="s">
        <v>51</v>
      </c>
      <c r="R345" s="69"/>
      <c r="S345" s="48">
        <v>39010</v>
      </c>
      <c r="T345" s="48">
        <v>43340</v>
      </c>
      <c r="U345" s="69"/>
      <c r="V345" s="69"/>
      <c r="W345" s="69"/>
      <c r="X345" s="69"/>
      <c r="Y345" s="69" t="s">
        <v>4125</v>
      </c>
      <c r="Z345" s="52">
        <v>760000</v>
      </c>
      <c r="AA345" s="43" t="s">
        <v>52</v>
      </c>
      <c r="AB345" s="43" t="s">
        <v>53</v>
      </c>
      <c r="AC345" s="85">
        <v>1132</v>
      </c>
      <c r="AD345" s="141">
        <v>3</v>
      </c>
      <c r="AE345" s="142">
        <v>1</v>
      </c>
      <c r="AF345" s="69" t="str">
        <f t="shared" si="46"/>
        <v>3 years 37 days</v>
      </c>
      <c r="AG345" s="69">
        <v>3</v>
      </c>
      <c r="AH345" s="69">
        <v>37</v>
      </c>
      <c r="AI345" s="69">
        <v>760000</v>
      </c>
      <c r="AJ345" s="67">
        <v>760000</v>
      </c>
      <c r="AK345" s="69">
        <v>2025</v>
      </c>
      <c r="AL345" s="61">
        <v>0</v>
      </c>
      <c r="AM345" s="143"/>
    </row>
    <row r="346" spans="1:39" x14ac:dyDescent="0.35">
      <c r="A346" s="69" t="s">
        <v>4124</v>
      </c>
      <c r="B346" s="41">
        <v>1101100592</v>
      </c>
      <c r="C346" s="41"/>
      <c r="D346" s="41" t="s">
        <v>960</v>
      </c>
      <c r="E346" s="101">
        <v>42</v>
      </c>
      <c r="F346" s="41" t="s">
        <v>260</v>
      </c>
      <c r="G346" s="69" t="s">
        <v>259</v>
      </c>
      <c r="H346" s="41">
        <v>9007000090</v>
      </c>
      <c r="I346" s="41" t="s">
        <v>261</v>
      </c>
      <c r="J346" s="41">
        <v>1202010217</v>
      </c>
      <c r="K346" s="41"/>
      <c r="L346" s="52" t="s">
        <v>1054</v>
      </c>
      <c r="M346" s="69" t="s">
        <v>49</v>
      </c>
      <c r="N346" s="69"/>
      <c r="O346" s="69">
        <v>1</v>
      </c>
      <c r="P346" s="69" t="s">
        <v>50</v>
      </c>
      <c r="Q346" s="69" t="s">
        <v>51</v>
      </c>
      <c r="R346" s="69"/>
      <c r="S346" s="48">
        <v>40622</v>
      </c>
      <c r="T346" s="48">
        <v>43340</v>
      </c>
      <c r="U346" s="69"/>
      <c r="V346" s="69"/>
      <c r="W346" s="69"/>
      <c r="X346" s="69"/>
      <c r="Y346" s="69" t="s">
        <v>4125</v>
      </c>
      <c r="Z346" s="52">
        <v>36000</v>
      </c>
      <c r="AA346" s="43" t="s">
        <v>52</v>
      </c>
      <c r="AB346" s="43" t="s">
        <v>53</v>
      </c>
      <c r="AC346" s="85">
        <v>949</v>
      </c>
      <c r="AD346" s="141">
        <v>2</v>
      </c>
      <c r="AE346" s="142">
        <v>7</v>
      </c>
      <c r="AF346" s="69" t="str">
        <f t="shared" si="46"/>
        <v>2 years 219 days</v>
      </c>
      <c r="AG346" s="69">
        <v>2</v>
      </c>
      <c r="AH346" s="69">
        <v>219</v>
      </c>
      <c r="AI346" s="69">
        <v>36000</v>
      </c>
      <c r="AJ346" s="67">
        <v>36000</v>
      </c>
      <c r="AK346" s="69">
        <v>2025</v>
      </c>
      <c r="AL346" s="61">
        <v>0</v>
      </c>
      <c r="AM346" s="143"/>
    </row>
    <row r="347" spans="1:39" x14ac:dyDescent="0.35">
      <c r="A347" s="69" t="s">
        <v>4124</v>
      </c>
      <c r="B347" s="41">
        <v>1101100634</v>
      </c>
      <c r="C347" s="41"/>
      <c r="D347" s="41" t="s">
        <v>960</v>
      </c>
      <c r="E347" s="101">
        <v>43</v>
      </c>
      <c r="F347" s="41" t="s">
        <v>260</v>
      </c>
      <c r="G347" s="69" t="s">
        <v>259</v>
      </c>
      <c r="H347" s="41">
        <v>9007000090</v>
      </c>
      <c r="I347" s="41" t="s">
        <v>261</v>
      </c>
      <c r="J347" s="41">
        <v>1202010217</v>
      </c>
      <c r="K347" s="41"/>
      <c r="L347" s="52" t="s">
        <v>1056</v>
      </c>
      <c r="M347" s="69" t="s">
        <v>49</v>
      </c>
      <c r="N347" s="69"/>
      <c r="O347" s="69">
        <v>1</v>
      </c>
      <c r="P347" s="69" t="s">
        <v>50</v>
      </c>
      <c r="Q347" s="69" t="s">
        <v>51</v>
      </c>
      <c r="R347" s="69"/>
      <c r="S347" s="48">
        <v>40759</v>
      </c>
      <c r="T347" s="48">
        <v>43340</v>
      </c>
      <c r="U347" s="69"/>
      <c r="V347" s="69"/>
      <c r="W347" s="69"/>
      <c r="X347" s="69"/>
      <c r="Y347" s="69" t="s">
        <v>4125</v>
      </c>
      <c r="Z347" s="52">
        <v>3800</v>
      </c>
      <c r="AA347" s="43" t="s">
        <v>52</v>
      </c>
      <c r="AB347" s="43" t="s">
        <v>53</v>
      </c>
      <c r="AC347" s="85">
        <v>183</v>
      </c>
      <c r="AD347" s="141">
        <v>0</v>
      </c>
      <c r="AE347" s="142">
        <v>6</v>
      </c>
      <c r="AF347" s="69" t="str">
        <f t="shared" si="46"/>
        <v>0 years 183 days</v>
      </c>
      <c r="AG347" s="69">
        <v>0</v>
      </c>
      <c r="AH347" s="69">
        <v>183</v>
      </c>
      <c r="AI347" s="69">
        <v>3800</v>
      </c>
      <c r="AJ347" s="67">
        <v>3800</v>
      </c>
      <c r="AK347" s="69">
        <v>2025</v>
      </c>
      <c r="AL347" s="61">
        <v>0</v>
      </c>
      <c r="AM347" s="143"/>
    </row>
    <row r="348" spans="1:39" x14ac:dyDescent="0.35">
      <c r="A348" s="69" t="s">
        <v>4124</v>
      </c>
      <c r="B348" s="41">
        <v>1101100701</v>
      </c>
      <c r="C348" s="41"/>
      <c r="D348" s="41" t="s">
        <v>960</v>
      </c>
      <c r="E348" s="101">
        <v>44</v>
      </c>
      <c r="F348" s="41" t="s">
        <v>260</v>
      </c>
      <c r="G348" s="69" t="s">
        <v>259</v>
      </c>
      <c r="H348" s="41">
        <v>9007000090</v>
      </c>
      <c r="I348" s="41" t="s">
        <v>261</v>
      </c>
      <c r="J348" s="41">
        <v>1202010217</v>
      </c>
      <c r="K348" s="41"/>
      <c r="L348" s="52" t="s">
        <v>1058</v>
      </c>
      <c r="M348" s="69" t="s">
        <v>49</v>
      </c>
      <c r="N348" s="69"/>
      <c r="O348" s="69">
        <v>1</v>
      </c>
      <c r="P348" s="69" t="s">
        <v>50</v>
      </c>
      <c r="Q348" s="69" t="s">
        <v>51</v>
      </c>
      <c r="R348" s="69"/>
      <c r="S348" s="48">
        <v>40964</v>
      </c>
      <c r="T348" s="48">
        <v>43340</v>
      </c>
      <c r="U348" s="69"/>
      <c r="V348" s="69"/>
      <c r="W348" s="69"/>
      <c r="X348" s="69"/>
      <c r="Y348" s="69" t="s">
        <v>4125</v>
      </c>
      <c r="Z348" s="52">
        <v>17500</v>
      </c>
      <c r="AA348" s="43" t="s">
        <v>52</v>
      </c>
      <c r="AB348" s="43" t="s">
        <v>53</v>
      </c>
      <c r="AC348" s="85">
        <v>183</v>
      </c>
      <c r="AD348" s="141">
        <v>0</v>
      </c>
      <c r="AE348" s="142">
        <v>6</v>
      </c>
      <c r="AF348" s="69" t="str">
        <f t="shared" si="46"/>
        <v>0 years 183 days</v>
      </c>
      <c r="AG348" s="69">
        <v>0</v>
      </c>
      <c r="AH348" s="69">
        <v>183</v>
      </c>
      <c r="AI348" s="69">
        <v>17500</v>
      </c>
      <c r="AJ348" s="67">
        <v>17500</v>
      </c>
      <c r="AK348" s="69">
        <v>2025</v>
      </c>
      <c r="AL348" s="61">
        <v>0</v>
      </c>
      <c r="AM348" s="143"/>
    </row>
    <row r="349" spans="1:39" x14ac:dyDescent="0.35">
      <c r="A349" s="69" t="s">
        <v>4124</v>
      </c>
      <c r="B349" s="41">
        <v>1101100624</v>
      </c>
      <c r="C349" s="41"/>
      <c r="D349" s="41" t="s">
        <v>960</v>
      </c>
      <c r="E349" s="101">
        <v>45</v>
      </c>
      <c r="F349" s="41" t="s">
        <v>260</v>
      </c>
      <c r="G349" s="69" t="s">
        <v>259</v>
      </c>
      <c r="H349" s="41">
        <v>9007000090</v>
      </c>
      <c r="I349" s="41" t="s">
        <v>261</v>
      </c>
      <c r="J349" s="41">
        <v>1202010217</v>
      </c>
      <c r="K349" s="41"/>
      <c r="L349" s="52" t="s">
        <v>1060</v>
      </c>
      <c r="M349" s="69" t="s">
        <v>49</v>
      </c>
      <c r="N349" s="69"/>
      <c r="O349" s="69">
        <v>1</v>
      </c>
      <c r="P349" s="69" t="s">
        <v>50</v>
      </c>
      <c r="Q349" s="69" t="s">
        <v>51</v>
      </c>
      <c r="R349" s="69"/>
      <c r="S349" s="48">
        <v>40734</v>
      </c>
      <c r="T349" s="48">
        <v>43340</v>
      </c>
      <c r="U349" s="69"/>
      <c r="V349" s="69"/>
      <c r="W349" s="69"/>
      <c r="X349" s="69"/>
      <c r="Y349" s="69" t="s">
        <v>4125</v>
      </c>
      <c r="Z349" s="52">
        <v>105000</v>
      </c>
      <c r="AA349" s="43" t="s">
        <v>52</v>
      </c>
      <c r="AB349" s="43" t="s">
        <v>53</v>
      </c>
      <c r="AC349" s="85">
        <v>1059</v>
      </c>
      <c r="AD349" s="141">
        <v>2</v>
      </c>
      <c r="AE349" s="142">
        <v>11</v>
      </c>
      <c r="AF349" s="69" t="str">
        <f t="shared" si="46"/>
        <v>2 years 329 days</v>
      </c>
      <c r="AG349" s="69">
        <v>2</v>
      </c>
      <c r="AH349" s="69">
        <v>329</v>
      </c>
      <c r="AI349" s="69">
        <v>105000</v>
      </c>
      <c r="AJ349" s="67">
        <v>105000</v>
      </c>
      <c r="AK349" s="69">
        <v>2025</v>
      </c>
      <c r="AL349" s="61">
        <v>0</v>
      </c>
      <c r="AM349" s="143"/>
    </row>
    <row r="350" spans="1:39" x14ac:dyDescent="0.35">
      <c r="A350" s="69" t="s">
        <v>4124</v>
      </c>
      <c r="B350" s="41">
        <v>1101100942</v>
      </c>
      <c r="C350" s="41"/>
      <c r="D350" s="41" t="s">
        <v>960</v>
      </c>
      <c r="E350" s="101">
        <v>46</v>
      </c>
      <c r="F350" s="41" t="s">
        <v>260</v>
      </c>
      <c r="G350" s="69" t="s">
        <v>259</v>
      </c>
      <c r="H350" s="41">
        <v>9007000090</v>
      </c>
      <c r="I350" s="41" t="s">
        <v>261</v>
      </c>
      <c r="J350" s="41">
        <v>1202010217</v>
      </c>
      <c r="K350" s="41"/>
      <c r="L350" s="52" t="s">
        <v>1062</v>
      </c>
      <c r="M350" s="69" t="s">
        <v>49</v>
      </c>
      <c r="N350" s="69"/>
      <c r="O350" s="69">
        <v>1</v>
      </c>
      <c r="P350" s="69" t="s">
        <v>50</v>
      </c>
      <c r="Q350" s="69" t="s">
        <v>51</v>
      </c>
      <c r="R350" s="69"/>
      <c r="S350" s="48">
        <v>41333</v>
      </c>
      <c r="T350" s="48">
        <v>43340</v>
      </c>
      <c r="U350" s="69"/>
      <c r="V350" s="69"/>
      <c r="W350" s="69"/>
      <c r="X350" s="69"/>
      <c r="Y350" s="69" t="s">
        <v>4125</v>
      </c>
      <c r="Z350" s="52">
        <v>10500</v>
      </c>
      <c r="AA350" s="43" t="s">
        <v>52</v>
      </c>
      <c r="AB350" s="43" t="s">
        <v>53</v>
      </c>
      <c r="AC350" s="85">
        <v>3468</v>
      </c>
      <c r="AD350" s="141">
        <v>9</v>
      </c>
      <c r="AE350" s="142">
        <v>6</v>
      </c>
      <c r="AF350" s="69" t="str">
        <f t="shared" si="46"/>
        <v>6 years 128 days</v>
      </c>
      <c r="AG350" s="69">
        <v>6</v>
      </c>
      <c r="AH350" s="69">
        <v>128</v>
      </c>
      <c r="AI350" s="69">
        <v>10500</v>
      </c>
      <c r="AJ350" s="67">
        <v>7015</v>
      </c>
      <c r="AK350" s="69">
        <v>2025</v>
      </c>
      <c r="AL350" s="61">
        <v>548.14878892733577</v>
      </c>
      <c r="AM350" s="143"/>
    </row>
    <row r="351" spans="1:39" x14ac:dyDescent="0.35">
      <c r="A351" s="69" t="s">
        <v>4124</v>
      </c>
      <c r="B351" s="41">
        <v>1101100981</v>
      </c>
      <c r="C351" s="41"/>
      <c r="D351" s="41" t="s">
        <v>960</v>
      </c>
      <c r="E351" s="101">
        <v>47</v>
      </c>
      <c r="F351" s="41" t="s">
        <v>260</v>
      </c>
      <c r="G351" s="69" t="s">
        <v>259</v>
      </c>
      <c r="H351" s="41">
        <v>9007000090</v>
      </c>
      <c r="I351" s="41" t="s">
        <v>261</v>
      </c>
      <c r="J351" s="41">
        <v>1202010217</v>
      </c>
      <c r="K351" s="41"/>
      <c r="L351" s="52" t="s">
        <v>1064</v>
      </c>
      <c r="M351" s="69" t="s">
        <v>49</v>
      </c>
      <c r="N351" s="69"/>
      <c r="O351" s="69">
        <v>1</v>
      </c>
      <c r="P351" s="69" t="s">
        <v>50</v>
      </c>
      <c r="Q351" s="69" t="s">
        <v>51</v>
      </c>
      <c r="R351" s="69"/>
      <c r="S351" s="48">
        <v>41365</v>
      </c>
      <c r="T351" s="48">
        <v>43340</v>
      </c>
      <c r="U351" s="69"/>
      <c r="V351" s="69"/>
      <c r="W351" s="69"/>
      <c r="X351" s="69"/>
      <c r="Y351" s="69" t="s">
        <v>4125</v>
      </c>
      <c r="Z351" s="52">
        <v>21000</v>
      </c>
      <c r="AA351" s="43" t="s">
        <v>52</v>
      </c>
      <c r="AB351" s="43" t="s">
        <v>53</v>
      </c>
      <c r="AC351" s="85">
        <v>1679</v>
      </c>
      <c r="AD351" s="141">
        <v>4</v>
      </c>
      <c r="AE351" s="142">
        <v>7</v>
      </c>
      <c r="AF351" s="69" t="str">
        <f t="shared" si="46"/>
        <v>4 years 219 days</v>
      </c>
      <c r="AG351" s="69">
        <v>4</v>
      </c>
      <c r="AH351" s="69">
        <v>219</v>
      </c>
      <c r="AI351" s="69">
        <v>21000</v>
      </c>
      <c r="AJ351" s="67">
        <v>21000</v>
      </c>
      <c r="AK351" s="69">
        <v>2025</v>
      </c>
      <c r="AL351" s="61">
        <v>0</v>
      </c>
      <c r="AM351" s="143"/>
    </row>
    <row r="352" spans="1:39" x14ac:dyDescent="0.35">
      <c r="A352" s="69" t="s">
        <v>4124</v>
      </c>
      <c r="B352" s="41">
        <v>1101101340</v>
      </c>
      <c r="C352" s="41"/>
      <c r="D352" s="41" t="s">
        <v>960</v>
      </c>
      <c r="E352" s="101">
        <v>48</v>
      </c>
      <c r="F352" s="41" t="s">
        <v>260</v>
      </c>
      <c r="G352" s="69" t="s">
        <v>259</v>
      </c>
      <c r="H352" s="41">
        <v>9007000090</v>
      </c>
      <c r="I352" s="41" t="s">
        <v>261</v>
      </c>
      <c r="J352" s="41">
        <v>1202010217</v>
      </c>
      <c r="K352" s="41"/>
      <c r="L352" s="52" t="s">
        <v>1066</v>
      </c>
      <c r="M352" s="69" t="s">
        <v>49</v>
      </c>
      <c r="N352" s="69"/>
      <c r="O352" s="69">
        <v>1</v>
      </c>
      <c r="P352" s="69" t="s">
        <v>50</v>
      </c>
      <c r="Q352" s="69" t="s">
        <v>51</v>
      </c>
      <c r="R352" s="69"/>
      <c r="S352" s="48">
        <v>41684</v>
      </c>
      <c r="T352" s="48">
        <v>43340</v>
      </c>
      <c r="U352" s="69"/>
      <c r="V352" s="69"/>
      <c r="W352" s="69"/>
      <c r="X352" s="69"/>
      <c r="Y352" s="69" t="s">
        <v>4125</v>
      </c>
      <c r="Z352" s="52">
        <v>55000</v>
      </c>
      <c r="AA352" s="43" t="s">
        <v>52</v>
      </c>
      <c r="AB352" s="43" t="s">
        <v>53</v>
      </c>
      <c r="AC352" s="85">
        <v>1533</v>
      </c>
      <c r="AD352" s="141">
        <v>4</v>
      </c>
      <c r="AE352" s="142">
        <v>2</v>
      </c>
      <c r="AF352" s="69" t="str">
        <f t="shared" si="46"/>
        <v>4 years 73 days</v>
      </c>
      <c r="AG352" s="69">
        <v>4</v>
      </c>
      <c r="AH352" s="69">
        <v>73</v>
      </c>
      <c r="AI352" s="69">
        <v>55000</v>
      </c>
      <c r="AJ352" s="67">
        <v>55000</v>
      </c>
      <c r="AK352" s="69">
        <v>2025</v>
      </c>
      <c r="AL352" s="61">
        <v>0</v>
      </c>
      <c r="AM352" s="143"/>
    </row>
    <row r="353" spans="1:39" x14ac:dyDescent="0.35">
      <c r="A353" s="69" t="s">
        <v>4124</v>
      </c>
      <c r="B353" s="41">
        <v>1101101343</v>
      </c>
      <c r="C353" s="41"/>
      <c r="D353" s="41" t="s">
        <v>960</v>
      </c>
      <c r="E353" s="101">
        <v>49</v>
      </c>
      <c r="F353" s="41" t="s">
        <v>260</v>
      </c>
      <c r="G353" s="69" t="s">
        <v>259</v>
      </c>
      <c r="H353" s="41">
        <v>9007000090</v>
      </c>
      <c r="I353" s="41" t="s">
        <v>261</v>
      </c>
      <c r="J353" s="41">
        <v>1202010217</v>
      </c>
      <c r="K353" s="41"/>
      <c r="L353" s="52" t="s">
        <v>1068</v>
      </c>
      <c r="M353" s="69" t="s">
        <v>49</v>
      </c>
      <c r="N353" s="69"/>
      <c r="O353" s="69">
        <v>1</v>
      </c>
      <c r="P353" s="69" t="s">
        <v>50</v>
      </c>
      <c r="Q353" s="69" t="s">
        <v>51</v>
      </c>
      <c r="R353" s="69"/>
      <c r="S353" s="48">
        <v>41690</v>
      </c>
      <c r="T353" s="48">
        <v>43340</v>
      </c>
      <c r="U353" s="69"/>
      <c r="V353" s="69"/>
      <c r="W353" s="69"/>
      <c r="X353" s="69"/>
      <c r="Y353" s="69" t="s">
        <v>4125</v>
      </c>
      <c r="Z353" s="52">
        <v>47000</v>
      </c>
      <c r="AA353" s="43" t="s">
        <v>52</v>
      </c>
      <c r="AB353" s="43" t="s">
        <v>53</v>
      </c>
      <c r="AC353" s="85">
        <v>1570</v>
      </c>
      <c r="AD353" s="141">
        <v>4</v>
      </c>
      <c r="AE353" s="142">
        <v>4</v>
      </c>
      <c r="AF353" s="69" t="str">
        <f t="shared" si="46"/>
        <v>4 years 110 days</v>
      </c>
      <c r="AG353" s="69">
        <v>4</v>
      </c>
      <c r="AH353" s="69">
        <v>110</v>
      </c>
      <c r="AI353" s="69">
        <v>47000</v>
      </c>
      <c r="AJ353" s="67">
        <v>47000</v>
      </c>
      <c r="AK353" s="69">
        <v>2025</v>
      </c>
      <c r="AL353" s="61">
        <v>0</v>
      </c>
      <c r="AM353" s="143"/>
    </row>
    <row r="354" spans="1:39" x14ac:dyDescent="0.35">
      <c r="A354" s="69" t="s">
        <v>4124</v>
      </c>
      <c r="B354" s="41">
        <v>1101101344</v>
      </c>
      <c r="C354" s="41"/>
      <c r="D354" s="41" t="s">
        <v>960</v>
      </c>
      <c r="E354" s="101">
        <v>50</v>
      </c>
      <c r="F354" s="41" t="s">
        <v>260</v>
      </c>
      <c r="G354" s="69" t="s">
        <v>259</v>
      </c>
      <c r="H354" s="41">
        <v>9007000090</v>
      </c>
      <c r="I354" s="41" t="s">
        <v>261</v>
      </c>
      <c r="J354" s="41">
        <v>1202010217</v>
      </c>
      <c r="K354" s="41"/>
      <c r="L354" s="52" t="s">
        <v>1070</v>
      </c>
      <c r="M354" s="69" t="s">
        <v>49</v>
      </c>
      <c r="N354" s="69"/>
      <c r="O354" s="69">
        <v>1</v>
      </c>
      <c r="P354" s="69" t="s">
        <v>50</v>
      </c>
      <c r="Q354" s="69" t="s">
        <v>51</v>
      </c>
      <c r="R354" s="69"/>
      <c r="S354" s="48">
        <v>41696</v>
      </c>
      <c r="T354" s="48">
        <v>43340</v>
      </c>
      <c r="U354" s="69"/>
      <c r="V354" s="69"/>
      <c r="W354" s="69"/>
      <c r="X354" s="69"/>
      <c r="Y354" s="69" t="s">
        <v>4125</v>
      </c>
      <c r="Z354" s="52">
        <v>6000</v>
      </c>
      <c r="AA354" s="43" t="s">
        <v>52</v>
      </c>
      <c r="AB354" s="43" t="s">
        <v>53</v>
      </c>
      <c r="AC354" s="85">
        <v>1570</v>
      </c>
      <c r="AD354" s="141">
        <v>4</v>
      </c>
      <c r="AE354" s="142">
        <v>4</v>
      </c>
      <c r="AF354" s="69" t="str">
        <f t="shared" si="46"/>
        <v>4 years 110 days</v>
      </c>
      <c r="AG354" s="69">
        <v>4</v>
      </c>
      <c r="AH354" s="69">
        <v>110</v>
      </c>
      <c r="AI354" s="69">
        <v>6000</v>
      </c>
      <c r="AJ354" s="67">
        <v>6000</v>
      </c>
      <c r="AK354" s="69">
        <v>2025</v>
      </c>
      <c r="AL354" s="61">
        <v>0</v>
      </c>
      <c r="AM354" s="143"/>
    </row>
    <row r="355" spans="1:39" x14ac:dyDescent="0.35">
      <c r="A355" s="69" t="s">
        <v>4124</v>
      </c>
      <c r="B355" s="41">
        <v>1101101411</v>
      </c>
      <c r="C355" s="41"/>
      <c r="D355" s="41" t="s">
        <v>960</v>
      </c>
      <c r="E355" s="101">
        <v>51</v>
      </c>
      <c r="F355" s="41" t="s">
        <v>260</v>
      </c>
      <c r="G355" s="69" t="s">
        <v>259</v>
      </c>
      <c r="H355" s="41">
        <v>9007000090</v>
      </c>
      <c r="I355" s="41" t="s">
        <v>261</v>
      </c>
      <c r="J355" s="41">
        <v>1202010217</v>
      </c>
      <c r="K355" s="41"/>
      <c r="L355" s="52" t="s">
        <v>1072</v>
      </c>
      <c r="M355" s="69" t="s">
        <v>1073</v>
      </c>
      <c r="N355" s="69"/>
      <c r="O355" s="69">
        <v>1</v>
      </c>
      <c r="P355" s="69" t="s">
        <v>50</v>
      </c>
      <c r="Q355" s="69" t="s">
        <v>51</v>
      </c>
      <c r="R355" s="69"/>
      <c r="S355" s="48">
        <v>41788</v>
      </c>
      <c r="T355" s="48">
        <v>43340</v>
      </c>
      <c r="U355" s="69"/>
      <c r="V355" s="69"/>
      <c r="W355" s="69"/>
      <c r="X355" s="69"/>
      <c r="Y355" s="69" t="s">
        <v>4125</v>
      </c>
      <c r="Z355" s="52">
        <v>225000</v>
      </c>
      <c r="AA355" s="43" t="s">
        <v>52</v>
      </c>
      <c r="AB355" s="43" t="s">
        <v>53</v>
      </c>
      <c r="AC355" s="85">
        <v>2117</v>
      </c>
      <c r="AD355" s="141">
        <v>5</v>
      </c>
      <c r="AE355" s="142">
        <v>10</v>
      </c>
      <c r="AF355" s="69" t="str">
        <f t="shared" si="46"/>
        <v>5 years 292 days</v>
      </c>
      <c r="AG355" s="69">
        <v>5</v>
      </c>
      <c r="AH355" s="69">
        <v>292</v>
      </c>
      <c r="AI355" s="69">
        <v>225000</v>
      </c>
      <c r="AJ355" s="67">
        <v>225000</v>
      </c>
      <c r="AK355" s="69">
        <v>2025</v>
      </c>
      <c r="AL355" s="61">
        <v>0</v>
      </c>
      <c r="AM355" s="143"/>
    </row>
    <row r="356" spans="1:39" x14ac:dyDescent="0.35">
      <c r="A356" s="69" t="s">
        <v>4124</v>
      </c>
      <c r="B356" s="41">
        <v>1101101435</v>
      </c>
      <c r="C356" s="41"/>
      <c r="D356" s="41" t="s">
        <v>960</v>
      </c>
      <c r="E356" s="101">
        <v>52</v>
      </c>
      <c r="F356" s="41" t="s">
        <v>260</v>
      </c>
      <c r="G356" s="69" t="s">
        <v>259</v>
      </c>
      <c r="H356" s="41">
        <v>9007000090</v>
      </c>
      <c r="I356" s="41" t="s">
        <v>261</v>
      </c>
      <c r="J356" s="41">
        <v>1202010217</v>
      </c>
      <c r="K356" s="41"/>
      <c r="L356" s="52" t="s">
        <v>1075</v>
      </c>
      <c r="M356" s="69" t="s">
        <v>49</v>
      </c>
      <c r="N356" s="69"/>
      <c r="O356" s="69">
        <v>1</v>
      </c>
      <c r="P356" s="69" t="s">
        <v>50</v>
      </c>
      <c r="Q356" s="69" t="s">
        <v>51</v>
      </c>
      <c r="R356" s="69"/>
      <c r="S356" s="48">
        <v>41809</v>
      </c>
      <c r="T356" s="48">
        <v>43340</v>
      </c>
      <c r="U356" s="69"/>
      <c r="V356" s="69"/>
      <c r="W356" s="69"/>
      <c r="X356" s="69"/>
      <c r="Y356" s="69" t="s">
        <v>4125</v>
      </c>
      <c r="Z356" s="52">
        <v>67500</v>
      </c>
      <c r="AA356" s="43" t="s">
        <v>52</v>
      </c>
      <c r="AB356" s="43" t="s">
        <v>53</v>
      </c>
      <c r="AC356" s="85">
        <v>1132</v>
      </c>
      <c r="AD356" s="141">
        <v>3</v>
      </c>
      <c r="AE356" s="142">
        <v>1</v>
      </c>
      <c r="AF356" s="69" t="str">
        <f t="shared" si="46"/>
        <v>3 years 37 days</v>
      </c>
      <c r="AG356" s="69">
        <v>3</v>
      </c>
      <c r="AH356" s="69">
        <v>37</v>
      </c>
      <c r="AI356" s="69">
        <v>67500</v>
      </c>
      <c r="AJ356" s="67">
        <v>67500</v>
      </c>
      <c r="AK356" s="69">
        <v>2025</v>
      </c>
      <c r="AL356" s="61">
        <v>0</v>
      </c>
      <c r="AM356" s="143"/>
    </row>
    <row r="357" spans="1:39" x14ac:dyDescent="0.35">
      <c r="A357" s="69" t="s">
        <v>4124</v>
      </c>
      <c r="B357" s="41">
        <v>1101101473</v>
      </c>
      <c r="C357" s="41"/>
      <c r="D357" s="41" t="s">
        <v>960</v>
      </c>
      <c r="E357" s="101">
        <v>53</v>
      </c>
      <c r="F357" s="41" t="s">
        <v>260</v>
      </c>
      <c r="G357" s="69" t="s">
        <v>259</v>
      </c>
      <c r="H357" s="41">
        <v>9007000090</v>
      </c>
      <c r="I357" s="41" t="s">
        <v>261</v>
      </c>
      <c r="J357" s="41">
        <v>1202010217</v>
      </c>
      <c r="K357" s="41"/>
      <c r="L357" s="52" t="s">
        <v>1077</v>
      </c>
      <c r="M357" s="69" t="s">
        <v>1078</v>
      </c>
      <c r="N357" s="69"/>
      <c r="O357" s="69">
        <v>1</v>
      </c>
      <c r="P357" s="69" t="s">
        <v>50</v>
      </c>
      <c r="Q357" s="69" t="s">
        <v>51</v>
      </c>
      <c r="R357" s="69"/>
      <c r="S357" s="48">
        <v>41863</v>
      </c>
      <c r="T357" s="48">
        <v>43340</v>
      </c>
      <c r="U357" s="69"/>
      <c r="V357" s="69"/>
      <c r="W357" s="69"/>
      <c r="X357" s="69"/>
      <c r="Y357" s="69" t="s">
        <v>4125</v>
      </c>
      <c r="Z357" s="52">
        <v>1025000</v>
      </c>
      <c r="AA357" s="43" t="s">
        <v>52</v>
      </c>
      <c r="AB357" s="43" t="s">
        <v>53</v>
      </c>
      <c r="AC357" s="85">
        <v>3942</v>
      </c>
      <c r="AD357" s="141">
        <v>10</v>
      </c>
      <c r="AE357" s="142">
        <v>10</v>
      </c>
      <c r="AF357" s="69" t="str">
        <f t="shared" si="46"/>
        <v>6 years 128 days</v>
      </c>
      <c r="AG357" s="69">
        <v>6</v>
      </c>
      <c r="AH357" s="69">
        <v>128</v>
      </c>
      <c r="AI357" s="69">
        <v>1025000</v>
      </c>
      <c r="AJ357" s="67">
        <v>602467</v>
      </c>
      <c r="AK357" s="69">
        <v>2025</v>
      </c>
      <c r="AL357" s="61">
        <v>47063.695078640245</v>
      </c>
      <c r="AM357" s="143"/>
    </row>
    <row r="358" spans="1:39" x14ac:dyDescent="0.35">
      <c r="A358" s="69" t="s">
        <v>4124</v>
      </c>
      <c r="B358" s="41">
        <v>1101101972</v>
      </c>
      <c r="C358" s="41"/>
      <c r="D358" s="41" t="s">
        <v>960</v>
      </c>
      <c r="E358" s="101">
        <v>54</v>
      </c>
      <c r="F358" s="41" t="s">
        <v>260</v>
      </c>
      <c r="G358" s="69" t="s">
        <v>259</v>
      </c>
      <c r="H358" s="41">
        <v>9007000090</v>
      </c>
      <c r="I358" s="41" t="s">
        <v>261</v>
      </c>
      <c r="J358" s="41">
        <v>1202010217</v>
      </c>
      <c r="K358" s="41"/>
      <c r="L358" s="52" t="s">
        <v>1080</v>
      </c>
      <c r="M358" s="69" t="s">
        <v>49</v>
      </c>
      <c r="N358" s="69"/>
      <c r="O358" s="69">
        <v>1</v>
      </c>
      <c r="P358" s="69" t="s">
        <v>50</v>
      </c>
      <c r="Q358" s="69" t="s">
        <v>51</v>
      </c>
      <c r="R358" s="69"/>
      <c r="S358" s="48">
        <v>42585</v>
      </c>
      <c r="T358" s="48">
        <v>43340</v>
      </c>
      <c r="U358" s="69"/>
      <c r="V358" s="69"/>
      <c r="W358" s="69"/>
      <c r="X358" s="69"/>
      <c r="Y358" s="69" t="s">
        <v>4125</v>
      </c>
      <c r="Z358" s="52">
        <v>7000</v>
      </c>
      <c r="AA358" s="43" t="s">
        <v>52</v>
      </c>
      <c r="AB358" s="43" t="s">
        <v>53</v>
      </c>
      <c r="AC358" s="85">
        <v>1059</v>
      </c>
      <c r="AD358" s="141">
        <v>2</v>
      </c>
      <c r="AE358" s="142">
        <v>11</v>
      </c>
      <c r="AF358" s="69" t="str">
        <f t="shared" si="46"/>
        <v>2 years 329 days</v>
      </c>
      <c r="AG358" s="69">
        <v>2</v>
      </c>
      <c r="AH358" s="69">
        <v>329</v>
      </c>
      <c r="AI358" s="69">
        <v>7000</v>
      </c>
      <c r="AJ358" s="67">
        <v>7000</v>
      </c>
      <c r="AK358" s="69">
        <v>2025</v>
      </c>
      <c r="AL358" s="61">
        <v>0</v>
      </c>
      <c r="AM358" s="143"/>
    </row>
    <row r="359" spans="1:39" x14ac:dyDescent="0.35">
      <c r="A359" s="69" t="s">
        <v>4124</v>
      </c>
      <c r="B359" s="41">
        <v>1101103062</v>
      </c>
      <c r="C359" s="41"/>
      <c r="D359" s="41" t="s">
        <v>960</v>
      </c>
      <c r="E359" s="101">
        <v>55</v>
      </c>
      <c r="F359" s="41" t="s">
        <v>260</v>
      </c>
      <c r="G359" s="69" t="s">
        <v>259</v>
      </c>
      <c r="H359" s="41">
        <v>9007000090</v>
      </c>
      <c r="I359" s="41" t="s">
        <v>261</v>
      </c>
      <c r="J359" s="41">
        <v>1202010217</v>
      </c>
      <c r="K359" s="41"/>
      <c r="L359" s="52" t="s">
        <v>1082</v>
      </c>
      <c r="M359" s="69" t="s">
        <v>1083</v>
      </c>
      <c r="N359" s="69"/>
      <c r="O359" s="69">
        <v>1</v>
      </c>
      <c r="P359" s="69" t="s">
        <v>50</v>
      </c>
      <c r="Q359" s="69" t="s">
        <v>51</v>
      </c>
      <c r="R359" s="69"/>
      <c r="S359" s="48">
        <v>43727</v>
      </c>
      <c r="T359" s="48">
        <v>43727</v>
      </c>
      <c r="U359" s="69"/>
      <c r="V359" s="69"/>
      <c r="W359" s="69"/>
      <c r="X359" s="69"/>
      <c r="Y359" s="69" t="s">
        <v>4126</v>
      </c>
      <c r="Z359" s="52">
        <v>4275</v>
      </c>
      <c r="AA359" s="43" t="s">
        <v>52</v>
      </c>
      <c r="AB359" s="43" t="s">
        <v>53</v>
      </c>
      <c r="AC359" s="85">
        <v>3650</v>
      </c>
      <c r="AD359" s="141">
        <v>10</v>
      </c>
      <c r="AE359" s="142">
        <v>0</v>
      </c>
      <c r="AF359" s="69" t="str">
        <f t="shared" si="46"/>
        <v>5 years 106 days</v>
      </c>
      <c r="AG359" s="69">
        <v>5</v>
      </c>
      <c r="AH359" s="69">
        <v>106</v>
      </c>
      <c r="AI359" s="69">
        <v>4275</v>
      </c>
      <c r="AJ359" s="67">
        <v>4275</v>
      </c>
      <c r="AK359" s="69">
        <v>2025</v>
      </c>
      <c r="AL359" s="61">
        <v>0</v>
      </c>
      <c r="AM359" s="143"/>
    </row>
    <row r="360" spans="1:39" x14ac:dyDescent="0.35">
      <c r="A360" s="69" t="s">
        <v>4124</v>
      </c>
      <c r="B360" s="41">
        <v>1101504562</v>
      </c>
      <c r="C360" s="41"/>
      <c r="D360" s="41" t="s">
        <v>960</v>
      </c>
      <c r="E360" s="101">
        <v>69</v>
      </c>
      <c r="F360" s="41" t="s">
        <v>260</v>
      </c>
      <c r="G360" s="69" t="s">
        <v>259</v>
      </c>
      <c r="H360" s="41">
        <v>9007000090</v>
      </c>
      <c r="I360" s="41" t="s">
        <v>261</v>
      </c>
      <c r="J360" s="41">
        <v>1202010217</v>
      </c>
      <c r="K360" s="41"/>
      <c r="L360" s="52" t="s">
        <v>1112</v>
      </c>
      <c r="M360" s="69" t="s">
        <v>1113</v>
      </c>
      <c r="N360" s="69"/>
      <c r="O360" s="69">
        <v>1</v>
      </c>
      <c r="P360" s="69" t="s">
        <v>50</v>
      </c>
      <c r="Q360" s="69" t="s">
        <v>51</v>
      </c>
      <c r="R360" s="69"/>
      <c r="S360" s="48">
        <v>44008</v>
      </c>
      <c r="T360" s="48">
        <v>44008</v>
      </c>
      <c r="U360" s="69"/>
      <c r="V360" s="69"/>
      <c r="W360" s="69"/>
      <c r="X360" s="69"/>
      <c r="Y360" s="69" t="s">
        <v>4127</v>
      </c>
      <c r="Z360" s="52">
        <v>36000</v>
      </c>
      <c r="AA360" s="43" t="s">
        <v>52</v>
      </c>
      <c r="AB360" s="43" t="s">
        <v>53</v>
      </c>
      <c r="AC360" s="85">
        <v>3650</v>
      </c>
      <c r="AD360" s="141">
        <v>10</v>
      </c>
      <c r="AE360" s="142">
        <v>0</v>
      </c>
      <c r="AF360" s="69" t="str">
        <f t="shared" si="46"/>
        <v>4 years 190 days</v>
      </c>
      <c r="AG360" s="69">
        <v>4</v>
      </c>
      <c r="AH360" s="69">
        <v>190</v>
      </c>
      <c r="AI360" s="69">
        <v>36000</v>
      </c>
      <c r="AJ360" s="67">
        <v>16274</v>
      </c>
      <c r="AK360" s="69">
        <v>2025</v>
      </c>
      <c r="AL360" s="61">
        <v>1785.1780821917782</v>
      </c>
      <c r="AM360" s="143"/>
    </row>
    <row r="361" spans="1:39" x14ac:dyDescent="0.35">
      <c r="A361" s="69" t="s">
        <v>4124</v>
      </c>
      <c r="B361" s="41">
        <v>1101504559</v>
      </c>
      <c r="C361" s="41"/>
      <c r="D361" s="41" t="s">
        <v>960</v>
      </c>
      <c r="E361" s="101">
        <v>67</v>
      </c>
      <c r="F361" s="80" t="s">
        <v>260</v>
      </c>
      <c r="G361" s="69" t="s">
        <v>259</v>
      </c>
      <c r="H361" s="80">
        <v>9007000090</v>
      </c>
      <c r="I361" s="41" t="s">
        <v>261</v>
      </c>
      <c r="J361" s="41">
        <v>1202010217</v>
      </c>
      <c r="K361" s="80"/>
      <c r="L361" s="52" t="s">
        <v>1107</v>
      </c>
      <c r="M361" s="69" t="s">
        <v>1108</v>
      </c>
      <c r="N361" s="69"/>
      <c r="O361" s="69">
        <v>1</v>
      </c>
      <c r="P361" s="69" t="s">
        <v>50</v>
      </c>
      <c r="Q361" s="69" t="s">
        <v>51</v>
      </c>
      <c r="R361" s="69"/>
      <c r="S361" s="48">
        <v>44150</v>
      </c>
      <c r="T361" s="48">
        <v>44150</v>
      </c>
      <c r="U361" s="69"/>
      <c r="V361" s="69"/>
      <c r="W361" s="69"/>
      <c r="X361" s="69"/>
      <c r="Y361" s="69" t="s">
        <v>4127</v>
      </c>
      <c r="Z361" s="84">
        <v>11475</v>
      </c>
      <c r="AA361" s="43" t="s">
        <v>52</v>
      </c>
      <c r="AB361" s="43" t="s">
        <v>53</v>
      </c>
      <c r="AC361" s="85">
        <v>3650</v>
      </c>
      <c r="AD361" s="141">
        <v>10</v>
      </c>
      <c r="AE361" s="142">
        <v>0</v>
      </c>
      <c r="AF361" s="69" t="str">
        <f t="shared" si="46"/>
        <v>4 years 48 days</v>
      </c>
      <c r="AG361" s="69">
        <v>4</v>
      </c>
      <c r="AH361" s="69">
        <v>48</v>
      </c>
      <c r="AI361" s="69">
        <v>11475</v>
      </c>
      <c r="AJ361" s="67">
        <v>11475</v>
      </c>
      <c r="AK361" s="69">
        <v>2025</v>
      </c>
      <c r="AL361" s="61">
        <v>0</v>
      </c>
      <c r="AM361" s="143"/>
    </row>
    <row r="362" spans="1:39" x14ac:dyDescent="0.35">
      <c r="A362" s="69" t="s">
        <v>4124</v>
      </c>
      <c r="B362" s="41">
        <v>1101504563</v>
      </c>
      <c r="C362" s="41"/>
      <c r="D362" s="41" t="s">
        <v>960</v>
      </c>
      <c r="E362" s="101">
        <v>70</v>
      </c>
      <c r="F362" s="80" t="s">
        <v>260</v>
      </c>
      <c r="G362" s="69" t="s">
        <v>259</v>
      </c>
      <c r="H362" s="80">
        <v>9007000090</v>
      </c>
      <c r="I362" s="41" t="s">
        <v>261</v>
      </c>
      <c r="J362" s="41">
        <v>1202010217</v>
      </c>
      <c r="K362" s="80"/>
      <c r="L362" s="52" t="s">
        <v>1115</v>
      </c>
      <c r="M362" s="69" t="s">
        <v>1108</v>
      </c>
      <c r="N362" s="69"/>
      <c r="O362" s="69">
        <v>1</v>
      </c>
      <c r="P362" s="69" t="s">
        <v>50</v>
      </c>
      <c r="Q362" s="69" t="s">
        <v>51</v>
      </c>
      <c r="R362" s="69"/>
      <c r="S362" s="48">
        <v>44150</v>
      </c>
      <c r="T362" s="48">
        <v>44150</v>
      </c>
      <c r="U362" s="69"/>
      <c r="V362" s="69"/>
      <c r="W362" s="69"/>
      <c r="X362" s="69"/>
      <c r="Y362" s="69" t="s">
        <v>4127</v>
      </c>
      <c r="Z362" s="84">
        <v>39400</v>
      </c>
      <c r="AA362" s="43" t="s">
        <v>52</v>
      </c>
      <c r="AB362" s="43" t="s">
        <v>53</v>
      </c>
      <c r="AC362" s="85">
        <v>3650</v>
      </c>
      <c r="AD362" s="141">
        <v>10</v>
      </c>
      <c r="AE362" s="142">
        <v>0</v>
      </c>
      <c r="AF362" s="69" t="str">
        <f t="shared" si="46"/>
        <v>4 years 48 days</v>
      </c>
      <c r="AG362" s="69">
        <v>4</v>
      </c>
      <c r="AH362" s="69">
        <v>48</v>
      </c>
      <c r="AI362" s="69">
        <v>39400</v>
      </c>
      <c r="AJ362" s="67">
        <v>39400</v>
      </c>
      <c r="AK362" s="69">
        <v>2025</v>
      </c>
      <c r="AL362" s="61">
        <v>0</v>
      </c>
      <c r="AM362" s="143"/>
    </row>
    <row r="363" spans="1:39" x14ac:dyDescent="0.35">
      <c r="A363" s="69" t="s">
        <v>4124</v>
      </c>
      <c r="B363" s="41">
        <v>1101504564</v>
      </c>
      <c r="C363" s="41"/>
      <c r="D363" s="41" t="s">
        <v>960</v>
      </c>
      <c r="E363" s="101">
        <v>71</v>
      </c>
      <c r="F363" s="41" t="s">
        <v>260</v>
      </c>
      <c r="G363" s="69" t="s">
        <v>259</v>
      </c>
      <c r="H363" s="41">
        <v>9007000090</v>
      </c>
      <c r="I363" s="41" t="s">
        <v>261</v>
      </c>
      <c r="J363" s="41">
        <v>1202010217</v>
      </c>
      <c r="K363" s="41"/>
      <c r="L363" s="52" t="s">
        <v>1117</v>
      </c>
      <c r="M363" s="69" t="s">
        <v>1118</v>
      </c>
      <c r="N363" s="69"/>
      <c r="O363" s="69">
        <v>1</v>
      </c>
      <c r="P363" s="69" t="s">
        <v>50</v>
      </c>
      <c r="Q363" s="69" t="s">
        <v>51</v>
      </c>
      <c r="R363" s="69"/>
      <c r="S363" s="48">
        <v>44221</v>
      </c>
      <c r="T363" s="48">
        <v>44221</v>
      </c>
      <c r="U363" s="69"/>
      <c r="V363" s="69"/>
      <c r="W363" s="69"/>
      <c r="X363" s="69"/>
      <c r="Y363" s="69" t="s">
        <v>4128</v>
      </c>
      <c r="Z363" s="52">
        <v>39400</v>
      </c>
      <c r="AA363" s="43" t="s">
        <v>52</v>
      </c>
      <c r="AB363" s="43" t="s">
        <v>53</v>
      </c>
      <c r="AC363" s="85">
        <v>3650</v>
      </c>
      <c r="AD363" s="141">
        <v>10</v>
      </c>
      <c r="AE363" s="142">
        <v>0</v>
      </c>
      <c r="AF363" s="69" t="str">
        <f t="shared" si="46"/>
        <v>3 years 342 days</v>
      </c>
      <c r="AG363" s="69">
        <v>3</v>
      </c>
      <c r="AH363" s="69">
        <v>342</v>
      </c>
      <c r="AI363" s="69">
        <v>39400</v>
      </c>
      <c r="AJ363" s="67">
        <v>15512</v>
      </c>
      <c r="AK363" s="69">
        <v>2025</v>
      </c>
      <c r="AL363" s="61">
        <v>1953.534246575342</v>
      </c>
      <c r="AM363" s="143"/>
    </row>
    <row r="364" spans="1:39" x14ac:dyDescent="0.35">
      <c r="A364" s="69" t="s">
        <v>4124</v>
      </c>
      <c r="B364" s="41">
        <v>1101504565</v>
      </c>
      <c r="C364" s="41"/>
      <c r="D364" s="41" t="s">
        <v>960</v>
      </c>
      <c r="E364" s="101">
        <v>72</v>
      </c>
      <c r="F364" s="41" t="s">
        <v>260</v>
      </c>
      <c r="G364" s="69" t="s">
        <v>259</v>
      </c>
      <c r="H364" s="41">
        <v>9007000090</v>
      </c>
      <c r="I364" s="41" t="s">
        <v>261</v>
      </c>
      <c r="J364" s="41">
        <v>1202010217</v>
      </c>
      <c r="K364" s="41"/>
      <c r="L364" s="52" t="s">
        <v>1120</v>
      </c>
      <c r="M364" s="69" t="s">
        <v>1121</v>
      </c>
      <c r="N364" s="69"/>
      <c r="O364" s="69">
        <v>1</v>
      </c>
      <c r="P364" s="69" t="s">
        <v>50</v>
      </c>
      <c r="Q364" s="69" t="s">
        <v>51</v>
      </c>
      <c r="R364" s="69"/>
      <c r="S364" s="48">
        <v>44673</v>
      </c>
      <c r="T364" s="48">
        <v>44673</v>
      </c>
      <c r="U364" s="69"/>
      <c r="V364" s="69"/>
      <c r="W364" s="69"/>
      <c r="X364" s="69"/>
      <c r="Y364" s="69" t="s">
        <v>4131</v>
      </c>
      <c r="Z364" s="52">
        <v>10169</v>
      </c>
      <c r="AA364" s="43" t="s">
        <v>52</v>
      </c>
      <c r="AB364" s="43" t="s">
        <v>53</v>
      </c>
      <c r="AC364" s="85">
        <v>1825</v>
      </c>
      <c r="AD364" s="141">
        <v>5</v>
      </c>
      <c r="AE364" s="142">
        <v>0</v>
      </c>
      <c r="AF364" s="69" t="str">
        <f t="shared" si="46"/>
        <v>2 years 255 days</v>
      </c>
      <c r="AG364" s="69">
        <v>2</v>
      </c>
      <c r="AH364" s="69">
        <v>255</v>
      </c>
      <c r="AI364" s="69">
        <v>10169</v>
      </c>
      <c r="AJ364" s="67">
        <v>5488</v>
      </c>
      <c r="AK364" s="69">
        <v>2025</v>
      </c>
      <c r="AL364" s="61">
        <v>1009.0158904109594</v>
      </c>
      <c r="AM364" s="143"/>
    </row>
    <row r="365" spans="1:39" x14ac:dyDescent="0.35">
      <c r="A365" s="69" t="s">
        <v>4124</v>
      </c>
      <c r="B365" s="41">
        <v>1101403529</v>
      </c>
      <c r="C365" s="41"/>
      <c r="D365" s="69"/>
      <c r="E365" s="101">
        <v>0</v>
      </c>
      <c r="F365" s="41" t="s">
        <v>260</v>
      </c>
      <c r="G365" s="69" t="s">
        <v>259</v>
      </c>
      <c r="H365" s="41">
        <v>9007000091</v>
      </c>
      <c r="I365" s="41" t="s">
        <v>743</v>
      </c>
      <c r="J365" s="41">
        <v>1202010218</v>
      </c>
      <c r="K365" s="41"/>
      <c r="L365" s="52" t="s">
        <v>1123</v>
      </c>
      <c r="M365" s="69" t="s">
        <v>1124</v>
      </c>
      <c r="N365" s="69"/>
      <c r="O365" s="69">
        <v>1</v>
      </c>
      <c r="P365" s="69" t="s">
        <v>50</v>
      </c>
      <c r="Q365" s="69" t="s">
        <v>51</v>
      </c>
      <c r="R365" s="69"/>
      <c r="S365" s="48">
        <v>44206</v>
      </c>
      <c r="T365" s="48">
        <v>44206</v>
      </c>
      <c r="U365" s="69"/>
      <c r="V365" s="69"/>
      <c r="W365" s="69"/>
      <c r="X365" s="69"/>
      <c r="Y365" s="69" t="s">
        <v>4128</v>
      </c>
      <c r="Z365" s="52">
        <v>36000</v>
      </c>
      <c r="AA365" s="43" t="s">
        <v>52</v>
      </c>
      <c r="AB365" s="43" t="s">
        <v>53</v>
      </c>
      <c r="AC365" s="85">
        <v>3650</v>
      </c>
      <c r="AD365" s="141">
        <v>10</v>
      </c>
      <c r="AE365" s="142">
        <v>0</v>
      </c>
      <c r="AF365" s="69" t="str">
        <f t="shared" ref="AF365:AF366" si="47">_xlfn.CONCAT(AG365," years ",AH365," days")</f>
        <v>3 years 357 days</v>
      </c>
      <c r="AG365" s="69">
        <v>3</v>
      </c>
      <c r="AH365" s="69">
        <v>357</v>
      </c>
      <c r="AI365" s="69">
        <v>36000</v>
      </c>
      <c r="AJ365" s="67">
        <v>14321</v>
      </c>
      <c r="AK365" s="69">
        <v>2025</v>
      </c>
      <c r="AL365" s="61">
        <v>1785.301369863013</v>
      </c>
      <c r="AM365" s="143"/>
    </row>
    <row r="366" spans="1:39" x14ac:dyDescent="0.35">
      <c r="A366" s="69" t="s">
        <v>4124</v>
      </c>
      <c r="B366" s="41">
        <v>1101102146</v>
      </c>
      <c r="C366" s="41"/>
      <c r="D366" s="41" t="s">
        <v>1122</v>
      </c>
      <c r="E366" s="101">
        <v>1</v>
      </c>
      <c r="F366" s="41" t="s">
        <v>260</v>
      </c>
      <c r="G366" s="69" t="s">
        <v>259</v>
      </c>
      <c r="H366" s="41">
        <v>9007000091</v>
      </c>
      <c r="I366" s="41" t="s">
        <v>743</v>
      </c>
      <c r="J366" s="41">
        <v>1202010218</v>
      </c>
      <c r="K366" s="41"/>
      <c r="L366" s="52" t="s">
        <v>1126</v>
      </c>
      <c r="M366" s="69" t="s">
        <v>49</v>
      </c>
      <c r="N366" s="69"/>
      <c r="O366" s="69">
        <v>1</v>
      </c>
      <c r="P366" s="69" t="s">
        <v>50</v>
      </c>
      <c r="Q366" s="69" t="s">
        <v>51</v>
      </c>
      <c r="R366" s="69"/>
      <c r="S366" s="48">
        <v>42648</v>
      </c>
      <c r="T366" s="48">
        <v>43340</v>
      </c>
      <c r="U366" s="69"/>
      <c r="V366" s="69"/>
      <c r="W366" s="69"/>
      <c r="X366" s="69"/>
      <c r="Y366" s="69" t="s">
        <v>4125</v>
      </c>
      <c r="Z366" s="52">
        <v>23000</v>
      </c>
      <c r="AA366" s="43" t="s">
        <v>52</v>
      </c>
      <c r="AB366" s="43" t="s">
        <v>53</v>
      </c>
      <c r="AC366" s="85">
        <v>4782</v>
      </c>
      <c r="AD366" s="141">
        <v>13</v>
      </c>
      <c r="AE366" s="142">
        <v>1</v>
      </c>
      <c r="AF366" s="69" t="str">
        <f t="shared" si="47"/>
        <v>6 years 128 days</v>
      </c>
      <c r="AG366" s="69">
        <v>6</v>
      </c>
      <c r="AH366" s="69">
        <v>128</v>
      </c>
      <c r="AI366" s="69">
        <v>23000</v>
      </c>
      <c r="AJ366" s="67">
        <v>11144</v>
      </c>
      <c r="AK366" s="69">
        <v>2025</v>
      </c>
      <c r="AL366" s="61">
        <v>870.63822668339708</v>
      </c>
      <c r="AM366" s="143"/>
    </row>
    <row r="367" spans="1:39" x14ac:dyDescent="0.35">
      <c r="A367" s="69" t="s">
        <v>4124</v>
      </c>
      <c r="B367" s="41">
        <v>1101504377</v>
      </c>
      <c r="C367" s="41"/>
      <c r="D367" s="69"/>
      <c r="E367" s="101">
        <v>0</v>
      </c>
      <c r="F367" s="41" t="s">
        <v>260</v>
      </c>
      <c r="G367" s="69" t="s">
        <v>259</v>
      </c>
      <c r="H367" s="41">
        <v>9007000092</v>
      </c>
      <c r="I367" s="41" t="s">
        <v>261</v>
      </c>
      <c r="J367" s="41">
        <v>1202010217</v>
      </c>
      <c r="K367" s="41"/>
      <c r="L367" s="52" t="s">
        <v>1128</v>
      </c>
      <c r="M367" s="69" t="s">
        <v>1129</v>
      </c>
      <c r="N367" s="69"/>
      <c r="O367" s="69">
        <v>1</v>
      </c>
      <c r="P367" s="69" t="s">
        <v>50</v>
      </c>
      <c r="Q367" s="69" t="s">
        <v>51</v>
      </c>
      <c r="R367" s="69"/>
      <c r="S367" s="48">
        <v>43284</v>
      </c>
      <c r="T367" s="48">
        <v>43340</v>
      </c>
      <c r="U367" s="69"/>
      <c r="V367" s="69"/>
      <c r="W367" s="69"/>
      <c r="X367" s="69"/>
      <c r="Y367" s="69" t="s">
        <v>4125</v>
      </c>
      <c r="Z367" s="52">
        <v>670000</v>
      </c>
      <c r="AA367" s="43" t="s">
        <v>52</v>
      </c>
      <c r="AB367" s="43" t="s">
        <v>53</v>
      </c>
      <c r="AC367" s="85">
        <v>5402</v>
      </c>
      <c r="AD367" s="141">
        <v>14</v>
      </c>
      <c r="AE367" s="142">
        <v>10</v>
      </c>
      <c r="AF367" s="69" t="str">
        <f t="shared" ref="AF367:AF369" si="48">_xlfn.CONCAT(AG367," years ",AH367," days")</f>
        <v>6 years 128 days</v>
      </c>
      <c r="AG367" s="69">
        <v>6</v>
      </c>
      <c r="AH367" s="69">
        <v>128</v>
      </c>
      <c r="AI367" s="69">
        <v>670000</v>
      </c>
      <c r="AJ367" s="67">
        <v>287373</v>
      </c>
      <c r="AK367" s="69">
        <v>2025</v>
      </c>
      <c r="AL367" s="61">
        <v>22449.288041466149</v>
      </c>
      <c r="AM367" s="143"/>
    </row>
    <row r="368" spans="1:39" x14ac:dyDescent="0.35">
      <c r="A368" s="69" t="s">
        <v>4124</v>
      </c>
      <c r="B368" s="41">
        <v>1101405248</v>
      </c>
      <c r="C368" s="41"/>
      <c r="D368" s="69"/>
      <c r="E368" s="101">
        <v>0</v>
      </c>
      <c r="F368" s="41" t="s">
        <v>260</v>
      </c>
      <c r="G368" s="69" t="s">
        <v>259</v>
      </c>
      <c r="H368" s="41">
        <v>9007000093</v>
      </c>
      <c r="I368" s="41" t="s">
        <v>261</v>
      </c>
      <c r="J368" s="41">
        <v>1202010217</v>
      </c>
      <c r="K368" s="41"/>
      <c r="L368" s="52" t="s">
        <v>1131</v>
      </c>
      <c r="M368" s="69" t="s">
        <v>1132</v>
      </c>
      <c r="N368" s="69"/>
      <c r="O368" s="69">
        <v>25</v>
      </c>
      <c r="P368" s="69" t="s">
        <v>50</v>
      </c>
      <c r="Q368" s="69" t="s">
        <v>51</v>
      </c>
      <c r="R368" s="69"/>
      <c r="S368" s="48">
        <v>45483</v>
      </c>
      <c r="T368" s="48">
        <v>45483</v>
      </c>
      <c r="U368" s="69"/>
      <c r="V368" s="69"/>
      <c r="W368" s="69"/>
      <c r="X368" s="69"/>
      <c r="Y368" s="69" t="s">
        <v>4130</v>
      </c>
      <c r="Z368" s="83">
        <v>61250</v>
      </c>
      <c r="AA368" s="43" t="s">
        <v>52</v>
      </c>
      <c r="AB368" s="43" t="s">
        <v>53</v>
      </c>
      <c r="AC368" s="85">
        <v>3650</v>
      </c>
      <c r="AD368" s="141">
        <v>10</v>
      </c>
      <c r="AE368" s="142">
        <v>0</v>
      </c>
      <c r="AF368" s="69" t="str">
        <f t="shared" si="48"/>
        <v>0 years 175 days</v>
      </c>
      <c r="AG368" s="69">
        <v>0</v>
      </c>
      <c r="AH368" s="69">
        <v>175</v>
      </c>
      <c r="AI368" s="69">
        <v>61250</v>
      </c>
      <c r="AJ368" s="67">
        <v>2937</v>
      </c>
      <c r="AK368" s="69">
        <v>2025</v>
      </c>
      <c r="AL368" s="61">
        <v>3036.9726027397264</v>
      </c>
      <c r="AM368" s="143"/>
    </row>
    <row r="369" spans="1:39" x14ac:dyDescent="0.35">
      <c r="A369" s="69" t="s">
        <v>4124</v>
      </c>
      <c r="B369" s="41">
        <v>1101404686</v>
      </c>
      <c r="C369" s="41"/>
      <c r="D369" s="69"/>
      <c r="E369" s="101">
        <v>0</v>
      </c>
      <c r="F369" s="41" t="s">
        <v>260</v>
      </c>
      <c r="G369" s="69" t="s">
        <v>259</v>
      </c>
      <c r="H369" s="41">
        <v>9007000094</v>
      </c>
      <c r="I369" s="41" t="s">
        <v>47</v>
      </c>
      <c r="J369" s="41">
        <v>1202010202</v>
      </c>
      <c r="K369" s="41"/>
      <c r="L369" s="52" t="s">
        <v>1134</v>
      </c>
      <c r="M369" s="69" t="s">
        <v>1135</v>
      </c>
      <c r="N369" s="69"/>
      <c r="O369" s="69">
        <v>105</v>
      </c>
      <c r="P369" s="69" t="s">
        <v>50</v>
      </c>
      <c r="Q369" s="69" t="s">
        <v>51</v>
      </c>
      <c r="R369" s="69"/>
      <c r="S369" s="48">
        <v>45005</v>
      </c>
      <c r="T369" s="48">
        <v>45005</v>
      </c>
      <c r="U369" s="69"/>
      <c r="V369" s="69"/>
      <c r="W369" s="69"/>
      <c r="X369" s="69"/>
      <c r="Y369" s="69" t="s">
        <v>4129</v>
      </c>
      <c r="Z369" s="52">
        <v>59752</v>
      </c>
      <c r="AA369" s="43" t="s">
        <v>52</v>
      </c>
      <c r="AB369" s="43" t="s">
        <v>53</v>
      </c>
      <c r="AC369" s="85">
        <v>3650</v>
      </c>
      <c r="AD369" s="141">
        <v>10</v>
      </c>
      <c r="AE369" s="142">
        <v>0</v>
      </c>
      <c r="AF369" s="69" t="str">
        <f t="shared" si="48"/>
        <v>1 years 288 days</v>
      </c>
      <c r="AG369" s="69">
        <v>1</v>
      </c>
      <c r="AH369" s="69">
        <v>288</v>
      </c>
      <c r="AI369" s="69">
        <v>59752</v>
      </c>
      <c r="AJ369" s="67">
        <v>10690</v>
      </c>
      <c r="AK369" s="69">
        <v>2025</v>
      </c>
      <c r="AL369" s="61">
        <v>2962.9227397260274</v>
      </c>
      <c r="AM369" s="143"/>
    </row>
    <row r="370" spans="1:39" x14ac:dyDescent="0.35">
      <c r="A370" s="69" t="s">
        <v>4124</v>
      </c>
      <c r="B370" s="41">
        <v>1101504395</v>
      </c>
      <c r="C370" s="41"/>
      <c r="D370" s="69"/>
      <c r="E370" s="101">
        <v>0</v>
      </c>
      <c r="F370" s="41" t="s">
        <v>260</v>
      </c>
      <c r="G370" s="69" t="s">
        <v>259</v>
      </c>
      <c r="H370" s="41">
        <v>9007000095</v>
      </c>
      <c r="I370" s="41" t="s">
        <v>47</v>
      </c>
      <c r="J370" s="41">
        <v>1202010202</v>
      </c>
      <c r="K370" s="41"/>
      <c r="L370" s="52" t="s">
        <v>1137</v>
      </c>
      <c r="M370" s="69" t="s">
        <v>1138</v>
      </c>
      <c r="N370" s="69"/>
      <c r="O370" s="69">
        <v>4</v>
      </c>
      <c r="P370" s="69" t="s">
        <v>50</v>
      </c>
      <c r="Q370" s="69" t="s">
        <v>51</v>
      </c>
      <c r="R370" s="69"/>
      <c r="S370" s="48">
        <v>44711</v>
      </c>
      <c r="T370" s="48">
        <v>44711</v>
      </c>
      <c r="U370" s="69"/>
      <c r="V370" s="69"/>
      <c r="W370" s="69"/>
      <c r="X370" s="69"/>
      <c r="Y370" s="69" t="s">
        <v>4131</v>
      </c>
      <c r="Z370" s="52">
        <v>83914</v>
      </c>
      <c r="AA370" s="43" t="s">
        <v>52</v>
      </c>
      <c r="AB370" s="43" t="s">
        <v>53</v>
      </c>
      <c r="AC370" s="85">
        <v>3650</v>
      </c>
      <c r="AD370" s="141">
        <v>10</v>
      </c>
      <c r="AE370" s="142">
        <v>0</v>
      </c>
      <c r="AF370" s="69" t="str">
        <f t="shared" ref="AF370:AF371" si="49">_xlfn.CONCAT(AG370," years ",AH370," days")</f>
        <v>2 years 217 days</v>
      </c>
      <c r="AG370" s="69">
        <v>2</v>
      </c>
      <c r="AH370" s="69">
        <v>217</v>
      </c>
      <c r="AI370" s="69">
        <v>83914</v>
      </c>
      <c r="AJ370" s="67">
        <v>21772</v>
      </c>
      <c r="AK370" s="69">
        <v>2025</v>
      </c>
      <c r="AL370" s="61">
        <v>4160.8745205479463</v>
      </c>
      <c r="AM370" s="143"/>
    </row>
    <row r="371" spans="1:39" x14ac:dyDescent="0.35">
      <c r="A371" s="69" t="s">
        <v>4124</v>
      </c>
      <c r="B371" s="41">
        <v>1101504397</v>
      </c>
      <c r="C371" s="41"/>
      <c r="D371" s="41" t="s">
        <v>1136</v>
      </c>
      <c r="E371" s="101">
        <v>1</v>
      </c>
      <c r="F371" s="41" t="s">
        <v>260</v>
      </c>
      <c r="G371" s="69" t="s">
        <v>259</v>
      </c>
      <c r="H371" s="41">
        <v>9007000095</v>
      </c>
      <c r="I371" s="41" t="s">
        <v>47</v>
      </c>
      <c r="J371" s="41">
        <v>1202010202</v>
      </c>
      <c r="K371" s="41"/>
      <c r="L371" s="52" t="s">
        <v>1140</v>
      </c>
      <c r="M371" s="69" t="s">
        <v>1141</v>
      </c>
      <c r="N371" s="69"/>
      <c r="O371" s="69">
        <v>1</v>
      </c>
      <c r="P371" s="69" t="s">
        <v>50</v>
      </c>
      <c r="Q371" s="69" t="s">
        <v>51</v>
      </c>
      <c r="R371" s="69"/>
      <c r="S371" s="48">
        <v>43420</v>
      </c>
      <c r="T371" s="48">
        <v>43420</v>
      </c>
      <c r="U371" s="69"/>
      <c r="V371" s="69"/>
      <c r="W371" s="69"/>
      <c r="X371" s="69"/>
      <c r="Y371" s="69" t="s">
        <v>4125</v>
      </c>
      <c r="Z371" s="52">
        <v>23800</v>
      </c>
      <c r="AA371" s="43" t="s">
        <v>52</v>
      </c>
      <c r="AB371" s="43" t="s">
        <v>53</v>
      </c>
      <c r="AC371" s="85">
        <v>3650</v>
      </c>
      <c r="AD371" s="141">
        <v>10</v>
      </c>
      <c r="AE371" s="142">
        <v>0</v>
      </c>
      <c r="AF371" s="69" t="str">
        <f t="shared" si="49"/>
        <v>6 years 48 days</v>
      </c>
      <c r="AG371" s="69">
        <v>6</v>
      </c>
      <c r="AH371" s="69">
        <v>48</v>
      </c>
      <c r="AI371" s="69">
        <v>23800</v>
      </c>
      <c r="AJ371" s="67">
        <v>14586</v>
      </c>
      <c r="AK371" s="69">
        <v>2025</v>
      </c>
      <c r="AL371" s="61">
        <v>1180.6849315068484</v>
      </c>
      <c r="AM371" s="143"/>
    </row>
    <row r="372" spans="1:39" x14ac:dyDescent="0.35">
      <c r="A372" s="69" t="s">
        <v>4124</v>
      </c>
      <c r="B372" s="41">
        <v>1101504448</v>
      </c>
      <c r="C372" s="41"/>
      <c r="D372" s="69"/>
      <c r="E372" s="101">
        <v>0</v>
      </c>
      <c r="F372" s="41" t="s">
        <v>260</v>
      </c>
      <c r="G372" s="69" t="s">
        <v>259</v>
      </c>
      <c r="H372" s="41">
        <v>9007000096</v>
      </c>
      <c r="I372" s="41" t="s">
        <v>47</v>
      </c>
      <c r="J372" s="41">
        <v>1202010202</v>
      </c>
      <c r="K372" s="41"/>
      <c r="L372" s="52" t="s">
        <v>1143</v>
      </c>
      <c r="M372" s="69" t="s">
        <v>1144</v>
      </c>
      <c r="N372" s="69"/>
      <c r="O372" s="69">
        <v>1</v>
      </c>
      <c r="P372" s="69" t="s">
        <v>50</v>
      </c>
      <c r="Q372" s="69" t="s">
        <v>51</v>
      </c>
      <c r="R372" s="69"/>
      <c r="S372" s="48">
        <v>43997</v>
      </c>
      <c r="T372" s="48">
        <v>43997</v>
      </c>
      <c r="U372" s="69"/>
      <c r="V372" s="69"/>
      <c r="W372" s="69"/>
      <c r="X372" s="69"/>
      <c r="Y372" s="69" t="s">
        <v>4127</v>
      </c>
      <c r="Z372" s="52">
        <v>11355</v>
      </c>
      <c r="AA372" s="43" t="s">
        <v>52</v>
      </c>
      <c r="AB372" s="43" t="s">
        <v>53</v>
      </c>
      <c r="AC372" s="85">
        <v>3650</v>
      </c>
      <c r="AD372" s="141">
        <v>10</v>
      </c>
      <c r="AE372" s="142">
        <v>0</v>
      </c>
      <c r="AF372" s="69" t="str">
        <f>_xlfn.CONCAT(AG372," years ",AH372," days")</f>
        <v>4 years 201 days</v>
      </c>
      <c r="AG372" s="69">
        <v>4</v>
      </c>
      <c r="AH372" s="69">
        <v>201</v>
      </c>
      <c r="AI372" s="69">
        <v>11355</v>
      </c>
      <c r="AJ372" s="67">
        <v>5167</v>
      </c>
      <c r="AK372" s="69">
        <v>2025</v>
      </c>
      <c r="AL372" s="61">
        <v>563.38630136986376</v>
      </c>
      <c r="AM372" s="143"/>
    </row>
    <row r="373" spans="1:39" x14ac:dyDescent="0.35">
      <c r="A373" s="69" t="s">
        <v>4124</v>
      </c>
      <c r="B373" s="41">
        <v>1101504561</v>
      </c>
      <c r="C373" s="41"/>
      <c r="D373" s="69"/>
      <c r="E373" s="101">
        <v>0</v>
      </c>
      <c r="F373" s="41" t="s">
        <v>260</v>
      </c>
      <c r="G373" s="69" t="s">
        <v>259</v>
      </c>
      <c r="H373" s="41">
        <v>9007000097</v>
      </c>
      <c r="I373" s="41" t="s">
        <v>743</v>
      </c>
      <c r="J373" s="41">
        <v>1202010218</v>
      </c>
      <c r="K373" s="41"/>
      <c r="L373" s="52" t="s">
        <v>1146</v>
      </c>
      <c r="M373" s="69" t="s">
        <v>49</v>
      </c>
      <c r="N373" s="69"/>
      <c r="O373" s="69">
        <v>1</v>
      </c>
      <c r="P373" s="69" t="s">
        <v>50</v>
      </c>
      <c r="Q373" s="69" t="s">
        <v>51</v>
      </c>
      <c r="R373" s="69"/>
      <c r="S373" s="48">
        <v>42679</v>
      </c>
      <c r="T373" s="48">
        <v>43340</v>
      </c>
      <c r="U373" s="69"/>
      <c r="V373" s="69"/>
      <c r="W373" s="69"/>
      <c r="X373" s="69"/>
      <c r="Y373" s="69" t="s">
        <v>4125</v>
      </c>
      <c r="Z373" s="52">
        <v>470000</v>
      </c>
      <c r="AA373" s="43" t="s">
        <v>52</v>
      </c>
      <c r="AB373" s="43" t="s">
        <v>53</v>
      </c>
      <c r="AC373" s="85">
        <v>2957</v>
      </c>
      <c r="AD373" s="141">
        <v>8</v>
      </c>
      <c r="AE373" s="142">
        <v>1</v>
      </c>
      <c r="AF373" s="69" t="str">
        <f>_xlfn.CONCAT(AG373," years ",AH373," days")</f>
        <v>6 years 128 days</v>
      </c>
      <c r="AG373" s="69">
        <v>6</v>
      </c>
      <c r="AH373" s="69">
        <v>128</v>
      </c>
      <c r="AI373" s="69">
        <v>470000</v>
      </c>
      <c r="AJ373" s="67">
        <v>368275</v>
      </c>
      <c r="AK373" s="69">
        <v>2025</v>
      </c>
      <c r="AL373" s="61">
        <v>28769.301657084841</v>
      </c>
      <c r="AM373" s="143"/>
    </row>
    <row r="374" spans="1:39" x14ac:dyDescent="0.35">
      <c r="A374" s="69" t="s">
        <v>4124</v>
      </c>
      <c r="B374" s="41">
        <v>1101400932</v>
      </c>
      <c r="C374" s="41"/>
      <c r="D374" s="69"/>
      <c r="E374" s="101">
        <v>0</v>
      </c>
      <c r="F374" s="41" t="s">
        <v>260</v>
      </c>
      <c r="G374" s="69" t="s">
        <v>259</v>
      </c>
      <c r="H374" s="41">
        <v>9007000098</v>
      </c>
      <c r="I374" s="41" t="s">
        <v>47</v>
      </c>
      <c r="J374" s="41">
        <v>1202010202</v>
      </c>
      <c r="K374" s="41"/>
      <c r="L374" s="52" t="s">
        <v>1148</v>
      </c>
      <c r="M374" s="69" t="s">
        <v>1149</v>
      </c>
      <c r="N374" s="69"/>
      <c r="O374" s="69">
        <v>1</v>
      </c>
      <c r="P374" s="69" t="s">
        <v>50</v>
      </c>
      <c r="Q374" s="69" t="s">
        <v>51</v>
      </c>
      <c r="R374" s="69"/>
      <c r="S374" s="48">
        <v>41323</v>
      </c>
      <c r="T374" s="48">
        <v>43340</v>
      </c>
      <c r="U374" s="69"/>
      <c r="V374" s="69"/>
      <c r="W374" s="69"/>
      <c r="X374" s="69"/>
      <c r="Y374" s="69" t="s">
        <v>4125</v>
      </c>
      <c r="Z374" s="52">
        <v>90000</v>
      </c>
      <c r="AA374" s="43" t="s">
        <v>52</v>
      </c>
      <c r="AB374" s="43" t="s">
        <v>53</v>
      </c>
      <c r="AC374" s="85">
        <v>1643</v>
      </c>
      <c r="AD374" s="141">
        <v>4</v>
      </c>
      <c r="AE374" s="142">
        <v>6</v>
      </c>
      <c r="AF374" s="69" t="str">
        <f>_xlfn.CONCAT(AG374," years ",AH374," days")</f>
        <v>4 years 183 days</v>
      </c>
      <c r="AG374" s="69">
        <v>4</v>
      </c>
      <c r="AH374" s="69">
        <v>183</v>
      </c>
      <c r="AI374" s="69">
        <v>90000</v>
      </c>
      <c r="AJ374" s="67">
        <v>90000</v>
      </c>
      <c r="AK374" s="69">
        <v>2025</v>
      </c>
      <c r="AL374" s="61">
        <v>0</v>
      </c>
      <c r="AM374" s="143"/>
    </row>
    <row r="375" spans="1:39" x14ac:dyDescent="0.35">
      <c r="A375" s="87" t="s">
        <v>4124</v>
      </c>
      <c r="B375" s="88">
        <v>1101400510</v>
      </c>
      <c r="C375" s="88"/>
      <c r="D375" s="87"/>
      <c r="E375" s="101">
        <v>0</v>
      </c>
      <c r="F375" s="88" t="s">
        <v>1152</v>
      </c>
      <c r="G375" s="69" t="s">
        <v>1151</v>
      </c>
      <c r="H375" s="41">
        <v>9008000001</v>
      </c>
      <c r="I375" s="41" t="s">
        <v>593</v>
      </c>
      <c r="J375" s="41">
        <v>1202020101</v>
      </c>
      <c r="K375" s="88" t="s">
        <v>1153</v>
      </c>
      <c r="L375" s="52" t="s">
        <v>1154</v>
      </c>
      <c r="M375" s="69" t="s">
        <v>49</v>
      </c>
      <c r="N375" s="87"/>
      <c r="O375" s="69">
        <v>1</v>
      </c>
      <c r="P375" s="87" t="s">
        <v>50</v>
      </c>
      <c r="Q375" s="87" t="s">
        <v>51</v>
      </c>
      <c r="R375" s="87"/>
      <c r="S375" s="48">
        <v>40479</v>
      </c>
      <c r="T375" s="48">
        <v>43340</v>
      </c>
      <c r="U375" s="87"/>
      <c r="V375" s="87"/>
      <c r="W375" s="87"/>
      <c r="X375" s="87"/>
      <c r="Y375" s="69" t="s">
        <v>4125</v>
      </c>
      <c r="Z375" s="54">
        <v>2725000</v>
      </c>
      <c r="AA375" s="54" t="s">
        <v>52</v>
      </c>
      <c r="AB375" s="54" t="s">
        <v>53</v>
      </c>
      <c r="AC375" s="85">
        <v>2628</v>
      </c>
      <c r="AD375" s="141">
        <v>7</v>
      </c>
      <c r="AE375" s="142">
        <v>2</v>
      </c>
      <c r="AF375" s="69" t="str">
        <f t="shared" ref="AF375:AF376" si="50">_xlfn.CONCAT(AG375," years ",AH375," days")</f>
        <v>6 years 128 days</v>
      </c>
      <c r="AG375" s="69">
        <v>6</v>
      </c>
      <c r="AH375" s="69">
        <v>128</v>
      </c>
      <c r="AI375" s="87">
        <v>2725000</v>
      </c>
      <c r="AJ375" s="67">
        <v>2402521</v>
      </c>
      <c r="AK375" s="87">
        <v>2025</v>
      </c>
      <c r="AL375" s="61">
        <v>187680.67427701643</v>
      </c>
      <c r="AM375" s="143"/>
    </row>
    <row r="376" spans="1:39" x14ac:dyDescent="0.35">
      <c r="A376" s="87" t="s">
        <v>4124</v>
      </c>
      <c r="B376" s="88">
        <v>1101400431</v>
      </c>
      <c r="C376" s="88"/>
      <c r="D376" s="88" t="s">
        <v>1150</v>
      </c>
      <c r="E376" s="101">
        <v>1</v>
      </c>
      <c r="F376" s="88" t="s">
        <v>1152</v>
      </c>
      <c r="G376" s="69" t="s">
        <v>1151</v>
      </c>
      <c r="H376" s="41">
        <v>9008000001</v>
      </c>
      <c r="I376" s="41" t="s">
        <v>593</v>
      </c>
      <c r="J376" s="41">
        <v>1202020101</v>
      </c>
      <c r="K376" s="88" t="s">
        <v>1156</v>
      </c>
      <c r="L376" s="52" t="s">
        <v>1157</v>
      </c>
      <c r="M376" s="69" t="s">
        <v>49</v>
      </c>
      <c r="N376" s="87"/>
      <c r="O376" s="69">
        <v>1</v>
      </c>
      <c r="P376" s="87" t="s">
        <v>50</v>
      </c>
      <c r="Q376" s="87" t="s">
        <v>51</v>
      </c>
      <c r="R376" s="87"/>
      <c r="S376" s="48">
        <v>40268</v>
      </c>
      <c r="T376" s="48">
        <v>43340</v>
      </c>
      <c r="U376" s="87"/>
      <c r="V376" s="87"/>
      <c r="W376" s="87"/>
      <c r="X376" s="87"/>
      <c r="Y376" s="69" t="s">
        <v>4125</v>
      </c>
      <c r="Z376" s="54">
        <v>16000</v>
      </c>
      <c r="AA376" s="54" t="s">
        <v>52</v>
      </c>
      <c r="AB376" s="54" t="s">
        <v>53</v>
      </c>
      <c r="AC376" s="85">
        <v>584</v>
      </c>
      <c r="AD376" s="141">
        <v>1</v>
      </c>
      <c r="AE376" s="142">
        <v>7</v>
      </c>
      <c r="AF376" s="69" t="str">
        <f t="shared" si="50"/>
        <v>1 years 219 days</v>
      </c>
      <c r="AG376" s="69">
        <v>1</v>
      </c>
      <c r="AH376" s="69">
        <v>219</v>
      </c>
      <c r="AI376" s="87">
        <v>16000</v>
      </c>
      <c r="AJ376" s="67">
        <v>16000</v>
      </c>
      <c r="AK376" s="87">
        <v>2025</v>
      </c>
      <c r="AL376" s="61">
        <v>0</v>
      </c>
      <c r="AM376" s="143"/>
    </row>
    <row r="377" spans="1:39" x14ac:dyDescent="0.35">
      <c r="A377" s="87" t="s">
        <v>4124</v>
      </c>
      <c r="B377" s="88">
        <v>1101400513</v>
      </c>
      <c r="C377" s="88"/>
      <c r="D377" s="87"/>
      <c r="E377" s="101">
        <v>0</v>
      </c>
      <c r="F377" s="88" t="s">
        <v>1152</v>
      </c>
      <c r="G377" s="69" t="s">
        <v>1151</v>
      </c>
      <c r="H377" s="41">
        <v>9008000002</v>
      </c>
      <c r="I377" s="41" t="s">
        <v>593</v>
      </c>
      <c r="J377" s="41">
        <v>1202020101</v>
      </c>
      <c r="K377" s="88" t="s">
        <v>1159</v>
      </c>
      <c r="L377" s="52" t="s">
        <v>1160</v>
      </c>
      <c r="M377" s="69" t="s">
        <v>49</v>
      </c>
      <c r="N377" s="87"/>
      <c r="O377" s="69">
        <v>1</v>
      </c>
      <c r="P377" s="87" t="s">
        <v>50</v>
      </c>
      <c r="Q377" s="87" t="s">
        <v>51</v>
      </c>
      <c r="R377" s="87"/>
      <c r="S377" s="48">
        <v>40480</v>
      </c>
      <c r="T377" s="48">
        <v>43340</v>
      </c>
      <c r="U377" s="87"/>
      <c r="V377" s="87"/>
      <c r="W377" s="87"/>
      <c r="X377" s="87"/>
      <c r="Y377" s="69" t="s">
        <v>4125</v>
      </c>
      <c r="Z377" s="54">
        <v>2725000</v>
      </c>
      <c r="AA377" s="54" t="s">
        <v>52</v>
      </c>
      <c r="AB377" s="54" t="s">
        <v>53</v>
      </c>
      <c r="AC377" s="85">
        <v>2628</v>
      </c>
      <c r="AD377" s="141">
        <v>7</v>
      </c>
      <c r="AE377" s="142">
        <v>2</v>
      </c>
      <c r="AF377" s="69" t="str">
        <f t="shared" ref="AF377:AF380" si="51">_xlfn.CONCAT(AG377," years ",AH377," days")</f>
        <v>6 years 128 days</v>
      </c>
      <c r="AG377" s="69">
        <v>6</v>
      </c>
      <c r="AH377" s="69">
        <v>128</v>
      </c>
      <c r="AI377" s="87">
        <v>2725000</v>
      </c>
      <c r="AJ377" s="67">
        <v>2402521</v>
      </c>
      <c r="AK377" s="87">
        <v>2025</v>
      </c>
      <c r="AL377" s="61">
        <v>187680.67427701643</v>
      </c>
      <c r="AM377" s="143"/>
    </row>
    <row r="378" spans="1:39" x14ac:dyDescent="0.35">
      <c r="A378" s="87" t="s">
        <v>4124</v>
      </c>
      <c r="B378" s="88">
        <v>1101400482</v>
      </c>
      <c r="C378" s="88"/>
      <c r="D378" s="88" t="s">
        <v>1158</v>
      </c>
      <c r="E378" s="101">
        <v>1</v>
      </c>
      <c r="F378" s="88" t="s">
        <v>1152</v>
      </c>
      <c r="G378" s="69" t="s">
        <v>1151</v>
      </c>
      <c r="H378" s="41">
        <v>9008000002</v>
      </c>
      <c r="I378" s="41" t="s">
        <v>593</v>
      </c>
      <c r="J378" s="41">
        <v>1202020101</v>
      </c>
      <c r="K378" s="88" t="s">
        <v>1162</v>
      </c>
      <c r="L378" s="52" t="s">
        <v>1163</v>
      </c>
      <c r="M378" s="69" t="s">
        <v>49</v>
      </c>
      <c r="N378" s="87"/>
      <c r="O378" s="69">
        <v>5</v>
      </c>
      <c r="P378" s="87" t="s">
        <v>50</v>
      </c>
      <c r="Q378" s="87" t="s">
        <v>51</v>
      </c>
      <c r="R378" s="87"/>
      <c r="S378" s="48">
        <v>40415</v>
      </c>
      <c r="T378" s="48">
        <v>43340</v>
      </c>
      <c r="U378" s="87"/>
      <c r="V378" s="87"/>
      <c r="W378" s="87"/>
      <c r="X378" s="87"/>
      <c r="Y378" s="69" t="s">
        <v>4125</v>
      </c>
      <c r="Z378" s="54">
        <v>95000</v>
      </c>
      <c r="AA378" s="54" t="s">
        <v>52</v>
      </c>
      <c r="AB378" s="54" t="s">
        <v>53</v>
      </c>
      <c r="AC378" s="85">
        <v>730</v>
      </c>
      <c r="AD378" s="141">
        <v>2</v>
      </c>
      <c r="AE378" s="142">
        <v>0</v>
      </c>
      <c r="AF378" s="69" t="str">
        <f t="shared" si="51"/>
        <v>2 years 0 days</v>
      </c>
      <c r="AG378" s="69">
        <v>2</v>
      </c>
      <c r="AH378" s="69">
        <v>0</v>
      </c>
      <c r="AI378" s="87">
        <v>95000</v>
      </c>
      <c r="AJ378" s="67">
        <v>95000</v>
      </c>
      <c r="AK378" s="87">
        <v>2025</v>
      </c>
      <c r="AL378" s="61">
        <v>0</v>
      </c>
      <c r="AM378" s="143"/>
    </row>
    <row r="379" spans="1:39" x14ac:dyDescent="0.35">
      <c r="A379" s="87" t="s">
        <v>4124</v>
      </c>
      <c r="B379" s="88">
        <v>1101400504</v>
      </c>
      <c r="C379" s="88"/>
      <c r="D379" s="88" t="s">
        <v>1158</v>
      </c>
      <c r="E379" s="101">
        <v>2</v>
      </c>
      <c r="F379" s="88" t="s">
        <v>1152</v>
      </c>
      <c r="G379" s="69" t="s">
        <v>1151</v>
      </c>
      <c r="H379" s="41">
        <v>9008000002</v>
      </c>
      <c r="I379" s="41" t="s">
        <v>593</v>
      </c>
      <c r="J379" s="41">
        <v>1202020101</v>
      </c>
      <c r="K379" s="88" t="s">
        <v>1165</v>
      </c>
      <c r="L379" s="52" t="s">
        <v>1166</v>
      </c>
      <c r="M379" s="69" t="s">
        <v>49</v>
      </c>
      <c r="N379" s="87"/>
      <c r="O379" s="69">
        <v>1</v>
      </c>
      <c r="P379" s="87" t="s">
        <v>50</v>
      </c>
      <c r="Q379" s="87" t="s">
        <v>51</v>
      </c>
      <c r="R379" s="87"/>
      <c r="S379" s="48">
        <v>40462</v>
      </c>
      <c r="T379" s="48">
        <v>43340</v>
      </c>
      <c r="U379" s="87"/>
      <c r="V379" s="87"/>
      <c r="W379" s="87"/>
      <c r="X379" s="87"/>
      <c r="Y379" s="69" t="s">
        <v>4125</v>
      </c>
      <c r="Z379" s="54">
        <v>27000</v>
      </c>
      <c r="AA379" s="54" t="s">
        <v>52</v>
      </c>
      <c r="AB379" s="54" t="s">
        <v>53</v>
      </c>
      <c r="AC379" s="85">
        <v>767</v>
      </c>
      <c r="AD379" s="141">
        <v>2</v>
      </c>
      <c r="AE379" s="142">
        <v>1</v>
      </c>
      <c r="AF379" s="69" t="str">
        <f t="shared" si="51"/>
        <v>2 years 37 days</v>
      </c>
      <c r="AG379" s="69">
        <v>2</v>
      </c>
      <c r="AH379" s="69">
        <v>37</v>
      </c>
      <c r="AI379" s="87">
        <v>27000</v>
      </c>
      <c r="AJ379" s="67">
        <v>27000</v>
      </c>
      <c r="AK379" s="87">
        <v>2025</v>
      </c>
      <c r="AL379" s="61">
        <v>0</v>
      </c>
      <c r="AM379" s="143"/>
    </row>
    <row r="380" spans="1:39" x14ac:dyDescent="0.35">
      <c r="A380" s="87" t="s">
        <v>4124</v>
      </c>
      <c r="B380" s="88">
        <v>1101400605</v>
      </c>
      <c r="C380" s="88"/>
      <c r="D380" s="88" t="s">
        <v>1158</v>
      </c>
      <c r="E380" s="101">
        <v>3</v>
      </c>
      <c r="F380" s="88" t="s">
        <v>1152</v>
      </c>
      <c r="G380" s="69" t="s">
        <v>1151</v>
      </c>
      <c r="H380" s="41">
        <v>9008000002</v>
      </c>
      <c r="I380" s="41" t="s">
        <v>593</v>
      </c>
      <c r="J380" s="41">
        <v>1202020101</v>
      </c>
      <c r="K380" s="88" t="s">
        <v>1168</v>
      </c>
      <c r="L380" s="52" t="s">
        <v>1169</v>
      </c>
      <c r="M380" s="69" t="s">
        <v>49</v>
      </c>
      <c r="N380" s="87"/>
      <c r="O380" s="69">
        <v>1</v>
      </c>
      <c r="P380" s="87" t="s">
        <v>50</v>
      </c>
      <c r="Q380" s="87" t="s">
        <v>51</v>
      </c>
      <c r="R380" s="87"/>
      <c r="S380" s="48">
        <v>40636</v>
      </c>
      <c r="T380" s="48">
        <v>43340</v>
      </c>
      <c r="U380" s="87"/>
      <c r="V380" s="87"/>
      <c r="W380" s="87"/>
      <c r="X380" s="87"/>
      <c r="Y380" s="69" t="s">
        <v>4125</v>
      </c>
      <c r="Z380" s="54">
        <v>180000</v>
      </c>
      <c r="AA380" s="54" t="s">
        <v>52</v>
      </c>
      <c r="AB380" s="54" t="s">
        <v>53</v>
      </c>
      <c r="AC380" s="85">
        <v>2774</v>
      </c>
      <c r="AD380" s="141">
        <v>7</v>
      </c>
      <c r="AE380" s="142">
        <v>7</v>
      </c>
      <c r="AF380" s="69" t="str">
        <f t="shared" si="51"/>
        <v>6 years 128 days</v>
      </c>
      <c r="AG380" s="69">
        <v>6</v>
      </c>
      <c r="AH380" s="69">
        <v>128</v>
      </c>
      <c r="AI380" s="87">
        <v>180000</v>
      </c>
      <c r="AJ380" s="67">
        <v>150346</v>
      </c>
      <c r="AK380" s="87">
        <v>2025</v>
      </c>
      <c r="AL380" s="61">
        <v>11744.843547224184</v>
      </c>
      <c r="AM380" s="143"/>
    </row>
    <row r="381" spans="1:39" x14ac:dyDescent="0.35">
      <c r="A381" s="69" t="s">
        <v>4124</v>
      </c>
      <c r="B381" s="41">
        <v>1101400869</v>
      </c>
      <c r="C381" s="41"/>
      <c r="D381" s="69"/>
      <c r="E381" s="101">
        <v>0</v>
      </c>
      <c r="F381" s="41" t="s">
        <v>1152</v>
      </c>
      <c r="G381" s="69" t="s">
        <v>1151</v>
      </c>
      <c r="H381" s="41">
        <v>9008000003</v>
      </c>
      <c r="I381" s="41" t="s">
        <v>593</v>
      </c>
      <c r="J381" s="41">
        <v>1202020101</v>
      </c>
      <c r="K381" s="41" t="s">
        <v>1171</v>
      </c>
      <c r="L381" s="52" t="s">
        <v>1172</v>
      </c>
      <c r="M381" s="69" t="s">
        <v>1173</v>
      </c>
      <c r="N381" s="69"/>
      <c r="O381" s="69">
        <v>1</v>
      </c>
      <c r="P381" s="69" t="s">
        <v>50</v>
      </c>
      <c r="Q381" s="69" t="s">
        <v>51</v>
      </c>
      <c r="R381" s="69"/>
      <c r="S381" s="48">
        <v>41261</v>
      </c>
      <c r="T381" s="48">
        <v>43340</v>
      </c>
      <c r="U381" s="69"/>
      <c r="V381" s="69"/>
      <c r="W381" s="69"/>
      <c r="X381" s="69"/>
      <c r="Y381" s="69" t="s">
        <v>4125</v>
      </c>
      <c r="Z381" s="52">
        <v>3425000</v>
      </c>
      <c r="AA381" s="43" t="s">
        <v>52</v>
      </c>
      <c r="AB381" s="43" t="s">
        <v>53</v>
      </c>
      <c r="AC381" s="85">
        <v>3395</v>
      </c>
      <c r="AD381" s="141">
        <v>9</v>
      </c>
      <c r="AE381" s="142">
        <v>4</v>
      </c>
      <c r="AF381" s="69" t="str">
        <f t="shared" ref="AF381:AF383" si="52">_xlfn.CONCAT(AG381," years ",AH381," days")</f>
        <v>6 years 128 days</v>
      </c>
      <c r="AG381" s="69">
        <v>6</v>
      </c>
      <c r="AH381" s="69">
        <v>128</v>
      </c>
      <c r="AI381" s="69">
        <v>3425000</v>
      </c>
      <c r="AJ381" s="67">
        <v>2337474</v>
      </c>
      <c r="AK381" s="69">
        <v>2025</v>
      </c>
      <c r="AL381" s="61">
        <v>182599.63770250371</v>
      </c>
      <c r="AM381" s="143"/>
    </row>
    <row r="382" spans="1:39" x14ac:dyDescent="0.35">
      <c r="A382" s="69" t="s">
        <v>4124</v>
      </c>
      <c r="B382" s="41">
        <v>1101400478</v>
      </c>
      <c r="C382" s="41"/>
      <c r="D382" s="41" t="s">
        <v>1170</v>
      </c>
      <c r="E382" s="101">
        <v>1</v>
      </c>
      <c r="F382" s="41" t="s">
        <v>1152</v>
      </c>
      <c r="G382" s="69" t="s">
        <v>1151</v>
      </c>
      <c r="H382" s="41">
        <v>9008000003</v>
      </c>
      <c r="I382" s="41" t="s">
        <v>593</v>
      </c>
      <c r="J382" s="41">
        <v>1202020101</v>
      </c>
      <c r="K382" s="41" t="s">
        <v>1175</v>
      </c>
      <c r="L382" s="52" t="s">
        <v>1176</v>
      </c>
      <c r="M382" s="69" t="s">
        <v>49</v>
      </c>
      <c r="N382" s="69"/>
      <c r="O382" s="69">
        <v>1</v>
      </c>
      <c r="P382" s="69" t="s">
        <v>50</v>
      </c>
      <c r="Q382" s="69" t="s">
        <v>51</v>
      </c>
      <c r="R382" s="69"/>
      <c r="S382" s="48">
        <v>40402</v>
      </c>
      <c r="T382" s="48">
        <v>43340</v>
      </c>
      <c r="U382" s="69"/>
      <c r="V382" s="69"/>
      <c r="W382" s="69"/>
      <c r="X382" s="69"/>
      <c r="Y382" s="69" t="s">
        <v>4125</v>
      </c>
      <c r="Z382" s="52">
        <v>115000</v>
      </c>
      <c r="AA382" s="43" t="s">
        <v>52</v>
      </c>
      <c r="AB382" s="43" t="s">
        <v>53</v>
      </c>
      <c r="AC382" s="85">
        <v>2555</v>
      </c>
      <c r="AD382" s="141">
        <v>7</v>
      </c>
      <c r="AE382" s="142">
        <v>0</v>
      </c>
      <c r="AF382" s="69" t="str">
        <f t="shared" si="52"/>
        <v>6 years 128 days</v>
      </c>
      <c r="AG382" s="69">
        <v>6</v>
      </c>
      <c r="AH382" s="69">
        <v>128</v>
      </c>
      <c r="AI382" s="69">
        <v>115000</v>
      </c>
      <c r="AJ382" s="67">
        <v>104288</v>
      </c>
      <c r="AK382" s="69">
        <v>2025</v>
      </c>
      <c r="AL382" s="61">
        <v>8146.442270058702</v>
      </c>
      <c r="AM382" s="143"/>
    </row>
    <row r="383" spans="1:39" x14ac:dyDescent="0.35">
      <c r="A383" s="69" t="s">
        <v>4124</v>
      </c>
      <c r="B383" s="41">
        <v>1101400544</v>
      </c>
      <c r="C383" s="41"/>
      <c r="D383" s="41" t="s">
        <v>1170</v>
      </c>
      <c r="E383" s="101">
        <v>2</v>
      </c>
      <c r="F383" s="41" t="s">
        <v>1152</v>
      </c>
      <c r="G383" s="69" t="s">
        <v>1151</v>
      </c>
      <c r="H383" s="41">
        <v>9008000003</v>
      </c>
      <c r="I383" s="41" t="s">
        <v>593</v>
      </c>
      <c r="J383" s="41">
        <v>1202020101</v>
      </c>
      <c r="K383" s="41" t="s">
        <v>1178</v>
      </c>
      <c r="L383" s="52" t="s">
        <v>1179</v>
      </c>
      <c r="M383" s="69" t="s">
        <v>49</v>
      </c>
      <c r="N383" s="69"/>
      <c r="O383" s="69">
        <v>1</v>
      </c>
      <c r="P383" s="69" t="s">
        <v>50</v>
      </c>
      <c r="Q383" s="69" t="s">
        <v>51</v>
      </c>
      <c r="R383" s="69"/>
      <c r="S383" s="48">
        <v>40513</v>
      </c>
      <c r="T383" s="48">
        <v>43340</v>
      </c>
      <c r="U383" s="69"/>
      <c r="V383" s="69"/>
      <c r="W383" s="69"/>
      <c r="X383" s="69"/>
      <c r="Y383" s="69" t="s">
        <v>4125</v>
      </c>
      <c r="Z383" s="52">
        <v>105000</v>
      </c>
      <c r="AA383" s="43" t="s">
        <v>52</v>
      </c>
      <c r="AB383" s="43" t="s">
        <v>53</v>
      </c>
      <c r="AC383" s="85">
        <v>840</v>
      </c>
      <c r="AD383" s="141">
        <v>2</v>
      </c>
      <c r="AE383" s="142">
        <v>4</v>
      </c>
      <c r="AF383" s="69" t="str">
        <f t="shared" si="52"/>
        <v>2 years 110 days</v>
      </c>
      <c r="AG383" s="69">
        <v>2</v>
      </c>
      <c r="AH383" s="69">
        <v>110</v>
      </c>
      <c r="AI383" s="69">
        <v>105000</v>
      </c>
      <c r="AJ383" s="67">
        <v>105000</v>
      </c>
      <c r="AK383" s="69">
        <v>2025</v>
      </c>
      <c r="AL383" s="61">
        <v>0</v>
      </c>
      <c r="AM383" s="143"/>
    </row>
    <row r="384" spans="1:39" x14ac:dyDescent="0.35">
      <c r="A384" s="69" t="s">
        <v>4124</v>
      </c>
      <c r="B384" s="41">
        <v>1101400867</v>
      </c>
      <c r="C384" s="41"/>
      <c r="D384" s="69"/>
      <c r="E384" s="101">
        <v>0</v>
      </c>
      <c r="F384" s="41" t="s">
        <v>1152</v>
      </c>
      <c r="G384" s="69" t="s">
        <v>1151</v>
      </c>
      <c r="H384" s="41">
        <v>9008000004</v>
      </c>
      <c r="I384" s="41" t="s">
        <v>593</v>
      </c>
      <c r="J384" s="41">
        <v>1202020101</v>
      </c>
      <c r="K384" s="41" t="s">
        <v>1181</v>
      </c>
      <c r="L384" s="52" t="s">
        <v>1182</v>
      </c>
      <c r="M384" s="69" t="s">
        <v>1183</v>
      </c>
      <c r="N384" s="69"/>
      <c r="O384" s="69">
        <v>1</v>
      </c>
      <c r="P384" s="69" t="s">
        <v>50</v>
      </c>
      <c r="Q384" s="69" t="s">
        <v>51</v>
      </c>
      <c r="R384" s="69"/>
      <c r="S384" s="48">
        <v>41261</v>
      </c>
      <c r="T384" s="48">
        <v>43340</v>
      </c>
      <c r="U384" s="69"/>
      <c r="V384" s="69"/>
      <c r="W384" s="69"/>
      <c r="X384" s="69"/>
      <c r="Y384" s="69" t="s">
        <v>4125</v>
      </c>
      <c r="Z384" s="52">
        <v>3425000</v>
      </c>
      <c r="AA384" s="43" t="s">
        <v>52</v>
      </c>
      <c r="AB384" s="43" t="s">
        <v>53</v>
      </c>
      <c r="AC384" s="85">
        <v>3395</v>
      </c>
      <c r="AD384" s="141">
        <v>9</v>
      </c>
      <c r="AE384" s="142">
        <v>4</v>
      </c>
      <c r="AF384" s="69" t="str">
        <f t="shared" ref="AF384:AF385" si="53">_xlfn.CONCAT(AG384," years ",AH384," days")</f>
        <v>6 years 128 days</v>
      </c>
      <c r="AG384" s="69">
        <v>6</v>
      </c>
      <c r="AH384" s="69">
        <v>128</v>
      </c>
      <c r="AI384" s="69">
        <v>3425000</v>
      </c>
      <c r="AJ384" s="67">
        <v>2337474</v>
      </c>
      <c r="AK384" s="69">
        <v>2025</v>
      </c>
      <c r="AL384" s="61">
        <v>182599.63770250371</v>
      </c>
      <c r="AM384" s="143"/>
    </row>
    <row r="385" spans="1:39" x14ac:dyDescent="0.35">
      <c r="A385" s="69" t="s">
        <v>4124</v>
      </c>
      <c r="B385" s="41">
        <v>1101400604</v>
      </c>
      <c r="C385" s="41"/>
      <c r="D385" s="41" t="s">
        <v>1180</v>
      </c>
      <c r="E385" s="101">
        <v>1</v>
      </c>
      <c r="F385" s="41" t="s">
        <v>1152</v>
      </c>
      <c r="G385" s="69" t="s">
        <v>1151</v>
      </c>
      <c r="H385" s="41">
        <v>9008000004</v>
      </c>
      <c r="I385" s="41" t="s">
        <v>593</v>
      </c>
      <c r="J385" s="41">
        <v>1202020101</v>
      </c>
      <c r="K385" s="41" t="s">
        <v>1185</v>
      </c>
      <c r="L385" s="52" t="s">
        <v>1186</v>
      </c>
      <c r="M385" s="69" t="s">
        <v>49</v>
      </c>
      <c r="N385" s="69"/>
      <c r="O385" s="69">
        <v>1</v>
      </c>
      <c r="P385" s="69" t="s">
        <v>50</v>
      </c>
      <c r="Q385" s="69" t="s">
        <v>51</v>
      </c>
      <c r="R385" s="69"/>
      <c r="S385" s="48">
        <v>40636</v>
      </c>
      <c r="T385" s="48">
        <v>43340</v>
      </c>
      <c r="U385" s="69"/>
      <c r="V385" s="69"/>
      <c r="W385" s="69"/>
      <c r="X385" s="69"/>
      <c r="Y385" s="69" t="s">
        <v>4125</v>
      </c>
      <c r="Z385" s="52">
        <v>62500</v>
      </c>
      <c r="AA385" s="43" t="s">
        <v>52</v>
      </c>
      <c r="AB385" s="43" t="s">
        <v>53</v>
      </c>
      <c r="AC385" s="85">
        <v>949</v>
      </c>
      <c r="AD385" s="141">
        <v>2</v>
      </c>
      <c r="AE385" s="142">
        <v>7</v>
      </c>
      <c r="AF385" s="69" t="str">
        <f t="shared" si="53"/>
        <v>2 years 219 days</v>
      </c>
      <c r="AG385" s="69">
        <v>2</v>
      </c>
      <c r="AH385" s="69">
        <v>219</v>
      </c>
      <c r="AI385" s="69">
        <v>62500</v>
      </c>
      <c r="AJ385" s="67">
        <v>62500</v>
      </c>
      <c r="AK385" s="69">
        <v>2025</v>
      </c>
      <c r="AL385" s="61">
        <v>0</v>
      </c>
      <c r="AM385" s="143"/>
    </row>
    <row r="386" spans="1:39" x14ac:dyDescent="0.35">
      <c r="A386" s="69" t="s">
        <v>4124</v>
      </c>
      <c r="B386" s="41">
        <v>1101400530</v>
      </c>
      <c r="C386" s="41"/>
      <c r="D386" s="69"/>
      <c r="E386" s="101">
        <v>0</v>
      </c>
      <c r="F386" s="41" t="s">
        <v>1152</v>
      </c>
      <c r="G386" s="69" t="s">
        <v>1151</v>
      </c>
      <c r="H386" s="41">
        <v>9008000005</v>
      </c>
      <c r="I386" s="41" t="s">
        <v>593</v>
      </c>
      <c r="J386" s="41">
        <v>1202020101</v>
      </c>
      <c r="K386" s="41" t="s">
        <v>1188</v>
      </c>
      <c r="L386" s="52" t="s">
        <v>1189</v>
      </c>
      <c r="M386" s="69" t="s">
        <v>49</v>
      </c>
      <c r="N386" s="69"/>
      <c r="O386" s="69">
        <v>1</v>
      </c>
      <c r="P386" s="69" t="s">
        <v>50</v>
      </c>
      <c r="Q386" s="69" t="s">
        <v>51</v>
      </c>
      <c r="R386" s="69"/>
      <c r="S386" s="48">
        <v>40494</v>
      </c>
      <c r="T386" s="48">
        <v>43340</v>
      </c>
      <c r="U386" s="69"/>
      <c r="V386" s="69"/>
      <c r="W386" s="69"/>
      <c r="X386" s="69"/>
      <c r="Y386" s="69" t="s">
        <v>4125</v>
      </c>
      <c r="Z386" s="52">
        <v>2725000</v>
      </c>
      <c r="AA386" s="43" t="s">
        <v>52</v>
      </c>
      <c r="AB386" s="43" t="s">
        <v>53</v>
      </c>
      <c r="AC386" s="85">
        <v>2628</v>
      </c>
      <c r="AD386" s="141">
        <v>7</v>
      </c>
      <c r="AE386" s="142">
        <v>2</v>
      </c>
      <c r="AF386" s="69" t="str">
        <f t="shared" ref="AF386:AF392" si="54">_xlfn.CONCAT(AG386," years ",AH386," days")</f>
        <v>6 years 128 days</v>
      </c>
      <c r="AG386" s="69">
        <v>6</v>
      </c>
      <c r="AH386" s="69">
        <v>128</v>
      </c>
      <c r="AI386" s="69">
        <v>2725000</v>
      </c>
      <c r="AJ386" s="67">
        <v>2402521</v>
      </c>
      <c r="AK386" s="69">
        <v>2025</v>
      </c>
      <c r="AL386" s="61">
        <v>187680.67427701643</v>
      </c>
      <c r="AM386" s="143"/>
    </row>
    <row r="387" spans="1:39" x14ac:dyDescent="0.35">
      <c r="A387" s="69" t="s">
        <v>4124</v>
      </c>
      <c r="B387" s="41">
        <v>1101400488</v>
      </c>
      <c r="C387" s="41"/>
      <c r="D387" s="41" t="s">
        <v>1187</v>
      </c>
      <c r="E387" s="101">
        <v>1</v>
      </c>
      <c r="F387" s="41" t="s">
        <v>1152</v>
      </c>
      <c r="G387" s="69" t="s">
        <v>1151</v>
      </c>
      <c r="H387" s="41">
        <v>9008000005</v>
      </c>
      <c r="I387" s="41" t="s">
        <v>593</v>
      </c>
      <c r="J387" s="41">
        <v>1202020101</v>
      </c>
      <c r="K387" s="41" t="s">
        <v>1191</v>
      </c>
      <c r="L387" s="52" t="s">
        <v>1192</v>
      </c>
      <c r="M387" s="69" t="s">
        <v>49</v>
      </c>
      <c r="N387" s="69"/>
      <c r="O387" s="69">
        <v>1</v>
      </c>
      <c r="P387" s="69" t="s">
        <v>50</v>
      </c>
      <c r="Q387" s="69" t="s">
        <v>51</v>
      </c>
      <c r="R387" s="69"/>
      <c r="S387" s="48">
        <v>40422</v>
      </c>
      <c r="T387" s="48">
        <v>43340</v>
      </c>
      <c r="U387" s="69"/>
      <c r="V387" s="69"/>
      <c r="W387" s="69"/>
      <c r="X387" s="69"/>
      <c r="Y387" s="69" t="s">
        <v>4125</v>
      </c>
      <c r="Z387" s="52">
        <v>225000</v>
      </c>
      <c r="AA387" s="43" t="s">
        <v>52</v>
      </c>
      <c r="AB387" s="43" t="s">
        <v>53</v>
      </c>
      <c r="AC387" s="85">
        <v>2555</v>
      </c>
      <c r="AD387" s="141">
        <v>7</v>
      </c>
      <c r="AE387" s="142">
        <v>0</v>
      </c>
      <c r="AF387" s="69" t="str">
        <f t="shared" si="54"/>
        <v>6 years 128 days</v>
      </c>
      <c r="AG387" s="69">
        <v>6</v>
      </c>
      <c r="AH387" s="69">
        <v>128</v>
      </c>
      <c r="AI387" s="69">
        <v>225000</v>
      </c>
      <c r="AJ387" s="67">
        <v>204041</v>
      </c>
      <c r="AK387" s="69">
        <v>2025</v>
      </c>
      <c r="AL387" s="61">
        <v>15939.430528375728</v>
      </c>
      <c r="AM387" s="143"/>
    </row>
    <row r="388" spans="1:39" x14ac:dyDescent="0.35">
      <c r="A388" s="69" t="s">
        <v>4124</v>
      </c>
      <c r="B388" s="41">
        <v>1101400533</v>
      </c>
      <c r="C388" s="41"/>
      <c r="D388" s="41" t="s">
        <v>1187</v>
      </c>
      <c r="E388" s="101">
        <v>2</v>
      </c>
      <c r="F388" s="41" t="s">
        <v>1152</v>
      </c>
      <c r="G388" s="69" t="s">
        <v>1151</v>
      </c>
      <c r="H388" s="41">
        <v>9008000005</v>
      </c>
      <c r="I388" s="41" t="s">
        <v>593</v>
      </c>
      <c r="J388" s="41">
        <v>1202020101</v>
      </c>
      <c r="K388" s="41" t="s">
        <v>1194</v>
      </c>
      <c r="L388" s="52" t="s">
        <v>1195</v>
      </c>
      <c r="M388" s="69" t="s">
        <v>49</v>
      </c>
      <c r="N388" s="69"/>
      <c r="O388" s="69">
        <v>1</v>
      </c>
      <c r="P388" s="69" t="s">
        <v>50</v>
      </c>
      <c r="Q388" s="69" t="s">
        <v>51</v>
      </c>
      <c r="R388" s="69"/>
      <c r="S388" s="48">
        <v>40495</v>
      </c>
      <c r="T388" s="48">
        <v>43340</v>
      </c>
      <c r="U388" s="69"/>
      <c r="V388" s="69"/>
      <c r="W388" s="69"/>
      <c r="X388" s="69"/>
      <c r="Y388" s="69" t="s">
        <v>4125</v>
      </c>
      <c r="Z388" s="52">
        <v>120000</v>
      </c>
      <c r="AA388" s="43" t="s">
        <v>52</v>
      </c>
      <c r="AB388" s="43" t="s">
        <v>53</v>
      </c>
      <c r="AC388" s="85">
        <v>2628</v>
      </c>
      <c r="AD388" s="141">
        <v>7</v>
      </c>
      <c r="AE388" s="142">
        <v>2</v>
      </c>
      <c r="AF388" s="69" t="str">
        <f t="shared" si="54"/>
        <v>6 years 128 days</v>
      </c>
      <c r="AG388" s="69">
        <v>6</v>
      </c>
      <c r="AH388" s="69">
        <v>128</v>
      </c>
      <c r="AI388" s="69">
        <v>120000</v>
      </c>
      <c r="AJ388" s="67">
        <v>105799</v>
      </c>
      <c r="AK388" s="69">
        <v>2025</v>
      </c>
      <c r="AL388" s="61">
        <v>8264.9269406392705</v>
      </c>
      <c r="AM388" s="143"/>
    </row>
    <row r="389" spans="1:39" x14ac:dyDescent="0.35">
      <c r="A389" s="69" t="s">
        <v>4124</v>
      </c>
      <c r="B389" s="41">
        <v>1101400617</v>
      </c>
      <c r="C389" s="41"/>
      <c r="D389" s="41" t="s">
        <v>1187</v>
      </c>
      <c r="E389" s="101">
        <v>3</v>
      </c>
      <c r="F389" s="41" t="s">
        <v>1152</v>
      </c>
      <c r="G389" s="69" t="s">
        <v>1151</v>
      </c>
      <c r="H389" s="41">
        <v>9008000005</v>
      </c>
      <c r="I389" s="41" t="s">
        <v>593</v>
      </c>
      <c r="J389" s="41">
        <v>1202020101</v>
      </c>
      <c r="K389" s="41" t="s">
        <v>1197</v>
      </c>
      <c r="L389" s="52" t="s">
        <v>1198</v>
      </c>
      <c r="M389" s="69" t="s">
        <v>49</v>
      </c>
      <c r="N389" s="69"/>
      <c r="O389" s="69">
        <v>1</v>
      </c>
      <c r="P389" s="69" t="s">
        <v>50</v>
      </c>
      <c r="Q389" s="69" t="s">
        <v>51</v>
      </c>
      <c r="R389" s="69"/>
      <c r="S389" s="48">
        <v>40693</v>
      </c>
      <c r="T389" s="48">
        <v>43340</v>
      </c>
      <c r="U389" s="69"/>
      <c r="V389" s="69"/>
      <c r="W389" s="69"/>
      <c r="X389" s="69"/>
      <c r="Y389" s="69" t="s">
        <v>4125</v>
      </c>
      <c r="Z389" s="52">
        <v>12000</v>
      </c>
      <c r="AA389" s="43" t="s">
        <v>52</v>
      </c>
      <c r="AB389" s="43" t="s">
        <v>53</v>
      </c>
      <c r="AC389" s="85">
        <v>1022</v>
      </c>
      <c r="AD389" s="141">
        <v>2</v>
      </c>
      <c r="AE389" s="142">
        <v>10</v>
      </c>
      <c r="AF389" s="69" t="str">
        <f t="shared" si="54"/>
        <v>2 years 292 days</v>
      </c>
      <c r="AG389" s="69">
        <v>2</v>
      </c>
      <c r="AH389" s="69">
        <v>292</v>
      </c>
      <c r="AI389" s="69">
        <v>12000</v>
      </c>
      <c r="AJ389" s="67">
        <v>12000</v>
      </c>
      <c r="AK389" s="69">
        <v>2025</v>
      </c>
      <c r="AL389" s="61">
        <v>0</v>
      </c>
      <c r="AM389" s="143"/>
    </row>
    <row r="390" spans="1:39" x14ac:dyDescent="0.35">
      <c r="A390" s="69" t="s">
        <v>4124</v>
      </c>
      <c r="B390" s="41">
        <v>1101101919</v>
      </c>
      <c r="C390" s="41"/>
      <c r="D390" s="41" t="s">
        <v>1187</v>
      </c>
      <c r="E390" s="101">
        <v>4</v>
      </c>
      <c r="F390" s="41" t="s">
        <v>1152</v>
      </c>
      <c r="G390" s="69" t="s">
        <v>1151</v>
      </c>
      <c r="H390" s="41">
        <v>9008000005</v>
      </c>
      <c r="I390" s="41" t="s">
        <v>593</v>
      </c>
      <c r="J390" s="41">
        <v>1202020101</v>
      </c>
      <c r="K390" s="41" t="s">
        <v>1200</v>
      </c>
      <c r="L390" s="52" t="s">
        <v>1201</v>
      </c>
      <c r="M390" s="69" t="s">
        <v>49</v>
      </c>
      <c r="N390" s="69"/>
      <c r="O390" s="69">
        <v>1</v>
      </c>
      <c r="P390" s="69" t="s">
        <v>50</v>
      </c>
      <c r="Q390" s="69" t="s">
        <v>51</v>
      </c>
      <c r="R390" s="69"/>
      <c r="S390" s="48">
        <v>42516</v>
      </c>
      <c r="T390" s="48">
        <v>43340</v>
      </c>
      <c r="U390" s="69"/>
      <c r="V390" s="69"/>
      <c r="W390" s="69"/>
      <c r="X390" s="69"/>
      <c r="Y390" s="69" t="s">
        <v>4125</v>
      </c>
      <c r="Z390" s="52">
        <v>350000</v>
      </c>
      <c r="AA390" s="43" t="s">
        <v>52</v>
      </c>
      <c r="AB390" s="43" t="s">
        <v>53</v>
      </c>
      <c r="AC390" s="85">
        <v>4636</v>
      </c>
      <c r="AD390" s="141">
        <v>12</v>
      </c>
      <c r="AE390" s="142">
        <v>9</v>
      </c>
      <c r="AF390" s="69" t="str">
        <f t="shared" si="54"/>
        <v>6 years 128 days</v>
      </c>
      <c r="AG390" s="69">
        <v>6</v>
      </c>
      <c r="AH390" s="69">
        <v>128</v>
      </c>
      <c r="AI390" s="69">
        <v>350000</v>
      </c>
      <c r="AJ390" s="67">
        <v>174925</v>
      </c>
      <c r="AK390" s="69">
        <v>2025</v>
      </c>
      <c r="AL390" s="61">
        <v>13664.301121656579</v>
      </c>
      <c r="AM390" s="143"/>
    </row>
    <row r="391" spans="1:39" x14ac:dyDescent="0.35">
      <c r="A391" s="69" t="s">
        <v>4124</v>
      </c>
      <c r="B391" s="41">
        <v>1101101443</v>
      </c>
      <c r="C391" s="41"/>
      <c r="D391" s="41" t="s">
        <v>1187</v>
      </c>
      <c r="E391" s="101">
        <v>5</v>
      </c>
      <c r="F391" s="41" t="s">
        <v>1152</v>
      </c>
      <c r="G391" s="69" t="s">
        <v>1151</v>
      </c>
      <c r="H391" s="41">
        <v>9008000005</v>
      </c>
      <c r="I391" s="41" t="s">
        <v>593</v>
      </c>
      <c r="J391" s="41">
        <v>1202020101</v>
      </c>
      <c r="K391" s="41"/>
      <c r="L391" s="52" t="s">
        <v>1203</v>
      </c>
      <c r="M391" s="69" t="s">
        <v>1204</v>
      </c>
      <c r="N391" s="69"/>
      <c r="O391" s="69">
        <v>1</v>
      </c>
      <c r="P391" s="69" t="s">
        <v>50</v>
      </c>
      <c r="Q391" s="69" t="s">
        <v>51</v>
      </c>
      <c r="R391" s="69"/>
      <c r="S391" s="48">
        <v>41820</v>
      </c>
      <c r="T391" s="48">
        <v>43340</v>
      </c>
      <c r="U391" s="69"/>
      <c r="V391" s="69"/>
      <c r="W391" s="69"/>
      <c r="X391" s="69"/>
      <c r="Y391" s="69" t="s">
        <v>4125</v>
      </c>
      <c r="Z391" s="52">
        <v>850000</v>
      </c>
      <c r="AA391" s="43" t="s">
        <v>52</v>
      </c>
      <c r="AB391" s="43" t="s">
        <v>53</v>
      </c>
      <c r="AC391" s="85">
        <v>3942</v>
      </c>
      <c r="AD391" s="141">
        <v>10</v>
      </c>
      <c r="AE391" s="142">
        <v>10</v>
      </c>
      <c r="AF391" s="69" t="str">
        <f t="shared" si="54"/>
        <v>6 years 128 days</v>
      </c>
      <c r="AG391" s="69">
        <v>6</v>
      </c>
      <c r="AH391" s="69">
        <v>128</v>
      </c>
      <c r="AI391" s="69">
        <v>850000</v>
      </c>
      <c r="AJ391" s="67">
        <v>499607</v>
      </c>
      <c r="AK391" s="69">
        <v>2025</v>
      </c>
      <c r="AL391" s="61">
        <v>39028.210553018842</v>
      </c>
      <c r="AM391" s="143"/>
    </row>
    <row r="392" spans="1:39" x14ac:dyDescent="0.35">
      <c r="A392" s="69" t="s">
        <v>4124</v>
      </c>
      <c r="B392" s="41">
        <v>1101101486</v>
      </c>
      <c r="C392" s="41"/>
      <c r="D392" s="41" t="s">
        <v>1187</v>
      </c>
      <c r="E392" s="101">
        <v>6</v>
      </c>
      <c r="F392" s="41" t="s">
        <v>1152</v>
      </c>
      <c r="G392" s="69" t="s">
        <v>1151</v>
      </c>
      <c r="H392" s="41">
        <v>9008000005</v>
      </c>
      <c r="I392" s="41" t="s">
        <v>593</v>
      </c>
      <c r="J392" s="41">
        <v>1202020101</v>
      </c>
      <c r="K392" s="41"/>
      <c r="L392" s="52" t="s">
        <v>1206</v>
      </c>
      <c r="M392" s="69" t="s">
        <v>1204</v>
      </c>
      <c r="N392" s="69"/>
      <c r="O392" s="69">
        <v>1</v>
      </c>
      <c r="P392" s="69" t="s">
        <v>50</v>
      </c>
      <c r="Q392" s="69" t="s">
        <v>51</v>
      </c>
      <c r="R392" s="69"/>
      <c r="S392" s="48">
        <v>41885</v>
      </c>
      <c r="T392" s="48">
        <v>43340</v>
      </c>
      <c r="U392" s="69"/>
      <c r="V392" s="69"/>
      <c r="W392" s="69"/>
      <c r="X392" s="69"/>
      <c r="Y392" s="69" t="s">
        <v>4125</v>
      </c>
      <c r="Z392" s="52">
        <v>760000</v>
      </c>
      <c r="AA392" s="43" t="s">
        <v>52</v>
      </c>
      <c r="AB392" s="43" t="s">
        <v>53</v>
      </c>
      <c r="AC392" s="85">
        <v>4015</v>
      </c>
      <c r="AD392" s="141">
        <v>11</v>
      </c>
      <c r="AE392" s="142">
        <v>0</v>
      </c>
      <c r="AF392" s="69" t="str">
        <f t="shared" si="54"/>
        <v>6 years 128 days</v>
      </c>
      <c r="AG392" s="69">
        <v>6</v>
      </c>
      <c r="AH392" s="69">
        <v>128</v>
      </c>
      <c r="AI392" s="69">
        <v>760000</v>
      </c>
      <c r="AJ392" s="67">
        <v>438585</v>
      </c>
      <c r="AK392" s="69">
        <v>2025</v>
      </c>
      <c r="AL392" s="61">
        <v>34261.824408468266</v>
      </c>
      <c r="AM392" s="143"/>
    </row>
    <row r="393" spans="1:39" x14ac:dyDescent="0.35">
      <c r="A393" s="69" t="s">
        <v>4124</v>
      </c>
      <c r="B393" s="41">
        <v>1101400531</v>
      </c>
      <c r="C393" s="41"/>
      <c r="D393" s="69"/>
      <c r="E393" s="101">
        <v>0</v>
      </c>
      <c r="F393" s="41" t="s">
        <v>1152</v>
      </c>
      <c r="G393" s="69" t="s">
        <v>1151</v>
      </c>
      <c r="H393" s="41">
        <v>9008000006</v>
      </c>
      <c r="I393" s="41" t="s">
        <v>593</v>
      </c>
      <c r="J393" s="41">
        <v>1202020101</v>
      </c>
      <c r="K393" s="41" t="s">
        <v>1208</v>
      </c>
      <c r="L393" s="52" t="s">
        <v>1209</v>
      </c>
      <c r="M393" s="69" t="s">
        <v>49</v>
      </c>
      <c r="N393" s="69"/>
      <c r="O393" s="69">
        <v>1</v>
      </c>
      <c r="P393" s="69" t="s">
        <v>50</v>
      </c>
      <c r="Q393" s="69" t="s">
        <v>51</v>
      </c>
      <c r="R393" s="69"/>
      <c r="S393" s="48">
        <v>40494</v>
      </c>
      <c r="T393" s="48">
        <v>43340</v>
      </c>
      <c r="U393" s="69"/>
      <c r="V393" s="69"/>
      <c r="W393" s="69"/>
      <c r="X393" s="69"/>
      <c r="Y393" s="69" t="s">
        <v>4125</v>
      </c>
      <c r="Z393" s="52">
        <v>2725000</v>
      </c>
      <c r="AA393" s="43" t="s">
        <v>52</v>
      </c>
      <c r="AB393" s="43" t="s">
        <v>53</v>
      </c>
      <c r="AC393" s="85">
        <v>2628</v>
      </c>
      <c r="AD393" s="141">
        <v>7</v>
      </c>
      <c r="AE393" s="142">
        <v>2</v>
      </c>
      <c r="AF393" s="69" t="str">
        <f t="shared" ref="AF393:AF397" si="55">_xlfn.CONCAT(AG393," years ",AH393," days")</f>
        <v>6 years 128 days</v>
      </c>
      <c r="AG393" s="69">
        <v>6</v>
      </c>
      <c r="AH393" s="69">
        <v>128</v>
      </c>
      <c r="AI393" s="69">
        <v>2725000</v>
      </c>
      <c r="AJ393" s="67">
        <v>2402521</v>
      </c>
      <c r="AK393" s="69">
        <v>2025</v>
      </c>
      <c r="AL393" s="61">
        <v>187680.67427701643</v>
      </c>
      <c r="AM393" s="143"/>
    </row>
    <row r="394" spans="1:39" x14ac:dyDescent="0.35">
      <c r="A394" s="69" t="s">
        <v>4124</v>
      </c>
      <c r="B394" s="41">
        <v>1101400534</v>
      </c>
      <c r="C394" s="41"/>
      <c r="D394" s="41" t="s">
        <v>1207</v>
      </c>
      <c r="E394" s="101">
        <v>1</v>
      </c>
      <c r="F394" s="41" t="s">
        <v>1152</v>
      </c>
      <c r="G394" s="69" t="s">
        <v>1151</v>
      </c>
      <c r="H394" s="41">
        <v>9008000006</v>
      </c>
      <c r="I394" s="41" t="s">
        <v>593</v>
      </c>
      <c r="J394" s="41">
        <v>1202020101</v>
      </c>
      <c r="K394" s="41" t="s">
        <v>1211</v>
      </c>
      <c r="L394" s="52" t="s">
        <v>1212</v>
      </c>
      <c r="M394" s="69" t="s">
        <v>49</v>
      </c>
      <c r="N394" s="69"/>
      <c r="O394" s="69">
        <v>1</v>
      </c>
      <c r="P394" s="69" t="s">
        <v>50</v>
      </c>
      <c r="Q394" s="69" t="s">
        <v>51</v>
      </c>
      <c r="R394" s="69"/>
      <c r="S394" s="48">
        <v>40495</v>
      </c>
      <c r="T394" s="48">
        <v>43340</v>
      </c>
      <c r="U394" s="69"/>
      <c r="V394" s="69"/>
      <c r="W394" s="69"/>
      <c r="X394" s="69"/>
      <c r="Y394" s="69" t="s">
        <v>4125</v>
      </c>
      <c r="Z394" s="52">
        <v>120000</v>
      </c>
      <c r="AA394" s="43" t="s">
        <v>52</v>
      </c>
      <c r="AB394" s="43" t="s">
        <v>53</v>
      </c>
      <c r="AC394" s="85">
        <v>2628</v>
      </c>
      <c r="AD394" s="141">
        <v>7</v>
      </c>
      <c r="AE394" s="142">
        <v>2</v>
      </c>
      <c r="AF394" s="69" t="str">
        <f t="shared" si="55"/>
        <v>6 years 128 days</v>
      </c>
      <c r="AG394" s="69">
        <v>6</v>
      </c>
      <c r="AH394" s="69">
        <v>128</v>
      </c>
      <c r="AI394" s="69">
        <v>120000</v>
      </c>
      <c r="AJ394" s="67">
        <v>105799</v>
      </c>
      <c r="AK394" s="69">
        <v>2025</v>
      </c>
      <c r="AL394" s="61">
        <v>8264.9269406392705</v>
      </c>
      <c r="AM394" s="143"/>
    </row>
    <row r="395" spans="1:39" x14ac:dyDescent="0.35">
      <c r="A395" s="69" t="s">
        <v>4124</v>
      </c>
      <c r="B395" s="41">
        <v>1101400535</v>
      </c>
      <c r="C395" s="41"/>
      <c r="D395" s="69"/>
      <c r="E395" s="101">
        <v>0</v>
      </c>
      <c r="F395" s="41" t="s">
        <v>1152</v>
      </c>
      <c r="G395" s="69" t="s">
        <v>1151</v>
      </c>
      <c r="H395" s="41">
        <v>9008000007</v>
      </c>
      <c r="I395" s="41" t="s">
        <v>593</v>
      </c>
      <c r="J395" s="41">
        <v>1202020101</v>
      </c>
      <c r="K395" s="41" t="s">
        <v>1214</v>
      </c>
      <c r="L395" s="52" t="s">
        <v>1215</v>
      </c>
      <c r="M395" s="69" t="s">
        <v>49</v>
      </c>
      <c r="N395" s="69"/>
      <c r="O395" s="69">
        <v>1</v>
      </c>
      <c r="P395" s="69" t="s">
        <v>50</v>
      </c>
      <c r="Q395" s="69" t="s">
        <v>51</v>
      </c>
      <c r="R395" s="69"/>
      <c r="S395" s="48">
        <v>40498</v>
      </c>
      <c r="T395" s="48">
        <v>43340</v>
      </c>
      <c r="U395" s="69"/>
      <c r="V395" s="69"/>
      <c r="W395" s="69"/>
      <c r="X395" s="69"/>
      <c r="Y395" s="69" t="s">
        <v>4125</v>
      </c>
      <c r="Z395" s="52">
        <v>2725000</v>
      </c>
      <c r="AA395" s="43" t="s">
        <v>52</v>
      </c>
      <c r="AB395" s="43" t="s">
        <v>53</v>
      </c>
      <c r="AC395" s="85">
        <v>2628</v>
      </c>
      <c r="AD395" s="141">
        <v>7</v>
      </c>
      <c r="AE395" s="142">
        <v>2</v>
      </c>
      <c r="AF395" s="69" t="str">
        <f t="shared" si="55"/>
        <v>6 years 128 days</v>
      </c>
      <c r="AG395" s="69">
        <v>6</v>
      </c>
      <c r="AH395" s="69">
        <v>128</v>
      </c>
      <c r="AI395" s="69">
        <v>2725000</v>
      </c>
      <c r="AJ395" s="67">
        <v>2402521</v>
      </c>
      <c r="AK395" s="69">
        <v>2025</v>
      </c>
      <c r="AL395" s="61">
        <v>187680.67427701643</v>
      </c>
      <c r="AM395" s="143"/>
    </row>
    <row r="396" spans="1:39" x14ac:dyDescent="0.35">
      <c r="A396" s="69" t="s">
        <v>4124</v>
      </c>
      <c r="B396" s="41">
        <v>1101400587</v>
      </c>
      <c r="C396" s="41"/>
      <c r="D396" s="41" t="s">
        <v>1213</v>
      </c>
      <c r="E396" s="101">
        <v>1</v>
      </c>
      <c r="F396" s="41" t="s">
        <v>1152</v>
      </c>
      <c r="G396" s="69" t="s">
        <v>1151</v>
      </c>
      <c r="H396" s="41">
        <v>9008000007</v>
      </c>
      <c r="I396" s="41" t="s">
        <v>593</v>
      </c>
      <c r="J396" s="41">
        <v>1202020101</v>
      </c>
      <c r="K396" s="41" t="s">
        <v>1217</v>
      </c>
      <c r="L396" s="52" t="s">
        <v>1218</v>
      </c>
      <c r="M396" s="69" t="s">
        <v>49</v>
      </c>
      <c r="N396" s="69"/>
      <c r="O396" s="69">
        <v>1</v>
      </c>
      <c r="P396" s="69" t="s">
        <v>50</v>
      </c>
      <c r="Q396" s="69" t="s">
        <v>51</v>
      </c>
      <c r="R396" s="69"/>
      <c r="S396" s="48">
        <v>40617</v>
      </c>
      <c r="T396" s="48">
        <v>43340</v>
      </c>
      <c r="U396" s="69"/>
      <c r="V396" s="69"/>
      <c r="W396" s="69"/>
      <c r="X396" s="69"/>
      <c r="Y396" s="69" t="s">
        <v>4125</v>
      </c>
      <c r="Z396" s="52">
        <v>45000</v>
      </c>
      <c r="AA396" s="43" t="s">
        <v>52</v>
      </c>
      <c r="AB396" s="43" t="s">
        <v>53</v>
      </c>
      <c r="AC396" s="85">
        <v>913</v>
      </c>
      <c r="AD396" s="141">
        <v>2</v>
      </c>
      <c r="AE396" s="142">
        <v>6</v>
      </c>
      <c r="AF396" s="69" t="str">
        <f t="shared" si="55"/>
        <v>2 years 183 days</v>
      </c>
      <c r="AG396" s="69">
        <v>2</v>
      </c>
      <c r="AH396" s="69">
        <v>183</v>
      </c>
      <c r="AI396" s="69">
        <v>45000</v>
      </c>
      <c r="AJ396" s="67">
        <v>45000</v>
      </c>
      <c r="AK396" s="69">
        <v>2025</v>
      </c>
      <c r="AL396" s="61">
        <v>0</v>
      </c>
      <c r="AM396" s="143"/>
    </row>
    <row r="397" spans="1:39" x14ac:dyDescent="0.35">
      <c r="A397" s="69" t="s">
        <v>4124</v>
      </c>
      <c r="B397" s="41">
        <v>1101400622</v>
      </c>
      <c r="C397" s="41"/>
      <c r="D397" s="41" t="s">
        <v>1213</v>
      </c>
      <c r="E397" s="101">
        <v>2</v>
      </c>
      <c r="F397" s="41" t="s">
        <v>1152</v>
      </c>
      <c r="G397" s="69" t="s">
        <v>1151</v>
      </c>
      <c r="H397" s="41">
        <v>9008000007</v>
      </c>
      <c r="I397" s="41" t="s">
        <v>593</v>
      </c>
      <c r="J397" s="41">
        <v>1202020101</v>
      </c>
      <c r="K397" s="41" t="s">
        <v>1223</v>
      </c>
      <c r="L397" s="52" t="s">
        <v>1224</v>
      </c>
      <c r="M397" s="69" t="s">
        <v>49</v>
      </c>
      <c r="N397" s="69"/>
      <c r="O397" s="69">
        <v>2</v>
      </c>
      <c r="P397" s="69" t="s">
        <v>50</v>
      </c>
      <c r="Q397" s="69" t="s">
        <v>51</v>
      </c>
      <c r="R397" s="69"/>
      <c r="S397" s="48">
        <v>40725</v>
      </c>
      <c r="T397" s="48">
        <v>43340</v>
      </c>
      <c r="U397" s="69"/>
      <c r="V397" s="69"/>
      <c r="W397" s="69"/>
      <c r="X397" s="69"/>
      <c r="Y397" s="69" t="s">
        <v>4125</v>
      </c>
      <c r="Z397" s="52">
        <v>49000</v>
      </c>
      <c r="AA397" s="43" t="s">
        <v>52</v>
      </c>
      <c r="AB397" s="43" t="s">
        <v>53</v>
      </c>
      <c r="AC397" s="85">
        <v>1022</v>
      </c>
      <c r="AD397" s="141">
        <v>2</v>
      </c>
      <c r="AE397" s="142">
        <v>10</v>
      </c>
      <c r="AF397" s="69" t="str">
        <f t="shared" si="55"/>
        <v>2 years 292 days</v>
      </c>
      <c r="AG397" s="69">
        <v>2</v>
      </c>
      <c r="AH397" s="69">
        <v>292</v>
      </c>
      <c r="AI397" s="69">
        <v>49000</v>
      </c>
      <c r="AJ397" s="67">
        <v>49000</v>
      </c>
      <c r="AK397" s="69">
        <v>2025</v>
      </c>
      <c r="AL397" s="61">
        <v>0</v>
      </c>
      <c r="AM397" s="143"/>
    </row>
    <row r="398" spans="1:39" x14ac:dyDescent="0.35">
      <c r="A398" s="69" t="s">
        <v>4124</v>
      </c>
      <c r="B398" s="41">
        <v>1101400540</v>
      </c>
      <c r="C398" s="41"/>
      <c r="D398" s="69"/>
      <c r="E398" s="101">
        <v>0</v>
      </c>
      <c r="F398" s="41" t="s">
        <v>1152</v>
      </c>
      <c r="G398" s="69" t="s">
        <v>1151</v>
      </c>
      <c r="H398" s="41">
        <v>9008000008</v>
      </c>
      <c r="I398" s="41" t="s">
        <v>593</v>
      </c>
      <c r="J398" s="41">
        <v>1202020101</v>
      </c>
      <c r="K398" s="41" t="s">
        <v>1220</v>
      </c>
      <c r="L398" s="52" t="s">
        <v>1221</v>
      </c>
      <c r="M398" s="69" t="s">
        <v>49</v>
      </c>
      <c r="N398" s="69"/>
      <c r="O398" s="69">
        <v>1</v>
      </c>
      <c r="P398" s="69" t="s">
        <v>50</v>
      </c>
      <c r="Q398" s="69" t="s">
        <v>51</v>
      </c>
      <c r="R398" s="69"/>
      <c r="S398" s="48">
        <v>40507</v>
      </c>
      <c r="T398" s="48">
        <v>43340</v>
      </c>
      <c r="U398" s="69"/>
      <c r="V398" s="69"/>
      <c r="W398" s="69"/>
      <c r="X398" s="69"/>
      <c r="Y398" s="69" t="s">
        <v>4125</v>
      </c>
      <c r="Z398" s="52">
        <v>2725000</v>
      </c>
      <c r="AA398" s="43" t="s">
        <v>52</v>
      </c>
      <c r="AB398" s="43" t="s">
        <v>53</v>
      </c>
      <c r="AC398" s="85">
        <v>2628</v>
      </c>
      <c r="AD398" s="141">
        <v>7</v>
      </c>
      <c r="AE398" s="142">
        <v>2</v>
      </c>
      <c r="AF398" s="69" t="str">
        <f t="shared" ref="AF398:AF399" si="56">_xlfn.CONCAT(AG398," years ",AH398," days")</f>
        <v>6 years 128 days</v>
      </c>
      <c r="AG398" s="69">
        <v>6</v>
      </c>
      <c r="AH398" s="69">
        <v>128</v>
      </c>
      <c r="AI398" s="69">
        <v>2725000</v>
      </c>
      <c r="AJ398" s="67">
        <v>2402521</v>
      </c>
      <c r="AK398" s="69">
        <v>2025</v>
      </c>
      <c r="AL398" s="61">
        <v>187680.67427701643</v>
      </c>
      <c r="AM398" s="143"/>
    </row>
    <row r="399" spans="1:39" x14ac:dyDescent="0.35">
      <c r="A399" s="69" t="s">
        <v>4124</v>
      </c>
      <c r="B399" s="41">
        <v>1101400588</v>
      </c>
      <c r="C399" s="41"/>
      <c r="D399" s="41" t="s">
        <v>1219</v>
      </c>
      <c r="E399" s="101">
        <v>1</v>
      </c>
      <c r="F399" s="41" t="s">
        <v>1152</v>
      </c>
      <c r="G399" s="69" t="s">
        <v>1151</v>
      </c>
      <c r="H399" s="41">
        <v>9008000008</v>
      </c>
      <c r="I399" s="41" t="s">
        <v>593</v>
      </c>
      <c r="J399" s="41">
        <v>1202020101</v>
      </c>
      <c r="K399" s="41" t="s">
        <v>1226</v>
      </c>
      <c r="L399" s="52" t="s">
        <v>1227</v>
      </c>
      <c r="M399" s="69" t="s">
        <v>49</v>
      </c>
      <c r="N399" s="69"/>
      <c r="O399" s="69">
        <v>1</v>
      </c>
      <c r="P399" s="69" t="s">
        <v>50</v>
      </c>
      <c r="Q399" s="69" t="s">
        <v>51</v>
      </c>
      <c r="R399" s="69"/>
      <c r="S399" s="48">
        <v>40617</v>
      </c>
      <c r="T399" s="48">
        <v>43340</v>
      </c>
      <c r="U399" s="69"/>
      <c r="V399" s="69"/>
      <c r="W399" s="69"/>
      <c r="X399" s="69"/>
      <c r="Y399" s="69" t="s">
        <v>4125</v>
      </c>
      <c r="Z399" s="52">
        <v>135000</v>
      </c>
      <c r="AA399" s="43" t="s">
        <v>52</v>
      </c>
      <c r="AB399" s="43" t="s">
        <v>53</v>
      </c>
      <c r="AC399" s="85">
        <v>2738</v>
      </c>
      <c r="AD399" s="141">
        <v>7</v>
      </c>
      <c r="AE399" s="142">
        <v>6</v>
      </c>
      <c r="AF399" s="69" t="str">
        <f t="shared" si="56"/>
        <v>6 years 128 days</v>
      </c>
      <c r="AG399" s="69">
        <v>6</v>
      </c>
      <c r="AH399" s="69">
        <v>128</v>
      </c>
      <c r="AI399" s="69">
        <v>135000</v>
      </c>
      <c r="AJ399" s="67">
        <v>114242</v>
      </c>
      <c r="AK399" s="69">
        <v>2025</v>
      </c>
      <c r="AL399" s="61">
        <v>8924.5449233016698</v>
      </c>
      <c r="AM399" s="143"/>
    </row>
    <row r="400" spans="1:39" x14ac:dyDescent="0.35">
      <c r="A400" s="69" t="s">
        <v>4124</v>
      </c>
      <c r="B400" s="41">
        <v>1101400541</v>
      </c>
      <c r="C400" s="41"/>
      <c r="D400" s="69"/>
      <c r="E400" s="101">
        <v>0</v>
      </c>
      <c r="F400" s="41" t="s">
        <v>1152</v>
      </c>
      <c r="G400" s="69" t="s">
        <v>1151</v>
      </c>
      <c r="H400" s="41">
        <v>9008000009</v>
      </c>
      <c r="I400" s="41" t="s">
        <v>593</v>
      </c>
      <c r="J400" s="41">
        <v>1202020101</v>
      </c>
      <c r="K400" s="41" t="s">
        <v>1229</v>
      </c>
      <c r="L400" s="52" t="s">
        <v>1230</v>
      </c>
      <c r="M400" s="69" t="s">
        <v>49</v>
      </c>
      <c r="N400" s="69"/>
      <c r="O400" s="69">
        <v>1</v>
      </c>
      <c r="P400" s="69" t="s">
        <v>50</v>
      </c>
      <c r="Q400" s="69" t="s">
        <v>51</v>
      </c>
      <c r="R400" s="69"/>
      <c r="S400" s="48">
        <v>40507</v>
      </c>
      <c r="T400" s="48">
        <v>43340</v>
      </c>
      <c r="U400" s="69"/>
      <c r="V400" s="69"/>
      <c r="W400" s="69"/>
      <c r="X400" s="69"/>
      <c r="Y400" s="69" t="s">
        <v>4125</v>
      </c>
      <c r="Z400" s="52">
        <v>2725000</v>
      </c>
      <c r="AA400" s="43" t="s">
        <v>52</v>
      </c>
      <c r="AB400" s="43" t="s">
        <v>53</v>
      </c>
      <c r="AC400" s="85">
        <v>2628</v>
      </c>
      <c r="AD400" s="141">
        <v>7</v>
      </c>
      <c r="AE400" s="142">
        <v>2</v>
      </c>
      <c r="AF400" s="69" t="str">
        <f t="shared" ref="AF400:AF402" si="57">_xlfn.CONCAT(AG400," years ",AH400," days")</f>
        <v>6 years 128 days</v>
      </c>
      <c r="AG400" s="69">
        <v>6</v>
      </c>
      <c r="AH400" s="69">
        <v>128</v>
      </c>
      <c r="AI400" s="69">
        <v>2725000</v>
      </c>
      <c r="AJ400" s="67">
        <v>2402521</v>
      </c>
      <c r="AK400" s="69">
        <v>2025</v>
      </c>
      <c r="AL400" s="61">
        <v>187680.67427701643</v>
      </c>
      <c r="AM400" s="143"/>
    </row>
    <row r="401" spans="1:39" x14ac:dyDescent="0.35">
      <c r="A401" s="69" t="s">
        <v>4124</v>
      </c>
      <c r="B401" s="41">
        <v>1101400500</v>
      </c>
      <c r="C401" s="41"/>
      <c r="D401" s="41" t="s">
        <v>1228</v>
      </c>
      <c r="E401" s="101">
        <v>1</v>
      </c>
      <c r="F401" s="41" t="s">
        <v>1152</v>
      </c>
      <c r="G401" s="69" t="s">
        <v>1151</v>
      </c>
      <c r="H401" s="41">
        <v>9008000009</v>
      </c>
      <c r="I401" s="41" t="s">
        <v>593</v>
      </c>
      <c r="J401" s="41">
        <v>1202020101</v>
      </c>
      <c r="K401" s="41" t="s">
        <v>1232</v>
      </c>
      <c r="L401" s="52" t="s">
        <v>1233</v>
      </c>
      <c r="M401" s="69" t="s">
        <v>49</v>
      </c>
      <c r="N401" s="69"/>
      <c r="O401" s="69">
        <v>1</v>
      </c>
      <c r="P401" s="69" t="s">
        <v>50</v>
      </c>
      <c r="Q401" s="69" t="s">
        <v>51</v>
      </c>
      <c r="R401" s="69"/>
      <c r="S401" s="48">
        <v>40455</v>
      </c>
      <c r="T401" s="48">
        <v>43340</v>
      </c>
      <c r="U401" s="69"/>
      <c r="V401" s="69"/>
      <c r="W401" s="69"/>
      <c r="X401" s="69"/>
      <c r="Y401" s="69" t="s">
        <v>4125</v>
      </c>
      <c r="Z401" s="52">
        <v>290000</v>
      </c>
      <c r="AA401" s="43" t="s">
        <v>52</v>
      </c>
      <c r="AB401" s="43" t="s">
        <v>53</v>
      </c>
      <c r="AC401" s="85">
        <v>2592</v>
      </c>
      <c r="AD401" s="141">
        <v>7</v>
      </c>
      <c r="AE401" s="142">
        <v>1</v>
      </c>
      <c r="AF401" s="69" t="str">
        <f t="shared" si="57"/>
        <v>6 years 128 days</v>
      </c>
      <c r="AG401" s="69">
        <v>6</v>
      </c>
      <c r="AH401" s="69">
        <v>128</v>
      </c>
      <c r="AI401" s="69">
        <v>290000</v>
      </c>
      <c r="AJ401" s="67">
        <v>259232</v>
      </c>
      <c r="AK401" s="69">
        <v>2025</v>
      </c>
      <c r="AL401" s="61">
        <v>20251.024691357976</v>
      </c>
      <c r="AM401" s="143"/>
    </row>
    <row r="402" spans="1:39" x14ac:dyDescent="0.35">
      <c r="A402" s="69" t="s">
        <v>4124</v>
      </c>
      <c r="B402" s="41">
        <v>1101403611</v>
      </c>
      <c r="C402" s="41"/>
      <c r="D402" s="41" t="s">
        <v>1228</v>
      </c>
      <c r="E402" s="101">
        <v>2</v>
      </c>
      <c r="F402" s="41" t="s">
        <v>1152</v>
      </c>
      <c r="G402" s="69" t="s">
        <v>1151</v>
      </c>
      <c r="H402" s="41">
        <v>9008000009</v>
      </c>
      <c r="I402" s="41" t="s">
        <v>593</v>
      </c>
      <c r="J402" s="41">
        <v>1202020101</v>
      </c>
      <c r="K402" s="41" t="s">
        <v>1235</v>
      </c>
      <c r="L402" s="52" t="s">
        <v>1236</v>
      </c>
      <c r="M402" s="69" t="s">
        <v>1237</v>
      </c>
      <c r="N402" s="69"/>
      <c r="O402" s="69">
        <v>1</v>
      </c>
      <c r="P402" s="69" t="s">
        <v>50</v>
      </c>
      <c r="Q402" s="69" t="s">
        <v>51</v>
      </c>
      <c r="R402" s="69"/>
      <c r="S402" s="48">
        <v>44275</v>
      </c>
      <c r="T402" s="48">
        <v>44275</v>
      </c>
      <c r="U402" s="69"/>
      <c r="V402" s="69"/>
      <c r="W402" s="69"/>
      <c r="X402" s="69"/>
      <c r="Y402" s="69" t="s">
        <v>4128</v>
      </c>
      <c r="Z402" s="52">
        <v>788000</v>
      </c>
      <c r="AA402" s="43" t="s">
        <v>52</v>
      </c>
      <c r="AB402" s="43" t="s">
        <v>53</v>
      </c>
      <c r="AC402" s="85">
        <v>3650</v>
      </c>
      <c r="AD402" s="141">
        <v>10</v>
      </c>
      <c r="AE402" s="142">
        <v>0</v>
      </c>
      <c r="AF402" s="69" t="str">
        <f t="shared" si="57"/>
        <v>3 years 288 days</v>
      </c>
      <c r="AG402" s="69">
        <v>3</v>
      </c>
      <c r="AH402" s="69">
        <v>288</v>
      </c>
      <c r="AI402" s="69">
        <v>788000</v>
      </c>
      <c r="AJ402" s="67">
        <v>298576</v>
      </c>
      <c r="AK402" s="69">
        <v>2025</v>
      </c>
      <c r="AL402" s="61">
        <v>39076.602739726077</v>
      </c>
      <c r="AM402" s="143"/>
    </row>
    <row r="403" spans="1:39" x14ac:dyDescent="0.35">
      <c r="A403" s="69" t="s">
        <v>4124</v>
      </c>
      <c r="B403" s="41">
        <v>1101400542</v>
      </c>
      <c r="C403" s="41"/>
      <c r="D403" s="69"/>
      <c r="E403" s="101">
        <v>0</v>
      </c>
      <c r="F403" s="41" t="s">
        <v>1152</v>
      </c>
      <c r="G403" s="69" t="s">
        <v>1151</v>
      </c>
      <c r="H403" s="41">
        <v>9008000010</v>
      </c>
      <c r="I403" s="41" t="s">
        <v>593</v>
      </c>
      <c r="J403" s="41">
        <v>1202020101</v>
      </c>
      <c r="K403" s="41" t="s">
        <v>1239</v>
      </c>
      <c r="L403" s="52" t="s">
        <v>1240</v>
      </c>
      <c r="M403" s="69" t="s">
        <v>49</v>
      </c>
      <c r="N403" s="69"/>
      <c r="O403" s="69">
        <v>1</v>
      </c>
      <c r="P403" s="69" t="s">
        <v>50</v>
      </c>
      <c r="Q403" s="69" t="s">
        <v>51</v>
      </c>
      <c r="R403" s="69"/>
      <c r="S403" s="48">
        <v>40509</v>
      </c>
      <c r="T403" s="48">
        <v>43340</v>
      </c>
      <c r="U403" s="69"/>
      <c r="V403" s="69"/>
      <c r="W403" s="69"/>
      <c r="X403" s="69"/>
      <c r="Y403" s="69" t="s">
        <v>4125</v>
      </c>
      <c r="Z403" s="52">
        <v>2725000</v>
      </c>
      <c r="AA403" s="43" t="s">
        <v>52</v>
      </c>
      <c r="AB403" s="43" t="s">
        <v>53</v>
      </c>
      <c r="AC403" s="85">
        <v>2628</v>
      </c>
      <c r="AD403" s="141">
        <v>7</v>
      </c>
      <c r="AE403" s="142">
        <v>2</v>
      </c>
      <c r="AF403" s="69" t="str">
        <f t="shared" ref="AF403:AF406" si="58">_xlfn.CONCAT(AG403," years ",AH403," days")</f>
        <v>6 years 128 days</v>
      </c>
      <c r="AG403" s="69">
        <v>6</v>
      </c>
      <c r="AH403" s="69">
        <v>128</v>
      </c>
      <c r="AI403" s="69">
        <v>2725000</v>
      </c>
      <c r="AJ403" s="67">
        <v>2402521</v>
      </c>
      <c r="AK403" s="69">
        <v>2025</v>
      </c>
      <c r="AL403" s="61">
        <v>187680.67427701643</v>
      </c>
      <c r="AM403" s="143"/>
    </row>
    <row r="404" spans="1:39" x14ac:dyDescent="0.35">
      <c r="A404" s="69" t="s">
        <v>4124</v>
      </c>
      <c r="B404" s="41">
        <v>1101400783</v>
      </c>
      <c r="C404" s="41"/>
      <c r="D404" s="41" t="s">
        <v>1238</v>
      </c>
      <c r="E404" s="101">
        <v>1</v>
      </c>
      <c r="F404" s="41" t="s">
        <v>1152</v>
      </c>
      <c r="G404" s="69" t="s">
        <v>1151</v>
      </c>
      <c r="H404" s="41">
        <v>9008000010</v>
      </c>
      <c r="I404" s="41" t="s">
        <v>593</v>
      </c>
      <c r="J404" s="41">
        <v>1202020101</v>
      </c>
      <c r="K404" s="41" t="s">
        <v>1242</v>
      </c>
      <c r="L404" s="52" t="s">
        <v>1243</v>
      </c>
      <c r="M404" s="69" t="s">
        <v>1244</v>
      </c>
      <c r="N404" s="69"/>
      <c r="O404" s="69">
        <v>8</v>
      </c>
      <c r="P404" s="69" t="s">
        <v>50</v>
      </c>
      <c r="Q404" s="69" t="s">
        <v>51</v>
      </c>
      <c r="R404" s="69"/>
      <c r="S404" s="48">
        <v>41165</v>
      </c>
      <c r="T404" s="48">
        <v>43340</v>
      </c>
      <c r="U404" s="69"/>
      <c r="V404" s="69"/>
      <c r="W404" s="69"/>
      <c r="X404" s="69"/>
      <c r="Y404" s="69" t="s">
        <v>4125</v>
      </c>
      <c r="Z404" s="52">
        <v>260000</v>
      </c>
      <c r="AA404" s="43" t="s">
        <v>52</v>
      </c>
      <c r="AB404" s="43" t="s">
        <v>53</v>
      </c>
      <c r="AC404" s="85">
        <v>1460</v>
      </c>
      <c r="AD404" s="141">
        <v>4</v>
      </c>
      <c r="AE404" s="142">
        <v>0</v>
      </c>
      <c r="AF404" s="69" t="str">
        <f t="shared" si="58"/>
        <v>4 years 0 days</v>
      </c>
      <c r="AG404" s="69">
        <v>4</v>
      </c>
      <c r="AH404" s="69">
        <v>0</v>
      </c>
      <c r="AI404" s="69">
        <v>260000</v>
      </c>
      <c r="AJ404" s="67">
        <v>260000</v>
      </c>
      <c r="AK404" s="69">
        <v>2025</v>
      </c>
      <c r="AL404" s="61">
        <v>0</v>
      </c>
      <c r="AM404" s="143"/>
    </row>
    <row r="405" spans="1:39" x14ac:dyDescent="0.35">
      <c r="A405" s="69" t="s">
        <v>4124</v>
      </c>
      <c r="B405" s="41">
        <v>1101403487</v>
      </c>
      <c r="C405" s="41"/>
      <c r="D405" s="41" t="s">
        <v>1238</v>
      </c>
      <c r="E405" s="101">
        <v>2</v>
      </c>
      <c r="F405" s="41" t="s">
        <v>1152</v>
      </c>
      <c r="G405" s="69" t="s">
        <v>1151</v>
      </c>
      <c r="H405" s="41">
        <v>9008000010</v>
      </c>
      <c r="I405" s="41" t="s">
        <v>593</v>
      </c>
      <c r="J405" s="41">
        <v>1202020101</v>
      </c>
      <c r="K405" s="41" t="s">
        <v>1246</v>
      </c>
      <c r="L405" s="52" t="s">
        <v>1247</v>
      </c>
      <c r="M405" s="69" t="s">
        <v>1237</v>
      </c>
      <c r="N405" s="69"/>
      <c r="O405" s="69">
        <v>3</v>
      </c>
      <c r="P405" s="69" t="s">
        <v>50</v>
      </c>
      <c r="Q405" s="69" t="s">
        <v>51</v>
      </c>
      <c r="R405" s="69"/>
      <c r="S405" s="48">
        <v>44180</v>
      </c>
      <c r="T405" s="48">
        <v>44180</v>
      </c>
      <c r="U405" s="69"/>
      <c r="V405" s="69"/>
      <c r="W405" s="69"/>
      <c r="X405" s="69"/>
      <c r="Y405" s="69" t="s">
        <v>4127</v>
      </c>
      <c r="Z405" s="52">
        <v>900000</v>
      </c>
      <c r="AA405" s="43" t="s">
        <v>52</v>
      </c>
      <c r="AB405" s="43" t="s">
        <v>53</v>
      </c>
      <c r="AC405" s="85">
        <v>3650</v>
      </c>
      <c r="AD405" s="141">
        <v>10</v>
      </c>
      <c r="AE405" s="142">
        <v>0</v>
      </c>
      <c r="AF405" s="69" t="str">
        <f t="shared" si="58"/>
        <v>4 years 18 days</v>
      </c>
      <c r="AG405" s="69">
        <v>4</v>
      </c>
      <c r="AH405" s="69">
        <v>18</v>
      </c>
      <c r="AI405" s="69">
        <v>900000</v>
      </c>
      <c r="AJ405" s="67">
        <v>364438</v>
      </c>
      <c r="AK405" s="69">
        <v>2025</v>
      </c>
      <c r="AL405" s="61">
        <v>44630.493150684983</v>
      </c>
      <c r="AM405" s="143"/>
    </row>
    <row r="406" spans="1:39" x14ac:dyDescent="0.35">
      <c r="A406" s="69" t="s">
        <v>4124</v>
      </c>
      <c r="B406" s="41">
        <v>1101403635</v>
      </c>
      <c r="C406" s="41"/>
      <c r="D406" s="41" t="s">
        <v>1238</v>
      </c>
      <c r="E406" s="101">
        <v>3</v>
      </c>
      <c r="F406" s="41" t="s">
        <v>1152</v>
      </c>
      <c r="G406" s="69" t="s">
        <v>1151</v>
      </c>
      <c r="H406" s="41">
        <v>9008000010</v>
      </c>
      <c r="I406" s="41" t="s">
        <v>593</v>
      </c>
      <c r="J406" s="41">
        <v>1202020101</v>
      </c>
      <c r="K406" s="41"/>
      <c r="L406" s="52" t="s">
        <v>1249</v>
      </c>
      <c r="M406" s="69" t="s">
        <v>1250</v>
      </c>
      <c r="N406" s="69"/>
      <c r="O406" s="69">
        <v>1</v>
      </c>
      <c r="P406" s="69" t="s">
        <v>50</v>
      </c>
      <c r="Q406" s="69" t="s">
        <v>51</v>
      </c>
      <c r="R406" s="69"/>
      <c r="S406" s="48">
        <v>44296</v>
      </c>
      <c r="T406" s="48">
        <v>44296</v>
      </c>
      <c r="U406" s="69"/>
      <c r="V406" s="69"/>
      <c r="W406" s="69"/>
      <c r="X406" s="69"/>
      <c r="Y406" s="69" t="s">
        <v>4128</v>
      </c>
      <c r="Z406" s="52">
        <v>245846</v>
      </c>
      <c r="AA406" s="43" t="s">
        <v>52</v>
      </c>
      <c r="AB406" s="43" t="s">
        <v>53</v>
      </c>
      <c r="AC406" s="85">
        <v>3650</v>
      </c>
      <c r="AD406" s="141">
        <v>10</v>
      </c>
      <c r="AE406" s="142">
        <v>0</v>
      </c>
      <c r="AF406" s="69" t="str">
        <f t="shared" si="58"/>
        <v>3 years 267 days</v>
      </c>
      <c r="AG406" s="69">
        <v>3</v>
      </c>
      <c r="AH406" s="69">
        <v>267</v>
      </c>
      <c r="AI406" s="69">
        <v>245846</v>
      </c>
      <c r="AJ406" s="67">
        <v>91738</v>
      </c>
      <c r="AK406" s="69">
        <v>2025</v>
      </c>
      <c r="AL406" s="61">
        <v>12190.870684931506</v>
      </c>
      <c r="AM406" s="143"/>
    </row>
    <row r="407" spans="1:39" x14ac:dyDescent="0.35">
      <c r="A407" s="69" t="s">
        <v>4124</v>
      </c>
      <c r="B407" s="41">
        <v>1101400546</v>
      </c>
      <c r="C407" s="41"/>
      <c r="D407" s="69"/>
      <c r="E407" s="101">
        <v>0</v>
      </c>
      <c r="F407" s="41" t="s">
        <v>1152</v>
      </c>
      <c r="G407" s="69" t="s">
        <v>1151</v>
      </c>
      <c r="H407" s="41">
        <v>9008000011</v>
      </c>
      <c r="I407" s="41" t="s">
        <v>593</v>
      </c>
      <c r="J407" s="41">
        <v>1202020101</v>
      </c>
      <c r="K407" s="41" t="s">
        <v>1252</v>
      </c>
      <c r="L407" s="52" t="s">
        <v>1253</v>
      </c>
      <c r="M407" s="69" t="s">
        <v>49</v>
      </c>
      <c r="N407" s="69"/>
      <c r="O407" s="69">
        <v>1</v>
      </c>
      <c r="P407" s="69" t="s">
        <v>50</v>
      </c>
      <c r="Q407" s="69" t="s">
        <v>51</v>
      </c>
      <c r="R407" s="69"/>
      <c r="S407" s="48">
        <v>40516</v>
      </c>
      <c r="T407" s="48">
        <v>43340</v>
      </c>
      <c r="U407" s="69"/>
      <c r="V407" s="69"/>
      <c r="W407" s="69"/>
      <c r="X407" s="69"/>
      <c r="Y407" s="69" t="s">
        <v>4125</v>
      </c>
      <c r="Z407" s="52">
        <v>2750000</v>
      </c>
      <c r="AA407" s="43" t="s">
        <v>52</v>
      </c>
      <c r="AB407" s="43" t="s">
        <v>53</v>
      </c>
      <c r="AC407" s="85">
        <v>2665</v>
      </c>
      <c r="AD407" s="141">
        <v>7</v>
      </c>
      <c r="AE407" s="142">
        <v>4</v>
      </c>
      <c r="AF407" s="69" t="str">
        <f t="shared" ref="AF407:AF408" si="59">_xlfn.CONCAT(AG407," years ",AH407," days")</f>
        <v>6 years 128 days</v>
      </c>
      <c r="AG407" s="69">
        <v>6</v>
      </c>
      <c r="AH407" s="69">
        <v>128</v>
      </c>
      <c r="AI407" s="69">
        <v>2750000</v>
      </c>
      <c r="AJ407" s="67">
        <v>2390901</v>
      </c>
      <c r="AK407" s="69">
        <v>2025</v>
      </c>
      <c r="AL407" s="61">
        <v>186772.54596622894</v>
      </c>
      <c r="AM407" s="143"/>
    </row>
    <row r="408" spans="1:39" x14ac:dyDescent="0.35">
      <c r="A408" s="69" t="s">
        <v>4124</v>
      </c>
      <c r="B408" s="41">
        <v>1101400565</v>
      </c>
      <c r="C408" s="41"/>
      <c r="D408" s="41" t="s">
        <v>1251</v>
      </c>
      <c r="E408" s="101">
        <v>1</v>
      </c>
      <c r="F408" s="41" t="s">
        <v>1152</v>
      </c>
      <c r="G408" s="69" t="s">
        <v>1151</v>
      </c>
      <c r="H408" s="41">
        <v>9008000011</v>
      </c>
      <c r="I408" s="41" t="s">
        <v>593</v>
      </c>
      <c r="J408" s="41">
        <v>1202020101</v>
      </c>
      <c r="K408" s="41" t="s">
        <v>1255</v>
      </c>
      <c r="L408" s="52" t="s">
        <v>1256</v>
      </c>
      <c r="M408" s="69" t="s">
        <v>49</v>
      </c>
      <c r="N408" s="69"/>
      <c r="O408" s="69">
        <v>1</v>
      </c>
      <c r="P408" s="69" t="s">
        <v>50</v>
      </c>
      <c r="Q408" s="69" t="s">
        <v>51</v>
      </c>
      <c r="R408" s="69"/>
      <c r="S408" s="48">
        <v>40568</v>
      </c>
      <c r="T408" s="48">
        <v>43340</v>
      </c>
      <c r="U408" s="69"/>
      <c r="V408" s="69"/>
      <c r="W408" s="69"/>
      <c r="X408" s="69"/>
      <c r="Y408" s="69" t="s">
        <v>4125</v>
      </c>
      <c r="Z408" s="52">
        <v>77500</v>
      </c>
      <c r="AA408" s="43" t="s">
        <v>52</v>
      </c>
      <c r="AB408" s="43" t="s">
        <v>53</v>
      </c>
      <c r="AC408" s="85">
        <v>876</v>
      </c>
      <c r="AD408" s="141">
        <v>2</v>
      </c>
      <c r="AE408" s="142">
        <v>5</v>
      </c>
      <c r="AF408" s="69" t="str">
        <f t="shared" si="59"/>
        <v>2 years 146 days</v>
      </c>
      <c r="AG408" s="69">
        <v>2</v>
      </c>
      <c r="AH408" s="69">
        <v>146</v>
      </c>
      <c r="AI408" s="69">
        <v>77500</v>
      </c>
      <c r="AJ408" s="67">
        <v>77500</v>
      </c>
      <c r="AK408" s="69">
        <v>2025</v>
      </c>
      <c r="AL408" s="61">
        <v>0</v>
      </c>
      <c r="AM408" s="143"/>
    </row>
    <row r="409" spans="1:39" x14ac:dyDescent="0.35">
      <c r="A409" s="69" t="s">
        <v>4124</v>
      </c>
      <c r="B409" s="41">
        <v>1101403439</v>
      </c>
      <c r="C409" s="41"/>
      <c r="D409" s="69"/>
      <c r="E409" s="101">
        <v>0</v>
      </c>
      <c r="F409" s="41" t="s">
        <v>1152</v>
      </c>
      <c r="G409" s="69" t="s">
        <v>1151</v>
      </c>
      <c r="H409" s="41">
        <v>9008000012</v>
      </c>
      <c r="I409" s="41" t="s">
        <v>593</v>
      </c>
      <c r="J409" s="41">
        <v>1202020101</v>
      </c>
      <c r="K409" s="41" t="s">
        <v>1258</v>
      </c>
      <c r="L409" s="52" t="s">
        <v>1259</v>
      </c>
      <c r="M409" s="69" t="s">
        <v>1260</v>
      </c>
      <c r="N409" s="69"/>
      <c r="O409" s="69">
        <v>2</v>
      </c>
      <c r="P409" s="69" t="s">
        <v>50</v>
      </c>
      <c r="Q409" s="69" t="s">
        <v>51</v>
      </c>
      <c r="R409" s="69"/>
      <c r="S409" s="48">
        <v>44145</v>
      </c>
      <c r="T409" s="48">
        <v>44145</v>
      </c>
      <c r="U409" s="69"/>
      <c r="V409" s="69"/>
      <c r="W409" s="69"/>
      <c r="X409" s="69"/>
      <c r="Y409" s="69" t="s">
        <v>4127</v>
      </c>
      <c r="Z409" s="52">
        <v>6384188</v>
      </c>
      <c r="AA409" s="43" t="s">
        <v>52</v>
      </c>
      <c r="AB409" s="43" t="s">
        <v>53</v>
      </c>
      <c r="AC409" s="85">
        <v>3650</v>
      </c>
      <c r="AD409" s="141">
        <v>10</v>
      </c>
      <c r="AE409" s="142">
        <v>0</v>
      </c>
      <c r="AF409" s="69" t="str">
        <f>_xlfn.CONCAT(AG409," years ",AH409," days")</f>
        <v>4 years 53 days</v>
      </c>
      <c r="AG409" s="69">
        <v>4</v>
      </c>
      <c r="AH409" s="69">
        <v>53</v>
      </c>
      <c r="AI409" s="69">
        <v>6384188</v>
      </c>
      <c r="AJ409" s="67">
        <v>2646377</v>
      </c>
      <c r="AK409" s="69">
        <v>2025</v>
      </c>
      <c r="AL409" s="61">
        <v>316585.86904109642</v>
      </c>
      <c r="AM409" s="143"/>
    </row>
    <row r="410" spans="1:39" x14ac:dyDescent="0.35">
      <c r="A410" s="69" t="s">
        <v>4124</v>
      </c>
      <c r="B410" s="41">
        <v>1101402101</v>
      </c>
      <c r="C410" s="41"/>
      <c r="D410" s="69"/>
      <c r="E410" s="101">
        <v>0</v>
      </c>
      <c r="F410" s="41" t="s">
        <v>1152</v>
      </c>
      <c r="G410" s="69" t="s">
        <v>1151</v>
      </c>
      <c r="H410" s="41">
        <v>9008000013</v>
      </c>
      <c r="I410" s="41" t="s">
        <v>593</v>
      </c>
      <c r="J410" s="41">
        <v>1202020101</v>
      </c>
      <c r="K410" s="41" t="s">
        <v>1262</v>
      </c>
      <c r="L410" s="52" t="s">
        <v>1263</v>
      </c>
      <c r="M410" s="69" t="s">
        <v>1264</v>
      </c>
      <c r="N410" s="69"/>
      <c r="O410" s="69">
        <v>1</v>
      </c>
      <c r="P410" s="69" t="s">
        <v>50</v>
      </c>
      <c r="Q410" s="69" t="s">
        <v>51</v>
      </c>
      <c r="R410" s="69"/>
      <c r="S410" s="48">
        <v>42624</v>
      </c>
      <c r="T410" s="48">
        <v>43340</v>
      </c>
      <c r="U410" s="69"/>
      <c r="V410" s="69"/>
      <c r="W410" s="69"/>
      <c r="X410" s="69"/>
      <c r="Y410" s="69" t="s">
        <v>4125</v>
      </c>
      <c r="Z410" s="52">
        <v>5800000</v>
      </c>
      <c r="AA410" s="43" t="s">
        <v>52</v>
      </c>
      <c r="AB410" s="43" t="s">
        <v>53</v>
      </c>
      <c r="AC410" s="85">
        <v>4745</v>
      </c>
      <c r="AD410" s="141">
        <v>13</v>
      </c>
      <c r="AE410" s="142">
        <v>0</v>
      </c>
      <c r="AF410" s="69" t="str">
        <f t="shared" ref="AF410:AF411" si="60">_xlfn.CONCAT(AG410," years ",AH410," days")</f>
        <v>6 years 128 days</v>
      </c>
      <c r="AG410" s="69">
        <v>6</v>
      </c>
      <c r="AH410" s="69">
        <v>128</v>
      </c>
      <c r="AI410" s="69">
        <v>5800000</v>
      </c>
      <c r="AJ410" s="67">
        <v>2832160</v>
      </c>
      <c r="AK410" s="69">
        <v>2025</v>
      </c>
      <c r="AL410" s="61">
        <v>221243.58271865081</v>
      </c>
      <c r="AM410" s="143"/>
    </row>
    <row r="411" spans="1:39" x14ac:dyDescent="0.35">
      <c r="A411" s="69" t="s">
        <v>4124</v>
      </c>
      <c r="B411" s="41">
        <v>1101400576</v>
      </c>
      <c r="C411" s="41"/>
      <c r="D411" s="41" t="s">
        <v>1261</v>
      </c>
      <c r="E411" s="101">
        <v>1</v>
      </c>
      <c r="F411" s="41" t="s">
        <v>1152</v>
      </c>
      <c r="G411" s="69" t="s">
        <v>1151</v>
      </c>
      <c r="H411" s="41">
        <v>9008000013</v>
      </c>
      <c r="I411" s="41" t="s">
        <v>593</v>
      </c>
      <c r="J411" s="41">
        <v>1202020101</v>
      </c>
      <c r="K411" s="41" t="s">
        <v>1266</v>
      </c>
      <c r="L411" s="52" t="s">
        <v>1267</v>
      </c>
      <c r="M411" s="69" t="s">
        <v>49</v>
      </c>
      <c r="N411" s="69"/>
      <c r="O411" s="69">
        <v>1</v>
      </c>
      <c r="P411" s="69" t="s">
        <v>50</v>
      </c>
      <c r="Q411" s="69" t="s">
        <v>51</v>
      </c>
      <c r="R411" s="69"/>
      <c r="S411" s="48">
        <v>40576</v>
      </c>
      <c r="T411" s="48">
        <v>43340</v>
      </c>
      <c r="U411" s="69"/>
      <c r="V411" s="69"/>
      <c r="W411" s="69"/>
      <c r="X411" s="69"/>
      <c r="Y411" s="69" t="s">
        <v>4125</v>
      </c>
      <c r="Z411" s="52">
        <v>175000</v>
      </c>
      <c r="AA411" s="43" t="s">
        <v>52</v>
      </c>
      <c r="AB411" s="43" t="s">
        <v>53</v>
      </c>
      <c r="AC411" s="85">
        <v>2701</v>
      </c>
      <c r="AD411" s="141">
        <v>7</v>
      </c>
      <c r="AE411" s="142">
        <v>5</v>
      </c>
      <c r="AF411" s="69" t="str">
        <f t="shared" si="60"/>
        <v>6 years 128 days</v>
      </c>
      <c r="AG411" s="69">
        <v>6</v>
      </c>
      <c r="AH411" s="69">
        <v>128</v>
      </c>
      <c r="AI411" s="69">
        <v>175000</v>
      </c>
      <c r="AJ411" s="67">
        <v>150120</v>
      </c>
      <c r="AK411" s="69">
        <v>2025</v>
      </c>
      <c r="AL411" s="61">
        <v>11727.463902258431</v>
      </c>
      <c r="AM411" s="143"/>
    </row>
    <row r="412" spans="1:39" x14ac:dyDescent="0.35">
      <c r="A412" s="69" t="s">
        <v>4124</v>
      </c>
      <c r="B412" s="41">
        <v>1101402098</v>
      </c>
      <c r="C412" s="41"/>
      <c r="D412" s="69"/>
      <c r="E412" s="101">
        <v>0</v>
      </c>
      <c r="F412" s="41" t="s">
        <v>1152</v>
      </c>
      <c r="G412" s="69" t="s">
        <v>1151</v>
      </c>
      <c r="H412" s="41">
        <v>9008000014</v>
      </c>
      <c r="I412" s="41" t="s">
        <v>593</v>
      </c>
      <c r="J412" s="41">
        <v>1202020101</v>
      </c>
      <c r="K412" s="41" t="s">
        <v>1269</v>
      </c>
      <c r="L412" s="52" t="s">
        <v>1270</v>
      </c>
      <c r="M412" s="69" t="s">
        <v>1264</v>
      </c>
      <c r="N412" s="69"/>
      <c r="O412" s="69">
        <v>1</v>
      </c>
      <c r="P412" s="69" t="s">
        <v>50</v>
      </c>
      <c r="Q412" s="69" t="s">
        <v>51</v>
      </c>
      <c r="R412" s="69"/>
      <c r="S412" s="48">
        <v>42618</v>
      </c>
      <c r="T412" s="48">
        <v>43340</v>
      </c>
      <c r="U412" s="69"/>
      <c r="V412" s="69"/>
      <c r="W412" s="69"/>
      <c r="X412" s="69"/>
      <c r="Y412" s="69" t="s">
        <v>4125</v>
      </c>
      <c r="Z412" s="52">
        <v>5800000</v>
      </c>
      <c r="AA412" s="43" t="s">
        <v>52</v>
      </c>
      <c r="AB412" s="43" t="s">
        <v>53</v>
      </c>
      <c r="AC412" s="85">
        <v>4745</v>
      </c>
      <c r="AD412" s="141">
        <v>13</v>
      </c>
      <c r="AE412" s="142">
        <v>0</v>
      </c>
      <c r="AF412" s="69" t="str">
        <f>_xlfn.CONCAT(AG412," years ",AH412," days")</f>
        <v>6 years 128 days</v>
      </c>
      <c r="AG412" s="69">
        <v>6</v>
      </c>
      <c r="AH412" s="69">
        <v>128</v>
      </c>
      <c r="AI412" s="69">
        <v>5800000</v>
      </c>
      <c r="AJ412" s="67">
        <v>2832160</v>
      </c>
      <c r="AK412" s="69">
        <v>2025</v>
      </c>
      <c r="AL412" s="61">
        <v>221243.58271865081</v>
      </c>
      <c r="AM412" s="143"/>
    </row>
    <row r="413" spans="1:39" x14ac:dyDescent="0.35">
      <c r="A413" s="69" t="s">
        <v>4124</v>
      </c>
      <c r="B413" s="41">
        <v>1101400557</v>
      </c>
      <c r="C413" s="41"/>
      <c r="D413" s="69"/>
      <c r="E413" s="101">
        <v>0</v>
      </c>
      <c r="F413" s="41" t="s">
        <v>1152</v>
      </c>
      <c r="G413" s="69" t="s">
        <v>1151</v>
      </c>
      <c r="H413" s="41">
        <v>9008000015</v>
      </c>
      <c r="I413" s="41" t="s">
        <v>593</v>
      </c>
      <c r="J413" s="41">
        <v>1202020101</v>
      </c>
      <c r="K413" s="41" t="s">
        <v>1272</v>
      </c>
      <c r="L413" s="52" t="s">
        <v>1273</v>
      </c>
      <c r="M413" s="69" t="s">
        <v>49</v>
      </c>
      <c r="N413" s="69"/>
      <c r="O413" s="69">
        <v>1</v>
      </c>
      <c r="P413" s="69" t="s">
        <v>50</v>
      </c>
      <c r="Q413" s="69" t="s">
        <v>51</v>
      </c>
      <c r="R413" s="69"/>
      <c r="S413" s="48">
        <v>40536</v>
      </c>
      <c r="T413" s="48">
        <v>43340</v>
      </c>
      <c r="U413" s="69"/>
      <c r="V413" s="69"/>
      <c r="W413" s="69"/>
      <c r="X413" s="69"/>
      <c r="Y413" s="69" t="s">
        <v>4125</v>
      </c>
      <c r="Z413" s="52">
        <v>2750000</v>
      </c>
      <c r="AA413" s="43" t="s">
        <v>52</v>
      </c>
      <c r="AB413" s="43" t="s">
        <v>53</v>
      </c>
      <c r="AC413" s="85">
        <v>2665</v>
      </c>
      <c r="AD413" s="141">
        <v>7</v>
      </c>
      <c r="AE413" s="142">
        <v>4</v>
      </c>
      <c r="AF413" s="69" t="str">
        <f>_xlfn.CONCAT(AG413," years ",AH413," days")</f>
        <v>6 years 128 days</v>
      </c>
      <c r="AG413" s="69">
        <v>6</v>
      </c>
      <c r="AH413" s="69">
        <v>128</v>
      </c>
      <c r="AI413" s="69">
        <v>2750000</v>
      </c>
      <c r="AJ413" s="67">
        <v>2390901</v>
      </c>
      <c r="AK413" s="69">
        <v>2025</v>
      </c>
      <c r="AL413" s="61">
        <v>186772.54596622894</v>
      </c>
      <c r="AM413" s="143"/>
    </row>
    <row r="414" spans="1:39" x14ac:dyDescent="0.35">
      <c r="A414" s="69" t="s">
        <v>4124</v>
      </c>
      <c r="B414" s="41">
        <v>1101403336</v>
      </c>
      <c r="C414" s="41"/>
      <c r="D414" s="69"/>
      <c r="E414" s="101">
        <v>0</v>
      </c>
      <c r="F414" s="41" t="s">
        <v>1152</v>
      </c>
      <c r="G414" s="69" t="s">
        <v>1151</v>
      </c>
      <c r="H414" s="41">
        <v>9008000016</v>
      </c>
      <c r="I414" s="41" t="s">
        <v>593</v>
      </c>
      <c r="J414" s="41">
        <v>1202020101</v>
      </c>
      <c r="K414" s="41" t="s">
        <v>1275</v>
      </c>
      <c r="L414" s="52" t="s">
        <v>1276</v>
      </c>
      <c r="M414" s="69" t="s">
        <v>1277</v>
      </c>
      <c r="N414" s="69"/>
      <c r="O414" s="69">
        <v>1</v>
      </c>
      <c r="P414" s="69" t="s">
        <v>50</v>
      </c>
      <c r="Q414" s="69" t="s">
        <v>51</v>
      </c>
      <c r="R414" s="69"/>
      <c r="S414" s="48">
        <v>42518</v>
      </c>
      <c r="T414" s="48">
        <v>43340</v>
      </c>
      <c r="U414" s="69"/>
      <c r="V414" s="69"/>
      <c r="W414" s="69"/>
      <c r="X414" s="69"/>
      <c r="Y414" s="69" t="s">
        <v>4125</v>
      </c>
      <c r="Z414" s="52">
        <v>5675000</v>
      </c>
      <c r="AA414" s="43" t="s">
        <v>52</v>
      </c>
      <c r="AB414" s="43" t="s">
        <v>53</v>
      </c>
      <c r="AC414" s="85">
        <v>4636</v>
      </c>
      <c r="AD414" s="141">
        <v>12</v>
      </c>
      <c r="AE414" s="142">
        <v>9</v>
      </c>
      <c r="AF414" s="69" t="str">
        <f t="shared" ref="AF414:AF416" si="61">_xlfn.CONCAT(AG414," years ",AH414," days")</f>
        <v>6 years 128 days</v>
      </c>
      <c r="AG414" s="69">
        <v>6</v>
      </c>
      <c r="AH414" s="69">
        <v>128</v>
      </c>
      <c r="AI414" s="69">
        <v>5675000</v>
      </c>
      <c r="AJ414" s="67">
        <v>2836276</v>
      </c>
      <c r="AK414" s="69">
        <v>2025</v>
      </c>
      <c r="AL414" s="61">
        <v>221564.81104400381</v>
      </c>
      <c r="AM414" s="143"/>
    </row>
    <row r="415" spans="1:39" x14ac:dyDescent="0.35">
      <c r="A415" s="69" t="s">
        <v>4124</v>
      </c>
      <c r="B415" s="41">
        <v>1101101982</v>
      </c>
      <c r="C415" s="41"/>
      <c r="D415" s="41" t="s">
        <v>1274</v>
      </c>
      <c r="E415" s="101">
        <v>1</v>
      </c>
      <c r="F415" s="41" t="s">
        <v>1152</v>
      </c>
      <c r="G415" s="69" t="s">
        <v>1151</v>
      </c>
      <c r="H415" s="41">
        <v>9008000016</v>
      </c>
      <c r="I415" s="41" t="s">
        <v>593</v>
      </c>
      <c r="J415" s="41">
        <v>1202020101</v>
      </c>
      <c r="K415" s="41" t="s">
        <v>1279</v>
      </c>
      <c r="L415" s="52" t="s">
        <v>1280</v>
      </c>
      <c r="M415" s="69" t="s">
        <v>1281</v>
      </c>
      <c r="N415" s="69"/>
      <c r="O415" s="69">
        <v>2</v>
      </c>
      <c r="P415" s="69" t="s">
        <v>50</v>
      </c>
      <c r="Q415" s="69" t="s">
        <v>51</v>
      </c>
      <c r="R415" s="69"/>
      <c r="S415" s="48">
        <v>42597</v>
      </c>
      <c r="T415" s="48">
        <v>43340</v>
      </c>
      <c r="U415" s="69"/>
      <c r="V415" s="69"/>
      <c r="W415" s="69"/>
      <c r="X415" s="69"/>
      <c r="Y415" s="69" t="s">
        <v>4125</v>
      </c>
      <c r="Z415" s="52">
        <v>145000</v>
      </c>
      <c r="AA415" s="43" t="s">
        <v>52</v>
      </c>
      <c r="AB415" s="43" t="s">
        <v>53</v>
      </c>
      <c r="AC415" s="85">
        <v>2847</v>
      </c>
      <c r="AD415" s="141">
        <v>7</v>
      </c>
      <c r="AE415" s="142">
        <v>10</v>
      </c>
      <c r="AF415" s="69" t="str">
        <f t="shared" si="61"/>
        <v>6 years 128 days</v>
      </c>
      <c r="AG415" s="69">
        <v>6</v>
      </c>
      <c r="AH415" s="69">
        <v>128</v>
      </c>
      <c r="AI415" s="69">
        <v>145000</v>
      </c>
      <c r="AJ415" s="67">
        <v>118007</v>
      </c>
      <c r="AK415" s="69">
        <v>2025</v>
      </c>
      <c r="AL415" s="61">
        <v>9218.1492799438274</v>
      </c>
      <c r="AM415" s="143"/>
    </row>
    <row r="416" spans="1:39" x14ac:dyDescent="0.35">
      <c r="A416" s="69" t="s">
        <v>4124</v>
      </c>
      <c r="B416" s="41">
        <v>1101404798</v>
      </c>
      <c r="C416" s="41"/>
      <c r="D416" s="41" t="s">
        <v>1274</v>
      </c>
      <c r="E416" s="101">
        <v>2</v>
      </c>
      <c r="F416" s="41" t="s">
        <v>1152</v>
      </c>
      <c r="G416" s="69" t="s">
        <v>1151</v>
      </c>
      <c r="H416" s="41">
        <v>9008000016</v>
      </c>
      <c r="I416" s="41" t="s">
        <v>593</v>
      </c>
      <c r="J416" s="41">
        <v>1202020101</v>
      </c>
      <c r="K416" s="41"/>
      <c r="L416" s="52" t="s">
        <v>1283</v>
      </c>
      <c r="M416" s="69" t="s">
        <v>1284</v>
      </c>
      <c r="N416" s="69"/>
      <c r="O416" s="69">
        <v>3</v>
      </c>
      <c r="P416" s="69" t="s">
        <v>50</v>
      </c>
      <c r="Q416" s="69" t="s">
        <v>51</v>
      </c>
      <c r="R416" s="69"/>
      <c r="S416" s="48">
        <v>45108</v>
      </c>
      <c r="T416" s="48">
        <v>45108</v>
      </c>
      <c r="U416" s="69"/>
      <c r="V416" s="69"/>
      <c r="W416" s="69"/>
      <c r="X416" s="69"/>
      <c r="Y416" s="69" t="s">
        <v>4129</v>
      </c>
      <c r="Z416" s="52">
        <v>184210</v>
      </c>
      <c r="AA416" s="43" t="s">
        <v>52</v>
      </c>
      <c r="AB416" s="43" t="s">
        <v>53</v>
      </c>
      <c r="AC416" s="85">
        <v>3650</v>
      </c>
      <c r="AD416" s="141">
        <v>10</v>
      </c>
      <c r="AE416" s="142">
        <v>0</v>
      </c>
      <c r="AF416" s="69" t="str">
        <f t="shared" si="61"/>
        <v>1 years 185 days</v>
      </c>
      <c r="AG416" s="69">
        <v>1</v>
      </c>
      <c r="AH416" s="69">
        <v>185</v>
      </c>
      <c r="AI416" s="69">
        <v>184210</v>
      </c>
      <c r="AJ416" s="67">
        <v>27758</v>
      </c>
      <c r="AK416" s="69">
        <v>2025</v>
      </c>
      <c r="AL416" s="61">
        <v>9134.4684931506854</v>
      </c>
      <c r="AM416" s="143"/>
    </row>
    <row r="417" spans="1:39" x14ac:dyDescent="0.35">
      <c r="A417" s="69" t="s">
        <v>4124</v>
      </c>
      <c r="B417" s="41">
        <v>1101400865</v>
      </c>
      <c r="C417" s="41"/>
      <c r="D417" s="69"/>
      <c r="E417" s="101">
        <v>0</v>
      </c>
      <c r="F417" s="41" t="s">
        <v>1152</v>
      </c>
      <c r="G417" s="69" t="s">
        <v>1151</v>
      </c>
      <c r="H417" s="41">
        <v>9008000017</v>
      </c>
      <c r="I417" s="41" t="s">
        <v>593</v>
      </c>
      <c r="J417" s="41">
        <v>1202020101</v>
      </c>
      <c r="K417" s="41" t="s">
        <v>1286</v>
      </c>
      <c r="L417" s="52" t="s">
        <v>1287</v>
      </c>
      <c r="M417" s="69" t="s">
        <v>1288</v>
      </c>
      <c r="N417" s="69"/>
      <c r="O417" s="69">
        <v>1</v>
      </c>
      <c r="P417" s="69" t="s">
        <v>50</v>
      </c>
      <c r="Q417" s="69" t="s">
        <v>51</v>
      </c>
      <c r="R417" s="69"/>
      <c r="S417" s="48">
        <v>41261</v>
      </c>
      <c r="T417" s="48">
        <v>43340</v>
      </c>
      <c r="U417" s="69"/>
      <c r="V417" s="69"/>
      <c r="W417" s="69"/>
      <c r="X417" s="69"/>
      <c r="Y417" s="69" t="s">
        <v>4125</v>
      </c>
      <c r="Z417" s="52">
        <v>3400000</v>
      </c>
      <c r="AA417" s="43" t="s">
        <v>52</v>
      </c>
      <c r="AB417" s="43" t="s">
        <v>53</v>
      </c>
      <c r="AC417" s="85">
        <v>3358</v>
      </c>
      <c r="AD417" s="141">
        <v>9</v>
      </c>
      <c r="AE417" s="142">
        <v>2</v>
      </c>
      <c r="AF417" s="69" t="str">
        <f t="shared" ref="AF417:AF421" si="62">_xlfn.CONCAT(AG417," years ",AH417," days")</f>
        <v>6 years 128 days</v>
      </c>
      <c r="AG417" s="69">
        <v>6</v>
      </c>
      <c r="AH417" s="69">
        <v>128</v>
      </c>
      <c r="AI417" s="69">
        <v>3400000</v>
      </c>
      <c r="AJ417" s="67">
        <v>2345980</v>
      </c>
      <c r="AK417" s="69">
        <v>2025</v>
      </c>
      <c r="AL417" s="61">
        <v>183263.59737939201</v>
      </c>
      <c r="AM417" s="143"/>
    </row>
    <row r="418" spans="1:39" x14ac:dyDescent="0.35">
      <c r="A418" s="69" t="s">
        <v>4124</v>
      </c>
      <c r="B418" s="41">
        <v>1101400651</v>
      </c>
      <c r="C418" s="41"/>
      <c r="D418" s="41" t="s">
        <v>1285</v>
      </c>
      <c r="E418" s="101">
        <v>1</v>
      </c>
      <c r="F418" s="41" t="s">
        <v>1152</v>
      </c>
      <c r="G418" s="69" t="s">
        <v>1151</v>
      </c>
      <c r="H418" s="41">
        <v>9008000017</v>
      </c>
      <c r="I418" s="41" t="s">
        <v>593</v>
      </c>
      <c r="J418" s="41">
        <v>1202020101</v>
      </c>
      <c r="K418" s="41" t="s">
        <v>1290</v>
      </c>
      <c r="L418" s="52" t="s">
        <v>1291</v>
      </c>
      <c r="M418" s="69" t="s">
        <v>49</v>
      </c>
      <c r="N418" s="69"/>
      <c r="O418" s="69">
        <v>1</v>
      </c>
      <c r="P418" s="69" t="s">
        <v>50</v>
      </c>
      <c r="Q418" s="69" t="s">
        <v>51</v>
      </c>
      <c r="R418" s="69"/>
      <c r="S418" s="48">
        <v>40794</v>
      </c>
      <c r="T418" s="48">
        <v>43340</v>
      </c>
      <c r="U418" s="69"/>
      <c r="V418" s="69"/>
      <c r="W418" s="69"/>
      <c r="X418" s="69"/>
      <c r="Y418" s="69" t="s">
        <v>4125</v>
      </c>
      <c r="Z418" s="52">
        <v>13500</v>
      </c>
      <c r="AA418" s="43" t="s">
        <v>52</v>
      </c>
      <c r="AB418" s="43" t="s">
        <v>53</v>
      </c>
      <c r="AC418" s="85">
        <v>1095</v>
      </c>
      <c r="AD418" s="141">
        <v>3</v>
      </c>
      <c r="AE418" s="142">
        <v>0</v>
      </c>
      <c r="AF418" s="69" t="str">
        <f t="shared" si="62"/>
        <v>3 years 0 days</v>
      </c>
      <c r="AG418" s="69">
        <v>3</v>
      </c>
      <c r="AH418" s="69">
        <v>0</v>
      </c>
      <c r="AI418" s="69">
        <v>13500</v>
      </c>
      <c r="AJ418" s="67">
        <v>13500</v>
      </c>
      <c r="AK418" s="69">
        <v>2025</v>
      </c>
      <c r="AL418" s="61">
        <v>0</v>
      </c>
      <c r="AM418" s="143"/>
    </row>
    <row r="419" spans="1:39" x14ac:dyDescent="0.35">
      <c r="A419" s="69" t="s">
        <v>4124</v>
      </c>
      <c r="B419" s="41">
        <v>1101400774</v>
      </c>
      <c r="C419" s="41"/>
      <c r="D419" s="41" t="s">
        <v>1285</v>
      </c>
      <c r="E419" s="101">
        <v>2</v>
      </c>
      <c r="F419" s="41" t="s">
        <v>1152</v>
      </c>
      <c r="G419" s="69" t="s">
        <v>1151</v>
      </c>
      <c r="H419" s="41">
        <v>9008000017</v>
      </c>
      <c r="I419" s="41" t="s">
        <v>593</v>
      </c>
      <c r="J419" s="41">
        <v>1202020101</v>
      </c>
      <c r="K419" s="41" t="s">
        <v>1293</v>
      </c>
      <c r="L419" s="52" t="s">
        <v>1294</v>
      </c>
      <c r="M419" s="69" t="s">
        <v>1295</v>
      </c>
      <c r="N419" s="69"/>
      <c r="O419" s="69">
        <v>1</v>
      </c>
      <c r="P419" s="69" t="s">
        <v>50</v>
      </c>
      <c r="Q419" s="69" t="s">
        <v>51</v>
      </c>
      <c r="R419" s="69"/>
      <c r="S419" s="48">
        <v>41157</v>
      </c>
      <c r="T419" s="48">
        <v>43340</v>
      </c>
      <c r="U419" s="69"/>
      <c r="V419" s="69"/>
      <c r="W419" s="69"/>
      <c r="X419" s="69"/>
      <c r="Y419" s="69" t="s">
        <v>4125</v>
      </c>
      <c r="Z419" s="52">
        <v>690000</v>
      </c>
      <c r="AA419" s="43" t="s">
        <v>52</v>
      </c>
      <c r="AB419" s="43" t="s">
        <v>53</v>
      </c>
      <c r="AC419" s="85">
        <v>3285</v>
      </c>
      <c r="AD419" s="141">
        <v>9</v>
      </c>
      <c r="AE419" s="142">
        <v>0</v>
      </c>
      <c r="AF419" s="69" t="str">
        <f t="shared" si="62"/>
        <v>6 years 128 days</v>
      </c>
      <c r="AG419" s="69">
        <v>6</v>
      </c>
      <c r="AH419" s="69">
        <v>128</v>
      </c>
      <c r="AI419" s="69">
        <v>690000</v>
      </c>
      <c r="AJ419" s="67">
        <v>486676</v>
      </c>
      <c r="AK419" s="69">
        <v>2025</v>
      </c>
      <c r="AL419" s="61">
        <v>38018.063926940667</v>
      </c>
      <c r="AM419" s="143"/>
    </row>
    <row r="420" spans="1:39" x14ac:dyDescent="0.35">
      <c r="A420" s="69" t="s">
        <v>4124</v>
      </c>
      <c r="B420" s="41">
        <v>1101400911</v>
      </c>
      <c r="C420" s="41"/>
      <c r="D420" s="41" t="s">
        <v>1285</v>
      </c>
      <c r="E420" s="101">
        <v>3</v>
      </c>
      <c r="F420" s="41" t="s">
        <v>1152</v>
      </c>
      <c r="G420" s="69" t="s">
        <v>1151</v>
      </c>
      <c r="H420" s="41">
        <v>9008000017</v>
      </c>
      <c r="I420" s="41" t="s">
        <v>593</v>
      </c>
      <c r="J420" s="41">
        <v>1202020101</v>
      </c>
      <c r="K420" s="41" t="s">
        <v>1297</v>
      </c>
      <c r="L420" s="52" t="s">
        <v>1298</v>
      </c>
      <c r="M420" s="69" t="s">
        <v>1299</v>
      </c>
      <c r="N420" s="69"/>
      <c r="O420" s="69">
        <v>1</v>
      </c>
      <c r="P420" s="69" t="s">
        <v>50</v>
      </c>
      <c r="Q420" s="69" t="s">
        <v>51</v>
      </c>
      <c r="R420" s="69"/>
      <c r="S420" s="48">
        <v>41302</v>
      </c>
      <c r="T420" s="48">
        <v>43340</v>
      </c>
      <c r="U420" s="69"/>
      <c r="V420" s="69"/>
      <c r="W420" s="69"/>
      <c r="X420" s="69"/>
      <c r="Y420" s="69" t="s">
        <v>4125</v>
      </c>
      <c r="Z420" s="52">
        <v>165000</v>
      </c>
      <c r="AA420" s="43" t="s">
        <v>52</v>
      </c>
      <c r="AB420" s="43" t="s">
        <v>53</v>
      </c>
      <c r="AC420" s="85">
        <v>3431</v>
      </c>
      <c r="AD420" s="141">
        <v>9</v>
      </c>
      <c r="AE420" s="142">
        <v>5</v>
      </c>
      <c r="AF420" s="69" t="str">
        <f t="shared" si="62"/>
        <v>6 years 128 days</v>
      </c>
      <c r="AG420" s="69">
        <v>6</v>
      </c>
      <c r="AH420" s="69">
        <v>128</v>
      </c>
      <c r="AI420" s="69">
        <v>165000</v>
      </c>
      <c r="AJ420" s="67">
        <v>111427</v>
      </c>
      <c r="AK420" s="69">
        <v>2025</v>
      </c>
      <c r="AL420" s="61">
        <v>8704.1570970562607</v>
      </c>
      <c r="AM420" s="143"/>
    </row>
    <row r="421" spans="1:39" x14ac:dyDescent="0.35">
      <c r="A421" s="69" t="s">
        <v>4124</v>
      </c>
      <c r="B421" s="41">
        <v>1101403814</v>
      </c>
      <c r="C421" s="41"/>
      <c r="D421" s="41" t="s">
        <v>1285</v>
      </c>
      <c r="E421" s="101">
        <v>4</v>
      </c>
      <c r="F421" s="41" t="s">
        <v>1152</v>
      </c>
      <c r="G421" s="69" t="s">
        <v>1151</v>
      </c>
      <c r="H421" s="41">
        <v>9008000017</v>
      </c>
      <c r="I421" s="41" t="s">
        <v>593</v>
      </c>
      <c r="J421" s="41">
        <v>1202020101</v>
      </c>
      <c r="K421" s="41"/>
      <c r="L421" s="52" t="s">
        <v>1301</v>
      </c>
      <c r="M421" s="69" t="s">
        <v>1302</v>
      </c>
      <c r="N421" s="69"/>
      <c r="O421" s="69">
        <v>1</v>
      </c>
      <c r="P421" s="69" t="s">
        <v>50</v>
      </c>
      <c r="Q421" s="69" t="s">
        <v>51</v>
      </c>
      <c r="R421" s="69"/>
      <c r="S421" s="48">
        <v>44426</v>
      </c>
      <c r="T421" s="48">
        <v>44426</v>
      </c>
      <c r="U421" s="69"/>
      <c r="V421" s="69"/>
      <c r="W421" s="69"/>
      <c r="X421" s="69"/>
      <c r="Y421" s="69" t="s">
        <v>4128</v>
      </c>
      <c r="Z421" s="52">
        <v>121325</v>
      </c>
      <c r="AA421" s="43" t="s">
        <v>52</v>
      </c>
      <c r="AB421" s="43" t="s">
        <v>53</v>
      </c>
      <c r="AC421" s="85">
        <v>3650</v>
      </c>
      <c r="AD421" s="141">
        <v>10</v>
      </c>
      <c r="AE421" s="142">
        <v>0</v>
      </c>
      <c r="AF421" s="69" t="str">
        <f t="shared" si="62"/>
        <v>3 years 137 days</v>
      </c>
      <c r="AG421" s="69">
        <v>3</v>
      </c>
      <c r="AH421" s="69">
        <v>137</v>
      </c>
      <c r="AI421" s="69">
        <v>121325</v>
      </c>
      <c r="AJ421" s="67">
        <v>40951</v>
      </c>
      <c r="AK421" s="69">
        <v>2025</v>
      </c>
      <c r="AL421" s="61">
        <v>6016.7328767123327</v>
      </c>
      <c r="AM421" s="143"/>
    </row>
    <row r="422" spans="1:39" x14ac:dyDescent="0.35">
      <c r="A422" s="69" t="s">
        <v>4124</v>
      </c>
      <c r="B422" s="41">
        <v>1101400866</v>
      </c>
      <c r="C422" s="41"/>
      <c r="D422" s="69"/>
      <c r="E422" s="101">
        <v>0</v>
      </c>
      <c r="F422" s="41" t="s">
        <v>1152</v>
      </c>
      <c r="G422" s="69" t="s">
        <v>1151</v>
      </c>
      <c r="H422" s="41">
        <v>9008000018</v>
      </c>
      <c r="I422" s="41" t="s">
        <v>593</v>
      </c>
      <c r="J422" s="41">
        <v>1202020101</v>
      </c>
      <c r="K422" s="41" t="s">
        <v>1304</v>
      </c>
      <c r="L422" s="52" t="s">
        <v>1305</v>
      </c>
      <c r="M422" s="69" t="s">
        <v>1306</v>
      </c>
      <c r="N422" s="69"/>
      <c r="O422" s="69">
        <v>1</v>
      </c>
      <c r="P422" s="69" t="s">
        <v>50</v>
      </c>
      <c r="Q422" s="69" t="s">
        <v>51</v>
      </c>
      <c r="R422" s="69"/>
      <c r="S422" s="48">
        <v>41261</v>
      </c>
      <c r="T422" s="48">
        <v>43340</v>
      </c>
      <c r="U422" s="69"/>
      <c r="V422" s="69"/>
      <c r="W422" s="69"/>
      <c r="X422" s="69"/>
      <c r="Y422" s="69" t="s">
        <v>4125</v>
      </c>
      <c r="Z422" s="52">
        <v>3400000</v>
      </c>
      <c r="AA422" s="43" t="s">
        <v>52</v>
      </c>
      <c r="AB422" s="43" t="s">
        <v>53</v>
      </c>
      <c r="AC422" s="85">
        <v>3358</v>
      </c>
      <c r="AD422" s="141">
        <v>9</v>
      </c>
      <c r="AE422" s="142">
        <v>2</v>
      </c>
      <c r="AF422" s="69" t="str">
        <f t="shared" ref="AF422:AF424" si="63">_xlfn.CONCAT(AG422," years ",AH422," days")</f>
        <v>6 years 128 days</v>
      </c>
      <c r="AG422" s="69">
        <v>6</v>
      </c>
      <c r="AH422" s="69">
        <v>128</v>
      </c>
      <c r="AI422" s="69">
        <v>3400000</v>
      </c>
      <c r="AJ422" s="67">
        <v>2345980</v>
      </c>
      <c r="AK422" s="69">
        <v>2025</v>
      </c>
      <c r="AL422" s="61">
        <v>183263.59737939201</v>
      </c>
      <c r="AM422" s="143"/>
    </row>
    <row r="423" spans="1:39" x14ac:dyDescent="0.35">
      <c r="A423" s="69" t="s">
        <v>4124</v>
      </c>
      <c r="B423" s="41">
        <v>1101400895</v>
      </c>
      <c r="C423" s="41"/>
      <c r="D423" s="41" t="s">
        <v>1303</v>
      </c>
      <c r="E423" s="101">
        <v>1</v>
      </c>
      <c r="F423" s="41" t="s">
        <v>1152</v>
      </c>
      <c r="G423" s="69" t="s">
        <v>1151</v>
      </c>
      <c r="H423" s="41">
        <v>9008000018</v>
      </c>
      <c r="I423" s="41" t="s">
        <v>593</v>
      </c>
      <c r="J423" s="41">
        <v>1202020101</v>
      </c>
      <c r="K423" s="41" t="s">
        <v>1308</v>
      </c>
      <c r="L423" s="52" t="s">
        <v>1309</v>
      </c>
      <c r="M423" s="69" t="s">
        <v>1310</v>
      </c>
      <c r="N423" s="69"/>
      <c r="O423" s="69">
        <v>1</v>
      </c>
      <c r="P423" s="69" t="s">
        <v>50</v>
      </c>
      <c r="Q423" s="69" t="s">
        <v>51</v>
      </c>
      <c r="R423" s="69"/>
      <c r="S423" s="48">
        <v>41286</v>
      </c>
      <c r="T423" s="48">
        <v>43340</v>
      </c>
      <c r="U423" s="69"/>
      <c r="V423" s="69"/>
      <c r="W423" s="69"/>
      <c r="X423" s="69"/>
      <c r="Y423" s="69" t="s">
        <v>4125</v>
      </c>
      <c r="Z423" s="52">
        <v>225000</v>
      </c>
      <c r="AA423" s="43" t="s">
        <v>52</v>
      </c>
      <c r="AB423" s="43" t="s">
        <v>53</v>
      </c>
      <c r="AC423" s="85">
        <v>1606</v>
      </c>
      <c r="AD423" s="141">
        <v>4</v>
      </c>
      <c r="AE423" s="142">
        <v>5</v>
      </c>
      <c r="AF423" s="69" t="str">
        <f t="shared" si="63"/>
        <v>4 years 146 days</v>
      </c>
      <c r="AG423" s="69">
        <v>4</v>
      </c>
      <c r="AH423" s="69">
        <v>146</v>
      </c>
      <c r="AI423" s="69">
        <v>225000</v>
      </c>
      <c r="AJ423" s="67">
        <v>225000</v>
      </c>
      <c r="AK423" s="69">
        <v>2025</v>
      </c>
      <c r="AL423" s="61">
        <v>0</v>
      </c>
      <c r="AM423" s="143"/>
    </row>
    <row r="424" spans="1:39" x14ac:dyDescent="0.35">
      <c r="A424" s="69" t="s">
        <v>4124</v>
      </c>
      <c r="B424" s="41">
        <v>1101400912</v>
      </c>
      <c r="C424" s="41"/>
      <c r="D424" s="41" t="s">
        <v>1303</v>
      </c>
      <c r="E424" s="101">
        <v>2</v>
      </c>
      <c r="F424" s="41" t="s">
        <v>1152</v>
      </c>
      <c r="G424" s="69" t="s">
        <v>1151</v>
      </c>
      <c r="H424" s="41">
        <v>9008000018</v>
      </c>
      <c r="I424" s="41" t="s">
        <v>593</v>
      </c>
      <c r="J424" s="41">
        <v>1202020101</v>
      </c>
      <c r="K424" s="41" t="s">
        <v>1312</v>
      </c>
      <c r="L424" s="52" t="s">
        <v>1313</v>
      </c>
      <c r="M424" s="69" t="s">
        <v>1314</v>
      </c>
      <c r="N424" s="69"/>
      <c r="O424" s="69">
        <v>2</v>
      </c>
      <c r="P424" s="69" t="s">
        <v>50</v>
      </c>
      <c r="Q424" s="69" t="s">
        <v>51</v>
      </c>
      <c r="R424" s="69"/>
      <c r="S424" s="48">
        <v>41302</v>
      </c>
      <c r="T424" s="48">
        <v>43340</v>
      </c>
      <c r="U424" s="69"/>
      <c r="V424" s="69"/>
      <c r="W424" s="69"/>
      <c r="X424" s="69"/>
      <c r="Y424" s="69" t="s">
        <v>4125</v>
      </c>
      <c r="Z424" s="52">
        <v>330000</v>
      </c>
      <c r="AA424" s="43" t="s">
        <v>52</v>
      </c>
      <c r="AB424" s="43" t="s">
        <v>53</v>
      </c>
      <c r="AC424" s="85">
        <v>3431</v>
      </c>
      <c r="AD424" s="141">
        <v>9</v>
      </c>
      <c r="AE424" s="142">
        <v>5</v>
      </c>
      <c r="AF424" s="69" t="str">
        <f t="shared" si="63"/>
        <v>6 years 128 days</v>
      </c>
      <c r="AG424" s="69">
        <v>6</v>
      </c>
      <c r="AH424" s="69">
        <v>128</v>
      </c>
      <c r="AI424" s="69">
        <v>330000</v>
      </c>
      <c r="AJ424" s="67">
        <v>222853</v>
      </c>
      <c r="AK424" s="69">
        <v>2025</v>
      </c>
      <c r="AL424" s="61">
        <v>17409.314194112521</v>
      </c>
      <c r="AM424" s="143"/>
    </row>
    <row r="425" spans="1:39" x14ac:dyDescent="0.35">
      <c r="A425" s="69" t="s">
        <v>4124</v>
      </c>
      <c r="B425" s="41">
        <v>1101400885</v>
      </c>
      <c r="C425" s="41"/>
      <c r="D425" s="69"/>
      <c r="E425" s="101">
        <v>0</v>
      </c>
      <c r="F425" s="41" t="s">
        <v>1152</v>
      </c>
      <c r="G425" s="69" t="s">
        <v>1151</v>
      </c>
      <c r="H425" s="41">
        <v>9008000019</v>
      </c>
      <c r="I425" s="41" t="s">
        <v>593</v>
      </c>
      <c r="J425" s="41">
        <v>1202020101</v>
      </c>
      <c r="K425" s="41" t="s">
        <v>1316</v>
      </c>
      <c r="L425" s="52" t="s">
        <v>1317</v>
      </c>
      <c r="M425" s="69" t="s">
        <v>1306</v>
      </c>
      <c r="N425" s="69"/>
      <c r="O425" s="69">
        <v>1</v>
      </c>
      <c r="P425" s="69" t="s">
        <v>50</v>
      </c>
      <c r="Q425" s="69" t="s">
        <v>51</v>
      </c>
      <c r="R425" s="69"/>
      <c r="S425" s="48">
        <v>41277</v>
      </c>
      <c r="T425" s="48">
        <v>43340</v>
      </c>
      <c r="U425" s="69"/>
      <c r="V425" s="69"/>
      <c r="W425" s="69"/>
      <c r="X425" s="69"/>
      <c r="Y425" s="69" t="s">
        <v>4125</v>
      </c>
      <c r="Z425" s="52">
        <v>3425000</v>
      </c>
      <c r="AA425" s="43" t="s">
        <v>52</v>
      </c>
      <c r="AB425" s="43" t="s">
        <v>53</v>
      </c>
      <c r="AC425" s="85">
        <v>3395</v>
      </c>
      <c r="AD425" s="141">
        <v>9</v>
      </c>
      <c r="AE425" s="142">
        <v>4</v>
      </c>
      <c r="AF425" s="69" t="str">
        <f t="shared" ref="AF425:AF426" si="64">_xlfn.CONCAT(AG425," years ",AH425," days")</f>
        <v>6 years 128 days</v>
      </c>
      <c r="AG425" s="69">
        <v>6</v>
      </c>
      <c r="AH425" s="69">
        <v>128</v>
      </c>
      <c r="AI425" s="69">
        <v>3425000</v>
      </c>
      <c r="AJ425" s="67">
        <v>2337474</v>
      </c>
      <c r="AK425" s="69">
        <v>2025</v>
      </c>
      <c r="AL425" s="61">
        <v>182599.63770250371</v>
      </c>
      <c r="AM425" s="143"/>
    </row>
    <row r="426" spans="1:39" x14ac:dyDescent="0.35">
      <c r="A426" s="69" t="s">
        <v>4124</v>
      </c>
      <c r="B426" s="41">
        <v>1101405097</v>
      </c>
      <c r="C426" s="41"/>
      <c r="D426" s="41" t="s">
        <v>1315</v>
      </c>
      <c r="E426" s="101">
        <v>1</v>
      </c>
      <c r="F426" s="41" t="s">
        <v>1152</v>
      </c>
      <c r="G426" s="69" t="s">
        <v>1151</v>
      </c>
      <c r="H426" s="41">
        <v>9008000019</v>
      </c>
      <c r="I426" s="41" t="s">
        <v>593</v>
      </c>
      <c r="J426" s="41">
        <v>1202020101</v>
      </c>
      <c r="K426" s="41"/>
      <c r="L426" s="52" t="s">
        <v>1319</v>
      </c>
      <c r="M426" s="69" t="s">
        <v>1320</v>
      </c>
      <c r="N426" s="69"/>
      <c r="O426" s="69">
        <v>12</v>
      </c>
      <c r="P426" s="69" t="s">
        <v>50</v>
      </c>
      <c r="Q426" s="69" t="s">
        <v>51</v>
      </c>
      <c r="R426" s="69"/>
      <c r="S426" s="48">
        <v>45333</v>
      </c>
      <c r="T426" s="48">
        <v>45333</v>
      </c>
      <c r="U426" s="69"/>
      <c r="V426" s="69"/>
      <c r="W426" s="69"/>
      <c r="X426" s="69"/>
      <c r="Y426" s="69" t="s">
        <v>4130</v>
      </c>
      <c r="Z426" s="52">
        <v>137158.5</v>
      </c>
      <c r="AA426" s="43" t="s">
        <v>52</v>
      </c>
      <c r="AB426" s="43" t="s">
        <v>53</v>
      </c>
      <c r="AC426" s="85">
        <v>3650</v>
      </c>
      <c r="AD426" s="141">
        <v>10</v>
      </c>
      <c r="AE426" s="142">
        <v>0</v>
      </c>
      <c r="AF426" s="69" t="str">
        <f t="shared" si="64"/>
        <v>0 years 325 days</v>
      </c>
      <c r="AG426" s="69">
        <v>0</v>
      </c>
      <c r="AH426" s="69">
        <v>325</v>
      </c>
      <c r="AI426" s="69">
        <v>137158.5</v>
      </c>
      <c r="AJ426" s="67">
        <v>12213</v>
      </c>
      <c r="AK426" s="69">
        <v>2025</v>
      </c>
      <c r="AL426" s="61">
        <v>6801.3016438356171</v>
      </c>
      <c r="AM426" s="143"/>
    </row>
    <row r="427" spans="1:39" x14ac:dyDescent="0.35">
      <c r="A427" s="69" t="s">
        <v>4124</v>
      </c>
      <c r="B427" s="41">
        <v>1101400884</v>
      </c>
      <c r="C427" s="41"/>
      <c r="D427" s="69"/>
      <c r="E427" s="101">
        <v>0</v>
      </c>
      <c r="F427" s="41" t="s">
        <v>1152</v>
      </c>
      <c r="G427" s="69" t="s">
        <v>1151</v>
      </c>
      <c r="H427" s="41">
        <v>9008000020</v>
      </c>
      <c r="I427" s="41" t="s">
        <v>593</v>
      </c>
      <c r="J427" s="41">
        <v>1202020101</v>
      </c>
      <c r="K427" s="41" t="s">
        <v>1322</v>
      </c>
      <c r="L427" s="52" t="s">
        <v>1323</v>
      </c>
      <c r="M427" s="69" t="s">
        <v>1306</v>
      </c>
      <c r="N427" s="69"/>
      <c r="O427" s="69">
        <v>1</v>
      </c>
      <c r="P427" s="69" t="s">
        <v>50</v>
      </c>
      <c r="Q427" s="69" t="s">
        <v>51</v>
      </c>
      <c r="R427" s="69"/>
      <c r="S427" s="48">
        <v>41277</v>
      </c>
      <c r="T427" s="48">
        <v>43340</v>
      </c>
      <c r="U427" s="69"/>
      <c r="V427" s="69"/>
      <c r="W427" s="69"/>
      <c r="X427" s="69"/>
      <c r="Y427" s="69" t="s">
        <v>4125</v>
      </c>
      <c r="Z427" s="52">
        <v>3425000</v>
      </c>
      <c r="AA427" s="43" t="s">
        <v>52</v>
      </c>
      <c r="AB427" s="43" t="s">
        <v>53</v>
      </c>
      <c r="AC427" s="85">
        <v>3395</v>
      </c>
      <c r="AD427" s="141">
        <v>9</v>
      </c>
      <c r="AE427" s="142">
        <v>4</v>
      </c>
      <c r="AF427" s="69" t="str">
        <f t="shared" ref="AF427:AF428" si="65">_xlfn.CONCAT(AG427," years ",AH427," days")</f>
        <v>6 years 128 days</v>
      </c>
      <c r="AG427" s="69">
        <v>6</v>
      </c>
      <c r="AH427" s="69">
        <v>128</v>
      </c>
      <c r="AI427" s="69">
        <v>3425000</v>
      </c>
      <c r="AJ427" s="67">
        <v>2337474</v>
      </c>
      <c r="AK427" s="69">
        <v>2025</v>
      </c>
      <c r="AL427" s="61">
        <v>182599.63770250371</v>
      </c>
      <c r="AM427" s="143"/>
    </row>
    <row r="428" spans="1:39" x14ac:dyDescent="0.35">
      <c r="A428" s="69" t="s">
        <v>4124</v>
      </c>
      <c r="B428" s="41">
        <v>1101401920</v>
      </c>
      <c r="C428" s="41"/>
      <c r="D428" s="41" t="s">
        <v>1321</v>
      </c>
      <c r="E428" s="101">
        <v>1</v>
      </c>
      <c r="F428" s="41" t="s">
        <v>1152</v>
      </c>
      <c r="G428" s="69" t="s">
        <v>1151</v>
      </c>
      <c r="H428" s="41">
        <v>9008000020</v>
      </c>
      <c r="I428" s="41" t="s">
        <v>593</v>
      </c>
      <c r="J428" s="41">
        <v>1202020101</v>
      </c>
      <c r="K428" s="41"/>
      <c r="L428" s="52" t="s">
        <v>1325</v>
      </c>
      <c r="M428" s="69" t="s">
        <v>49</v>
      </c>
      <c r="N428" s="69"/>
      <c r="O428" s="69">
        <v>1</v>
      </c>
      <c r="P428" s="69" t="s">
        <v>50</v>
      </c>
      <c r="Q428" s="69" t="s">
        <v>51</v>
      </c>
      <c r="R428" s="69"/>
      <c r="S428" s="48">
        <v>42521</v>
      </c>
      <c r="T428" s="48">
        <v>43340</v>
      </c>
      <c r="U428" s="69"/>
      <c r="V428" s="69"/>
      <c r="W428" s="69"/>
      <c r="X428" s="69"/>
      <c r="Y428" s="69" t="s">
        <v>4125</v>
      </c>
      <c r="Z428" s="52">
        <v>75000</v>
      </c>
      <c r="AA428" s="43" t="s">
        <v>52</v>
      </c>
      <c r="AB428" s="43" t="s">
        <v>53</v>
      </c>
      <c r="AC428" s="85">
        <v>4636</v>
      </c>
      <c r="AD428" s="141">
        <v>12</v>
      </c>
      <c r="AE428" s="142">
        <v>9</v>
      </c>
      <c r="AF428" s="69" t="str">
        <f t="shared" si="65"/>
        <v>6 years 128 days</v>
      </c>
      <c r="AG428" s="69">
        <v>6</v>
      </c>
      <c r="AH428" s="69">
        <v>128</v>
      </c>
      <c r="AI428" s="69">
        <v>75000</v>
      </c>
      <c r="AJ428" s="67">
        <v>37484</v>
      </c>
      <c r="AK428" s="69">
        <v>2025</v>
      </c>
      <c r="AL428" s="61">
        <v>2927.9930974978488</v>
      </c>
      <c r="AM428" s="143"/>
    </row>
    <row r="429" spans="1:39" x14ac:dyDescent="0.35">
      <c r="A429" s="69" t="s">
        <v>4124</v>
      </c>
      <c r="B429" s="41">
        <v>1101400870</v>
      </c>
      <c r="C429" s="41"/>
      <c r="D429" s="69"/>
      <c r="E429" s="101">
        <v>0</v>
      </c>
      <c r="F429" s="41" t="s">
        <v>1152</v>
      </c>
      <c r="G429" s="69" t="s">
        <v>1151</v>
      </c>
      <c r="H429" s="41">
        <v>9008000021</v>
      </c>
      <c r="I429" s="41" t="s">
        <v>593</v>
      </c>
      <c r="J429" s="41">
        <v>1202020101</v>
      </c>
      <c r="K429" s="41" t="s">
        <v>1327</v>
      </c>
      <c r="L429" s="52" t="s">
        <v>1328</v>
      </c>
      <c r="M429" s="69" t="s">
        <v>1306</v>
      </c>
      <c r="N429" s="69"/>
      <c r="O429" s="69">
        <v>1</v>
      </c>
      <c r="P429" s="69" t="s">
        <v>50</v>
      </c>
      <c r="Q429" s="69" t="s">
        <v>51</v>
      </c>
      <c r="R429" s="69"/>
      <c r="S429" s="48">
        <v>41261</v>
      </c>
      <c r="T429" s="48">
        <v>43340</v>
      </c>
      <c r="U429" s="69"/>
      <c r="V429" s="69"/>
      <c r="W429" s="69"/>
      <c r="X429" s="69"/>
      <c r="Y429" s="69" t="s">
        <v>4125</v>
      </c>
      <c r="Z429" s="52">
        <v>3425000</v>
      </c>
      <c r="AA429" s="43" t="s">
        <v>52</v>
      </c>
      <c r="AB429" s="43" t="s">
        <v>53</v>
      </c>
      <c r="AC429" s="85">
        <v>3395</v>
      </c>
      <c r="AD429" s="141">
        <v>9</v>
      </c>
      <c r="AE429" s="142">
        <v>4</v>
      </c>
      <c r="AF429" s="69" t="str">
        <f t="shared" ref="AF429:AF432" si="66">_xlfn.CONCAT(AG429," years ",AH429," days")</f>
        <v>6 years 128 days</v>
      </c>
      <c r="AG429" s="69">
        <v>6</v>
      </c>
      <c r="AH429" s="69">
        <v>128</v>
      </c>
      <c r="AI429" s="69">
        <v>3425000</v>
      </c>
      <c r="AJ429" s="67">
        <v>2337474</v>
      </c>
      <c r="AK429" s="69">
        <v>2025</v>
      </c>
      <c r="AL429" s="61">
        <v>182599.63770250371</v>
      </c>
      <c r="AM429" s="143"/>
    </row>
    <row r="430" spans="1:39" x14ac:dyDescent="0.35">
      <c r="A430" s="69" t="s">
        <v>4124</v>
      </c>
      <c r="B430" s="41">
        <v>1101400790</v>
      </c>
      <c r="C430" s="41"/>
      <c r="D430" s="41" t="s">
        <v>1326</v>
      </c>
      <c r="E430" s="101">
        <v>1</v>
      </c>
      <c r="F430" s="41" t="s">
        <v>1152</v>
      </c>
      <c r="G430" s="69" t="s">
        <v>1151</v>
      </c>
      <c r="H430" s="41">
        <v>9008000021</v>
      </c>
      <c r="I430" s="41" t="s">
        <v>593</v>
      </c>
      <c r="J430" s="41">
        <v>1202020101</v>
      </c>
      <c r="K430" s="41" t="s">
        <v>1330</v>
      </c>
      <c r="L430" s="52" t="s">
        <v>1331</v>
      </c>
      <c r="M430" s="69" t="s">
        <v>1332</v>
      </c>
      <c r="N430" s="69"/>
      <c r="O430" s="69">
        <v>2</v>
      </c>
      <c r="P430" s="69" t="s">
        <v>50</v>
      </c>
      <c r="Q430" s="69" t="s">
        <v>51</v>
      </c>
      <c r="R430" s="69"/>
      <c r="S430" s="48">
        <v>41171</v>
      </c>
      <c r="T430" s="48">
        <v>43340</v>
      </c>
      <c r="U430" s="69"/>
      <c r="V430" s="69"/>
      <c r="W430" s="69"/>
      <c r="X430" s="69"/>
      <c r="Y430" s="69" t="s">
        <v>4125</v>
      </c>
      <c r="Z430" s="52">
        <v>70000</v>
      </c>
      <c r="AA430" s="43" t="s">
        <v>52</v>
      </c>
      <c r="AB430" s="43" t="s">
        <v>53</v>
      </c>
      <c r="AC430" s="85">
        <v>1497</v>
      </c>
      <c r="AD430" s="141">
        <v>4</v>
      </c>
      <c r="AE430" s="142">
        <v>1</v>
      </c>
      <c r="AF430" s="69" t="str">
        <f t="shared" si="66"/>
        <v>4 years 37 days</v>
      </c>
      <c r="AG430" s="69">
        <v>4</v>
      </c>
      <c r="AH430" s="69">
        <v>37</v>
      </c>
      <c r="AI430" s="69">
        <v>70000</v>
      </c>
      <c r="AJ430" s="67">
        <v>70000</v>
      </c>
      <c r="AK430" s="69">
        <v>2025</v>
      </c>
      <c r="AL430" s="61">
        <v>0</v>
      </c>
      <c r="AM430" s="143"/>
    </row>
    <row r="431" spans="1:39" x14ac:dyDescent="0.35">
      <c r="A431" s="69" t="s">
        <v>4124</v>
      </c>
      <c r="B431" s="41">
        <v>1101400913</v>
      </c>
      <c r="C431" s="41"/>
      <c r="D431" s="41" t="s">
        <v>1326</v>
      </c>
      <c r="E431" s="101">
        <v>2</v>
      </c>
      <c r="F431" s="41" t="s">
        <v>1152</v>
      </c>
      <c r="G431" s="69" t="s">
        <v>1151</v>
      </c>
      <c r="H431" s="41">
        <v>9008000021</v>
      </c>
      <c r="I431" s="41" t="s">
        <v>593</v>
      </c>
      <c r="J431" s="41">
        <v>1202020101</v>
      </c>
      <c r="K431" s="41" t="s">
        <v>1334</v>
      </c>
      <c r="L431" s="52" t="s">
        <v>1335</v>
      </c>
      <c r="M431" s="69" t="s">
        <v>1336</v>
      </c>
      <c r="N431" s="69"/>
      <c r="O431" s="69">
        <v>2</v>
      </c>
      <c r="P431" s="69" t="s">
        <v>50</v>
      </c>
      <c r="Q431" s="69" t="s">
        <v>51</v>
      </c>
      <c r="R431" s="69"/>
      <c r="S431" s="48">
        <v>41302</v>
      </c>
      <c r="T431" s="48">
        <v>43340</v>
      </c>
      <c r="U431" s="69"/>
      <c r="V431" s="69"/>
      <c r="W431" s="69"/>
      <c r="X431" s="69"/>
      <c r="Y431" s="69" t="s">
        <v>4125</v>
      </c>
      <c r="Z431" s="52">
        <v>330000</v>
      </c>
      <c r="AA431" s="43" t="s">
        <v>52</v>
      </c>
      <c r="AB431" s="43" t="s">
        <v>53</v>
      </c>
      <c r="AC431" s="85">
        <v>3431</v>
      </c>
      <c r="AD431" s="141">
        <v>9</v>
      </c>
      <c r="AE431" s="142">
        <v>5</v>
      </c>
      <c r="AF431" s="69" t="str">
        <f t="shared" si="66"/>
        <v>6 years 128 days</v>
      </c>
      <c r="AG431" s="69">
        <v>6</v>
      </c>
      <c r="AH431" s="69">
        <v>128</v>
      </c>
      <c r="AI431" s="69">
        <v>330000</v>
      </c>
      <c r="AJ431" s="67">
        <v>222853</v>
      </c>
      <c r="AK431" s="69">
        <v>2025</v>
      </c>
      <c r="AL431" s="61">
        <v>17409.314194112521</v>
      </c>
      <c r="AM431" s="143"/>
    </row>
    <row r="432" spans="1:39" x14ac:dyDescent="0.35">
      <c r="A432" s="69" t="s">
        <v>4124</v>
      </c>
      <c r="B432" s="41">
        <v>1101405087</v>
      </c>
      <c r="C432" s="41"/>
      <c r="D432" s="41" t="s">
        <v>1326</v>
      </c>
      <c r="E432" s="101">
        <v>3</v>
      </c>
      <c r="F432" s="41" t="s">
        <v>1152</v>
      </c>
      <c r="G432" s="69" t="s">
        <v>1151</v>
      </c>
      <c r="H432" s="41">
        <v>9008000021</v>
      </c>
      <c r="I432" s="41" t="s">
        <v>593</v>
      </c>
      <c r="J432" s="41">
        <v>1202020101</v>
      </c>
      <c r="K432" s="41"/>
      <c r="L432" s="52" t="s">
        <v>1338</v>
      </c>
      <c r="M432" s="69" t="s">
        <v>1339</v>
      </c>
      <c r="N432" s="69"/>
      <c r="O432" s="69">
        <v>2</v>
      </c>
      <c r="P432" s="69" t="s">
        <v>50</v>
      </c>
      <c r="Q432" s="69" t="s">
        <v>51</v>
      </c>
      <c r="R432" s="69"/>
      <c r="S432" s="48">
        <v>45322</v>
      </c>
      <c r="T432" s="48">
        <v>45322</v>
      </c>
      <c r="U432" s="69"/>
      <c r="V432" s="69"/>
      <c r="W432" s="69"/>
      <c r="X432" s="69"/>
      <c r="Y432" s="69" t="s">
        <v>4130</v>
      </c>
      <c r="Z432" s="52">
        <v>257540</v>
      </c>
      <c r="AA432" s="43" t="s">
        <v>52</v>
      </c>
      <c r="AB432" s="43" t="s">
        <v>53</v>
      </c>
      <c r="AC432" s="85">
        <v>3650</v>
      </c>
      <c r="AD432" s="141">
        <v>10</v>
      </c>
      <c r="AE432" s="142">
        <v>0</v>
      </c>
      <c r="AF432" s="69" t="str">
        <f t="shared" si="66"/>
        <v>0 years 336 days</v>
      </c>
      <c r="AG432" s="69">
        <v>0</v>
      </c>
      <c r="AH432" s="69">
        <v>336</v>
      </c>
      <c r="AI432" s="69">
        <v>257540</v>
      </c>
      <c r="AJ432" s="67">
        <v>23708</v>
      </c>
      <c r="AK432" s="69">
        <v>2025</v>
      </c>
      <c r="AL432" s="61">
        <v>12770.953424657535</v>
      </c>
      <c r="AM432" s="143"/>
    </row>
    <row r="433" spans="1:39" x14ac:dyDescent="0.35">
      <c r="A433" s="69" t="s">
        <v>4124</v>
      </c>
      <c r="B433" s="41">
        <v>1101400868</v>
      </c>
      <c r="C433" s="41"/>
      <c r="D433" s="69"/>
      <c r="E433" s="101">
        <v>0</v>
      </c>
      <c r="F433" s="41" t="s">
        <v>1152</v>
      </c>
      <c r="G433" s="69" t="s">
        <v>1151</v>
      </c>
      <c r="H433" s="41">
        <v>9008000022</v>
      </c>
      <c r="I433" s="41" t="s">
        <v>593</v>
      </c>
      <c r="J433" s="41">
        <v>1202020101</v>
      </c>
      <c r="K433" s="41" t="s">
        <v>1341</v>
      </c>
      <c r="L433" s="52" t="s">
        <v>1342</v>
      </c>
      <c r="M433" s="69" t="s">
        <v>1343</v>
      </c>
      <c r="N433" s="69"/>
      <c r="O433" s="69">
        <v>1</v>
      </c>
      <c r="P433" s="69" t="s">
        <v>50</v>
      </c>
      <c r="Q433" s="69" t="s">
        <v>51</v>
      </c>
      <c r="R433" s="69"/>
      <c r="S433" s="48">
        <v>41261</v>
      </c>
      <c r="T433" s="48">
        <v>43340</v>
      </c>
      <c r="U433" s="69"/>
      <c r="V433" s="69"/>
      <c r="W433" s="69"/>
      <c r="X433" s="69"/>
      <c r="Y433" s="69" t="s">
        <v>4125</v>
      </c>
      <c r="Z433" s="52">
        <v>3425000</v>
      </c>
      <c r="AA433" s="43" t="s">
        <v>52</v>
      </c>
      <c r="AB433" s="43" t="s">
        <v>53</v>
      </c>
      <c r="AC433" s="85">
        <v>3395</v>
      </c>
      <c r="AD433" s="141">
        <v>9</v>
      </c>
      <c r="AE433" s="142">
        <v>4</v>
      </c>
      <c r="AF433" s="69" t="str">
        <f t="shared" ref="AF433:AF434" si="67">_xlfn.CONCAT(AG433," years ",AH433," days")</f>
        <v>6 years 128 days</v>
      </c>
      <c r="AG433" s="69">
        <v>6</v>
      </c>
      <c r="AH433" s="69">
        <v>128</v>
      </c>
      <c r="AI433" s="69">
        <v>3425000</v>
      </c>
      <c r="AJ433" s="67">
        <v>2337474</v>
      </c>
      <c r="AK433" s="69">
        <v>2025</v>
      </c>
      <c r="AL433" s="61">
        <v>182599.63770250371</v>
      </c>
      <c r="AM433" s="143"/>
    </row>
    <row r="434" spans="1:39" x14ac:dyDescent="0.35">
      <c r="A434" s="69" t="s">
        <v>4124</v>
      </c>
      <c r="B434" s="41">
        <v>1101400589</v>
      </c>
      <c r="C434" s="41"/>
      <c r="D434" s="41" t="s">
        <v>1340</v>
      </c>
      <c r="E434" s="101">
        <v>1</v>
      </c>
      <c r="F434" s="41" t="s">
        <v>1152</v>
      </c>
      <c r="G434" s="69" t="s">
        <v>1151</v>
      </c>
      <c r="H434" s="41">
        <v>9008000022</v>
      </c>
      <c r="I434" s="41" t="s">
        <v>593</v>
      </c>
      <c r="J434" s="41">
        <v>1202020101</v>
      </c>
      <c r="K434" s="41" t="s">
        <v>1345</v>
      </c>
      <c r="L434" s="52" t="s">
        <v>1346</v>
      </c>
      <c r="M434" s="69" t="s">
        <v>49</v>
      </c>
      <c r="N434" s="69"/>
      <c r="O434" s="69">
        <v>1</v>
      </c>
      <c r="P434" s="69" t="s">
        <v>50</v>
      </c>
      <c r="Q434" s="69" t="s">
        <v>51</v>
      </c>
      <c r="R434" s="69"/>
      <c r="S434" s="48">
        <v>40617</v>
      </c>
      <c r="T434" s="48">
        <v>43340</v>
      </c>
      <c r="U434" s="69"/>
      <c r="V434" s="69"/>
      <c r="W434" s="69"/>
      <c r="X434" s="69"/>
      <c r="Y434" s="69" t="s">
        <v>4125</v>
      </c>
      <c r="Z434" s="52">
        <v>135000</v>
      </c>
      <c r="AA434" s="43" t="s">
        <v>52</v>
      </c>
      <c r="AB434" s="43" t="s">
        <v>53</v>
      </c>
      <c r="AC434" s="85">
        <v>2738</v>
      </c>
      <c r="AD434" s="141">
        <v>7</v>
      </c>
      <c r="AE434" s="142">
        <v>6</v>
      </c>
      <c r="AF434" s="69" t="str">
        <f t="shared" si="67"/>
        <v>6 years 128 days</v>
      </c>
      <c r="AG434" s="69">
        <v>6</v>
      </c>
      <c r="AH434" s="69">
        <v>128</v>
      </c>
      <c r="AI434" s="69">
        <v>135000</v>
      </c>
      <c r="AJ434" s="67">
        <v>114242</v>
      </c>
      <c r="AK434" s="69">
        <v>2025</v>
      </c>
      <c r="AL434" s="61">
        <v>8924.5449233016698</v>
      </c>
      <c r="AM434" s="143"/>
    </row>
    <row r="435" spans="1:39" x14ac:dyDescent="0.35">
      <c r="A435" s="69" t="s">
        <v>4124</v>
      </c>
      <c r="B435" s="41">
        <v>1101400864</v>
      </c>
      <c r="C435" s="41"/>
      <c r="D435" s="69"/>
      <c r="E435" s="101">
        <v>0</v>
      </c>
      <c r="F435" s="41" t="s">
        <v>1152</v>
      </c>
      <c r="G435" s="69" t="s">
        <v>1151</v>
      </c>
      <c r="H435" s="41">
        <v>9008000023</v>
      </c>
      <c r="I435" s="41" t="s">
        <v>593</v>
      </c>
      <c r="J435" s="41">
        <v>1202020101</v>
      </c>
      <c r="K435" s="41" t="s">
        <v>1348</v>
      </c>
      <c r="L435" s="52" t="s">
        <v>1349</v>
      </c>
      <c r="M435" s="69" t="s">
        <v>1350</v>
      </c>
      <c r="N435" s="69"/>
      <c r="O435" s="69">
        <v>1</v>
      </c>
      <c r="P435" s="69" t="s">
        <v>50</v>
      </c>
      <c r="Q435" s="69" t="s">
        <v>51</v>
      </c>
      <c r="R435" s="69"/>
      <c r="S435" s="48">
        <v>41261</v>
      </c>
      <c r="T435" s="48">
        <v>43340</v>
      </c>
      <c r="U435" s="69"/>
      <c r="V435" s="69"/>
      <c r="W435" s="69"/>
      <c r="X435" s="69"/>
      <c r="Y435" s="69" t="s">
        <v>4125</v>
      </c>
      <c r="Z435" s="52">
        <v>3300000</v>
      </c>
      <c r="AA435" s="43" t="s">
        <v>52</v>
      </c>
      <c r="AB435" s="43" t="s">
        <v>53</v>
      </c>
      <c r="AC435" s="85">
        <v>3249</v>
      </c>
      <c r="AD435" s="141">
        <v>8</v>
      </c>
      <c r="AE435" s="142">
        <v>11</v>
      </c>
      <c r="AF435" s="69" t="str">
        <f t="shared" ref="AF435:AF437" si="68">_xlfn.CONCAT(AG435," years ",AH435," days")</f>
        <v>6 years 128 days</v>
      </c>
      <c r="AG435" s="69">
        <v>6</v>
      </c>
      <c r="AH435" s="69">
        <v>128</v>
      </c>
      <c r="AI435" s="69">
        <v>3300000</v>
      </c>
      <c r="AJ435" s="67">
        <v>2353370</v>
      </c>
      <c r="AK435" s="69">
        <v>2025</v>
      </c>
      <c r="AL435" s="61">
        <v>183841.4496768238</v>
      </c>
      <c r="AM435" s="143"/>
    </row>
    <row r="436" spans="1:39" x14ac:dyDescent="0.35">
      <c r="A436" s="69" t="s">
        <v>4124</v>
      </c>
      <c r="B436" s="41">
        <v>1101400748</v>
      </c>
      <c r="C436" s="41"/>
      <c r="D436" s="41" t="s">
        <v>1347</v>
      </c>
      <c r="E436" s="101">
        <v>1</v>
      </c>
      <c r="F436" s="41" t="s">
        <v>1152</v>
      </c>
      <c r="G436" s="69" t="s">
        <v>1151</v>
      </c>
      <c r="H436" s="41">
        <v>9008000023</v>
      </c>
      <c r="I436" s="41" t="s">
        <v>593</v>
      </c>
      <c r="J436" s="41">
        <v>1202020101</v>
      </c>
      <c r="K436" s="41" t="s">
        <v>1352</v>
      </c>
      <c r="L436" s="52" t="s">
        <v>1353</v>
      </c>
      <c r="M436" s="69" t="s">
        <v>1354</v>
      </c>
      <c r="N436" s="69"/>
      <c r="O436" s="69">
        <v>1</v>
      </c>
      <c r="P436" s="69" t="s">
        <v>50</v>
      </c>
      <c r="Q436" s="69" t="s">
        <v>51</v>
      </c>
      <c r="R436" s="69"/>
      <c r="S436" s="48">
        <v>41100</v>
      </c>
      <c r="T436" s="48">
        <v>43340</v>
      </c>
      <c r="U436" s="69"/>
      <c r="V436" s="69"/>
      <c r="W436" s="69"/>
      <c r="X436" s="69"/>
      <c r="Y436" s="69" t="s">
        <v>4125</v>
      </c>
      <c r="Z436" s="52">
        <v>17500</v>
      </c>
      <c r="AA436" s="43" t="s">
        <v>52</v>
      </c>
      <c r="AB436" s="43" t="s">
        <v>53</v>
      </c>
      <c r="AC436" s="85">
        <v>3249</v>
      </c>
      <c r="AD436" s="141">
        <v>8</v>
      </c>
      <c r="AE436" s="142">
        <v>11</v>
      </c>
      <c r="AF436" s="69" t="str">
        <f t="shared" si="68"/>
        <v>6 years 128 days</v>
      </c>
      <c r="AG436" s="69">
        <v>6</v>
      </c>
      <c r="AH436" s="69">
        <v>128</v>
      </c>
      <c r="AI436" s="69">
        <v>17500</v>
      </c>
      <c r="AJ436" s="67">
        <v>12480</v>
      </c>
      <c r="AK436" s="69">
        <v>2025</v>
      </c>
      <c r="AL436" s="61">
        <v>974.90920283164269</v>
      </c>
      <c r="AM436" s="143"/>
    </row>
    <row r="437" spans="1:39" x14ac:dyDescent="0.35">
      <c r="A437" s="69" t="s">
        <v>4124</v>
      </c>
      <c r="B437" s="41">
        <v>1101400794</v>
      </c>
      <c r="C437" s="41"/>
      <c r="D437" s="41" t="s">
        <v>1347</v>
      </c>
      <c r="E437" s="101">
        <v>2</v>
      </c>
      <c r="F437" s="41" t="s">
        <v>1152</v>
      </c>
      <c r="G437" s="69" t="s">
        <v>1151</v>
      </c>
      <c r="H437" s="41">
        <v>9008000023</v>
      </c>
      <c r="I437" s="41" t="s">
        <v>593</v>
      </c>
      <c r="J437" s="41">
        <v>1202020101</v>
      </c>
      <c r="K437" s="41" t="s">
        <v>1356</v>
      </c>
      <c r="L437" s="52" t="s">
        <v>1357</v>
      </c>
      <c r="M437" s="69" t="s">
        <v>1358</v>
      </c>
      <c r="N437" s="69"/>
      <c r="O437" s="69">
        <v>4</v>
      </c>
      <c r="P437" s="69" t="s">
        <v>50</v>
      </c>
      <c r="Q437" s="69" t="s">
        <v>51</v>
      </c>
      <c r="R437" s="69"/>
      <c r="S437" s="48">
        <v>41181</v>
      </c>
      <c r="T437" s="48">
        <v>43340</v>
      </c>
      <c r="U437" s="69"/>
      <c r="V437" s="69"/>
      <c r="W437" s="69"/>
      <c r="X437" s="69"/>
      <c r="Y437" s="69" t="s">
        <v>4125</v>
      </c>
      <c r="Z437" s="52">
        <v>130000</v>
      </c>
      <c r="AA437" s="43" t="s">
        <v>52</v>
      </c>
      <c r="AB437" s="43" t="s">
        <v>53</v>
      </c>
      <c r="AC437" s="85">
        <v>1497</v>
      </c>
      <c r="AD437" s="141">
        <v>4</v>
      </c>
      <c r="AE437" s="142">
        <v>1</v>
      </c>
      <c r="AF437" s="69" t="str">
        <f t="shared" si="68"/>
        <v>4 years 37 days</v>
      </c>
      <c r="AG437" s="69">
        <v>4</v>
      </c>
      <c r="AH437" s="69">
        <v>37</v>
      </c>
      <c r="AI437" s="69">
        <v>130000</v>
      </c>
      <c r="AJ437" s="67">
        <v>130000</v>
      </c>
      <c r="AK437" s="69">
        <v>2025</v>
      </c>
      <c r="AL437" s="61">
        <v>0</v>
      </c>
      <c r="AM437" s="143"/>
    </row>
    <row r="438" spans="1:39" x14ac:dyDescent="0.35">
      <c r="A438" s="69" t="s">
        <v>4124</v>
      </c>
      <c r="B438" s="41">
        <v>1101400950</v>
      </c>
      <c r="C438" s="41"/>
      <c r="D438" s="69"/>
      <c r="E438" s="101">
        <v>0</v>
      </c>
      <c r="F438" s="41" t="s">
        <v>1152</v>
      </c>
      <c r="G438" s="69" t="s">
        <v>1151</v>
      </c>
      <c r="H438" s="41">
        <v>9008000024</v>
      </c>
      <c r="I438" s="41" t="s">
        <v>593</v>
      </c>
      <c r="J438" s="41">
        <v>1202020101</v>
      </c>
      <c r="K438" s="41" t="s">
        <v>1360</v>
      </c>
      <c r="L438" s="52" t="s">
        <v>1361</v>
      </c>
      <c r="M438" s="69" t="s">
        <v>1306</v>
      </c>
      <c r="N438" s="69"/>
      <c r="O438" s="69">
        <v>1</v>
      </c>
      <c r="P438" s="69" t="s">
        <v>50</v>
      </c>
      <c r="Q438" s="69" t="s">
        <v>51</v>
      </c>
      <c r="R438" s="69"/>
      <c r="S438" s="48">
        <v>41338</v>
      </c>
      <c r="T438" s="48">
        <v>43340</v>
      </c>
      <c r="U438" s="69"/>
      <c r="V438" s="69"/>
      <c r="W438" s="69"/>
      <c r="X438" s="69"/>
      <c r="Y438" s="69" t="s">
        <v>4125</v>
      </c>
      <c r="Z438" s="52">
        <v>3500000</v>
      </c>
      <c r="AA438" s="43" t="s">
        <v>52</v>
      </c>
      <c r="AB438" s="43" t="s">
        <v>53</v>
      </c>
      <c r="AC438" s="85">
        <v>3468</v>
      </c>
      <c r="AD438" s="141">
        <v>9</v>
      </c>
      <c r="AE438" s="142">
        <v>6</v>
      </c>
      <c r="AF438" s="69" t="str">
        <f t="shared" ref="AF438:AF439" si="69">_xlfn.CONCAT(AG438," years ",AH438," days")</f>
        <v>6 years 128 days</v>
      </c>
      <c r="AG438" s="69">
        <v>6</v>
      </c>
      <c r="AH438" s="69">
        <v>128</v>
      </c>
      <c r="AI438" s="69">
        <v>3500000</v>
      </c>
      <c r="AJ438" s="67">
        <v>2338379</v>
      </c>
      <c r="AK438" s="69">
        <v>2025</v>
      </c>
      <c r="AL438" s="61">
        <v>182670.59630911192</v>
      </c>
      <c r="AM438" s="143"/>
    </row>
    <row r="439" spans="1:39" x14ac:dyDescent="0.35">
      <c r="A439" s="69" t="s">
        <v>4124</v>
      </c>
      <c r="B439" s="41">
        <v>1101400757</v>
      </c>
      <c r="C439" s="41"/>
      <c r="D439" s="41" t="s">
        <v>1362</v>
      </c>
      <c r="E439" s="101">
        <v>1</v>
      </c>
      <c r="F439" s="41" t="s">
        <v>1152</v>
      </c>
      <c r="G439" s="69" t="s">
        <v>1151</v>
      </c>
      <c r="H439" s="41">
        <v>9008000024</v>
      </c>
      <c r="I439" s="41" t="s">
        <v>593</v>
      </c>
      <c r="J439" s="41">
        <v>1202020101</v>
      </c>
      <c r="K439" s="41" t="s">
        <v>1363</v>
      </c>
      <c r="L439" s="52" t="s">
        <v>1364</v>
      </c>
      <c r="M439" s="69" t="s">
        <v>1365</v>
      </c>
      <c r="N439" s="69"/>
      <c r="O439" s="69">
        <v>1</v>
      </c>
      <c r="P439" s="69" t="s">
        <v>50</v>
      </c>
      <c r="Q439" s="69" t="s">
        <v>51</v>
      </c>
      <c r="R439" s="69"/>
      <c r="S439" s="48">
        <v>41118</v>
      </c>
      <c r="T439" s="48">
        <v>43340</v>
      </c>
      <c r="U439" s="69"/>
      <c r="V439" s="69"/>
      <c r="W439" s="69"/>
      <c r="X439" s="69"/>
      <c r="Y439" s="69" t="s">
        <v>4125</v>
      </c>
      <c r="Z439" s="52">
        <v>19000</v>
      </c>
      <c r="AA439" s="43" t="s">
        <v>52</v>
      </c>
      <c r="AB439" s="43" t="s">
        <v>53</v>
      </c>
      <c r="AC439" s="85">
        <v>3249</v>
      </c>
      <c r="AD439" s="141">
        <v>8</v>
      </c>
      <c r="AE439" s="142">
        <v>11</v>
      </c>
      <c r="AF439" s="69" t="str">
        <f t="shared" si="69"/>
        <v>6 years 128 days</v>
      </c>
      <c r="AG439" s="69">
        <v>6</v>
      </c>
      <c r="AH439" s="69">
        <v>128</v>
      </c>
      <c r="AI439" s="69">
        <v>19000</v>
      </c>
      <c r="AJ439" s="67">
        <v>13550</v>
      </c>
      <c r="AK439" s="69">
        <v>2025</v>
      </c>
      <c r="AL439" s="61">
        <v>1058.1871345029231</v>
      </c>
      <c r="AM439" s="143"/>
    </row>
    <row r="440" spans="1:39" x14ac:dyDescent="0.35">
      <c r="A440" s="69" t="s">
        <v>4124</v>
      </c>
      <c r="B440" s="41">
        <v>1101401516</v>
      </c>
      <c r="C440" s="41"/>
      <c r="D440" s="69"/>
      <c r="E440" s="101">
        <v>0</v>
      </c>
      <c r="F440" s="41" t="s">
        <v>1152</v>
      </c>
      <c r="G440" s="69" t="s">
        <v>1151</v>
      </c>
      <c r="H440" s="41">
        <v>9008000025</v>
      </c>
      <c r="I440" s="41" t="s">
        <v>593</v>
      </c>
      <c r="J440" s="41">
        <v>1202020101</v>
      </c>
      <c r="K440" s="41" t="s">
        <v>1367</v>
      </c>
      <c r="L440" s="52" t="s">
        <v>1368</v>
      </c>
      <c r="M440" s="69" t="s">
        <v>1369</v>
      </c>
      <c r="N440" s="69"/>
      <c r="O440" s="69">
        <v>1</v>
      </c>
      <c r="P440" s="69" t="s">
        <v>50</v>
      </c>
      <c r="Q440" s="69" t="s">
        <v>51</v>
      </c>
      <c r="R440" s="69"/>
      <c r="S440" s="48">
        <v>41917</v>
      </c>
      <c r="T440" s="48">
        <v>43340</v>
      </c>
      <c r="U440" s="69"/>
      <c r="V440" s="69"/>
      <c r="W440" s="69"/>
      <c r="X440" s="69"/>
      <c r="Y440" s="69" t="s">
        <v>4125</v>
      </c>
      <c r="Z440" s="52">
        <v>5500000</v>
      </c>
      <c r="AA440" s="43" t="s">
        <v>52</v>
      </c>
      <c r="AB440" s="43" t="s">
        <v>53</v>
      </c>
      <c r="AC440" s="85">
        <v>4052</v>
      </c>
      <c r="AD440" s="141">
        <v>11</v>
      </c>
      <c r="AE440" s="142">
        <v>1</v>
      </c>
      <c r="AF440" s="69" t="str">
        <f t="shared" ref="AF440:AF443" si="70">_xlfn.CONCAT(AG440," years ",AH440," days")</f>
        <v>6 years 128 days</v>
      </c>
      <c r="AG440" s="69">
        <v>6</v>
      </c>
      <c r="AH440" s="69">
        <v>128</v>
      </c>
      <c r="AI440" s="69">
        <v>5500000</v>
      </c>
      <c r="AJ440" s="67">
        <v>3144990</v>
      </c>
      <c r="AK440" s="69">
        <v>2025</v>
      </c>
      <c r="AL440" s="61">
        <v>245681.27344521228</v>
      </c>
      <c r="AM440" s="143"/>
    </row>
    <row r="441" spans="1:39" x14ac:dyDescent="0.35">
      <c r="A441" s="69" t="s">
        <v>4124</v>
      </c>
      <c r="B441" s="41">
        <v>1101401508</v>
      </c>
      <c r="C441" s="41"/>
      <c r="D441" s="41" t="s">
        <v>1370</v>
      </c>
      <c r="E441" s="101">
        <v>1</v>
      </c>
      <c r="F441" s="41" t="s">
        <v>1152</v>
      </c>
      <c r="G441" s="69" t="s">
        <v>1151</v>
      </c>
      <c r="H441" s="41">
        <v>9008000025</v>
      </c>
      <c r="I441" s="41" t="s">
        <v>593</v>
      </c>
      <c r="J441" s="41">
        <v>1202020101</v>
      </c>
      <c r="K441" s="41" t="s">
        <v>1371</v>
      </c>
      <c r="L441" s="52" t="s">
        <v>1372</v>
      </c>
      <c r="M441" s="69" t="s">
        <v>1373</v>
      </c>
      <c r="N441" s="69"/>
      <c r="O441" s="69">
        <v>1</v>
      </c>
      <c r="P441" s="69" t="s">
        <v>50</v>
      </c>
      <c r="Q441" s="69" t="s">
        <v>51</v>
      </c>
      <c r="R441" s="69"/>
      <c r="S441" s="48">
        <v>41912</v>
      </c>
      <c r="T441" s="48">
        <v>43340</v>
      </c>
      <c r="U441" s="69"/>
      <c r="V441" s="69"/>
      <c r="W441" s="69"/>
      <c r="X441" s="69"/>
      <c r="Y441" s="69" t="s">
        <v>4125</v>
      </c>
      <c r="Z441" s="52">
        <v>870000</v>
      </c>
      <c r="AA441" s="43" t="s">
        <v>52</v>
      </c>
      <c r="AB441" s="43" t="s">
        <v>53</v>
      </c>
      <c r="AC441" s="85">
        <v>4052</v>
      </c>
      <c r="AD441" s="141">
        <v>11</v>
      </c>
      <c r="AE441" s="142">
        <v>1</v>
      </c>
      <c r="AF441" s="69" t="str">
        <f t="shared" si="70"/>
        <v>6 years 128 days</v>
      </c>
      <c r="AG441" s="69">
        <v>6</v>
      </c>
      <c r="AH441" s="69">
        <v>128</v>
      </c>
      <c r="AI441" s="69">
        <v>870000</v>
      </c>
      <c r="AJ441" s="67">
        <v>497480</v>
      </c>
      <c r="AK441" s="69">
        <v>2025</v>
      </c>
      <c r="AL441" s="61">
        <v>38862.546890424448</v>
      </c>
      <c r="AM441" s="143"/>
    </row>
    <row r="442" spans="1:39" x14ac:dyDescent="0.35">
      <c r="A442" s="69" t="s">
        <v>4124</v>
      </c>
      <c r="B442" s="41">
        <v>1101401509</v>
      </c>
      <c r="C442" s="41"/>
      <c r="D442" s="41" t="s">
        <v>1370</v>
      </c>
      <c r="E442" s="101">
        <v>2</v>
      </c>
      <c r="F442" s="41" t="s">
        <v>1152</v>
      </c>
      <c r="G442" s="69" t="s">
        <v>1151</v>
      </c>
      <c r="H442" s="41">
        <v>9008000025</v>
      </c>
      <c r="I442" s="41" t="s">
        <v>593</v>
      </c>
      <c r="J442" s="41">
        <v>1202020101</v>
      </c>
      <c r="K442" s="41" t="s">
        <v>1375</v>
      </c>
      <c r="L442" s="52" t="s">
        <v>1376</v>
      </c>
      <c r="M442" s="69" t="s">
        <v>1377</v>
      </c>
      <c r="N442" s="69"/>
      <c r="O442" s="69">
        <v>4</v>
      </c>
      <c r="P442" s="69" t="s">
        <v>50</v>
      </c>
      <c r="Q442" s="69" t="s">
        <v>51</v>
      </c>
      <c r="R442" s="69"/>
      <c r="S442" s="48">
        <v>41912</v>
      </c>
      <c r="T442" s="48">
        <v>43340</v>
      </c>
      <c r="U442" s="69"/>
      <c r="V442" s="69"/>
      <c r="W442" s="69"/>
      <c r="X442" s="69"/>
      <c r="Y442" s="69" t="s">
        <v>4125</v>
      </c>
      <c r="Z442" s="52">
        <v>185000</v>
      </c>
      <c r="AA442" s="43" t="s">
        <v>52</v>
      </c>
      <c r="AB442" s="43" t="s">
        <v>53</v>
      </c>
      <c r="AC442" s="85">
        <v>2227</v>
      </c>
      <c r="AD442" s="141">
        <v>6</v>
      </c>
      <c r="AE442" s="142">
        <v>1</v>
      </c>
      <c r="AF442" s="69" t="str">
        <f t="shared" si="70"/>
        <v>6 years 37 days</v>
      </c>
      <c r="AG442" s="69">
        <v>6</v>
      </c>
      <c r="AH442" s="69">
        <v>37</v>
      </c>
      <c r="AI442" s="69">
        <v>185000</v>
      </c>
      <c r="AJ442" s="67">
        <v>185000</v>
      </c>
      <c r="AK442" s="69">
        <v>2025</v>
      </c>
      <c r="AL442" s="61">
        <v>0</v>
      </c>
      <c r="AM442" s="143"/>
    </row>
    <row r="443" spans="1:39" x14ac:dyDescent="0.35">
      <c r="A443" s="69" t="s">
        <v>4124</v>
      </c>
      <c r="B443" s="41">
        <v>1101403374</v>
      </c>
      <c r="C443" s="41"/>
      <c r="D443" s="41" t="s">
        <v>1370</v>
      </c>
      <c r="E443" s="101">
        <v>3</v>
      </c>
      <c r="F443" s="41" t="s">
        <v>1152</v>
      </c>
      <c r="G443" s="69" t="s">
        <v>1151</v>
      </c>
      <c r="H443" s="41">
        <v>9008000025</v>
      </c>
      <c r="I443" s="41" t="s">
        <v>593</v>
      </c>
      <c r="J443" s="41">
        <v>1202020101</v>
      </c>
      <c r="K443" s="41"/>
      <c r="L443" s="52" t="s">
        <v>1379</v>
      </c>
      <c r="M443" s="69" t="s">
        <v>1380</v>
      </c>
      <c r="N443" s="69"/>
      <c r="O443" s="69">
        <v>1</v>
      </c>
      <c r="P443" s="69" t="s">
        <v>50</v>
      </c>
      <c r="Q443" s="69" t="s">
        <v>51</v>
      </c>
      <c r="R443" s="69"/>
      <c r="S443" s="48">
        <v>44075</v>
      </c>
      <c r="T443" s="48">
        <v>44075</v>
      </c>
      <c r="U443" s="69"/>
      <c r="V443" s="69"/>
      <c r="W443" s="69"/>
      <c r="X443" s="69"/>
      <c r="Y443" s="69" t="s">
        <v>4127</v>
      </c>
      <c r="Z443" s="52">
        <v>213579</v>
      </c>
      <c r="AA443" s="43" t="s">
        <v>52</v>
      </c>
      <c r="AB443" s="43" t="s">
        <v>53</v>
      </c>
      <c r="AC443" s="85">
        <v>3650</v>
      </c>
      <c r="AD443" s="141">
        <v>10</v>
      </c>
      <c r="AE443" s="142">
        <v>0</v>
      </c>
      <c r="AF443" s="69" t="str">
        <f t="shared" si="70"/>
        <v>4 years 123 days</v>
      </c>
      <c r="AG443" s="69">
        <v>4</v>
      </c>
      <c r="AH443" s="69">
        <v>123</v>
      </c>
      <c r="AI443" s="69">
        <v>213579</v>
      </c>
      <c r="AJ443" s="67">
        <v>92629</v>
      </c>
      <c r="AK443" s="69">
        <v>2025</v>
      </c>
      <c r="AL443" s="61">
        <v>10591.097534246568</v>
      </c>
      <c r="AM443" s="143"/>
    </row>
    <row r="444" spans="1:39" x14ac:dyDescent="0.35">
      <c r="A444" s="69" t="s">
        <v>4124</v>
      </c>
      <c r="B444" s="41">
        <v>1101401534</v>
      </c>
      <c r="C444" s="41"/>
      <c r="D444" s="69"/>
      <c r="E444" s="101">
        <v>0</v>
      </c>
      <c r="F444" s="41" t="s">
        <v>1152</v>
      </c>
      <c r="G444" s="69" t="s">
        <v>1151</v>
      </c>
      <c r="H444" s="41">
        <v>9008000026</v>
      </c>
      <c r="I444" s="41" t="s">
        <v>593</v>
      </c>
      <c r="J444" s="41">
        <v>1202020101</v>
      </c>
      <c r="K444" s="41" t="s">
        <v>1382</v>
      </c>
      <c r="L444" s="52" t="s">
        <v>1383</v>
      </c>
      <c r="M444" s="69" t="s">
        <v>1384</v>
      </c>
      <c r="N444" s="69"/>
      <c r="O444" s="69">
        <v>1</v>
      </c>
      <c r="P444" s="69" t="s">
        <v>50</v>
      </c>
      <c r="Q444" s="69" t="s">
        <v>51</v>
      </c>
      <c r="R444" s="69"/>
      <c r="S444" s="48">
        <v>41937</v>
      </c>
      <c r="T444" s="48">
        <v>43340</v>
      </c>
      <c r="U444" s="69"/>
      <c r="V444" s="69"/>
      <c r="W444" s="69"/>
      <c r="X444" s="69"/>
      <c r="Y444" s="69" t="s">
        <v>4125</v>
      </c>
      <c r="Z444" s="52">
        <v>5500000</v>
      </c>
      <c r="AA444" s="43" t="s">
        <v>52</v>
      </c>
      <c r="AB444" s="43" t="s">
        <v>53</v>
      </c>
      <c r="AC444" s="85">
        <v>4052</v>
      </c>
      <c r="AD444" s="141">
        <v>11</v>
      </c>
      <c r="AE444" s="142">
        <v>1</v>
      </c>
      <c r="AF444" s="69" t="str">
        <f t="shared" ref="AF444:AF445" si="71">_xlfn.CONCAT(AG444," years ",AH444," days")</f>
        <v>6 years 128 days</v>
      </c>
      <c r="AG444" s="69">
        <v>6</v>
      </c>
      <c r="AH444" s="69">
        <v>128</v>
      </c>
      <c r="AI444" s="69">
        <v>5500000</v>
      </c>
      <c r="AJ444" s="67">
        <v>3144990</v>
      </c>
      <c r="AK444" s="69">
        <v>2025</v>
      </c>
      <c r="AL444" s="61">
        <v>245681.27344521228</v>
      </c>
      <c r="AM444" s="143"/>
    </row>
    <row r="445" spans="1:39" x14ac:dyDescent="0.35">
      <c r="A445" s="69" t="s">
        <v>4124</v>
      </c>
      <c r="B445" s="41">
        <v>1101405111</v>
      </c>
      <c r="C445" s="41"/>
      <c r="D445" s="41" t="s">
        <v>1381</v>
      </c>
      <c r="E445" s="101">
        <v>1</v>
      </c>
      <c r="F445" s="41" t="s">
        <v>1152</v>
      </c>
      <c r="G445" s="69" t="s">
        <v>1151</v>
      </c>
      <c r="H445" s="41">
        <v>9008000026</v>
      </c>
      <c r="I445" s="41" t="s">
        <v>593</v>
      </c>
      <c r="J445" s="41">
        <v>1202020101</v>
      </c>
      <c r="K445" s="41"/>
      <c r="L445" s="52" t="s">
        <v>1386</v>
      </c>
      <c r="M445" s="69" t="s">
        <v>1387</v>
      </c>
      <c r="N445" s="69"/>
      <c r="O445" s="69">
        <v>28</v>
      </c>
      <c r="P445" s="69" t="s">
        <v>50</v>
      </c>
      <c r="Q445" s="69" t="s">
        <v>51</v>
      </c>
      <c r="R445" s="69"/>
      <c r="S445" s="48">
        <v>45347</v>
      </c>
      <c r="T445" s="48">
        <v>45347</v>
      </c>
      <c r="U445" s="69"/>
      <c r="V445" s="69"/>
      <c r="W445" s="69"/>
      <c r="X445" s="69"/>
      <c r="Y445" s="69" t="s">
        <v>4130</v>
      </c>
      <c r="Z445" s="52">
        <v>90640</v>
      </c>
      <c r="AA445" s="43" t="s">
        <v>52</v>
      </c>
      <c r="AB445" s="43" t="s">
        <v>53</v>
      </c>
      <c r="AC445" s="85">
        <v>3650</v>
      </c>
      <c r="AD445" s="141">
        <v>10</v>
      </c>
      <c r="AE445" s="142">
        <v>0</v>
      </c>
      <c r="AF445" s="69" t="str">
        <f t="shared" si="71"/>
        <v>0 years 311 days</v>
      </c>
      <c r="AG445" s="69">
        <v>0</v>
      </c>
      <c r="AH445" s="69">
        <v>311</v>
      </c>
      <c r="AI445" s="69">
        <v>90640</v>
      </c>
      <c r="AJ445" s="67">
        <v>7723</v>
      </c>
      <c r="AK445" s="69">
        <v>2025</v>
      </c>
      <c r="AL445" s="61">
        <v>4494.7753424657531</v>
      </c>
      <c r="AM445" s="143"/>
    </row>
    <row r="446" spans="1:39" x14ac:dyDescent="0.35">
      <c r="A446" s="69" t="s">
        <v>4124</v>
      </c>
      <c r="B446" s="41">
        <v>1101401565</v>
      </c>
      <c r="C446" s="41"/>
      <c r="D446" s="69"/>
      <c r="E446" s="101">
        <v>0</v>
      </c>
      <c r="F446" s="41" t="s">
        <v>1152</v>
      </c>
      <c r="G446" s="69" t="s">
        <v>1151</v>
      </c>
      <c r="H446" s="41">
        <v>9008000027</v>
      </c>
      <c r="I446" s="41" t="s">
        <v>593</v>
      </c>
      <c r="J446" s="41">
        <v>1202020101</v>
      </c>
      <c r="K446" s="41" t="s">
        <v>1389</v>
      </c>
      <c r="L446" s="52" t="s">
        <v>1390</v>
      </c>
      <c r="M446" s="69" t="s">
        <v>1391</v>
      </c>
      <c r="N446" s="69"/>
      <c r="O446" s="69">
        <v>1</v>
      </c>
      <c r="P446" s="69" t="s">
        <v>50</v>
      </c>
      <c r="Q446" s="69" t="s">
        <v>51</v>
      </c>
      <c r="R446" s="69"/>
      <c r="S446" s="48">
        <v>41974</v>
      </c>
      <c r="T446" s="48">
        <v>43340</v>
      </c>
      <c r="U446" s="69"/>
      <c r="V446" s="69"/>
      <c r="W446" s="69"/>
      <c r="X446" s="69"/>
      <c r="Y446" s="69" t="s">
        <v>4125</v>
      </c>
      <c r="Z446" s="52">
        <v>5600000</v>
      </c>
      <c r="AA446" s="43" t="s">
        <v>52</v>
      </c>
      <c r="AB446" s="43" t="s">
        <v>53</v>
      </c>
      <c r="AC446" s="85">
        <v>4125</v>
      </c>
      <c r="AD446" s="141">
        <v>11</v>
      </c>
      <c r="AE446" s="142">
        <v>4</v>
      </c>
      <c r="AF446" s="69" t="str">
        <f>_xlfn.CONCAT(AG446," years ",AH446," days")</f>
        <v>6 years 128 days</v>
      </c>
      <c r="AG446" s="69">
        <v>6</v>
      </c>
      <c r="AH446" s="69">
        <v>128</v>
      </c>
      <c r="AI446" s="69">
        <v>5600000</v>
      </c>
      <c r="AJ446" s="67">
        <v>3145503</v>
      </c>
      <c r="AK446" s="69">
        <v>2025</v>
      </c>
      <c r="AL446" s="61">
        <v>245721.24242424173</v>
      </c>
      <c r="AM446" s="143"/>
    </row>
    <row r="447" spans="1:39" x14ac:dyDescent="0.35">
      <c r="A447" s="69" t="s">
        <v>4124</v>
      </c>
      <c r="B447" s="41">
        <v>1101401647</v>
      </c>
      <c r="C447" s="41"/>
      <c r="D447" s="69"/>
      <c r="E447" s="101">
        <v>0</v>
      </c>
      <c r="F447" s="41" t="s">
        <v>1152</v>
      </c>
      <c r="G447" s="69" t="s">
        <v>1151</v>
      </c>
      <c r="H447" s="41">
        <v>9008000028</v>
      </c>
      <c r="I447" s="41" t="s">
        <v>593</v>
      </c>
      <c r="J447" s="41">
        <v>1202020101</v>
      </c>
      <c r="K447" s="41" t="s">
        <v>1393</v>
      </c>
      <c r="L447" s="52" t="s">
        <v>1394</v>
      </c>
      <c r="M447" s="69" t="s">
        <v>1395</v>
      </c>
      <c r="N447" s="69"/>
      <c r="O447" s="69">
        <v>1</v>
      </c>
      <c r="P447" s="69" t="s">
        <v>50</v>
      </c>
      <c r="Q447" s="69" t="s">
        <v>51</v>
      </c>
      <c r="R447" s="69"/>
      <c r="S447" s="48">
        <v>42159</v>
      </c>
      <c r="T447" s="48">
        <v>43340</v>
      </c>
      <c r="U447" s="69"/>
      <c r="V447" s="69"/>
      <c r="W447" s="69"/>
      <c r="X447" s="69"/>
      <c r="Y447" s="69" t="s">
        <v>4125</v>
      </c>
      <c r="Z447" s="52">
        <v>5775000</v>
      </c>
      <c r="AA447" s="43" t="s">
        <v>52</v>
      </c>
      <c r="AB447" s="43" t="s">
        <v>53</v>
      </c>
      <c r="AC447" s="85">
        <v>4271</v>
      </c>
      <c r="AD447" s="141">
        <v>11</v>
      </c>
      <c r="AE447" s="142">
        <v>9</v>
      </c>
      <c r="AF447" s="69" t="str">
        <f>_xlfn.CONCAT(AG447," years ",AH447," days")</f>
        <v>6 years 128 days</v>
      </c>
      <c r="AG447" s="69">
        <v>6</v>
      </c>
      <c r="AH447" s="69">
        <v>128</v>
      </c>
      <c r="AI447" s="69">
        <v>5775000</v>
      </c>
      <c r="AJ447" s="67">
        <v>3132914</v>
      </c>
      <c r="AK447" s="69">
        <v>2025</v>
      </c>
      <c r="AL447" s="61">
        <v>244737.60383985052</v>
      </c>
      <c r="AM447" s="143"/>
    </row>
    <row r="448" spans="1:39" x14ac:dyDescent="0.35">
      <c r="A448" s="69" t="s">
        <v>4124</v>
      </c>
      <c r="B448" s="41">
        <v>1101401649</v>
      </c>
      <c r="C448" s="41"/>
      <c r="D448" s="69"/>
      <c r="E448" s="101">
        <v>0</v>
      </c>
      <c r="F448" s="41" t="s">
        <v>1152</v>
      </c>
      <c r="G448" s="69" t="s">
        <v>1151</v>
      </c>
      <c r="H448" s="41">
        <v>9008000029</v>
      </c>
      <c r="I448" s="41" t="s">
        <v>593</v>
      </c>
      <c r="J448" s="41">
        <v>1202020101</v>
      </c>
      <c r="K448" s="41" t="s">
        <v>1397</v>
      </c>
      <c r="L448" s="52" t="s">
        <v>1398</v>
      </c>
      <c r="M448" s="69" t="s">
        <v>1399</v>
      </c>
      <c r="N448" s="69"/>
      <c r="O448" s="69">
        <v>1</v>
      </c>
      <c r="P448" s="69" t="s">
        <v>50</v>
      </c>
      <c r="Q448" s="69" t="s">
        <v>51</v>
      </c>
      <c r="R448" s="69"/>
      <c r="S448" s="48">
        <v>42161</v>
      </c>
      <c r="T448" s="48">
        <v>43340</v>
      </c>
      <c r="U448" s="69"/>
      <c r="V448" s="69"/>
      <c r="W448" s="69"/>
      <c r="X448" s="69"/>
      <c r="Y448" s="69" t="s">
        <v>4125</v>
      </c>
      <c r="Z448" s="52">
        <v>5775000</v>
      </c>
      <c r="AA448" s="43" t="s">
        <v>52</v>
      </c>
      <c r="AB448" s="43" t="s">
        <v>53</v>
      </c>
      <c r="AC448" s="85">
        <v>4271</v>
      </c>
      <c r="AD448" s="141">
        <v>11</v>
      </c>
      <c r="AE448" s="142">
        <v>9</v>
      </c>
      <c r="AF448" s="69" t="str">
        <f t="shared" ref="AF448:AF449" si="72">_xlfn.CONCAT(AG448," years ",AH448," days")</f>
        <v>6 years 128 days</v>
      </c>
      <c r="AG448" s="69">
        <v>6</v>
      </c>
      <c r="AH448" s="69">
        <v>128</v>
      </c>
      <c r="AI448" s="69">
        <v>5775000</v>
      </c>
      <c r="AJ448" s="67">
        <v>3132914</v>
      </c>
      <c r="AK448" s="69">
        <v>2025</v>
      </c>
      <c r="AL448" s="61">
        <v>244737.60383985052</v>
      </c>
      <c r="AM448" s="143"/>
    </row>
    <row r="449" spans="1:39" x14ac:dyDescent="0.35">
      <c r="A449" s="69" t="s">
        <v>4124</v>
      </c>
      <c r="B449" s="41">
        <v>1101401517</v>
      </c>
      <c r="C449" s="41"/>
      <c r="D449" s="41" t="s">
        <v>1396</v>
      </c>
      <c r="E449" s="101">
        <v>1</v>
      </c>
      <c r="F449" s="41" t="s">
        <v>1152</v>
      </c>
      <c r="G449" s="69" t="s">
        <v>1151</v>
      </c>
      <c r="H449" s="41">
        <v>9008000029</v>
      </c>
      <c r="I449" s="41" t="s">
        <v>593</v>
      </c>
      <c r="J449" s="41">
        <v>1202020101</v>
      </c>
      <c r="K449" s="41" t="s">
        <v>1401</v>
      </c>
      <c r="L449" s="52" t="s">
        <v>1402</v>
      </c>
      <c r="M449" s="69" t="s">
        <v>1377</v>
      </c>
      <c r="N449" s="69"/>
      <c r="O449" s="69">
        <v>4</v>
      </c>
      <c r="P449" s="69" t="s">
        <v>50</v>
      </c>
      <c r="Q449" s="69" t="s">
        <v>51</v>
      </c>
      <c r="R449" s="69"/>
      <c r="S449" s="48">
        <v>41917</v>
      </c>
      <c r="T449" s="48">
        <v>43340</v>
      </c>
      <c r="U449" s="69"/>
      <c r="V449" s="69"/>
      <c r="W449" s="69"/>
      <c r="X449" s="69"/>
      <c r="Y449" s="69" t="s">
        <v>4125</v>
      </c>
      <c r="Z449" s="52">
        <v>185000</v>
      </c>
      <c r="AA449" s="43" t="s">
        <v>52</v>
      </c>
      <c r="AB449" s="43" t="s">
        <v>53</v>
      </c>
      <c r="AC449" s="85">
        <v>2227</v>
      </c>
      <c r="AD449" s="141">
        <v>6</v>
      </c>
      <c r="AE449" s="142">
        <v>1</v>
      </c>
      <c r="AF449" s="69" t="str">
        <f t="shared" si="72"/>
        <v>6 years 37 days</v>
      </c>
      <c r="AG449" s="69">
        <v>6</v>
      </c>
      <c r="AH449" s="69">
        <v>37</v>
      </c>
      <c r="AI449" s="69">
        <v>185000</v>
      </c>
      <c r="AJ449" s="67">
        <v>185000</v>
      </c>
      <c r="AK449" s="69">
        <v>2025</v>
      </c>
      <c r="AL449" s="61">
        <v>0</v>
      </c>
      <c r="AM449" s="143"/>
    </row>
    <row r="450" spans="1:39" x14ac:dyDescent="0.35">
      <c r="A450" s="69" t="s">
        <v>4124</v>
      </c>
      <c r="B450" s="41">
        <v>1101401652</v>
      </c>
      <c r="C450" s="41"/>
      <c r="D450" s="69"/>
      <c r="E450" s="101">
        <v>0</v>
      </c>
      <c r="F450" s="41" t="s">
        <v>1152</v>
      </c>
      <c r="G450" s="69" t="s">
        <v>1151</v>
      </c>
      <c r="H450" s="41">
        <v>9008000030</v>
      </c>
      <c r="I450" s="41" t="s">
        <v>593</v>
      </c>
      <c r="J450" s="41">
        <v>1202020101</v>
      </c>
      <c r="K450" s="41" t="s">
        <v>1404</v>
      </c>
      <c r="L450" s="52" t="s">
        <v>1405</v>
      </c>
      <c r="M450" s="69" t="s">
        <v>1406</v>
      </c>
      <c r="N450" s="69"/>
      <c r="O450" s="69">
        <v>1</v>
      </c>
      <c r="P450" s="69" t="s">
        <v>50</v>
      </c>
      <c r="Q450" s="69" t="s">
        <v>51</v>
      </c>
      <c r="R450" s="69"/>
      <c r="S450" s="48">
        <v>42167</v>
      </c>
      <c r="T450" s="48">
        <v>43340</v>
      </c>
      <c r="U450" s="69"/>
      <c r="V450" s="69"/>
      <c r="W450" s="69"/>
      <c r="X450" s="69"/>
      <c r="Y450" s="69" t="s">
        <v>4125</v>
      </c>
      <c r="Z450" s="52">
        <v>5825000</v>
      </c>
      <c r="AA450" s="43" t="s">
        <v>52</v>
      </c>
      <c r="AB450" s="43" t="s">
        <v>53</v>
      </c>
      <c r="AC450" s="85">
        <v>4307</v>
      </c>
      <c r="AD450" s="141">
        <v>11</v>
      </c>
      <c r="AE450" s="142">
        <v>10</v>
      </c>
      <c r="AF450" s="69" t="str">
        <f>_xlfn.CONCAT(AG450," years ",AH450," days")</f>
        <v>6 years 128 days</v>
      </c>
      <c r="AG450" s="69">
        <v>6</v>
      </c>
      <c r="AH450" s="69">
        <v>128</v>
      </c>
      <c r="AI450" s="69">
        <v>5825000</v>
      </c>
      <c r="AJ450" s="67">
        <v>3133625</v>
      </c>
      <c r="AK450" s="69">
        <v>2025</v>
      </c>
      <c r="AL450" s="61">
        <v>244793.85302995192</v>
      </c>
      <c r="AM450" s="143"/>
    </row>
    <row r="451" spans="1:39" x14ac:dyDescent="0.35">
      <c r="A451" s="69" t="s">
        <v>4124</v>
      </c>
      <c r="B451" s="41">
        <v>1101401663</v>
      </c>
      <c r="C451" s="41"/>
      <c r="D451" s="69"/>
      <c r="E451" s="101">
        <v>0</v>
      </c>
      <c r="F451" s="41" t="s">
        <v>1152</v>
      </c>
      <c r="G451" s="69" t="s">
        <v>1151</v>
      </c>
      <c r="H451" s="41">
        <v>9008000031</v>
      </c>
      <c r="I451" s="41" t="s">
        <v>593</v>
      </c>
      <c r="J451" s="41">
        <v>1202020101</v>
      </c>
      <c r="K451" s="41" t="s">
        <v>1408</v>
      </c>
      <c r="L451" s="52" t="s">
        <v>1409</v>
      </c>
      <c r="M451" s="69" t="s">
        <v>1410</v>
      </c>
      <c r="N451" s="69"/>
      <c r="O451" s="69">
        <v>1</v>
      </c>
      <c r="P451" s="69" t="s">
        <v>50</v>
      </c>
      <c r="Q451" s="69" t="s">
        <v>51</v>
      </c>
      <c r="R451" s="69"/>
      <c r="S451" s="48">
        <v>42193</v>
      </c>
      <c r="T451" s="48">
        <v>43340</v>
      </c>
      <c r="U451" s="69"/>
      <c r="V451" s="69"/>
      <c r="W451" s="69"/>
      <c r="X451" s="69"/>
      <c r="Y451" s="69" t="s">
        <v>4125</v>
      </c>
      <c r="Z451" s="52">
        <v>5825000</v>
      </c>
      <c r="AA451" s="43" t="s">
        <v>52</v>
      </c>
      <c r="AB451" s="43" t="s">
        <v>53</v>
      </c>
      <c r="AC451" s="85">
        <v>4307</v>
      </c>
      <c r="AD451" s="141">
        <v>11</v>
      </c>
      <c r="AE451" s="142">
        <v>10</v>
      </c>
      <c r="AF451" s="69" t="str">
        <f>_xlfn.CONCAT(AG451," years ",AH451," days")</f>
        <v>6 years 128 days</v>
      </c>
      <c r="AG451" s="69">
        <v>6</v>
      </c>
      <c r="AH451" s="69">
        <v>128</v>
      </c>
      <c r="AI451" s="69">
        <v>5825000</v>
      </c>
      <c r="AJ451" s="67">
        <v>3133625</v>
      </c>
      <c r="AK451" s="69">
        <v>2025</v>
      </c>
      <c r="AL451" s="61">
        <v>244793.85302995192</v>
      </c>
      <c r="AM451" s="143"/>
    </row>
    <row r="452" spans="1:39" x14ac:dyDescent="0.35">
      <c r="A452" s="69" t="s">
        <v>4124</v>
      </c>
      <c r="B452" s="41">
        <v>1101401662</v>
      </c>
      <c r="C452" s="41"/>
      <c r="D452" s="69"/>
      <c r="E452" s="101">
        <v>0</v>
      </c>
      <c r="F452" s="41" t="s">
        <v>1152</v>
      </c>
      <c r="G452" s="69" t="s">
        <v>1151</v>
      </c>
      <c r="H452" s="41">
        <v>9008000032</v>
      </c>
      <c r="I452" s="41" t="s">
        <v>593</v>
      </c>
      <c r="J452" s="41">
        <v>1202020101</v>
      </c>
      <c r="K452" s="41" t="s">
        <v>1412</v>
      </c>
      <c r="L452" s="52" t="s">
        <v>1413</v>
      </c>
      <c r="M452" s="69" t="s">
        <v>1414</v>
      </c>
      <c r="N452" s="69"/>
      <c r="O452" s="69">
        <v>1</v>
      </c>
      <c r="P452" s="69" t="s">
        <v>50</v>
      </c>
      <c r="Q452" s="69" t="s">
        <v>51</v>
      </c>
      <c r="R452" s="69"/>
      <c r="S452" s="48">
        <v>42193</v>
      </c>
      <c r="T452" s="48">
        <v>43340</v>
      </c>
      <c r="U452" s="69"/>
      <c r="V452" s="69"/>
      <c r="W452" s="69"/>
      <c r="X452" s="69"/>
      <c r="Y452" s="69" t="s">
        <v>4125</v>
      </c>
      <c r="Z452" s="52">
        <v>5825000</v>
      </c>
      <c r="AA452" s="43" t="s">
        <v>52</v>
      </c>
      <c r="AB452" s="43" t="s">
        <v>53</v>
      </c>
      <c r="AC452" s="85">
        <v>4307</v>
      </c>
      <c r="AD452" s="141">
        <v>11</v>
      </c>
      <c r="AE452" s="142">
        <v>10</v>
      </c>
      <c r="AF452" s="69" t="str">
        <f>_xlfn.CONCAT(AG452," years ",AH452," days")</f>
        <v>6 years 128 days</v>
      </c>
      <c r="AG452" s="69">
        <v>6</v>
      </c>
      <c r="AH452" s="69">
        <v>128</v>
      </c>
      <c r="AI452" s="69">
        <v>5825000</v>
      </c>
      <c r="AJ452" s="67">
        <v>3133625</v>
      </c>
      <c r="AK452" s="69">
        <v>2025</v>
      </c>
      <c r="AL452" s="61">
        <v>244793.85302995192</v>
      </c>
      <c r="AM452" s="143"/>
    </row>
    <row r="453" spans="1:39" x14ac:dyDescent="0.35">
      <c r="A453" s="69" t="s">
        <v>4124</v>
      </c>
      <c r="B453" s="41">
        <v>1101504129</v>
      </c>
      <c r="C453" s="41"/>
      <c r="D453" s="69"/>
      <c r="E453" s="101">
        <v>0</v>
      </c>
      <c r="F453" s="41" t="s">
        <v>1152</v>
      </c>
      <c r="G453" s="69" t="s">
        <v>1151</v>
      </c>
      <c r="H453" s="41">
        <v>9008000033</v>
      </c>
      <c r="I453" s="41" t="s">
        <v>1416</v>
      </c>
      <c r="J453" s="41">
        <v>1202020104</v>
      </c>
      <c r="K453" s="41" t="s">
        <v>1417</v>
      </c>
      <c r="L453" s="52" t="s">
        <v>1418</v>
      </c>
      <c r="M453" s="69" t="s">
        <v>1419</v>
      </c>
      <c r="N453" s="69"/>
      <c r="O453" s="69">
        <v>1</v>
      </c>
      <c r="P453" s="69" t="s">
        <v>50</v>
      </c>
      <c r="Q453" s="69" t="s">
        <v>51</v>
      </c>
      <c r="R453" s="69"/>
      <c r="S453" s="48">
        <v>41932</v>
      </c>
      <c r="T453" s="48">
        <v>43340</v>
      </c>
      <c r="U453" s="69"/>
      <c r="V453" s="69"/>
      <c r="W453" s="69"/>
      <c r="X453" s="69"/>
      <c r="Y453" s="69" t="s">
        <v>4125</v>
      </c>
      <c r="Z453" s="52">
        <v>10925000</v>
      </c>
      <c r="AA453" s="43" t="s">
        <v>52</v>
      </c>
      <c r="AB453" s="43" t="s">
        <v>53</v>
      </c>
      <c r="AC453" s="85">
        <v>4052</v>
      </c>
      <c r="AD453" s="141">
        <v>11</v>
      </c>
      <c r="AE453" s="142">
        <v>1</v>
      </c>
      <c r="AF453" s="69" t="str">
        <f t="shared" ref="AF453:AF457" si="73">_xlfn.CONCAT(AG453," years ",AH453," days")</f>
        <v>6 years 128 days</v>
      </c>
      <c r="AG453" s="69">
        <v>6</v>
      </c>
      <c r="AH453" s="69">
        <v>128</v>
      </c>
      <c r="AI453" s="69">
        <v>10925000</v>
      </c>
      <c r="AJ453" s="67">
        <v>6247094</v>
      </c>
      <c r="AK453" s="69">
        <v>2025</v>
      </c>
      <c r="AL453" s="61">
        <v>488012.1204343522</v>
      </c>
      <c r="AM453" s="143"/>
    </row>
    <row r="454" spans="1:39" x14ac:dyDescent="0.35">
      <c r="A454" s="69" t="s">
        <v>4124</v>
      </c>
      <c r="B454" s="41">
        <v>1101400615</v>
      </c>
      <c r="C454" s="41"/>
      <c r="D454" s="41" t="s">
        <v>1415</v>
      </c>
      <c r="E454" s="101">
        <v>1</v>
      </c>
      <c r="F454" s="41" t="s">
        <v>1152</v>
      </c>
      <c r="G454" s="69" t="s">
        <v>1151</v>
      </c>
      <c r="H454" s="41">
        <v>9008000033</v>
      </c>
      <c r="I454" s="41" t="s">
        <v>1416</v>
      </c>
      <c r="J454" s="41">
        <v>1202020104</v>
      </c>
      <c r="K454" s="41" t="s">
        <v>1421</v>
      </c>
      <c r="L454" s="52" t="s">
        <v>1422</v>
      </c>
      <c r="M454" s="69" t="s">
        <v>49</v>
      </c>
      <c r="N454" s="69"/>
      <c r="O454" s="69">
        <v>1</v>
      </c>
      <c r="P454" s="69" t="s">
        <v>50</v>
      </c>
      <c r="Q454" s="69" t="s">
        <v>51</v>
      </c>
      <c r="R454" s="69"/>
      <c r="S454" s="48">
        <v>40690</v>
      </c>
      <c r="T454" s="48">
        <v>43340</v>
      </c>
      <c r="U454" s="69"/>
      <c r="V454" s="69"/>
      <c r="W454" s="69"/>
      <c r="X454" s="69"/>
      <c r="Y454" s="69" t="s">
        <v>4125</v>
      </c>
      <c r="Z454" s="52">
        <v>90000</v>
      </c>
      <c r="AA454" s="43" t="s">
        <v>52</v>
      </c>
      <c r="AB454" s="43" t="s">
        <v>53</v>
      </c>
      <c r="AC454" s="85">
        <v>2811</v>
      </c>
      <c r="AD454" s="141">
        <v>7</v>
      </c>
      <c r="AE454" s="142">
        <v>9</v>
      </c>
      <c r="AF454" s="69" t="str">
        <f t="shared" si="73"/>
        <v>6 years 128 days</v>
      </c>
      <c r="AG454" s="69">
        <v>6</v>
      </c>
      <c r="AH454" s="69">
        <v>128</v>
      </c>
      <c r="AI454" s="69">
        <v>90000</v>
      </c>
      <c r="AJ454" s="67">
        <v>74184</v>
      </c>
      <c r="AK454" s="69">
        <v>2025</v>
      </c>
      <c r="AL454" s="61">
        <v>5794.6552828175045</v>
      </c>
      <c r="AM454" s="143"/>
    </row>
    <row r="455" spans="1:39" x14ac:dyDescent="0.35">
      <c r="A455" s="69" t="s">
        <v>4124</v>
      </c>
      <c r="B455" s="41">
        <v>1101404477</v>
      </c>
      <c r="C455" s="41"/>
      <c r="D455" s="41" t="s">
        <v>1415</v>
      </c>
      <c r="E455" s="101">
        <v>2</v>
      </c>
      <c r="F455" s="41" t="s">
        <v>1152</v>
      </c>
      <c r="G455" s="69" t="s">
        <v>1151</v>
      </c>
      <c r="H455" s="41">
        <v>9008000033</v>
      </c>
      <c r="I455" s="41" t="s">
        <v>1416</v>
      </c>
      <c r="J455" s="41">
        <v>1202020104</v>
      </c>
      <c r="K455" s="41" t="s">
        <v>1424</v>
      </c>
      <c r="L455" s="52" t="s">
        <v>1425</v>
      </c>
      <c r="M455" s="69" t="s">
        <v>1426</v>
      </c>
      <c r="N455" s="69"/>
      <c r="O455" s="69">
        <v>3</v>
      </c>
      <c r="P455" s="69" t="s">
        <v>50</v>
      </c>
      <c r="Q455" s="69" t="s">
        <v>51</v>
      </c>
      <c r="R455" s="69"/>
      <c r="S455" s="48">
        <v>44896</v>
      </c>
      <c r="T455" s="48">
        <v>44896</v>
      </c>
      <c r="U455" s="69"/>
      <c r="V455" s="69"/>
      <c r="W455" s="69"/>
      <c r="X455" s="69"/>
      <c r="Y455" s="69" t="s">
        <v>4131</v>
      </c>
      <c r="Z455" s="52">
        <v>793420</v>
      </c>
      <c r="AA455" s="43" t="s">
        <v>52</v>
      </c>
      <c r="AB455" s="43" t="s">
        <v>53</v>
      </c>
      <c r="AC455" s="85">
        <v>3650</v>
      </c>
      <c r="AD455" s="141">
        <v>10</v>
      </c>
      <c r="AE455" s="142">
        <v>0</v>
      </c>
      <c r="AF455" s="69" t="str">
        <f t="shared" si="73"/>
        <v>2 years 32 days</v>
      </c>
      <c r="AG455" s="69">
        <v>2</v>
      </c>
      <c r="AH455" s="69">
        <v>32</v>
      </c>
      <c r="AI455" s="69">
        <v>793420</v>
      </c>
      <c r="AJ455" s="67">
        <v>165640</v>
      </c>
      <c r="AK455" s="69">
        <v>2025</v>
      </c>
      <c r="AL455" s="61">
        <v>39344.947945205495</v>
      </c>
      <c r="AM455" s="143"/>
    </row>
    <row r="456" spans="1:39" x14ac:dyDescent="0.35">
      <c r="A456" s="69" t="s">
        <v>4124</v>
      </c>
      <c r="B456" s="41">
        <v>1101404658</v>
      </c>
      <c r="C456" s="41"/>
      <c r="D456" s="41" t="s">
        <v>1415</v>
      </c>
      <c r="E456" s="101">
        <v>3</v>
      </c>
      <c r="F456" s="41" t="s">
        <v>1152</v>
      </c>
      <c r="G456" s="69" t="s">
        <v>1151</v>
      </c>
      <c r="H456" s="41">
        <v>9008000033</v>
      </c>
      <c r="I456" s="41" t="s">
        <v>1416</v>
      </c>
      <c r="J456" s="41">
        <v>1202020104</v>
      </c>
      <c r="K456" s="41" t="s">
        <v>1428</v>
      </c>
      <c r="L456" s="52" t="s">
        <v>1429</v>
      </c>
      <c r="M456" s="69" t="s">
        <v>1430</v>
      </c>
      <c r="N456" s="69"/>
      <c r="O456" s="69">
        <v>1</v>
      </c>
      <c r="P456" s="69" t="s">
        <v>50</v>
      </c>
      <c r="Q456" s="69" t="s">
        <v>51</v>
      </c>
      <c r="R456" s="69"/>
      <c r="S456" s="48">
        <v>44986</v>
      </c>
      <c r="T456" s="48">
        <v>44986</v>
      </c>
      <c r="U456" s="69"/>
      <c r="V456" s="69"/>
      <c r="W456" s="69"/>
      <c r="X456" s="69"/>
      <c r="Y456" s="69" t="s">
        <v>4129</v>
      </c>
      <c r="Z456" s="52">
        <v>413400</v>
      </c>
      <c r="AA456" s="43" t="s">
        <v>52</v>
      </c>
      <c r="AB456" s="43" t="s">
        <v>53</v>
      </c>
      <c r="AC456" s="85">
        <v>3650</v>
      </c>
      <c r="AD456" s="141">
        <v>10</v>
      </c>
      <c r="AE456" s="142">
        <v>0</v>
      </c>
      <c r="AF456" s="69" t="str">
        <f t="shared" si="73"/>
        <v>1 years 307 days</v>
      </c>
      <c r="AG456" s="69">
        <v>1</v>
      </c>
      <c r="AH456" s="69">
        <v>307</v>
      </c>
      <c r="AI456" s="69">
        <v>413400</v>
      </c>
      <c r="AJ456" s="67">
        <v>76111</v>
      </c>
      <c r="AK456" s="69">
        <v>2025</v>
      </c>
      <c r="AL456" s="61">
        <v>20500.013698630137</v>
      </c>
      <c r="AM456" s="143"/>
    </row>
    <row r="457" spans="1:39" x14ac:dyDescent="0.35">
      <c r="A457" s="69" t="s">
        <v>4124</v>
      </c>
      <c r="B457" s="41">
        <v>1101103985</v>
      </c>
      <c r="C457" s="41"/>
      <c r="D457" s="41" t="s">
        <v>1415</v>
      </c>
      <c r="E457" s="101">
        <v>4</v>
      </c>
      <c r="F457" s="41" t="s">
        <v>1152</v>
      </c>
      <c r="G457" s="69" t="s">
        <v>1151</v>
      </c>
      <c r="H457" s="41">
        <v>9008000033</v>
      </c>
      <c r="I457" s="41" t="s">
        <v>1416</v>
      </c>
      <c r="J457" s="41">
        <v>1202020104</v>
      </c>
      <c r="K457" s="41"/>
      <c r="L457" s="52" t="s">
        <v>1432</v>
      </c>
      <c r="M457" s="69" t="s">
        <v>1433</v>
      </c>
      <c r="N457" s="69"/>
      <c r="O457" s="69">
        <v>2</v>
      </c>
      <c r="P457" s="69" t="s">
        <v>50</v>
      </c>
      <c r="Q457" s="69" t="s">
        <v>51</v>
      </c>
      <c r="R457" s="69"/>
      <c r="S457" s="48">
        <v>44593</v>
      </c>
      <c r="T457" s="48">
        <v>44593</v>
      </c>
      <c r="U457" s="69"/>
      <c r="V457" s="69"/>
      <c r="W457" s="69"/>
      <c r="X457" s="69"/>
      <c r="Y457" s="69" t="s">
        <v>4131</v>
      </c>
      <c r="Z457" s="52">
        <v>101450</v>
      </c>
      <c r="AA457" s="43" t="s">
        <v>52</v>
      </c>
      <c r="AB457" s="43" t="s">
        <v>53</v>
      </c>
      <c r="AC457" s="85">
        <v>10950</v>
      </c>
      <c r="AD457" s="141">
        <v>30</v>
      </c>
      <c r="AE457" s="142">
        <v>0</v>
      </c>
      <c r="AF457" s="69" t="str">
        <f t="shared" si="73"/>
        <v>2 years 335 days</v>
      </c>
      <c r="AG457" s="69">
        <v>2</v>
      </c>
      <c r="AH457" s="69">
        <v>335</v>
      </c>
      <c r="AI457" s="69">
        <v>101450</v>
      </c>
      <c r="AJ457" s="67">
        <v>10960</v>
      </c>
      <c r="AK457" s="69">
        <v>2025</v>
      </c>
      <c r="AL457" s="61">
        <v>1677.2420091324202</v>
      </c>
      <c r="AM457" s="143"/>
    </row>
    <row r="458" spans="1:39" x14ac:dyDescent="0.35">
      <c r="A458" s="69" t="s">
        <v>4124</v>
      </c>
      <c r="B458" s="41">
        <v>1101504268</v>
      </c>
      <c r="C458" s="41"/>
      <c r="D458" s="69"/>
      <c r="E458" s="101">
        <v>0</v>
      </c>
      <c r="F458" s="41" t="s">
        <v>1152</v>
      </c>
      <c r="G458" s="69" t="s">
        <v>1151</v>
      </c>
      <c r="H458" s="41">
        <v>9008000034</v>
      </c>
      <c r="I458" s="41" t="s">
        <v>1416</v>
      </c>
      <c r="J458" s="41">
        <v>1202020104</v>
      </c>
      <c r="K458" s="41" t="s">
        <v>1435</v>
      </c>
      <c r="L458" s="52" t="s">
        <v>1436</v>
      </c>
      <c r="M458" s="69" t="s">
        <v>1437</v>
      </c>
      <c r="N458" s="69"/>
      <c r="O458" s="69">
        <v>1</v>
      </c>
      <c r="P458" s="69" t="s">
        <v>50</v>
      </c>
      <c r="Q458" s="69" t="s">
        <v>51</v>
      </c>
      <c r="R458" s="69"/>
      <c r="S458" s="48">
        <v>41593</v>
      </c>
      <c r="T458" s="48">
        <v>43340</v>
      </c>
      <c r="U458" s="69"/>
      <c r="V458" s="69"/>
      <c r="W458" s="69"/>
      <c r="X458" s="69"/>
      <c r="Y458" s="69" t="s">
        <v>4125</v>
      </c>
      <c r="Z458" s="52">
        <v>10100000</v>
      </c>
      <c r="AA458" s="43" t="s">
        <v>52</v>
      </c>
      <c r="AB458" s="43" t="s">
        <v>53</v>
      </c>
      <c r="AC458" s="85">
        <v>3723</v>
      </c>
      <c r="AD458" s="141">
        <v>10</v>
      </c>
      <c r="AE458" s="142">
        <v>2</v>
      </c>
      <c r="AF458" s="69" t="str">
        <f t="shared" ref="AF458:AF459" si="74">_xlfn.CONCAT(AG458," years ",AH458," days")</f>
        <v>6 years 128 days</v>
      </c>
      <c r="AG458" s="69">
        <v>6</v>
      </c>
      <c r="AH458" s="69">
        <v>128</v>
      </c>
      <c r="AI458" s="69">
        <v>10100000</v>
      </c>
      <c r="AJ458" s="67">
        <v>6285710</v>
      </c>
      <c r="AK458" s="69">
        <v>2025</v>
      </c>
      <c r="AL458" s="61">
        <v>491029.18882621545</v>
      </c>
      <c r="AM458" s="143"/>
    </row>
    <row r="459" spans="1:39" x14ac:dyDescent="0.35">
      <c r="A459" s="69" t="s">
        <v>4124</v>
      </c>
      <c r="B459" s="41">
        <v>1101504269</v>
      </c>
      <c r="C459" s="41"/>
      <c r="D459" s="41" t="s">
        <v>1434</v>
      </c>
      <c r="E459" s="101">
        <v>1</v>
      </c>
      <c r="F459" s="80" t="s">
        <v>1152</v>
      </c>
      <c r="G459" s="69" t="s">
        <v>1151</v>
      </c>
      <c r="H459" s="80">
        <v>9008000034</v>
      </c>
      <c r="I459" s="41" t="s">
        <v>1416</v>
      </c>
      <c r="J459" s="41">
        <v>1202020104</v>
      </c>
      <c r="K459" s="80" t="s">
        <v>1439</v>
      </c>
      <c r="L459" s="52" t="s">
        <v>1440</v>
      </c>
      <c r="M459" s="69" t="s">
        <v>49</v>
      </c>
      <c r="N459" s="69"/>
      <c r="O459" s="69">
        <v>1</v>
      </c>
      <c r="P459" s="69" t="s">
        <v>50</v>
      </c>
      <c r="Q459" s="69" t="s">
        <v>51</v>
      </c>
      <c r="R459" s="69"/>
      <c r="S459" s="48">
        <v>44593</v>
      </c>
      <c r="T459" s="48">
        <v>44593</v>
      </c>
      <c r="U459" s="69"/>
      <c r="V459" s="69"/>
      <c r="W459" s="69"/>
      <c r="X459" s="69"/>
      <c r="Y459" s="69" t="s">
        <v>4131</v>
      </c>
      <c r="Z459" s="84">
        <v>784721.85714285716</v>
      </c>
      <c r="AA459" s="43" t="s">
        <v>52</v>
      </c>
      <c r="AB459" s="43" t="s">
        <v>53</v>
      </c>
      <c r="AC459" s="85">
        <v>3650</v>
      </c>
      <c r="AD459" s="141">
        <v>10</v>
      </c>
      <c r="AE459" s="142">
        <v>0</v>
      </c>
      <c r="AF459" s="69" t="str">
        <f t="shared" si="74"/>
        <v>2 years 335 days</v>
      </c>
      <c r="AG459" s="69">
        <v>2</v>
      </c>
      <c r="AH459" s="69">
        <v>335</v>
      </c>
      <c r="AI459" s="69">
        <v>784721.85714285716</v>
      </c>
      <c r="AJ459" s="67">
        <v>228966.81545987769</v>
      </c>
      <c r="AK459" s="69">
        <v>2025</v>
      </c>
      <c r="AL459" s="61">
        <v>38913.577416835265</v>
      </c>
      <c r="AM459" s="143"/>
    </row>
    <row r="460" spans="1:39" x14ac:dyDescent="0.35">
      <c r="A460" s="69" t="s">
        <v>4124</v>
      </c>
      <c r="B460" s="41">
        <v>1101504287</v>
      </c>
      <c r="C460" s="41"/>
      <c r="D460" s="69"/>
      <c r="E460" s="101">
        <v>0</v>
      </c>
      <c r="F460" s="41" t="s">
        <v>1152</v>
      </c>
      <c r="G460" s="69" t="s">
        <v>1151</v>
      </c>
      <c r="H460" s="41">
        <v>9008000035</v>
      </c>
      <c r="I460" s="41" t="s">
        <v>1416</v>
      </c>
      <c r="J460" s="41">
        <v>1202020104</v>
      </c>
      <c r="K460" s="41" t="s">
        <v>1442</v>
      </c>
      <c r="L460" s="52" t="s">
        <v>1443</v>
      </c>
      <c r="M460" s="69" t="s">
        <v>49</v>
      </c>
      <c r="N460" s="69"/>
      <c r="O460" s="69">
        <v>1</v>
      </c>
      <c r="P460" s="69" t="s">
        <v>50</v>
      </c>
      <c r="Q460" s="69" t="s">
        <v>51</v>
      </c>
      <c r="R460" s="69"/>
      <c r="S460" s="48">
        <v>41309</v>
      </c>
      <c r="T460" s="48">
        <v>43340</v>
      </c>
      <c r="U460" s="69"/>
      <c r="V460" s="69"/>
      <c r="W460" s="69"/>
      <c r="X460" s="69"/>
      <c r="Y460" s="69" t="s">
        <v>4125</v>
      </c>
      <c r="Z460" s="52">
        <v>9375000</v>
      </c>
      <c r="AA460" s="43" t="s">
        <v>52</v>
      </c>
      <c r="AB460" s="43" t="s">
        <v>53</v>
      </c>
      <c r="AC460" s="85">
        <v>3431</v>
      </c>
      <c r="AD460" s="141">
        <v>9</v>
      </c>
      <c r="AE460" s="142">
        <v>5</v>
      </c>
      <c r="AF460" s="69" t="str">
        <f t="shared" ref="AF460:AF461" si="75">_xlfn.CONCAT(AG460," years ",AH460," days")</f>
        <v>6 years 128 days</v>
      </c>
      <c r="AG460" s="69">
        <v>6</v>
      </c>
      <c r="AH460" s="69">
        <v>128</v>
      </c>
      <c r="AI460" s="69">
        <v>9375000</v>
      </c>
      <c r="AJ460" s="67">
        <v>6331062</v>
      </c>
      <c r="AK460" s="69">
        <v>2025</v>
      </c>
      <c r="AL460" s="61">
        <v>494571.92596910521</v>
      </c>
      <c r="AM460" s="143"/>
    </row>
    <row r="461" spans="1:39" x14ac:dyDescent="0.35">
      <c r="A461" s="69" t="s">
        <v>4124</v>
      </c>
      <c r="B461" s="41">
        <v>1101504286</v>
      </c>
      <c r="C461" s="41"/>
      <c r="D461" s="41" t="s">
        <v>1441</v>
      </c>
      <c r="E461" s="101">
        <v>1</v>
      </c>
      <c r="F461" s="80" t="s">
        <v>1152</v>
      </c>
      <c r="G461" s="69" t="s">
        <v>1151</v>
      </c>
      <c r="H461" s="80">
        <v>9008000035</v>
      </c>
      <c r="I461" s="41" t="s">
        <v>1416</v>
      </c>
      <c r="J461" s="41">
        <v>1202020104</v>
      </c>
      <c r="K461" s="80" t="s">
        <v>1445</v>
      </c>
      <c r="L461" s="52" t="s">
        <v>1446</v>
      </c>
      <c r="M461" s="69" t="s">
        <v>1447</v>
      </c>
      <c r="N461" s="69"/>
      <c r="O461" s="69">
        <v>1</v>
      </c>
      <c r="P461" s="69" t="s">
        <v>50</v>
      </c>
      <c r="Q461" s="69" t="s">
        <v>51</v>
      </c>
      <c r="R461" s="69"/>
      <c r="S461" s="48">
        <v>44593</v>
      </c>
      <c r="T461" s="48">
        <v>44593</v>
      </c>
      <c r="U461" s="69"/>
      <c r="V461" s="69"/>
      <c r="W461" s="69"/>
      <c r="X461" s="69"/>
      <c r="Y461" s="69" t="s">
        <v>4131</v>
      </c>
      <c r="Z461" s="84">
        <v>784721.85714285716</v>
      </c>
      <c r="AA461" s="43" t="s">
        <v>52</v>
      </c>
      <c r="AB461" s="43" t="s">
        <v>53</v>
      </c>
      <c r="AC461" s="85">
        <v>3650</v>
      </c>
      <c r="AD461" s="141">
        <v>10</v>
      </c>
      <c r="AE461" s="142">
        <v>0</v>
      </c>
      <c r="AF461" s="69" t="str">
        <f t="shared" si="75"/>
        <v>2 years 335 days</v>
      </c>
      <c r="AG461" s="69">
        <v>2</v>
      </c>
      <c r="AH461" s="69">
        <v>335</v>
      </c>
      <c r="AI461" s="69">
        <v>784721.85714285716</v>
      </c>
      <c r="AJ461" s="67">
        <v>228966.81545987769</v>
      </c>
      <c r="AK461" s="69">
        <v>2025</v>
      </c>
      <c r="AL461" s="61">
        <v>38913.577416835265</v>
      </c>
      <c r="AM461" s="143"/>
    </row>
    <row r="462" spans="1:39" x14ac:dyDescent="0.35">
      <c r="A462" s="69" t="s">
        <v>4124</v>
      </c>
      <c r="B462" s="41">
        <v>1101504293</v>
      </c>
      <c r="C462" s="41"/>
      <c r="D462" s="69"/>
      <c r="E462" s="101">
        <v>0</v>
      </c>
      <c r="F462" s="41" t="s">
        <v>1152</v>
      </c>
      <c r="G462" s="69" t="s">
        <v>1151</v>
      </c>
      <c r="H462" s="41">
        <v>9008000036</v>
      </c>
      <c r="I462" s="41" t="s">
        <v>1416</v>
      </c>
      <c r="J462" s="41">
        <v>1202020104</v>
      </c>
      <c r="K462" s="41" t="s">
        <v>1449</v>
      </c>
      <c r="L462" s="52" t="s">
        <v>1450</v>
      </c>
      <c r="M462" s="69" t="s">
        <v>1451</v>
      </c>
      <c r="N462" s="69"/>
      <c r="O462" s="69">
        <v>1</v>
      </c>
      <c r="P462" s="69" t="s">
        <v>50</v>
      </c>
      <c r="Q462" s="69" t="s">
        <v>51</v>
      </c>
      <c r="R462" s="69"/>
      <c r="S462" s="48">
        <v>41807</v>
      </c>
      <c r="T462" s="48">
        <v>43340</v>
      </c>
      <c r="U462" s="69"/>
      <c r="V462" s="69"/>
      <c r="W462" s="69"/>
      <c r="X462" s="69"/>
      <c r="Y462" s="69" t="s">
        <v>4125</v>
      </c>
      <c r="Z462" s="52">
        <v>10575000</v>
      </c>
      <c r="AA462" s="43" t="s">
        <v>52</v>
      </c>
      <c r="AB462" s="43" t="s">
        <v>53</v>
      </c>
      <c r="AC462" s="85">
        <v>3906</v>
      </c>
      <c r="AD462" s="141">
        <v>10</v>
      </c>
      <c r="AE462" s="142">
        <v>9</v>
      </c>
      <c r="AF462" s="69" t="str">
        <f t="shared" ref="AF462:AF465" si="76">_xlfn.CONCAT(AG462," years ",AH462," days")</f>
        <v>6 years 128 days</v>
      </c>
      <c r="AG462" s="69">
        <v>6</v>
      </c>
      <c r="AH462" s="69">
        <v>128</v>
      </c>
      <c r="AI462" s="69">
        <v>10575000</v>
      </c>
      <c r="AJ462" s="67">
        <v>6272984</v>
      </c>
      <c r="AK462" s="69">
        <v>2025</v>
      </c>
      <c r="AL462" s="61">
        <v>490034.4331797231</v>
      </c>
      <c r="AM462" s="143"/>
    </row>
    <row r="463" spans="1:39" x14ac:dyDescent="0.35">
      <c r="A463" s="69" t="s">
        <v>4124</v>
      </c>
      <c r="B463" s="41">
        <v>1101504288</v>
      </c>
      <c r="C463" s="41"/>
      <c r="D463" s="41" t="s">
        <v>1448</v>
      </c>
      <c r="E463" s="101">
        <v>1</v>
      </c>
      <c r="F463" s="80" t="s">
        <v>1152</v>
      </c>
      <c r="G463" s="69" t="s">
        <v>1151</v>
      </c>
      <c r="H463" s="80">
        <v>9008000036</v>
      </c>
      <c r="I463" s="41" t="s">
        <v>1416</v>
      </c>
      <c r="J463" s="41">
        <v>1202020104</v>
      </c>
      <c r="K463" s="80" t="s">
        <v>1453</v>
      </c>
      <c r="L463" s="52" t="s">
        <v>1454</v>
      </c>
      <c r="M463" s="69" t="s">
        <v>49</v>
      </c>
      <c r="N463" s="69"/>
      <c r="O463" s="69">
        <v>1</v>
      </c>
      <c r="P463" s="69" t="s">
        <v>50</v>
      </c>
      <c r="Q463" s="69" t="s">
        <v>51</v>
      </c>
      <c r="R463" s="69"/>
      <c r="S463" s="48">
        <v>44593</v>
      </c>
      <c r="T463" s="48">
        <v>44593</v>
      </c>
      <c r="U463" s="69"/>
      <c r="V463" s="69"/>
      <c r="W463" s="69"/>
      <c r="X463" s="69"/>
      <c r="Y463" s="69" t="s">
        <v>4131</v>
      </c>
      <c r="Z463" s="84">
        <v>784722</v>
      </c>
      <c r="AA463" s="43" t="s">
        <v>52</v>
      </c>
      <c r="AB463" s="43" t="s">
        <v>53</v>
      </c>
      <c r="AC463" s="85">
        <v>3650</v>
      </c>
      <c r="AD463" s="141">
        <v>10</v>
      </c>
      <c r="AE463" s="142">
        <v>0</v>
      </c>
      <c r="AF463" s="69" t="str">
        <f t="shared" si="76"/>
        <v>2 years 335 days</v>
      </c>
      <c r="AG463" s="69">
        <v>2</v>
      </c>
      <c r="AH463" s="69">
        <v>335</v>
      </c>
      <c r="AI463" s="69">
        <v>784722</v>
      </c>
      <c r="AJ463" s="67">
        <v>228966.85714285716</v>
      </c>
      <c r="AK463" s="69">
        <v>2025</v>
      </c>
      <c r="AL463" s="61">
        <v>38913.53929549962</v>
      </c>
      <c r="AM463" s="143"/>
    </row>
    <row r="464" spans="1:39" x14ac:dyDescent="0.35">
      <c r="A464" s="69" t="s">
        <v>4124</v>
      </c>
      <c r="B464" s="41">
        <v>1101504334</v>
      </c>
      <c r="C464" s="41"/>
      <c r="D464" s="41" t="s">
        <v>1448</v>
      </c>
      <c r="E464" s="101">
        <v>3</v>
      </c>
      <c r="F464" s="41" t="s">
        <v>1152</v>
      </c>
      <c r="G464" s="69" t="s">
        <v>1151</v>
      </c>
      <c r="H464" s="41">
        <v>9008000036</v>
      </c>
      <c r="I464" s="41" t="s">
        <v>1416</v>
      </c>
      <c r="J464" s="41">
        <v>1202020104</v>
      </c>
      <c r="K464" s="41" t="s">
        <v>1460</v>
      </c>
      <c r="L464" s="52" t="s">
        <v>1461</v>
      </c>
      <c r="M464" s="69" t="s">
        <v>1462</v>
      </c>
      <c r="N464" s="69"/>
      <c r="O464" s="69">
        <v>1</v>
      </c>
      <c r="P464" s="69" t="s">
        <v>50</v>
      </c>
      <c r="Q464" s="69" t="s">
        <v>51</v>
      </c>
      <c r="R464" s="69"/>
      <c r="S464" s="48">
        <v>41897</v>
      </c>
      <c r="T464" s="48">
        <v>43340</v>
      </c>
      <c r="U464" s="69"/>
      <c r="V464" s="69"/>
      <c r="W464" s="69"/>
      <c r="X464" s="69"/>
      <c r="Y464" s="69" t="s">
        <v>4125</v>
      </c>
      <c r="Z464" s="52">
        <v>77500</v>
      </c>
      <c r="AA464" s="43" t="s">
        <v>52</v>
      </c>
      <c r="AB464" s="43" t="s">
        <v>53</v>
      </c>
      <c r="AC464" s="85">
        <v>2190</v>
      </c>
      <c r="AD464" s="141">
        <v>6</v>
      </c>
      <c r="AE464" s="142">
        <v>0</v>
      </c>
      <c r="AF464" s="69" t="str">
        <f t="shared" si="76"/>
        <v>6 years 0 days</v>
      </c>
      <c r="AG464" s="69">
        <v>6</v>
      </c>
      <c r="AH464" s="69">
        <v>0</v>
      </c>
      <c r="AI464" s="69">
        <v>77500</v>
      </c>
      <c r="AJ464" s="67">
        <v>77500</v>
      </c>
      <c r="AK464" s="69">
        <v>2025</v>
      </c>
      <c r="AL464" s="61">
        <v>0</v>
      </c>
      <c r="AM464" s="143"/>
    </row>
    <row r="465" spans="1:39" x14ac:dyDescent="0.35">
      <c r="A465" s="69" t="s">
        <v>4124</v>
      </c>
      <c r="B465" s="41">
        <v>1101504331</v>
      </c>
      <c r="C465" s="41"/>
      <c r="D465" s="41" t="s">
        <v>1448</v>
      </c>
      <c r="E465" s="101">
        <v>2</v>
      </c>
      <c r="F465" s="41" t="s">
        <v>1152</v>
      </c>
      <c r="G465" s="69" t="s">
        <v>1151</v>
      </c>
      <c r="H465" s="41">
        <v>9008000036</v>
      </c>
      <c r="I465" s="41" t="s">
        <v>1416</v>
      </c>
      <c r="J465" s="41">
        <v>1202020104</v>
      </c>
      <c r="K465" s="41" t="s">
        <v>1456</v>
      </c>
      <c r="L465" s="52" t="s">
        <v>1457</v>
      </c>
      <c r="M465" s="69" t="s">
        <v>1458</v>
      </c>
      <c r="N465" s="69"/>
      <c r="O465" s="69">
        <v>1</v>
      </c>
      <c r="P465" s="69" t="s">
        <v>50</v>
      </c>
      <c r="Q465" s="69" t="s">
        <v>51</v>
      </c>
      <c r="R465" s="69"/>
      <c r="S465" s="48">
        <v>42430</v>
      </c>
      <c r="T465" s="48">
        <v>43340</v>
      </c>
      <c r="U465" s="69"/>
      <c r="V465" s="69"/>
      <c r="W465" s="69"/>
      <c r="X465" s="69"/>
      <c r="Y465" s="69" t="s">
        <v>4125</v>
      </c>
      <c r="Z465" s="52">
        <v>130000</v>
      </c>
      <c r="AA465" s="43" t="s">
        <v>52</v>
      </c>
      <c r="AB465" s="43" t="s">
        <v>53</v>
      </c>
      <c r="AC465" s="85">
        <v>4526</v>
      </c>
      <c r="AD465" s="141">
        <v>12</v>
      </c>
      <c r="AE465" s="142">
        <v>5</v>
      </c>
      <c r="AF465" s="69" t="str">
        <f t="shared" si="76"/>
        <v>6 years 128 days</v>
      </c>
      <c r="AG465" s="69">
        <v>6</v>
      </c>
      <c r="AH465" s="69">
        <v>128</v>
      </c>
      <c r="AI465" s="69">
        <v>130000</v>
      </c>
      <c r="AJ465" s="67">
        <v>66551</v>
      </c>
      <c r="AK465" s="69">
        <v>2025</v>
      </c>
      <c r="AL465" s="61">
        <v>5198.8895271763031</v>
      </c>
      <c r="AM465" s="143"/>
    </row>
    <row r="466" spans="1:39" x14ac:dyDescent="0.35">
      <c r="A466" s="69" t="s">
        <v>4124</v>
      </c>
      <c r="B466" s="41">
        <v>1101504299</v>
      </c>
      <c r="C466" s="41"/>
      <c r="D466" s="69"/>
      <c r="E466" s="101">
        <v>0</v>
      </c>
      <c r="F466" s="41" t="s">
        <v>1152</v>
      </c>
      <c r="G466" s="69" t="s">
        <v>1151</v>
      </c>
      <c r="H466" s="41">
        <v>9008000037</v>
      </c>
      <c r="I466" s="41" t="s">
        <v>1416</v>
      </c>
      <c r="J466" s="41">
        <v>1202020104</v>
      </c>
      <c r="K466" s="41" t="s">
        <v>1464</v>
      </c>
      <c r="L466" s="52" t="s">
        <v>1465</v>
      </c>
      <c r="M466" s="69" t="s">
        <v>1466</v>
      </c>
      <c r="N466" s="69"/>
      <c r="O466" s="69">
        <v>1</v>
      </c>
      <c r="P466" s="69" t="s">
        <v>50</v>
      </c>
      <c r="Q466" s="69" t="s">
        <v>51</v>
      </c>
      <c r="R466" s="69"/>
      <c r="S466" s="48">
        <v>41710</v>
      </c>
      <c r="T466" s="48">
        <v>43340</v>
      </c>
      <c r="U466" s="69"/>
      <c r="V466" s="69"/>
      <c r="W466" s="69"/>
      <c r="X466" s="69"/>
      <c r="Y466" s="69" t="s">
        <v>4125</v>
      </c>
      <c r="Z466" s="52">
        <v>10375000</v>
      </c>
      <c r="AA466" s="43" t="s">
        <v>52</v>
      </c>
      <c r="AB466" s="43" t="s">
        <v>53</v>
      </c>
      <c r="AC466" s="85">
        <v>3833</v>
      </c>
      <c r="AD466" s="141">
        <v>10</v>
      </c>
      <c r="AE466" s="142">
        <v>6</v>
      </c>
      <c r="AF466" s="69" t="str">
        <f t="shared" ref="AF466:AF472" si="77">_xlfn.CONCAT(AG466," years ",AH466," days")</f>
        <v>6 years 128 days</v>
      </c>
      <c r="AG466" s="69">
        <v>6</v>
      </c>
      <c r="AH466" s="69">
        <v>128</v>
      </c>
      <c r="AI466" s="69">
        <v>10375000</v>
      </c>
      <c r="AJ466" s="67">
        <v>6271556</v>
      </c>
      <c r="AK466" s="69">
        <v>2025</v>
      </c>
      <c r="AL466" s="61">
        <v>489923.25906600524</v>
      </c>
      <c r="AM466" s="143"/>
    </row>
    <row r="467" spans="1:39" x14ac:dyDescent="0.35">
      <c r="A467" s="69" t="s">
        <v>4124</v>
      </c>
      <c r="B467" s="41">
        <v>1101403457</v>
      </c>
      <c r="C467" s="41"/>
      <c r="D467" s="41" t="s">
        <v>1463</v>
      </c>
      <c r="E467" s="101">
        <v>1</v>
      </c>
      <c r="F467" s="41" t="s">
        <v>1152</v>
      </c>
      <c r="G467" s="69" t="s">
        <v>1151</v>
      </c>
      <c r="H467" s="41">
        <v>9008000037</v>
      </c>
      <c r="I467" s="41" t="s">
        <v>1416</v>
      </c>
      <c r="J467" s="41">
        <v>1202020104</v>
      </c>
      <c r="K467" s="41" t="s">
        <v>1468</v>
      </c>
      <c r="L467" s="52" t="s">
        <v>1469</v>
      </c>
      <c r="M467" s="69" t="s">
        <v>1470</v>
      </c>
      <c r="N467" s="69"/>
      <c r="O467" s="69">
        <v>3</v>
      </c>
      <c r="P467" s="69" t="s">
        <v>50</v>
      </c>
      <c r="Q467" s="69" t="s">
        <v>51</v>
      </c>
      <c r="R467" s="69"/>
      <c r="S467" s="48">
        <v>44163</v>
      </c>
      <c r="T467" s="48">
        <v>44163</v>
      </c>
      <c r="U467" s="69"/>
      <c r="V467" s="69"/>
      <c r="W467" s="69"/>
      <c r="X467" s="69"/>
      <c r="Y467" s="69" t="s">
        <v>4127</v>
      </c>
      <c r="Z467" s="52">
        <v>164016</v>
      </c>
      <c r="AA467" s="43" t="s">
        <v>52</v>
      </c>
      <c r="AB467" s="43" t="s">
        <v>53</v>
      </c>
      <c r="AC467" s="85">
        <v>3650</v>
      </c>
      <c r="AD467" s="141">
        <v>10</v>
      </c>
      <c r="AE467" s="142">
        <v>0</v>
      </c>
      <c r="AF467" s="69" t="str">
        <f t="shared" si="77"/>
        <v>4 years 35 days</v>
      </c>
      <c r="AG467" s="69">
        <v>4</v>
      </c>
      <c r="AH467" s="69">
        <v>35</v>
      </c>
      <c r="AI467" s="69">
        <v>164016</v>
      </c>
      <c r="AJ467" s="67">
        <v>67179</v>
      </c>
      <c r="AK467" s="69">
        <v>2025</v>
      </c>
      <c r="AL467" s="61">
        <v>8133.552328767124</v>
      </c>
      <c r="AM467" s="143"/>
    </row>
    <row r="468" spans="1:39" x14ac:dyDescent="0.35">
      <c r="A468" s="69" t="s">
        <v>4124</v>
      </c>
      <c r="B468" s="41">
        <v>1101404924</v>
      </c>
      <c r="C468" s="41"/>
      <c r="D468" s="41" t="s">
        <v>1463</v>
      </c>
      <c r="E468" s="101">
        <v>2</v>
      </c>
      <c r="F468" s="41" t="s">
        <v>1152</v>
      </c>
      <c r="G468" s="69" t="s">
        <v>1151</v>
      </c>
      <c r="H468" s="41">
        <v>9008000037</v>
      </c>
      <c r="I468" s="41" t="s">
        <v>1416</v>
      </c>
      <c r="J468" s="41">
        <v>1202020104</v>
      </c>
      <c r="K468" s="41" t="s">
        <v>1472</v>
      </c>
      <c r="L468" s="52" t="s">
        <v>1473</v>
      </c>
      <c r="M468" s="69" t="s">
        <v>1474</v>
      </c>
      <c r="N468" s="69"/>
      <c r="O468" s="69">
        <v>1</v>
      </c>
      <c r="P468" s="69" t="s">
        <v>50</v>
      </c>
      <c r="Q468" s="69" t="s">
        <v>51</v>
      </c>
      <c r="R468" s="69"/>
      <c r="S468" s="48">
        <v>45199</v>
      </c>
      <c r="T468" s="48">
        <v>45199</v>
      </c>
      <c r="U468" s="69"/>
      <c r="V468" s="69"/>
      <c r="W468" s="69"/>
      <c r="X468" s="69"/>
      <c r="Y468" s="69" t="s">
        <v>4129</v>
      </c>
      <c r="Z468" s="52">
        <v>78000</v>
      </c>
      <c r="AA468" s="43" t="s">
        <v>52</v>
      </c>
      <c r="AB468" s="43" t="s">
        <v>53</v>
      </c>
      <c r="AC468" s="85">
        <v>3650</v>
      </c>
      <c r="AD468" s="141">
        <v>10</v>
      </c>
      <c r="AE468" s="142">
        <v>0</v>
      </c>
      <c r="AF468" s="69" t="str">
        <f t="shared" si="77"/>
        <v>1 years 94 days</v>
      </c>
      <c r="AG468" s="69">
        <v>1</v>
      </c>
      <c r="AH468" s="69">
        <v>94</v>
      </c>
      <c r="AI468" s="69">
        <v>78000</v>
      </c>
      <c r="AJ468" s="67">
        <v>9809</v>
      </c>
      <c r="AK468" s="69">
        <v>2025</v>
      </c>
      <c r="AL468" s="61">
        <v>3867.712328767122</v>
      </c>
      <c r="AM468" s="143"/>
    </row>
    <row r="469" spans="1:39" x14ac:dyDescent="0.35">
      <c r="A469" s="69" t="s">
        <v>4124</v>
      </c>
      <c r="B469" s="41">
        <v>1101504295</v>
      </c>
      <c r="C469" s="41"/>
      <c r="D469" s="41" t="s">
        <v>1463</v>
      </c>
      <c r="E469" s="101">
        <v>4</v>
      </c>
      <c r="F469" s="41" t="s">
        <v>1152</v>
      </c>
      <c r="G469" s="69" t="s">
        <v>1151</v>
      </c>
      <c r="H469" s="41">
        <v>9008000037</v>
      </c>
      <c r="I469" s="41" t="s">
        <v>1416</v>
      </c>
      <c r="J469" s="41">
        <v>1202020104</v>
      </c>
      <c r="K469" s="41" t="s">
        <v>1479</v>
      </c>
      <c r="L469" s="52" t="s">
        <v>1480</v>
      </c>
      <c r="M469" s="69" t="s">
        <v>1481</v>
      </c>
      <c r="N469" s="69"/>
      <c r="O469" s="69">
        <v>1</v>
      </c>
      <c r="P469" s="69" t="s">
        <v>50</v>
      </c>
      <c r="Q469" s="69" t="s">
        <v>51</v>
      </c>
      <c r="R469" s="69"/>
      <c r="S469" s="48">
        <v>44331</v>
      </c>
      <c r="T469" s="48">
        <v>44331</v>
      </c>
      <c r="U469" s="69"/>
      <c r="V469" s="69"/>
      <c r="W469" s="69"/>
      <c r="X469" s="69"/>
      <c r="Y469" s="69" t="s">
        <v>4128</v>
      </c>
      <c r="Z469" s="52">
        <v>658000</v>
      </c>
      <c r="AA469" s="43" t="s">
        <v>52</v>
      </c>
      <c r="AB469" s="43" t="s">
        <v>53</v>
      </c>
      <c r="AC469" s="85">
        <v>3650</v>
      </c>
      <c r="AD469" s="141">
        <v>10</v>
      </c>
      <c r="AE469" s="142">
        <v>0</v>
      </c>
      <c r="AF469" s="69" t="str">
        <f t="shared" si="77"/>
        <v>3 years 232 days</v>
      </c>
      <c r="AG469" s="69">
        <v>3</v>
      </c>
      <c r="AH469" s="69">
        <v>232</v>
      </c>
      <c r="AI469" s="69">
        <v>658000</v>
      </c>
      <c r="AJ469" s="67">
        <v>239224</v>
      </c>
      <c r="AK469" s="69">
        <v>2025</v>
      </c>
      <c r="AL469" s="61">
        <v>32629.15068493149</v>
      </c>
      <c r="AM469" s="143"/>
    </row>
    <row r="470" spans="1:39" x14ac:dyDescent="0.35">
      <c r="A470" s="69" t="s">
        <v>4124</v>
      </c>
      <c r="B470" s="41">
        <v>1101504294</v>
      </c>
      <c r="C470" s="41"/>
      <c r="D470" s="41" t="s">
        <v>1463</v>
      </c>
      <c r="E470" s="101">
        <v>3</v>
      </c>
      <c r="F470" s="80" t="s">
        <v>1152</v>
      </c>
      <c r="G470" s="69" t="s">
        <v>1151</v>
      </c>
      <c r="H470" s="80">
        <v>9008000037</v>
      </c>
      <c r="I470" s="41" t="s">
        <v>1416</v>
      </c>
      <c r="J470" s="41">
        <v>1202020104</v>
      </c>
      <c r="K470" s="80" t="s">
        <v>1476</v>
      </c>
      <c r="L470" s="52" t="s">
        <v>1477</v>
      </c>
      <c r="M470" s="69" t="s">
        <v>1447</v>
      </c>
      <c r="N470" s="69"/>
      <c r="O470" s="69">
        <v>1</v>
      </c>
      <c r="P470" s="69" t="s">
        <v>50</v>
      </c>
      <c r="Q470" s="69" t="s">
        <v>51</v>
      </c>
      <c r="R470" s="69"/>
      <c r="S470" s="48">
        <v>44593</v>
      </c>
      <c r="T470" s="48">
        <v>44593</v>
      </c>
      <c r="U470" s="69"/>
      <c r="V470" s="69"/>
      <c r="W470" s="69"/>
      <c r="X470" s="69"/>
      <c r="Y470" s="69" t="s">
        <v>4131</v>
      </c>
      <c r="Z470" s="84">
        <v>784722</v>
      </c>
      <c r="AA470" s="43" t="s">
        <v>52</v>
      </c>
      <c r="AB470" s="43" t="s">
        <v>53</v>
      </c>
      <c r="AC470" s="85">
        <v>3650</v>
      </c>
      <c r="AD470" s="141">
        <v>10</v>
      </c>
      <c r="AE470" s="142">
        <v>0</v>
      </c>
      <c r="AF470" s="69" t="str">
        <f t="shared" si="77"/>
        <v>2 years 335 days</v>
      </c>
      <c r="AG470" s="69">
        <v>2</v>
      </c>
      <c r="AH470" s="69">
        <v>335</v>
      </c>
      <c r="AI470" s="69">
        <v>784722</v>
      </c>
      <c r="AJ470" s="67">
        <v>228966.85714285716</v>
      </c>
      <c r="AK470" s="69">
        <v>2025</v>
      </c>
      <c r="AL470" s="61">
        <v>38913.53929549962</v>
      </c>
      <c r="AM470" s="143"/>
    </row>
    <row r="471" spans="1:39" x14ac:dyDescent="0.35">
      <c r="A471" s="69" t="s">
        <v>4124</v>
      </c>
      <c r="B471" s="41">
        <v>1101405086</v>
      </c>
      <c r="C471" s="41"/>
      <c r="D471" s="41" t="s">
        <v>1463</v>
      </c>
      <c r="E471" s="101">
        <v>5</v>
      </c>
      <c r="F471" s="41" t="s">
        <v>1152</v>
      </c>
      <c r="G471" s="69" t="s">
        <v>1151</v>
      </c>
      <c r="H471" s="41">
        <v>9008000037</v>
      </c>
      <c r="I471" s="41" t="s">
        <v>1416</v>
      </c>
      <c r="J471" s="41">
        <v>1202020104</v>
      </c>
      <c r="K471" s="41"/>
      <c r="L471" s="52" t="s">
        <v>1483</v>
      </c>
      <c r="M471" s="69" t="s">
        <v>1484</v>
      </c>
      <c r="N471" s="69"/>
      <c r="O471" s="69">
        <v>4</v>
      </c>
      <c r="P471" s="69" t="s">
        <v>50</v>
      </c>
      <c r="Q471" s="69" t="s">
        <v>51</v>
      </c>
      <c r="R471" s="69"/>
      <c r="S471" s="48">
        <v>45322</v>
      </c>
      <c r="T471" s="48">
        <v>45322</v>
      </c>
      <c r="U471" s="69"/>
      <c r="V471" s="69"/>
      <c r="W471" s="69"/>
      <c r="X471" s="69"/>
      <c r="Y471" s="69" t="s">
        <v>4130</v>
      </c>
      <c r="Z471" s="52">
        <v>298950</v>
      </c>
      <c r="AA471" s="43" t="s">
        <v>52</v>
      </c>
      <c r="AB471" s="43" t="s">
        <v>53</v>
      </c>
      <c r="AC471" s="85">
        <v>3650</v>
      </c>
      <c r="AD471" s="141">
        <v>10</v>
      </c>
      <c r="AE471" s="142">
        <v>0</v>
      </c>
      <c r="AF471" s="69" t="str">
        <f t="shared" si="77"/>
        <v>0 years 336 days</v>
      </c>
      <c r="AG471" s="69">
        <v>0</v>
      </c>
      <c r="AH471" s="69">
        <v>336</v>
      </c>
      <c r="AI471" s="69">
        <v>298950</v>
      </c>
      <c r="AJ471" s="67">
        <v>27520</v>
      </c>
      <c r="AK471" s="69">
        <v>2025</v>
      </c>
      <c r="AL471" s="61">
        <v>14824.42465753424</v>
      </c>
      <c r="AM471" s="143"/>
    </row>
    <row r="472" spans="1:39" x14ac:dyDescent="0.35">
      <c r="A472" s="69" t="s">
        <v>4124</v>
      </c>
      <c r="B472" s="41">
        <v>1101405210</v>
      </c>
      <c r="C472" s="41"/>
      <c r="D472" s="41" t="s">
        <v>1463</v>
      </c>
      <c r="E472" s="101">
        <v>6</v>
      </c>
      <c r="F472" s="41" t="s">
        <v>1152</v>
      </c>
      <c r="G472" s="69" t="s">
        <v>1151</v>
      </c>
      <c r="H472" s="41">
        <v>9008000037</v>
      </c>
      <c r="I472" s="41" t="s">
        <v>1416</v>
      </c>
      <c r="J472" s="41">
        <v>1202020104</v>
      </c>
      <c r="K472" s="41"/>
      <c r="L472" s="52" t="s">
        <v>1486</v>
      </c>
      <c r="M472" s="69" t="s">
        <v>1487</v>
      </c>
      <c r="N472" s="69"/>
      <c r="O472" s="69">
        <v>1</v>
      </c>
      <c r="P472" s="69" t="s">
        <v>50</v>
      </c>
      <c r="Q472" s="69" t="s">
        <v>51</v>
      </c>
      <c r="R472" s="69"/>
      <c r="S472" s="48">
        <v>45453</v>
      </c>
      <c r="T472" s="48">
        <v>45453</v>
      </c>
      <c r="U472" s="69"/>
      <c r="V472" s="69"/>
      <c r="W472" s="69"/>
      <c r="X472" s="69"/>
      <c r="Y472" s="69" t="s">
        <v>4130</v>
      </c>
      <c r="Z472" s="83">
        <v>228464</v>
      </c>
      <c r="AA472" s="43" t="s">
        <v>52</v>
      </c>
      <c r="AB472" s="43" t="s">
        <v>53</v>
      </c>
      <c r="AC472" s="85">
        <v>1825</v>
      </c>
      <c r="AD472" s="141">
        <v>5</v>
      </c>
      <c r="AE472" s="142">
        <v>0</v>
      </c>
      <c r="AF472" s="69" t="str">
        <f t="shared" si="77"/>
        <v>0 years 205 days</v>
      </c>
      <c r="AG472" s="69">
        <v>0</v>
      </c>
      <c r="AH472" s="69">
        <v>205</v>
      </c>
      <c r="AI472" s="69">
        <v>228464</v>
      </c>
      <c r="AJ472" s="67">
        <v>25663</v>
      </c>
      <c r="AK472" s="69">
        <v>2025</v>
      </c>
      <c r="AL472" s="61">
        <v>22658.70082191781</v>
      </c>
      <c r="AM472" s="143"/>
    </row>
    <row r="473" spans="1:39" x14ac:dyDescent="0.35">
      <c r="A473" s="69" t="s">
        <v>4124</v>
      </c>
      <c r="B473" s="41">
        <v>1101504298</v>
      </c>
      <c r="C473" s="41"/>
      <c r="D473" s="69"/>
      <c r="E473" s="101">
        <v>0</v>
      </c>
      <c r="F473" s="41" t="s">
        <v>1152</v>
      </c>
      <c r="G473" s="69" t="s">
        <v>1151</v>
      </c>
      <c r="H473" s="41">
        <v>9008000038</v>
      </c>
      <c r="I473" s="41" t="s">
        <v>1416</v>
      </c>
      <c r="J473" s="41">
        <v>1202020104</v>
      </c>
      <c r="K473" s="41" t="s">
        <v>1489</v>
      </c>
      <c r="L473" s="52" t="s">
        <v>1490</v>
      </c>
      <c r="M473" s="69" t="s">
        <v>1451</v>
      </c>
      <c r="N473" s="69"/>
      <c r="O473" s="69">
        <v>1</v>
      </c>
      <c r="P473" s="69" t="s">
        <v>50</v>
      </c>
      <c r="Q473" s="69" t="s">
        <v>51</v>
      </c>
      <c r="R473" s="69"/>
      <c r="S473" s="48">
        <v>41883</v>
      </c>
      <c r="T473" s="48">
        <v>43340</v>
      </c>
      <c r="U473" s="69"/>
      <c r="V473" s="69"/>
      <c r="W473" s="69"/>
      <c r="X473" s="69"/>
      <c r="Y473" s="69" t="s">
        <v>4125</v>
      </c>
      <c r="Z473" s="52">
        <v>10850000</v>
      </c>
      <c r="AA473" s="43" t="s">
        <v>52</v>
      </c>
      <c r="AB473" s="43" t="s">
        <v>53</v>
      </c>
      <c r="AC473" s="85">
        <v>4015</v>
      </c>
      <c r="AD473" s="141">
        <v>11</v>
      </c>
      <c r="AE473" s="142">
        <v>0</v>
      </c>
      <c r="AF473" s="69" t="str">
        <f t="shared" ref="AF473:AF479" si="78">_xlfn.CONCAT(AG473," years ",AH473," days")</f>
        <v>6 years 128 days</v>
      </c>
      <c r="AG473" s="69">
        <v>6</v>
      </c>
      <c r="AH473" s="69">
        <v>128</v>
      </c>
      <c r="AI473" s="69">
        <v>10850000</v>
      </c>
      <c r="AJ473" s="67">
        <v>6261382</v>
      </c>
      <c r="AK473" s="69">
        <v>2025</v>
      </c>
      <c r="AL473" s="61">
        <v>489128.58530510589</v>
      </c>
      <c r="AM473" s="143"/>
    </row>
    <row r="474" spans="1:39" x14ac:dyDescent="0.35">
      <c r="A474" s="69" t="s">
        <v>4124</v>
      </c>
      <c r="B474" s="41">
        <v>1101504322</v>
      </c>
      <c r="C474" s="41"/>
      <c r="D474" s="41" t="s">
        <v>1488</v>
      </c>
      <c r="E474" s="101">
        <v>2</v>
      </c>
      <c r="F474" s="41" t="s">
        <v>1152</v>
      </c>
      <c r="G474" s="69" t="s">
        <v>1151</v>
      </c>
      <c r="H474" s="41">
        <v>9008000038</v>
      </c>
      <c r="I474" s="41" t="s">
        <v>1416</v>
      </c>
      <c r="J474" s="41">
        <v>1202020104</v>
      </c>
      <c r="K474" s="41" t="s">
        <v>1495</v>
      </c>
      <c r="L474" s="52" t="s">
        <v>1496</v>
      </c>
      <c r="M474" s="69" t="s">
        <v>1497</v>
      </c>
      <c r="N474" s="69"/>
      <c r="O474" s="69">
        <v>1</v>
      </c>
      <c r="P474" s="69" t="s">
        <v>50</v>
      </c>
      <c r="Q474" s="69" t="s">
        <v>51</v>
      </c>
      <c r="R474" s="69"/>
      <c r="S474" s="48">
        <v>42010</v>
      </c>
      <c r="T474" s="48">
        <v>43340</v>
      </c>
      <c r="U474" s="69"/>
      <c r="V474" s="69"/>
      <c r="W474" s="69"/>
      <c r="X474" s="69"/>
      <c r="Y474" s="69" t="s">
        <v>4125</v>
      </c>
      <c r="Z474" s="52">
        <v>280000</v>
      </c>
      <c r="AA474" s="43" t="s">
        <v>52</v>
      </c>
      <c r="AB474" s="43" t="s">
        <v>53</v>
      </c>
      <c r="AC474" s="85">
        <v>2300</v>
      </c>
      <c r="AD474" s="141">
        <v>6</v>
      </c>
      <c r="AE474" s="142">
        <v>4</v>
      </c>
      <c r="AF474" s="69" t="str">
        <f t="shared" si="78"/>
        <v>6 years 110 days</v>
      </c>
      <c r="AG474" s="69">
        <v>6</v>
      </c>
      <c r="AH474" s="69">
        <v>110</v>
      </c>
      <c r="AI474" s="69">
        <v>280000</v>
      </c>
      <c r="AJ474" s="67">
        <v>280000</v>
      </c>
      <c r="AK474" s="69">
        <v>2025</v>
      </c>
      <c r="AL474" s="61">
        <v>0</v>
      </c>
      <c r="AM474" s="143"/>
    </row>
    <row r="475" spans="1:39" x14ac:dyDescent="0.35">
      <c r="A475" s="69" t="s">
        <v>4124</v>
      </c>
      <c r="B475" s="41">
        <v>1101504306</v>
      </c>
      <c r="C475" s="41"/>
      <c r="D475" s="41" t="s">
        <v>1488</v>
      </c>
      <c r="E475" s="101">
        <v>1</v>
      </c>
      <c r="F475" s="80" t="s">
        <v>1152</v>
      </c>
      <c r="G475" s="69" t="s">
        <v>1151</v>
      </c>
      <c r="H475" s="80">
        <v>9008000038</v>
      </c>
      <c r="I475" s="41" t="s">
        <v>1416</v>
      </c>
      <c r="J475" s="41">
        <v>1202020104</v>
      </c>
      <c r="K475" s="80" t="s">
        <v>1492</v>
      </c>
      <c r="L475" s="52" t="s">
        <v>1493</v>
      </c>
      <c r="M475" s="69" t="s">
        <v>1447</v>
      </c>
      <c r="N475" s="69"/>
      <c r="O475" s="69">
        <v>1</v>
      </c>
      <c r="P475" s="69" t="s">
        <v>50</v>
      </c>
      <c r="Q475" s="69" t="s">
        <v>51</v>
      </c>
      <c r="R475" s="69"/>
      <c r="S475" s="48">
        <v>44593</v>
      </c>
      <c r="T475" s="48">
        <v>44593</v>
      </c>
      <c r="U475" s="69"/>
      <c r="V475" s="69"/>
      <c r="W475" s="69"/>
      <c r="X475" s="69"/>
      <c r="Y475" s="69" t="s">
        <v>4131</v>
      </c>
      <c r="Z475" s="84">
        <v>784722</v>
      </c>
      <c r="AA475" s="43" t="s">
        <v>52</v>
      </c>
      <c r="AB475" s="43" t="s">
        <v>53</v>
      </c>
      <c r="AC475" s="85">
        <v>3650</v>
      </c>
      <c r="AD475" s="141">
        <v>10</v>
      </c>
      <c r="AE475" s="142">
        <v>0</v>
      </c>
      <c r="AF475" s="69" t="str">
        <f t="shared" si="78"/>
        <v>2 years 335 days</v>
      </c>
      <c r="AG475" s="69">
        <v>2</v>
      </c>
      <c r="AH475" s="69">
        <v>335</v>
      </c>
      <c r="AI475" s="69">
        <v>784722</v>
      </c>
      <c r="AJ475" s="67">
        <v>228966.85714285716</v>
      </c>
      <c r="AK475" s="69">
        <v>2025</v>
      </c>
      <c r="AL475" s="61">
        <v>38913.53929549962</v>
      </c>
      <c r="AM475" s="143"/>
    </row>
    <row r="476" spans="1:39" x14ac:dyDescent="0.35">
      <c r="A476" s="69" t="s">
        <v>4124</v>
      </c>
      <c r="B476" s="41">
        <v>1101504300</v>
      </c>
      <c r="C476" s="41"/>
      <c r="D476" s="69"/>
      <c r="E476" s="101">
        <v>0</v>
      </c>
      <c r="F476" s="41" t="s">
        <v>1152</v>
      </c>
      <c r="G476" s="69" t="s">
        <v>1151</v>
      </c>
      <c r="H476" s="41">
        <v>9008000039</v>
      </c>
      <c r="I476" s="41" t="s">
        <v>1416</v>
      </c>
      <c r="J476" s="41">
        <v>1202020104</v>
      </c>
      <c r="K476" s="41" t="s">
        <v>1499</v>
      </c>
      <c r="L476" s="52" t="s">
        <v>1500</v>
      </c>
      <c r="M476" s="69" t="s">
        <v>49</v>
      </c>
      <c r="N476" s="69"/>
      <c r="O476" s="69">
        <v>1</v>
      </c>
      <c r="P476" s="69" t="s">
        <v>50</v>
      </c>
      <c r="Q476" s="69" t="s">
        <v>51</v>
      </c>
      <c r="R476" s="69"/>
      <c r="S476" s="48">
        <v>41311</v>
      </c>
      <c r="T476" s="48">
        <v>43340</v>
      </c>
      <c r="U476" s="69"/>
      <c r="V476" s="69"/>
      <c r="W476" s="69"/>
      <c r="X476" s="69"/>
      <c r="Y476" s="69" t="s">
        <v>4125</v>
      </c>
      <c r="Z476" s="52">
        <v>9375000</v>
      </c>
      <c r="AA476" s="43" t="s">
        <v>52</v>
      </c>
      <c r="AB476" s="43" t="s">
        <v>53</v>
      </c>
      <c r="AC476" s="85">
        <v>3431</v>
      </c>
      <c r="AD476" s="141">
        <v>9</v>
      </c>
      <c r="AE476" s="142">
        <v>5</v>
      </c>
      <c r="AF476" s="69" t="str">
        <f t="shared" si="78"/>
        <v>6 years 128 days</v>
      </c>
      <c r="AG476" s="69">
        <v>6</v>
      </c>
      <c r="AH476" s="69">
        <v>128</v>
      </c>
      <c r="AI476" s="69">
        <v>9375000</v>
      </c>
      <c r="AJ476" s="67">
        <v>6331062</v>
      </c>
      <c r="AK476" s="69">
        <v>2025</v>
      </c>
      <c r="AL476" s="61">
        <v>494571.92596910521</v>
      </c>
      <c r="AM476" s="143"/>
    </row>
    <row r="477" spans="1:39" x14ac:dyDescent="0.35">
      <c r="A477" s="69" t="s">
        <v>4124</v>
      </c>
      <c r="B477" s="41">
        <v>1101504176</v>
      </c>
      <c r="C477" s="41"/>
      <c r="D477" s="41" t="s">
        <v>1498</v>
      </c>
      <c r="E477" s="101">
        <v>1</v>
      </c>
      <c r="F477" s="41" t="s">
        <v>1152</v>
      </c>
      <c r="G477" s="69" t="s">
        <v>1151</v>
      </c>
      <c r="H477" s="41">
        <v>9008000039</v>
      </c>
      <c r="I477" s="41" t="s">
        <v>1416</v>
      </c>
      <c r="J477" s="41">
        <v>1202020104</v>
      </c>
      <c r="K477" s="41" t="s">
        <v>1502</v>
      </c>
      <c r="L477" s="52" t="s">
        <v>1503</v>
      </c>
      <c r="M477" s="69" t="s">
        <v>49</v>
      </c>
      <c r="N477" s="69"/>
      <c r="O477" s="69">
        <v>3</v>
      </c>
      <c r="P477" s="69" t="s">
        <v>50</v>
      </c>
      <c r="Q477" s="69" t="s">
        <v>51</v>
      </c>
      <c r="R477" s="69"/>
      <c r="S477" s="48">
        <v>44531</v>
      </c>
      <c r="T477" s="48">
        <v>44531</v>
      </c>
      <c r="U477" s="69"/>
      <c r="V477" s="69"/>
      <c r="W477" s="69"/>
      <c r="X477" s="69"/>
      <c r="Y477" s="69" t="s">
        <v>4128</v>
      </c>
      <c r="Z477" s="52">
        <v>586500</v>
      </c>
      <c r="AA477" s="43" t="s">
        <v>52</v>
      </c>
      <c r="AB477" s="43" t="s">
        <v>53</v>
      </c>
      <c r="AC477" s="85">
        <v>3650</v>
      </c>
      <c r="AD477" s="141">
        <v>10</v>
      </c>
      <c r="AE477" s="142">
        <v>0</v>
      </c>
      <c r="AF477" s="69" t="str">
        <f t="shared" si="78"/>
        <v>3 years 32 days</v>
      </c>
      <c r="AG477" s="69">
        <v>3</v>
      </c>
      <c r="AH477" s="69">
        <v>32</v>
      </c>
      <c r="AI477" s="69">
        <v>586500</v>
      </c>
      <c r="AJ477" s="67">
        <v>181092</v>
      </c>
      <c r="AK477" s="69">
        <v>2025</v>
      </c>
      <c r="AL477" s="61">
        <v>29083.890410958906</v>
      </c>
      <c r="AM477" s="143"/>
    </row>
    <row r="478" spans="1:39" x14ac:dyDescent="0.35">
      <c r="A478" s="69" t="s">
        <v>4124</v>
      </c>
      <c r="B478" s="41">
        <v>1101504339</v>
      </c>
      <c r="C478" s="41"/>
      <c r="D478" s="41" t="s">
        <v>1498</v>
      </c>
      <c r="E478" s="101">
        <v>3</v>
      </c>
      <c r="F478" s="41" t="s">
        <v>1152</v>
      </c>
      <c r="G478" s="69" t="s">
        <v>1151</v>
      </c>
      <c r="H478" s="41">
        <v>9008000039</v>
      </c>
      <c r="I478" s="41" t="s">
        <v>1416</v>
      </c>
      <c r="J478" s="41">
        <v>1202020104</v>
      </c>
      <c r="K478" s="41" t="s">
        <v>1508</v>
      </c>
      <c r="L478" s="52" t="s">
        <v>1509</v>
      </c>
      <c r="M478" s="69" t="s">
        <v>1510</v>
      </c>
      <c r="N478" s="69"/>
      <c r="O478" s="69">
        <v>1</v>
      </c>
      <c r="P478" s="69" t="s">
        <v>50</v>
      </c>
      <c r="Q478" s="69" t="s">
        <v>51</v>
      </c>
      <c r="R478" s="69"/>
      <c r="S478" s="48">
        <v>42031</v>
      </c>
      <c r="T478" s="48">
        <v>43340</v>
      </c>
      <c r="U478" s="69"/>
      <c r="V478" s="69"/>
      <c r="W478" s="69"/>
      <c r="X478" s="69"/>
      <c r="Y478" s="69" t="s">
        <v>4125</v>
      </c>
      <c r="Z478" s="52">
        <v>41000</v>
      </c>
      <c r="AA478" s="43" t="s">
        <v>52</v>
      </c>
      <c r="AB478" s="43" t="s">
        <v>53</v>
      </c>
      <c r="AC478" s="85">
        <v>2336</v>
      </c>
      <c r="AD478" s="141">
        <v>6</v>
      </c>
      <c r="AE478" s="142">
        <v>5</v>
      </c>
      <c r="AF478" s="69" t="str">
        <f t="shared" si="78"/>
        <v>6 years 128 days</v>
      </c>
      <c r="AG478" s="69">
        <v>6</v>
      </c>
      <c r="AH478" s="69">
        <v>128</v>
      </c>
      <c r="AI478" s="69">
        <v>41000</v>
      </c>
      <c r="AJ478" s="67">
        <v>40667</v>
      </c>
      <c r="AK478" s="69">
        <v>2025</v>
      </c>
      <c r="AL478" s="61">
        <v>333</v>
      </c>
      <c r="AM478" s="143"/>
    </row>
    <row r="479" spans="1:39" x14ac:dyDescent="0.35">
      <c r="A479" s="69" t="s">
        <v>4124</v>
      </c>
      <c r="B479" s="41">
        <v>1101504307</v>
      </c>
      <c r="C479" s="41"/>
      <c r="D479" s="41" t="s">
        <v>1498</v>
      </c>
      <c r="E479" s="101">
        <v>2</v>
      </c>
      <c r="F479" s="80" t="s">
        <v>1152</v>
      </c>
      <c r="G479" s="69" t="s">
        <v>1151</v>
      </c>
      <c r="H479" s="80">
        <v>9008000039</v>
      </c>
      <c r="I479" s="41" t="s">
        <v>1416</v>
      </c>
      <c r="J479" s="41">
        <v>1202020104</v>
      </c>
      <c r="K479" s="80" t="s">
        <v>1505</v>
      </c>
      <c r="L479" s="52" t="s">
        <v>1506</v>
      </c>
      <c r="M479" s="69" t="s">
        <v>1447</v>
      </c>
      <c r="N479" s="69"/>
      <c r="O479" s="69">
        <v>1</v>
      </c>
      <c r="P479" s="69" t="s">
        <v>50</v>
      </c>
      <c r="Q479" s="69" t="s">
        <v>51</v>
      </c>
      <c r="R479" s="69"/>
      <c r="S479" s="48">
        <v>44593</v>
      </c>
      <c r="T479" s="48">
        <v>44593</v>
      </c>
      <c r="U479" s="69"/>
      <c r="V479" s="69"/>
      <c r="W479" s="69"/>
      <c r="X479" s="69"/>
      <c r="Y479" s="69" t="s">
        <v>4131</v>
      </c>
      <c r="Z479" s="84">
        <v>784722</v>
      </c>
      <c r="AA479" s="43" t="s">
        <v>52</v>
      </c>
      <c r="AB479" s="43" t="s">
        <v>53</v>
      </c>
      <c r="AC479" s="85">
        <v>3650</v>
      </c>
      <c r="AD479" s="141">
        <v>10</v>
      </c>
      <c r="AE479" s="142">
        <v>0</v>
      </c>
      <c r="AF479" s="69" t="str">
        <f t="shared" si="78"/>
        <v>2 years 335 days</v>
      </c>
      <c r="AG479" s="69">
        <v>2</v>
      </c>
      <c r="AH479" s="69">
        <v>335</v>
      </c>
      <c r="AI479" s="69">
        <v>784722</v>
      </c>
      <c r="AJ479" s="67">
        <v>228966.85714285716</v>
      </c>
      <c r="AK479" s="69">
        <v>2025</v>
      </c>
      <c r="AL479" s="61">
        <v>38913.53929549962</v>
      </c>
      <c r="AM479" s="143"/>
    </row>
    <row r="480" spans="1:39" x14ac:dyDescent="0.35">
      <c r="A480" s="69" t="s">
        <v>4124</v>
      </c>
      <c r="B480" s="41">
        <v>1101401657</v>
      </c>
      <c r="C480" s="41"/>
      <c r="D480" s="69"/>
      <c r="E480" s="101">
        <v>0</v>
      </c>
      <c r="F480" s="41" t="s">
        <v>1152</v>
      </c>
      <c r="G480" s="69" t="s">
        <v>1151</v>
      </c>
      <c r="H480" s="41">
        <v>9008000040</v>
      </c>
      <c r="I480" s="41" t="s">
        <v>1416</v>
      </c>
      <c r="J480" s="41">
        <v>1202020104</v>
      </c>
      <c r="K480" s="41" t="s">
        <v>1512</v>
      </c>
      <c r="L480" s="52" t="s">
        <v>1513</v>
      </c>
      <c r="M480" s="69" t="s">
        <v>1514</v>
      </c>
      <c r="N480" s="69"/>
      <c r="O480" s="69">
        <v>1</v>
      </c>
      <c r="P480" s="69" t="s">
        <v>50</v>
      </c>
      <c r="Q480" s="69" t="s">
        <v>51</v>
      </c>
      <c r="R480" s="69"/>
      <c r="S480" s="48">
        <v>42173</v>
      </c>
      <c r="T480" s="48">
        <v>43340</v>
      </c>
      <c r="U480" s="69"/>
      <c r="V480" s="69"/>
      <c r="W480" s="69"/>
      <c r="X480" s="69"/>
      <c r="Y480" s="69" t="s">
        <v>4125</v>
      </c>
      <c r="Z480" s="52">
        <v>11575000</v>
      </c>
      <c r="AA480" s="43" t="s">
        <v>52</v>
      </c>
      <c r="AB480" s="43" t="s">
        <v>53</v>
      </c>
      <c r="AC480" s="85">
        <v>4307</v>
      </c>
      <c r="AD480" s="141">
        <v>11</v>
      </c>
      <c r="AE480" s="142">
        <v>10</v>
      </c>
      <c r="AF480" s="69" t="str">
        <f t="shared" ref="AF480:AF485" si="79">_xlfn.CONCAT(AG480," years ",AH480," days")</f>
        <v>6 years 128 days</v>
      </c>
      <c r="AG480" s="69">
        <v>6</v>
      </c>
      <c r="AH480" s="69">
        <v>128</v>
      </c>
      <c r="AI480" s="69">
        <v>11575000</v>
      </c>
      <c r="AJ480" s="67">
        <v>6226904</v>
      </c>
      <c r="AK480" s="69">
        <v>2025</v>
      </c>
      <c r="AL480" s="61">
        <v>486434.75087067578</v>
      </c>
      <c r="AM480" s="143"/>
    </row>
    <row r="481" spans="1:39" x14ac:dyDescent="0.35">
      <c r="A481" s="69" t="s">
        <v>4124</v>
      </c>
      <c r="B481" s="41">
        <v>1101403388</v>
      </c>
      <c r="C481" s="41"/>
      <c r="D481" s="41" t="s">
        <v>1515</v>
      </c>
      <c r="E481" s="101">
        <v>1</v>
      </c>
      <c r="F481" s="41" t="s">
        <v>1152</v>
      </c>
      <c r="G481" s="69" t="s">
        <v>1151</v>
      </c>
      <c r="H481" s="41">
        <v>9008000040</v>
      </c>
      <c r="I481" s="41" t="s">
        <v>1416</v>
      </c>
      <c r="J481" s="41">
        <v>1202020104</v>
      </c>
      <c r="K481" s="41" t="s">
        <v>1516</v>
      </c>
      <c r="L481" s="52" t="s">
        <v>1517</v>
      </c>
      <c r="M481" s="69" t="s">
        <v>1481</v>
      </c>
      <c r="N481" s="69"/>
      <c r="O481" s="69">
        <v>1</v>
      </c>
      <c r="P481" s="69" t="s">
        <v>50</v>
      </c>
      <c r="Q481" s="69" t="s">
        <v>51</v>
      </c>
      <c r="R481" s="69"/>
      <c r="S481" s="48">
        <v>44094</v>
      </c>
      <c r="T481" s="48">
        <v>44094</v>
      </c>
      <c r="U481" s="69"/>
      <c r="V481" s="69"/>
      <c r="W481" s="69"/>
      <c r="X481" s="69"/>
      <c r="Y481" s="69" t="s">
        <v>4127</v>
      </c>
      <c r="Z481" s="52">
        <v>650000</v>
      </c>
      <c r="AA481" s="43" t="s">
        <v>52</v>
      </c>
      <c r="AB481" s="43" t="s">
        <v>53</v>
      </c>
      <c r="AC481" s="85">
        <v>3650</v>
      </c>
      <c r="AD481" s="141">
        <v>10</v>
      </c>
      <c r="AE481" s="142">
        <v>0</v>
      </c>
      <c r="AF481" s="69" t="str">
        <f t="shared" si="79"/>
        <v>4 years 104 days</v>
      </c>
      <c r="AG481" s="69">
        <v>4</v>
      </c>
      <c r="AH481" s="69">
        <v>104</v>
      </c>
      <c r="AI481" s="69">
        <v>650000</v>
      </c>
      <c r="AJ481" s="67">
        <v>278521</v>
      </c>
      <c r="AK481" s="69">
        <v>2025</v>
      </c>
      <c r="AL481" s="61">
        <v>32232.424657534226</v>
      </c>
      <c r="AM481" s="143"/>
    </row>
    <row r="482" spans="1:39" x14ac:dyDescent="0.35">
      <c r="A482" s="69" t="s">
        <v>4124</v>
      </c>
      <c r="B482" s="41">
        <v>1101404125</v>
      </c>
      <c r="C482" s="41"/>
      <c r="D482" s="41" t="s">
        <v>1515</v>
      </c>
      <c r="E482" s="101">
        <v>2</v>
      </c>
      <c r="F482" s="41" t="s">
        <v>1152</v>
      </c>
      <c r="G482" s="69" t="s">
        <v>1151</v>
      </c>
      <c r="H482" s="41">
        <v>9008000040</v>
      </c>
      <c r="I482" s="41" t="s">
        <v>1416</v>
      </c>
      <c r="J482" s="41">
        <v>1202020104</v>
      </c>
      <c r="K482" s="41" t="s">
        <v>1519</v>
      </c>
      <c r="L482" s="52" t="s">
        <v>1520</v>
      </c>
      <c r="M482" s="69" t="s">
        <v>1521</v>
      </c>
      <c r="N482" s="69"/>
      <c r="O482" s="69">
        <v>3</v>
      </c>
      <c r="P482" s="69" t="s">
        <v>50</v>
      </c>
      <c r="Q482" s="69" t="s">
        <v>51</v>
      </c>
      <c r="R482" s="69"/>
      <c r="S482" s="48">
        <v>44713</v>
      </c>
      <c r="T482" s="48">
        <v>44713</v>
      </c>
      <c r="U482" s="69"/>
      <c r="V482" s="69"/>
      <c r="W482" s="69"/>
      <c r="X482" s="69"/>
      <c r="Y482" s="69" t="s">
        <v>4131</v>
      </c>
      <c r="Z482" s="52">
        <v>763420</v>
      </c>
      <c r="AA482" s="43" t="s">
        <v>52</v>
      </c>
      <c r="AB482" s="43" t="s">
        <v>53</v>
      </c>
      <c r="AC482" s="85">
        <v>3650</v>
      </c>
      <c r="AD482" s="141">
        <v>10</v>
      </c>
      <c r="AE482" s="142">
        <v>0</v>
      </c>
      <c r="AF482" s="69" t="str">
        <f t="shared" si="79"/>
        <v>2 years 215 days</v>
      </c>
      <c r="AG482" s="69">
        <v>2</v>
      </c>
      <c r="AH482" s="69">
        <v>215</v>
      </c>
      <c r="AI482" s="69">
        <v>763420</v>
      </c>
      <c r="AJ482" s="67">
        <v>197653</v>
      </c>
      <c r="AK482" s="69">
        <v>2025</v>
      </c>
      <c r="AL482" s="61">
        <v>37856.841095890413</v>
      </c>
      <c r="AM482" s="143"/>
    </row>
    <row r="483" spans="1:39" x14ac:dyDescent="0.35">
      <c r="A483" s="69" t="s">
        <v>4124</v>
      </c>
      <c r="B483" s="41">
        <v>1101405341</v>
      </c>
      <c r="C483" s="41"/>
      <c r="D483" s="41" t="s">
        <v>1515</v>
      </c>
      <c r="E483" s="101">
        <v>3</v>
      </c>
      <c r="F483" s="41" t="s">
        <v>1152</v>
      </c>
      <c r="G483" s="69" t="s">
        <v>1151</v>
      </c>
      <c r="H483" s="41">
        <v>9008000040</v>
      </c>
      <c r="I483" s="41" t="s">
        <v>1416</v>
      </c>
      <c r="J483" s="41">
        <v>1202020104</v>
      </c>
      <c r="K483" s="41" t="s">
        <v>1523</v>
      </c>
      <c r="L483" s="52" t="s">
        <v>1524</v>
      </c>
      <c r="M483" s="69" t="s">
        <v>1525</v>
      </c>
      <c r="N483" s="69"/>
      <c r="O483" s="69">
        <v>4</v>
      </c>
      <c r="P483" s="69" t="s">
        <v>50</v>
      </c>
      <c r="Q483" s="69" t="s">
        <v>51</v>
      </c>
      <c r="R483" s="69"/>
      <c r="S483" s="48">
        <v>45647</v>
      </c>
      <c r="T483" s="48">
        <v>45647</v>
      </c>
      <c r="U483" s="69"/>
      <c r="V483" s="69"/>
      <c r="W483" s="69"/>
      <c r="X483" s="69"/>
      <c r="Y483" s="69" t="s">
        <v>4130</v>
      </c>
      <c r="Z483" s="83">
        <v>1486000</v>
      </c>
      <c r="AA483" s="43" t="s">
        <v>52</v>
      </c>
      <c r="AB483" s="43" t="s">
        <v>53</v>
      </c>
      <c r="AC483" s="85">
        <v>3650</v>
      </c>
      <c r="AD483" s="141">
        <v>10</v>
      </c>
      <c r="AE483" s="142">
        <v>0</v>
      </c>
      <c r="AF483" s="69" t="str">
        <f t="shared" si="79"/>
        <v>0 years 11 days</v>
      </c>
      <c r="AG483" s="69">
        <v>0</v>
      </c>
      <c r="AH483" s="69">
        <v>11</v>
      </c>
      <c r="AI483" s="69">
        <v>1486000</v>
      </c>
      <c r="AJ483" s="67">
        <v>4478</v>
      </c>
      <c r="AK483" s="69">
        <v>2025</v>
      </c>
      <c r="AL483" s="61">
        <v>73689.671232876717</v>
      </c>
      <c r="AM483" s="143"/>
    </row>
    <row r="484" spans="1:39" x14ac:dyDescent="0.35">
      <c r="A484" s="69" t="s">
        <v>4124</v>
      </c>
      <c r="B484" s="41">
        <v>1101504342</v>
      </c>
      <c r="C484" s="41"/>
      <c r="D484" s="41" t="s">
        <v>1515</v>
      </c>
      <c r="E484" s="101">
        <v>4</v>
      </c>
      <c r="F484" s="41" t="s">
        <v>1152</v>
      </c>
      <c r="G484" s="69" t="s">
        <v>1151</v>
      </c>
      <c r="H484" s="41">
        <v>9008000040</v>
      </c>
      <c r="I484" s="41" t="s">
        <v>1416</v>
      </c>
      <c r="J484" s="41">
        <v>1202020104</v>
      </c>
      <c r="K484" s="41" t="s">
        <v>1527</v>
      </c>
      <c r="L484" s="52" t="s">
        <v>1528</v>
      </c>
      <c r="M484" s="69" t="s">
        <v>49</v>
      </c>
      <c r="N484" s="69"/>
      <c r="O484" s="69">
        <v>1</v>
      </c>
      <c r="P484" s="69" t="s">
        <v>50</v>
      </c>
      <c r="Q484" s="69" t="s">
        <v>51</v>
      </c>
      <c r="R484" s="69"/>
      <c r="S484" s="48">
        <v>41671</v>
      </c>
      <c r="T484" s="48">
        <v>43340</v>
      </c>
      <c r="U484" s="69"/>
      <c r="V484" s="69"/>
      <c r="W484" s="69"/>
      <c r="X484" s="69"/>
      <c r="Y484" s="69" t="s">
        <v>4125</v>
      </c>
      <c r="Z484" s="52">
        <v>35000</v>
      </c>
      <c r="AA484" s="43" t="s">
        <v>52</v>
      </c>
      <c r="AB484" s="43" t="s">
        <v>53</v>
      </c>
      <c r="AC484" s="85">
        <v>1971</v>
      </c>
      <c r="AD484" s="141">
        <v>5</v>
      </c>
      <c r="AE484" s="142">
        <v>5</v>
      </c>
      <c r="AF484" s="69" t="str">
        <f t="shared" si="79"/>
        <v>5 years 146 days</v>
      </c>
      <c r="AG484" s="69">
        <v>5</v>
      </c>
      <c r="AH484" s="69">
        <v>146</v>
      </c>
      <c r="AI484" s="69">
        <v>35000</v>
      </c>
      <c r="AJ484" s="67">
        <v>35000</v>
      </c>
      <c r="AK484" s="69">
        <v>2025</v>
      </c>
      <c r="AL484" s="61">
        <v>0</v>
      </c>
      <c r="AM484" s="143"/>
    </row>
    <row r="485" spans="1:39" x14ac:dyDescent="0.35">
      <c r="A485" s="69" t="s">
        <v>4124</v>
      </c>
      <c r="B485" s="41">
        <v>1101404706</v>
      </c>
      <c r="C485" s="41"/>
      <c r="D485" s="41" t="s">
        <v>1515</v>
      </c>
      <c r="E485" s="101">
        <v>5</v>
      </c>
      <c r="F485" s="41" t="s">
        <v>1152</v>
      </c>
      <c r="G485" s="69" t="s">
        <v>1151</v>
      </c>
      <c r="H485" s="41">
        <v>9008000040</v>
      </c>
      <c r="I485" s="41" t="s">
        <v>1416</v>
      </c>
      <c r="J485" s="41">
        <v>1202020104</v>
      </c>
      <c r="K485" s="41"/>
      <c r="L485" s="52" t="s">
        <v>1530</v>
      </c>
      <c r="M485" s="69" t="s">
        <v>1531</v>
      </c>
      <c r="N485" s="69"/>
      <c r="O485" s="69">
        <v>1</v>
      </c>
      <c r="P485" s="69" t="s">
        <v>50</v>
      </c>
      <c r="Q485" s="69" t="s">
        <v>51</v>
      </c>
      <c r="R485" s="69"/>
      <c r="S485" s="48">
        <v>45016</v>
      </c>
      <c r="T485" s="48">
        <v>45016</v>
      </c>
      <c r="U485" s="69"/>
      <c r="V485" s="69"/>
      <c r="W485" s="69"/>
      <c r="X485" s="69"/>
      <c r="Y485" s="69" t="s">
        <v>4129</v>
      </c>
      <c r="Z485" s="52">
        <v>361000</v>
      </c>
      <c r="AA485" s="43" t="s">
        <v>52</v>
      </c>
      <c r="AB485" s="43" t="s">
        <v>53</v>
      </c>
      <c r="AC485" s="85">
        <v>3650</v>
      </c>
      <c r="AD485" s="141">
        <v>10</v>
      </c>
      <c r="AE485" s="142">
        <v>0</v>
      </c>
      <c r="AF485" s="69" t="str">
        <f t="shared" si="79"/>
        <v>1 years 277 days</v>
      </c>
      <c r="AG485" s="69">
        <v>1</v>
      </c>
      <c r="AH485" s="69">
        <v>277</v>
      </c>
      <c r="AI485" s="69">
        <v>361000</v>
      </c>
      <c r="AJ485" s="67">
        <v>63595</v>
      </c>
      <c r="AK485" s="69">
        <v>2025</v>
      </c>
      <c r="AL485" s="61">
        <v>17901.986301369863</v>
      </c>
      <c r="AM485" s="143"/>
    </row>
    <row r="486" spans="1:39" x14ac:dyDescent="0.35">
      <c r="A486" s="69" t="s">
        <v>4124</v>
      </c>
      <c r="B486" s="41">
        <v>1101402700</v>
      </c>
      <c r="C486" s="41"/>
      <c r="D486" s="69"/>
      <c r="E486" s="101">
        <v>0</v>
      </c>
      <c r="F486" s="41" t="s">
        <v>1152</v>
      </c>
      <c r="G486" s="69" t="s">
        <v>1151</v>
      </c>
      <c r="H486" s="41">
        <v>9008000041</v>
      </c>
      <c r="I486" s="41" t="s">
        <v>1416</v>
      </c>
      <c r="J486" s="41">
        <v>1202020104</v>
      </c>
      <c r="K486" s="41" t="s">
        <v>1533</v>
      </c>
      <c r="L486" s="52" t="s">
        <v>1534</v>
      </c>
      <c r="M486" s="69" t="s">
        <v>1535</v>
      </c>
      <c r="N486" s="69"/>
      <c r="O486" s="69">
        <v>1</v>
      </c>
      <c r="P486" s="69" t="s">
        <v>50</v>
      </c>
      <c r="Q486" s="69" t="s">
        <v>51</v>
      </c>
      <c r="R486" s="69"/>
      <c r="S486" s="48">
        <v>43376</v>
      </c>
      <c r="T486" s="48">
        <v>43376</v>
      </c>
      <c r="U486" s="69"/>
      <c r="V486" s="69"/>
      <c r="W486" s="69"/>
      <c r="X486" s="69"/>
      <c r="Y486" s="69" t="s">
        <v>4125</v>
      </c>
      <c r="Z486" s="52">
        <v>15908472.959999999</v>
      </c>
      <c r="AA486" s="43" t="s">
        <v>52</v>
      </c>
      <c r="AB486" s="43" t="s">
        <v>53</v>
      </c>
      <c r="AC486" s="85">
        <v>3650</v>
      </c>
      <c r="AD486" s="141">
        <v>10</v>
      </c>
      <c r="AE486" s="142">
        <v>0</v>
      </c>
      <c r="AF486" s="69" t="str">
        <f t="shared" ref="AF486:AF487" si="80">_xlfn.CONCAT(AG486," years ",AH486," days")</f>
        <v>6 years 92 days</v>
      </c>
      <c r="AG486" s="69">
        <v>6</v>
      </c>
      <c r="AH486" s="69">
        <v>92</v>
      </c>
      <c r="AI486" s="69">
        <v>15908472.959999999</v>
      </c>
      <c r="AJ486" s="67">
        <v>9941706</v>
      </c>
      <c r="AK486" s="69">
        <v>2025</v>
      </c>
      <c r="AL486" s="61">
        <v>788885.91592328809</v>
      </c>
      <c r="AM486" s="143"/>
    </row>
    <row r="487" spans="1:39" x14ac:dyDescent="0.35">
      <c r="A487" s="69" t="s">
        <v>4124</v>
      </c>
      <c r="B487" s="41">
        <v>1101403574</v>
      </c>
      <c r="C487" s="41"/>
      <c r="D487" s="41" t="s">
        <v>1536</v>
      </c>
      <c r="E487" s="101">
        <v>1</v>
      </c>
      <c r="F487" s="41" t="s">
        <v>1152</v>
      </c>
      <c r="G487" s="69" t="s">
        <v>1151</v>
      </c>
      <c r="H487" s="41">
        <v>9008000041</v>
      </c>
      <c r="I487" s="41" t="s">
        <v>1416</v>
      </c>
      <c r="J487" s="41">
        <v>1202020104</v>
      </c>
      <c r="K487" s="41" t="s">
        <v>1537</v>
      </c>
      <c r="L487" s="52" t="s">
        <v>1538</v>
      </c>
      <c r="M487" s="69" t="s">
        <v>1481</v>
      </c>
      <c r="N487" s="69"/>
      <c r="O487" s="69">
        <v>1</v>
      </c>
      <c r="P487" s="69" t="s">
        <v>50</v>
      </c>
      <c r="Q487" s="69" t="s">
        <v>51</v>
      </c>
      <c r="R487" s="69"/>
      <c r="S487" s="48">
        <v>44253</v>
      </c>
      <c r="T487" s="48">
        <v>44253</v>
      </c>
      <c r="U487" s="69"/>
      <c r="V487" s="69"/>
      <c r="W487" s="69"/>
      <c r="X487" s="69"/>
      <c r="Y487" s="69" t="s">
        <v>4128</v>
      </c>
      <c r="Z487" s="52">
        <v>660000</v>
      </c>
      <c r="AA487" s="43" t="s">
        <v>52</v>
      </c>
      <c r="AB487" s="43" t="s">
        <v>53</v>
      </c>
      <c r="AC487" s="85">
        <v>3650</v>
      </c>
      <c r="AD487" s="141">
        <v>10</v>
      </c>
      <c r="AE487" s="142">
        <v>0</v>
      </c>
      <c r="AF487" s="69" t="str">
        <f t="shared" si="80"/>
        <v>3 years 310 days</v>
      </c>
      <c r="AG487" s="69">
        <v>3</v>
      </c>
      <c r="AH487" s="69">
        <v>310</v>
      </c>
      <c r="AI487" s="69">
        <v>660000</v>
      </c>
      <c r="AJ487" s="67">
        <v>254055</v>
      </c>
      <c r="AK487" s="69">
        <v>2025</v>
      </c>
      <c r="AL487" s="61">
        <v>32728.561643835623</v>
      </c>
      <c r="AM487" s="143"/>
    </row>
    <row r="488" spans="1:39" x14ac:dyDescent="0.35">
      <c r="A488" s="69" t="s">
        <v>4124</v>
      </c>
      <c r="B488" s="41">
        <v>1101402678</v>
      </c>
      <c r="C488" s="41"/>
      <c r="D488" s="69"/>
      <c r="E488" s="101">
        <v>0</v>
      </c>
      <c r="F488" s="41" t="s">
        <v>1152</v>
      </c>
      <c r="G488" s="69" t="s">
        <v>1151</v>
      </c>
      <c r="H488" s="41">
        <v>9008000042</v>
      </c>
      <c r="I488" s="41" t="s">
        <v>1416</v>
      </c>
      <c r="J488" s="41">
        <v>1202020104</v>
      </c>
      <c r="K488" s="41" t="s">
        <v>1540</v>
      </c>
      <c r="L488" s="52" t="s">
        <v>1541</v>
      </c>
      <c r="M488" s="69" t="s">
        <v>1542</v>
      </c>
      <c r="N488" s="69"/>
      <c r="O488" s="69">
        <v>1</v>
      </c>
      <c r="P488" s="69" t="s">
        <v>50</v>
      </c>
      <c r="Q488" s="69" t="s">
        <v>51</v>
      </c>
      <c r="R488" s="69"/>
      <c r="S488" s="48">
        <v>43357</v>
      </c>
      <c r="T488" s="48">
        <v>43357</v>
      </c>
      <c r="U488" s="69"/>
      <c r="V488" s="69"/>
      <c r="W488" s="69"/>
      <c r="X488" s="69"/>
      <c r="Y488" s="69" t="s">
        <v>4125</v>
      </c>
      <c r="Z488" s="52">
        <v>16316692</v>
      </c>
      <c r="AA488" s="43" t="s">
        <v>52</v>
      </c>
      <c r="AB488" s="43" t="s">
        <v>53</v>
      </c>
      <c r="AC488" s="85">
        <v>3650</v>
      </c>
      <c r="AD488" s="141">
        <v>10</v>
      </c>
      <c r="AE488" s="142">
        <v>0</v>
      </c>
      <c r="AF488" s="69" t="str">
        <f>_xlfn.CONCAT(AG488," years ",AH488," days")</f>
        <v>6 years 111 days</v>
      </c>
      <c r="AG488" s="69">
        <v>6</v>
      </c>
      <c r="AH488" s="69">
        <v>111</v>
      </c>
      <c r="AI488" s="69">
        <v>16316692</v>
      </c>
      <c r="AJ488" s="67">
        <v>10281751</v>
      </c>
      <c r="AK488" s="69">
        <v>2025</v>
      </c>
      <c r="AL488" s="61">
        <v>809129.23342465609</v>
      </c>
      <c r="AM488" s="143"/>
    </row>
    <row r="489" spans="1:39" x14ac:dyDescent="0.35">
      <c r="A489" s="69" t="s">
        <v>4124</v>
      </c>
      <c r="B489" s="41">
        <v>1101404541</v>
      </c>
      <c r="C489" s="41"/>
      <c r="D489" s="69"/>
      <c r="E489" s="101">
        <v>0</v>
      </c>
      <c r="F489" s="41" t="s">
        <v>1152</v>
      </c>
      <c r="G489" s="69" t="s">
        <v>1151</v>
      </c>
      <c r="H489" s="41">
        <v>9008000043</v>
      </c>
      <c r="I489" s="41" t="s">
        <v>1416</v>
      </c>
      <c r="J489" s="41">
        <v>1202020104</v>
      </c>
      <c r="K489" s="41" t="s">
        <v>1544</v>
      </c>
      <c r="L489" s="52" t="s">
        <v>1545</v>
      </c>
      <c r="M489" s="69" t="s">
        <v>1546</v>
      </c>
      <c r="N489" s="69"/>
      <c r="O489" s="69">
        <v>1</v>
      </c>
      <c r="P489" s="69" t="s">
        <v>50</v>
      </c>
      <c r="Q489" s="69" t="s">
        <v>51</v>
      </c>
      <c r="R489" s="69"/>
      <c r="S489" s="48">
        <v>44910</v>
      </c>
      <c r="T489" s="48">
        <v>44910</v>
      </c>
      <c r="U489" s="69"/>
      <c r="V489" s="69"/>
      <c r="W489" s="69"/>
      <c r="X489" s="69"/>
      <c r="Y489" s="69" t="s">
        <v>4131</v>
      </c>
      <c r="Z489" s="52">
        <v>22355503</v>
      </c>
      <c r="AA489" s="43" t="s">
        <v>52</v>
      </c>
      <c r="AB489" s="43" t="s">
        <v>53</v>
      </c>
      <c r="AC489" s="85">
        <v>3650</v>
      </c>
      <c r="AD489" s="141">
        <v>10</v>
      </c>
      <c r="AE489" s="142">
        <v>0</v>
      </c>
      <c r="AF489" s="69" t="str">
        <f t="shared" ref="AF489:AF495" si="81">_xlfn.CONCAT(AG489," years ",AH489," days")</f>
        <v>2 years 18 days</v>
      </c>
      <c r="AG489" s="69">
        <v>2</v>
      </c>
      <c r="AH489" s="69">
        <v>18</v>
      </c>
      <c r="AI489" s="69">
        <v>22355503</v>
      </c>
      <c r="AJ489" s="67">
        <v>4581347</v>
      </c>
      <c r="AK489" s="69">
        <v>2025</v>
      </c>
      <c r="AL489" s="61">
        <v>1108587.8731506849</v>
      </c>
      <c r="AM489" s="143"/>
    </row>
    <row r="490" spans="1:39" x14ac:dyDescent="0.35">
      <c r="A490" s="69" t="s">
        <v>4124</v>
      </c>
      <c r="B490" s="41">
        <v>1101404641</v>
      </c>
      <c r="C490" s="41"/>
      <c r="D490" s="41" t="s">
        <v>1543</v>
      </c>
      <c r="E490" s="101">
        <v>1</v>
      </c>
      <c r="F490" s="41" t="s">
        <v>1152</v>
      </c>
      <c r="G490" s="69" t="s">
        <v>1151</v>
      </c>
      <c r="H490" s="41">
        <v>9008000043</v>
      </c>
      <c r="I490" s="41" t="s">
        <v>1416</v>
      </c>
      <c r="J490" s="41">
        <v>1202020104</v>
      </c>
      <c r="K490" s="41" t="s">
        <v>1548</v>
      </c>
      <c r="L490" s="52" t="s">
        <v>1549</v>
      </c>
      <c r="M490" s="69" t="s">
        <v>1550</v>
      </c>
      <c r="N490" s="69"/>
      <c r="O490" s="69">
        <v>4</v>
      </c>
      <c r="P490" s="69" t="s">
        <v>50</v>
      </c>
      <c r="Q490" s="69" t="s">
        <v>51</v>
      </c>
      <c r="R490" s="69"/>
      <c r="S490" s="48">
        <v>44986</v>
      </c>
      <c r="T490" s="48">
        <v>44986</v>
      </c>
      <c r="U490" s="69"/>
      <c r="V490" s="69"/>
      <c r="W490" s="69"/>
      <c r="X490" s="69"/>
      <c r="Y490" s="69" t="s">
        <v>4129</v>
      </c>
      <c r="Z490" s="52">
        <v>1093000</v>
      </c>
      <c r="AA490" s="43" t="s">
        <v>52</v>
      </c>
      <c r="AB490" s="43" t="s">
        <v>53</v>
      </c>
      <c r="AC490" s="85">
        <v>3650</v>
      </c>
      <c r="AD490" s="141">
        <v>10</v>
      </c>
      <c r="AE490" s="142">
        <v>0</v>
      </c>
      <c r="AF490" s="69" t="str">
        <f t="shared" si="81"/>
        <v>1 years 307 days</v>
      </c>
      <c r="AG490" s="69">
        <v>1</v>
      </c>
      <c r="AH490" s="69">
        <v>307</v>
      </c>
      <c r="AI490" s="69">
        <v>1093000</v>
      </c>
      <c r="AJ490" s="67">
        <v>201232</v>
      </c>
      <c r="AK490" s="69">
        <v>2025</v>
      </c>
      <c r="AL490" s="61">
        <v>54200.602739726019</v>
      </c>
      <c r="AM490" s="143"/>
    </row>
    <row r="491" spans="1:39" x14ac:dyDescent="0.35">
      <c r="A491" s="69" t="s">
        <v>4124</v>
      </c>
      <c r="B491" s="41">
        <v>1101404656</v>
      </c>
      <c r="C491" s="41"/>
      <c r="D491" s="41" t="s">
        <v>1543</v>
      </c>
      <c r="E491" s="101">
        <v>2</v>
      </c>
      <c r="F491" s="41" t="s">
        <v>1152</v>
      </c>
      <c r="G491" s="69" t="s">
        <v>1151</v>
      </c>
      <c r="H491" s="41">
        <v>9008000043</v>
      </c>
      <c r="I491" s="41" t="s">
        <v>1416</v>
      </c>
      <c r="J491" s="41">
        <v>1202020104</v>
      </c>
      <c r="K491" s="41" t="s">
        <v>1552</v>
      </c>
      <c r="L491" s="52" t="s">
        <v>1553</v>
      </c>
      <c r="M491" s="69" t="s">
        <v>1554</v>
      </c>
      <c r="N491" s="69"/>
      <c r="O491" s="69">
        <v>1</v>
      </c>
      <c r="P491" s="69" t="s">
        <v>50</v>
      </c>
      <c r="Q491" s="69" t="s">
        <v>51</v>
      </c>
      <c r="R491" s="69"/>
      <c r="S491" s="48">
        <v>44986</v>
      </c>
      <c r="T491" s="48">
        <v>44986</v>
      </c>
      <c r="U491" s="69"/>
      <c r="V491" s="69"/>
      <c r="W491" s="69"/>
      <c r="X491" s="69"/>
      <c r="Y491" s="69" t="s">
        <v>4129</v>
      </c>
      <c r="Z491" s="52">
        <v>372133</v>
      </c>
      <c r="AA491" s="43" t="s">
        <v>52</v>
      </c>
      <c r="AB491" s="43" t="s">
        <v>53</v>
      </c>
      <c r="AC491" s="85">
        <v>3650</v>
      </c>
      <c r="AD491" s="141">
        <v>10</v>
      </c>
      <c r="AE491" s="142">
        <v>0</v>
      </c>
      <c r="AF491" s="69" t="str">
        <f t="shared" si="81"/>
        <v>1 years 307 days</v>
      </c>
      <c r="AG491" s="69">
        <v>1</v>
      </c>
      <c r="AH491" s="69">
        <v>307</v>
      </c>
      <c r="AI491" s="69">
        <v>372133</v>
      </c>
      <c r="AJ491" s="67">
        <v>68513</v>
      </c>
      <c r="AK491" s="69">
        <v>2025</v>
      </c>
      <c r="AL491" s="61">
        <v>18453.972328767122</v>
      </c>
      <c r="AM491" s="143"/>
    </row>
    <row r="492" spans="1:39" x14ac:dyDescent="0.35">
      <c r="A492" s="69" t="s">
        <v>4124</v>
      </c>
      <c r="B492" s="41">
        <v>1101405187</v>
      </c>
      <c r="C492" s="41"/>
      <c r="D492" s="41" t="s">
        <v>1543</v>
      </c>
      <c r="E492" s="101">
        <v>3</v>
      </c>
      <c r="F492" s="41" t="s">
        <v>1152</v>
      </c>
      <c r="G492" s="69" t="s">
        <v>1151</v>
      </c>
      <c r="H492" s="41">
        <v>9008000043</v>
      </c>
      <c r="I492" s="41" t="s">
        <v>1416</v>
      </c>
      <c r="J492" s="41">
        <v>1202020104</v>
      </c>
      <c r="K492" s="41"/>
      <c r="L492" s="52" t="s">
        <v>1556</v>
      </c>
      <c r="M492" s="69" t="s">
        <v>1557</v>
      </c>
      <c r="N492" s="69"/>
      <c r="O492" s="69">
        <v>2</v>
      </c>
      <c r="P492" s="69" t="s">
        <v>50</v>
      </c>
      <c r="Q492" s="69" t="s">
        <v>51</v>
      </c>
      <c r="R492" s="69"/>
      <c r="S492" s="48">
        <v>45439</v>
      </c>
      <c r="T492" s="48">
        <v>45439</v>
      </c>
      <c r="U492" s="69"/>
      <c r="V492" s="69"/>
      <c r="W492" s="69"/>
      <c r="X492" s="69"/>
      <c r="Y492" s="69" t="s">
        <v>4130</v>
      </c>
      <c r="Z492" s="83">
        <v>190633.60000000001</v>
      </c>
      <c r="AA492" s="43" t="s">
        <v>52</v>
      </c>
      <c r="AB492" s="43" t="s">
        <v>53</v>
      </c>
      <c r="AC492" s="85">
        <v>3650</v>
      </c>
      <c r="AD492" s="141">
        <v>10</v>
      </c>
      <c r="AE492" s="142">
        <v>0</v>
      </c>
      <c r="AF492" s="69" t="str">
        <f t="shared" si="81"/>
        <v>0 years 219 days</v>
      </c>
      <c r="AG492" s="69">
        <v>0</v>
      </c>
      <c r="AH492" s="69">
        <v>219</v>
      </c>
      <c r="AI492" s="69">
        <v>190633.60000000001</v>
      </c>
      <c r="AJ492" s="67">
        <v>11438</v>
      </c>
      <c r="AK492" s="69">
        <v>2025</v>
      </c>
      <c r="AL492" s="61">
        <v>9453.3534246575327</v>
      </c>
      <c r="AM492" s="143"/>
    </row>
    <row r="493" spans="1:39" x14ac:dyDescent="0.35">
      <c r="A493" s="69" t="s">
        <v>4124</v>
      </c>
      <c r="B493" s="41">
        <v>1101405211</v>
      </c>
      <c r="C493" s="41"/>
      <c r="D493" s="41" t="s">
        <v>1543</v>
      </c>
      <c r="E493" s="101">
        <v>4</v>
      </c>
      <c r="F493" s="41" t="s">
        <v>1152</v>
      </c>
      <c r="G493" s="69" t="s">
        <v>1151</v>
      </c>
      <c r="H493" s="41">
        <v>9008000043</v>
      </c>
      <c r="I493" s="41" t="s">
        <v>1416</v>
      </c>
      <c r="J493" s="41">
        <v>1202020104</v>
      </c>
      <c r="K493" s="41"/>
      <c r="L493" s="52" t="s">
        <v>1559</v>
      </c>
      <c r="M493" s="69" t="s">
        <v>1560</v>
      </c>
      <c r="N493" s="69"/>
      <c r="O493" s="69">
        <v>1</v>
      </c>
      <c r="P493" s="69" t="s">
        <v>50</v>
      </c>
      <c r="Q493" s="69" t="s">
        <v>51</v>
      </c>
      <c r="R493" s="69"/>
      <c r="S493" s="48">
        <v>45447</v>
      </c>
      <c r="T493" s="48">
        <v>45447</v>
      </c>
      <c r="U493" s="69"/>
      <c r="V493" s="69"/>
      <c r="W493" s="69"/>
      <c r="X493" s="69"/>
      <c r="Y493" s="69" t="s">
        <v>4130</v>
      </c>
      <c r="Z493" s="83">
        <v>313447</v>
      </c>
      <c r="AA493" s="43" t="s">
        <v>52</v>
      </c>
      <c r="AB493" s="43" t="s">
        <v>53</v>
      </c>
      <c r="AC493" s="85">
        <v>1825</v>
      </c>
      <c r="AD493" s="141">
        <v>5</v>
      </c>
      <c r="AE493" s="142">
        <v>0</v>
      </c>
      <c r="AF493" s="69" t="str">
        <f t="shared" si="81"/>
        <v>0 years 211 days</v>
      </c>
      <c r="AG493" s="69">
        <v>0</v>
      </c>
      <c r="AH493" s="69">
        <v>211</v>
      </c>
      <c r="AI493" s="69">
        <v>313447</v>
      </c>
      <c r="AJ493" s="67">
        <v>36240</v>
      </c>
      <c r="AK493" s="69">
        <v>2025</v>
      </c>
      <c r="AL493" s="61">
        <v>31086.698082191782</v>
      </c>
      <c r="AM493" s="143"/>
    </row>
    <row r="494" spans="1:39" x14ac:dyDescent="0.35">
      <c r="A494" s="69" t="s">
        <v>4124</v>
      </c>
      <c r="B494" s="41">
        <v>1101405340</v>
      </c>
      <c r="C494" s="41"/>
      <c r="D494" s="41" t="s">
        <v>1543</v>
      </c>
      <c r="E494" s="101">
        <v>5</v>
      </c>
      <c r="F494" s="41" t="s">
        <v>1152</v>
      </c>
      <c r="G494" s="69" t="s">
        <v>1151</v>
      </c>
      <c r="H494" s="41">
        <v>9008000043</v>
      </c>
      <c r="I494" s="41" t="s">
        <v>1416</v>
      </c>
      <c r="J494" s="41">
        <v>1202020104</v>
      </c>
      <c r="K494" s="41" t="s">
        <v>1562</v>
      </c>
      <c r="L494" s="52" t="s">
        <v>1563</v>
      </c>
      <c r="M494" s="69" t="s">
        <v>1564</v>
      </c>
      <c r="N494" s="69"/>
      <c r="O494" s="69">
        <v>8</v>
      </c>
      <c r="P494" s="69" t="s">
        <v>50</v>
      </c>
      <c r="Q494" s="69" t="s">
        <v>51</v>
      </c>
      <c r="R494" s="69"/>
      <c r="S494" s="48">
        <v>45646</v>
      </c>
      <c r="T494" s="48">
        <v>45646</v>
      </c>
      <c r="U494" s="69"/>
      <c r="V494" s="69"/>
      <c r="W494" s="69"/>
      <c r="X494" s="69"/>
      <c r="Y494" s="69" t="s">
        <v>4130</v>
      </c>
      <c r="Z494" s="83">
        <v>1962000</v>
      </c>
      <c r="AA494" s="43" t="s">
        <v>52</v>
      </c>
      <c r="AB494" s="43" t="s">
        <v>53</v>
      </c>
      <c r="AC494" s="85">
        <v>3650</v>
      </c>
      <c r="AD494" s="141">
        <v>10</v>
      </c>
      <c r="AE494" s="142">
        <v>0</v>
      </c>
      <c r="AF494" s="69" t="str">
        <f t="shared" si="81"/>
        <v>0 years 12 days</v>
      </c>
      <c r="AG494" s="69">
        <v>0</v>
      </c>
      <c r="AH494" s="69">
        <v>12</v>
      </c>
      <c r="AI494" s="69">
        <v>1962000</v>
      </c>
      <c r="AJ494" s="67">
        <v>6450</v>
      </c>
      <c r="AK494" s="69">
        <v>2025</v>
      </c>
      <c r="AL494" s="61">
        <v>97294.109589041094</v>
      </c>
      <c r="AM494" s="143"/>
    </row>
    <row r="495" spans="1:39" x14ac:dyDescent="0.35">
      <c r="A495" s="69" t="s">
        <v>4124</v>
      </c>
      <c r="B495" s="41">
        <v>1101504178</v>
      </c>
      <c r="C495" s="41"/>
      <c r="D495" s="41" t="s">
        <v>1543</v>
      </c>
      <c r="E495" s="101">
        <v>6</v>
      </c>
      <c r="F495" s="41" t="s">
        <v>1152</v>
      </c>
      <c r="G495" s="69" t="s">
        <v>1151</v>
      </c>
      <c r="H495" s="41">
        <v>9008000043</v>
      </c>
      <c r="I495" s="41" t="s">
        <v>1416</v>
      </c>
      <c r="J495" s="41">
        <v>1202020104</v>
      </c>
      <c r="K495" s="41" t="s">
        <v>1566</v>
      </c>
      <c r="L495" s="52" t="s">
        <v>1567</v>
      </c>
      <c r="M495" s="69" t="s">
        <v>49</v>
      </c>
      <c r="N495" s="69"/>
      <c r="O495" s="69">
        <v>1</v>
      </c>
      <c r="P495" s="69" t="s">
        <v>50</v>
      </c>
      <c r="Q495" s="69" t="s">
        <v>51</v>
      </c>
      <c r="R495" s="69"/>
      <c r="S495" s="48">
        <v>43376</v>
      </c>
      <c r="T495" s="48">
        <v>43376</v>
      </c>
      <c r="U495" s="69"/>
      <c r="V495" s="69"/>
      <c r="W495" s="69"/>
      <c r="X495" s="69"/>
      <c r="Y495" s="69" t="s">
        <v>4125</v>
      </c>
      <c r="Z495" s="52">
        <v>85500</v>
      </c>
      <c r="AA495" s="43" t="s">
        <v>52</v>
      </c>
      <c r="AB495" s="43" t="s">
        <v>53</v>
      </c>
      <c r="AC495" s="85">
        <v>3650</v>
      </c>
      <c r="AD495" s="141">
        <v>10</v>
      </c>
      <c r="AE495" s="142">
        <v>0</v>
      </c>
      <c r="AF495" s="69" t="str">
        <f t="shared" si="81"/>
        <v>6 years 92 days</v>
      </c>
      <c r="AG495" s="69">
        <v>6</v>
      </c>
      <c r="AH495" s="69">
        <v>92</v>
      </c>
      <c r="AI495" s="69">
        <v>85500</v>
      </c>
      <c r="AJ495" s="67">
        <v>53432</v>
      </c>
      <c r="AK495" s="69">
        <v>2025</v>
      </c>
      <c r="AL495" s="61">
        <v>4239.5068493150684</v>
      </c>
      <c r="AM495" s="143"/>
    </row>
    <row r="496" spans="1:39" x14ac:dyDescent="0.35">
      <c r="A496" s="69" t="s">
        <v>4124</v>
      </c>
      <c r="B496" s="41">
        <v>1101504285</v>
      </c>
      <c r="C496" s="41"/>
      <c r="D496" s="69"/>
      <c r="E496" s="101">
        <v>0</v>
      </c>
      <c r="F496" s="41" t="s">
        <v>1152</v>
      </c>
      <c r="G496" s="69" t="s">
        <v>1151</v>
      </c>
      <c r="H496" s="41">
        <v>9008000044</v>
      </c>
      <c r="I496" s="41" t="s">
        <v>1569</v>
      </c>
      <c r="J496" s="41">
        <v>1202020107</v>
      </c>
      <c r="K496" s="41" t="s">
        <v>1570</v>
      </c>
      <c r="L496" s="52" t="s">
        <v>1571</v>
      </c>
      <c r="M496" s="69" t="s">
        <v>1572</v>
      </c>
      <c r="N496" s="69"/>
      <c r="O496" s="69">
        <v>1</v>
      </c>
      <c r="P496" s="69" t="s">
        <v>50</v>
      </c>
      <c r="Q496" s="69" t="s">
        <v>51</v>
      </c>
      <c r="R496" s="69"/>
      <c r="S496" s="48">
        <v>44635</v>
      </c>
      <c r="T496" s="48">
        <v>44635</v>
      </c>
      <c r="U496" s="69"/>
      <c r="V496" s="69"/>
      <c r="W496" s="69"/>
      <c r="X496" s="69"/>
      <c r="Y496" s="69" t="s">
        <v>4131</v>
      </c>
      <c r="Z496" s="52">
        <v>22157659</v>
      </c>
      <c r="AA496" s="43" t="s">
        <v>52</v>
      </c>
      <c r="AB496" s="43" t="s">
        <v>53</v>
      </c>
      <c r="AC496" s="85">
        <v>3650</v>
      </c>
      <c r="AD496" s="141">
        <v>10</v>
      </c>
      <c r="AE496" s="142">
        <v>0</v>
      </c>
      <c r="AF496" s="69" t="str">
        <f t="shared" ref="AF496:AF500" si="82">_xlfn.CONCAT(AG496," years ",AH496," days")</f>
        <v>2 years 293 days</v>
      </c>
      <c r="AG496" s="69">
        <v>2</v>
      </c>
      <c r="AH496" s="69">
        <v>293</v>
      </c>
      <c r="AI496" s="69">
        <v>22157659</v>
      </c>
      <c r="AJ496" s="67">
        <v>6210155</v>
      </c>
      <c r="AK496" s="69">
        <v>2025</v>
      </c>
      <c r="AL496" s="61">
        <v>1098776.6263013706</v>
      </c>
      <c r="AM496" s="143"/>
    </row>
    <row r="497" spans="1:39" x14ac:dyDescent="0.35">
      <c r="A497" s="69" t="s">
        <v>4124</v>
      </c>
      <c r="B497" s="41">
        <v>1101403255</v>
      </c>
      <c r="C497" s="41"/>
      <c r="D497" s="41" t="s">
        <v>1568</v>
      </c>
      <c r="E497" s="101">
        <v>1</v>
      </c>
      <c r="F497" s="41" t="s">
        <v>1152</v>
      </c>
      <c r="G497" s="69" t="s">
        <v>1151</v>
      </c>
      <c r="H497" s="41">
        <v>9008000044</v>
      </c>
      <c r="I497" s="41" t="s">
        <v>1569</v>
      </c>
      <c r="J497" s="41">
        <v>1202020107</v>
      </c>
      <c r="K497" s="41" t="s">
        <v>1574</v>
      </c>
      <c r="L497" s="52" t="s">
        <v>1575</v>
      </c>
      <c r="M497" s="69" t="s">
        <v>1576</v>
      </c>
      <c r="N497" s="69"/>
      <c r="O497" s="69">
        <v>1</v>
      </c>
      <c r="P497" s="69" t="s">
        <v>50</v>
      </c>
      <c r="Q497" s="69" t="s">
        <v>51</v>
      </c>
      <c r="R497" s="69"/>
      <c r="S497" s="48">
        <v>43881</v>
      </c>
      <c r="T497" s="48">
        <v>43881</v>
      </c>
      <c r="U497" s="69"/>
      <c r="V497" s="69"/>
      <c r="W497" s="69"/>
      <c r="X497" s="69"/>
      <c r="Y497" s="69" t="s">
        <v>4127</v>
      </c>
      <c r="Z497" s="52">
        <v>2211000</v>
      </c>
      <c r="AA497" s="43" t="s">
        <v>52</v>
      </c>
      <c r="AB497" s="43" t="s">
        <v>53</v>
      </c>
      <c r="AC497" s="85">
        <v>3650</v>
      </c>
      <c r="AD497" s="141">
        <v>10</v>
      </c>
      <c r="AE497" s="142">
        <v>0</v>
      </c>
      <c r="AF497" s="69" t="str">
        <f t="shared" si="82"/>
        <v>4 years 317 days</v>
      </c>
      <c r="AG497" s="69">
        <v>4</v>
      </c>
      <c r="AH497" s="69">
        <v>317</v>
      </c>
      <c r="AI497" s="69">
        <v>2211000</v>
      </c>
      <c r="AJ497" s="67">
        <v>1076424</v>
      </c>
      <c r="AK497" s="69">
        <v>2025</v>
      </c>
      <c r="AL497" s="61">
        <v>109641.20547945192</v>
      </c>
      <c r="AM497" s="143"/>
    </row>
    <row r="498" spans="1:39" x14ac:dyDescent="0.35">
      <c r="A498" s="69" t="s">
        <v>4124</v>
      </c>
      <c r="B498" s="41">
        <v>1101504167</v>
      </c>
      <c r="C498" s="41"/>
      <c r="D498" s="41" t="s">
        <v>1568</v>
      </c>
      <c r="E498" s="101">
        <v>2</v>
      </c>
      <c r="F498" s="80" t="s">
        <v>1152</v>
      </c>
      <c r="G498" s="69" t="s">
        <v>1151</v>
      </c>
      <c r="H498" s="80">
        <v>9008000044</v>
      </c>
      <c r="I498" s="41" t="s">
        <v>1569</v>
      </c>
      <c r="J498" s="41">
        <v>1202020107</v>
      </c>
      <c r="K498" s="80" t="s">
        <v>1578</v>
      </c>
      <c r="L498" s="52" t="s">
        <v>1579</v>
      </c>
      <c r="M498" s="69" t="s">
        <v>1580</v>
      </c>
      <c r="N498" s="69"/>
      <c r="O498" s="69">
        <v>1</v>
      </c>
      <c r="P498" s="69" t="s">
        <v>50</v>
      </c>
      <c r="Q498" s="69" t="s">
        <v>51</v>
      </c>
      <c r="R498" s="69"/>
      <c r="S498" s="48">
        <v>44713</v>
      </c>
      <c r="T498" s="48">
        <v>44713</v>
      </c>
      <c r="U498" s="69"/>
      <c r="V498" s="69"/>
      <c r="W498" s="69"/>
      <c r="X498" s="69"/>
      <c r="Y498" s="69" t="s">
        <v>4131</v>
      </c>
      <c r="Z498" s="84">
        <v>966000</v>
      </c>
      <c r="AA498" s="43" t="s">
        <v>52</v>
      </c>
      <c r="AB498" s="43" t="s">
        <v>53</v>
      </c>
      <c r="AC498" s="85">
        <v>3650</v>
      </c>
      <c r="AD498" s="141">
        <v>10</v>
      </c>
      <c r="AE498" s="142">
        <v>0</v>
      </c>
      <c r="AF498" s="69" t="str">
        <f t="shared" si="82"/>
        <v>2 years 215 days</v>
      </c>
      <c r="AG498" s="69">
        <v>2</v>
      </c>
      <c r="AH498" s="69">
        <v>215</v>
      </c>
      <c r="AI498" s="69">
        <v>966000</v>
      </c>
      <c r="AJ498" s="67">
        <v>250101.42183817754</v>
      </c>
      <c r="AK498" s="69">
        <v>2025</v>
      </c>
      <c r="AL498" s="61">
        <v>47902.728846753947</v>
      </c>
      <c r="AM498" s="143"/>
    </row>
    <row r="499" spans="1:39" x14ac:dyDescent="0.35">
      <c r="A499" s="69" t="s">
        <v>4124</v>
      </c>
      <c r="B499" s="41">
        <v>1101504177</v>
      </c>
      <c r="C499" s="41"/>
      <c r="D499" s="41" t="s">
        <v>1568</v>
      </c>
      <c r="E499" s="101">
        <v>3</v>
      </c>
      <c r="F499" s="80" t="s">
        <v>1152</v>
      </c>
      <c r="G499" s="69" t="s">
        <v>1151</v>
      </c>
      <c r="H499" s="80">
        <v>9008000044</v>
      </c>
      <c r="I499" s="41" t="s">
        <v>1569</v>
      </c>
      <c r="J499" s="41">
        <v>1202020107</v>
      </c>
      <c r="K499" s="80" t="s">
        <v>1582</v>
      </c>
      <c r="L499" s="52" t="s">
        <v>1583</v>
      </c>
      <c r="M499" s="69" t="s">
        <v>49</v>
      </c>
      <c r="N499" s="69"/>
      <c r="O499" s="69">
        <v>3</v>
      </c>
      <c r="P499" s="69" t="s">
        <v>50</v>
      </c>
      <c r="Q499" s="69" t="s">
        <v>51</v>
      </c>
      <c r="R499" s="69"/>
      <c r="S499" s="48">
        <v>44713</v>
      </c>
      <c r="T499" s="48">
        <v>44713</v>
      </c>
      <c r="U499" s="69"/>
      <c r="V499" s="69"/>
      <c r="W499" s="69"/>
      <c r="X499" s="69"/>
      <c r="Y499" s="69" t="s">
        <v>4131</v>
      </c>
      <c r="Z499" s="84">
        <v>307000</v>
      </c>
      <c r="AA499" s="43" t="s">
        <v>52</v>
      </c>
      <c r="AB499" s="43" t="s">
        <v>53</v>
      </c>
      <c r="AC499" s="85">
        <v>3650</v>
      </c>
      <c r="AD499" s="141">
        <v>10</v>
      </c>
      <c r="AE499" s="142">
        <v>0</v>
      </c>
      <c r="AF499" s="69" t="str">
        <f t="shared" si="82"/>
        <v>2 years 215 days</v>
      </c>
      <c r="AG499" s="69">
        <v>2</v>
      </c>
      <c r="AH499" s="69">
        <v>215</v>
      </c>
      <c r="AI499" s="69">
        <v>307000</v>
      </c>
      <c r="AJ499" s="67">
        <v>79483.578161822472</v>
      </c>
      <c r="AK499" s="69">
        <v>2025</v>
      </c>
      <c r="AL499" s="61">
        <v>15223.517728588486</v>
      </c>
      <c r="AM499" s="143"/>
    </row>
    <row r="500" spans="1:39" x14ac:dyDescent="0.35">
      <c r="A500" s="69" t="s">
        <v>4124</v>
      </c>
      <c r="B500" s="41">
        <v>1101405368</v>
      </c>
      <c r="C500" s="41"/>
      <c r="D500" s="41" t="s">
        <v>1568</v>
      </c>
      <c r="E500" s="101">
        <v>4</v>
      </c>
      <c r="F500" s="41" t="s">
        <v>1152</v>
      </c>
      <c r="G500" s="69" t="s">
        <v>1151</v>
      </c>
      <c r="H500" s="41">
        <v>9008000044</v>
      </c>
      <c r="I500" s="41" t="s">
        <v>1569</v>
      </c>
      <c r="J500" s="41">
        <v>1202020107</v>
      </c>
      <c r="K500" s="41"/>
      <c r="L500" s="52" t="s">
        <v>1585</v>
      </c>
      <c r="M500" s="69" t="s">
        <v>1586</v>
      </c>
      <c r="N500" s="69"/>
      <c r="O500" s="69">
        <v>1</v>
      </c>
      <c r="P500" s="69" t="s">
        <v>50</v>
      </c>
      <c r="Q500" s="69" t="s">
        <v>51</v>
      </c>
      <c r="R500" s="69"/>
      <c r="S500" s="48">
        <v>45669</v>
      </c>
      <c r="T500" s="48">
        <v>45669</v>
      </c>
      <c r="U500" s="69"/>
      <c r="V500" s="69"/>
      <c r="W500" s="69"/>
      <c r="X500" s="69"/>
      <c r="Y500" s="69" t="s">
        <v>4132</v>
      </c>
      <c r="Z500" s="83">
        <v>310299.84999999998</v>
      </c>
      <c r="AA500" s="43" t="s">
        <v>52</v>
      </c>
      <c r="AB500" s="43" t="s">
        <v>53</v>
      </c>
      <c r="AC500" s="85">
        <v>3650</v>
      </c>
      <c r="AD500" s="141">
        <v>10</v>
      </c>
      <c r="AE500" s="142">
        <v>0</v>
      </c>
      <c r="AF500" s="69" t="str">
        <f t="shared" si="82"/>
        <v>0 years 0 days</v>
      </c>
      <c r="AG500" s="69">
        <v>0</v>
      </c>
      <c r="AH500" s="69">
        <v>0</v>
      </c>
      <c r="AI500" s="69">
        <v>310299.84999999998</v>
      </c>
      <c r="AJ500" s="67">
        <v>0</v>
      </c>
      <c r="AK500" s="69">
        <v>2025</v>
      </c>
      <c r="AL500" s="61">
        <v>14452.321780821916</v>
      </c>
      <c r="AM500" s="143"/>
    </row>
    <row r="501" spans="1:39" x14ac:dyDescent="0.35">
      <c r="A501" s="69" t="s">
        <v>4124</v>
      </c>
      <c r="B501" s="41">
        <v>1101404542</v>
      </c>
      <c r="C501" s="41"/>
      <c r="D501" s="69"/>
      <c r="E501" s="101">
        <v>0</v>
      </c>
      <c r="F501" s="41" t="s">
        <v>1152</v>
      </c>
      <c r="G501" s="69" t="s">
        <v>1151</v>
      </c>
      <c r="H501" s="41">
        <v>9008000045</v>
      </c>
      <c r="I501" s="41" t="s">
        <v>1569</v>
      </c>
      <c r="J501" s="41">
        <v>1202020107</v>
      </c>
      <c r="K501" s="41" t="s">
        <v>1588</v>
      </c>
      <c r="L501" s="52" t="s">
        <v>1589</v>
      </c>
      <c r="M501" s="69" t="s">
        <v>1590</v>
      </c>
      <c r="N501" s="69"/>
      <c r="O501" s="69">
        <v>1</v>
      </c>
      <c r="P501" s="69" t="s">
        <v>50</v>
      </c>
      <c r="Q501" s="69" t="s">
        <v>51</v>
      </c>
      <c r="R501" s="69"/>
      <c r="S501" s="48">
        <v>44910</v>
      </c>
      <c r="T501" s="48">
        <v>44910</v>
      </c>
      <c r="U501" s="69"/>
      <c r="V501" s="69"/>
      <c r="W501" s="69"/>
      <c r="X501" s="69"/>
      <c r="Y501" s="69" t="s">
        <v>4131</v>
      </c>
      <c r="Z501" s="52">
        <v>21393350</v>
      </c>
      <c r="AA501" s="43" t="s">
        <v>52</v>
      </c>
      <c r="AB501" s="43" t="s">
        <v>53</v>
      </c>
      <c r="AC501" s="85">
        <v>3650</v>
      </c>
      <c r="AD501" s="141">
        <v>10</v>
      </c>
      <c r="AE501" s="142">
        <v>0</v>
      </c>
      <c r="AF501" s="69" t="str">
        <f t="shared" ref="AF501:AF503" si="83">_xlfn.CONCAT(AG501," years ",AH501," days")</f>
        <v>2 years 18 days</v>
      </c>
      <c r="AG501" s="69">
        <v>2</v>
      </c>
      <c r="AH501" s="69">
        <v>18</v>
      </c>
      <c r="AI501" s="69">
        <v>21393350</v>
      </c>
      <c r="AJ501" s="67">
        <v>4384171</v>
      </c>
      <c r="AK501" s="69">
        <v>2025</v>
      </c>
      <c r="AL501" s="61">
        <v>1060876.1643835623</v>
      </c>
      <c r="AM501" s="143"/>
    </row>
    <row r="502" spans="1:39" x14ac:dyDescent="0.35">
      <c r="A502" s="69" t="s">
        <v>4124</v>
      </c>
      <c r="B502" s="41">
        <v>1101403313</v>
      </c>
      <c r="C502" s="41"/>
      <c r="D502" s="41" t="s">
        <v>1587</v>
      </c>
      <c r="E502" s="101">
        <v>1</v>
      </c>
      <c r="F502" s="41" t="s">
        <v>1152</v>
      </c>
      <c r="G502" s="69" t="s">
        <v>1151</v>
      </c>
      <c r="H502" s="41">
        <v>9008000045</v>
      </c>
      <c r="I502" s="41" t="s">
        <v>1569</v>
      </c>
      <c r="J502" s="41">
        <v>1202020107</v>
      </c>
      <c r="K502" s="41" t="s">
        <v>1592</v>
      </c>
      <c r="L502" s="52" t="s">
        <v>1593</v>
      </c>
      <c r="M502" s="69" t="s">
        <v>1594</v>
      </c>
      <c r="N502" s="69"/>
      <c r="O502" s="69">
        <v>1</v>
      </c>
      <c r="P502" s="69" t="s">
        <v>50</v>
      </c>
      <c r="Q502" s="69" t="s">
        <v>51</v>
      </c>
      <c r="R502" s="69"/>
      <c r="S502" s="48">
        <v>43994</v>
      </c>
      <c r="T502" s="48">
        <v>43994</v>
      </c>
      <c r="U502" s="69"/>
      <c r="V502" s="69"/>
      <c r="W502" s="69"/>
      <c r="X502" s="69"/>
      <c r="Y502" s="69" t="s">
        <v>4127</v>
      </c>
      <c r="Z502" s="52">
        <v>182000</v>
      </c>
      <c r="AA502" s="43" t="s">
        <v>52</v>
      </c>
      <c r="AB502" s="43" t="s">
        <v>53</v>
      </c>
      <c r="AC502" s="85">
        <v>3650</v>
      </c>
      <c r="AD502" s="141">
        <v>10</v>
      </c>
      <c r="AE502" s="142">
        <v>0</v>
      </c>
      <c r="AF502" s="69" t="str">
        <f t="shared" si="83"/>
        <v>4 years 204 days</v>
      </c>
      <c r="AG502" s="69">
        <v>4</v>
      </c>
      <c r="AH502" s="69">
        <v>204</v>
      </c>
      <c r="AI502" s="69">
        <v>182000</v>
      </c>
      <c r="AJ502" s="67">
        <v>82972</v>
      </c>
      <c r="AK502" s="69">
        <v>2025</v>
      </c>
      <c r="AL502" s="61">
        <v>9025.2602739726135</v>
      </c>
      <c r="AM502" s="143"/>
    </row>
    <row r="503" spans="1:39" x14ac:dyDescent="0.35">
      <c r="A503" s="69" t="s">
        <v>4124</v>
      </c>
      <c r="B503" s="41">
        <v>1101504308</v>
      </c>
      <c r="C503" s="41"/>
      <c r="D503" s="41" t="s">
        <v>1587</v>
      </c>
      <c r="E503" s="101">
        <v>2</v>
      </c>
      <c r="F503" s="80" t="s">
        <v>1152</v>
      </c>
      <c r="G503" s="69" t="s">
        <v>1151</v>
      </c>
      <c r="H503" s="80">
        <v>9008000045</v>
      </c>
      <c r="I503" s="41" t="s">
        <v>1569</v>
      </c>
      <c r="J503" s="41">
        <v>1202020107</v>
      </c>
      <c r="K503" s="80" t="s">
        <v>1596</v>
      </c>
      <c r="L503" s="52" t="s">
        <v>1597</v>
      </c>
      <c r="M503" s="69" t="s">
        <v>1447</v>
      </c>
      <c r="N503" s="69"/>
      <c r="O503" s="69">
        <v>1</v>
      </c>
      <c r="P503" s="69" t="s">
        <v>50</v>
      </c>
      <c r="Q503" s="69" t="s">
        <v>51</v>
      </c>
      <c r="R503" s="69"/>
      <c r="S503" s="48">
        <v>44593</v>
      </c>
      <c r="T503" s="48">
        <v>44593</v>
      </c>
      <c r="U503" s="69"/>
      <c r="V503" s="69"/>
      <c r="W503" s="69"/>
      <c r="X503" s="69"/>
      <c r="Y503" s="69" t="s">
        <v>4131</v>
      </c>
      <c r="Z503" s="84">
        <v>784722</v>
      </c>
      <c r="AA503" s="43" t="s">
        <v>52</v>
      </c>
      <c r="AB503" s="43" t="s">
        <v>53</v>
      </c>
      <c r="AC503" s="85">
        <v>3650</v>
      </c>
      <c r="AD503" s="141">
        <v>10</v>
      </c>
      <c r="AE503" s="142">
        <v>0</v>
      </c>
      <c r="AF503" s="69" t="str">
        <f t="shared" si="83"/>
        <v>2 years 335 days</v>
      </c>
      <c r="AG503" s="69">
        <v>2</v>
      </c>
      <c r="AH503" s="69">
        <v>335</v>
      </c>
      <c r="AI503" s="69">
        <v>784722</v>
      </c>
      <c r="AJ503" s="67">
        <v>228966.85714285716</v>
      </c>
      <c r="AK503" s="69">
        <v>2025</v>
      </c>
      <c r="AL503" s="61">
        <v>38913.53929549962</v>
      </c>
      <c r="AM503" s="143"/>
    </row>
    <row r="504" spans="1:39" x14ac:dyDescent="0.35">
      <c r="A504" s="69" t="s">
        <v>4124</v>
      </c>
      <c r="B504" s="41">
        <v>1101403690</v>
      </c>
      <c r="C504" s="41"/>
      <c r="D504" s="69"/>
      <c r="E504" s="101">
        <v>0</v>
      </c>
      <c r="F504" s="41" t="s">
        <v>1152</v>
      </c>
      <c r="G504" s="69" t="s">
        <v>1151</v>
      </c>
      <c r="H504" s="41">
        <v>9008000046</v>
      </c>
      <c r="I504" s="41" t="s">
        <v>1569</v>
      </c>
      <c r="J504" s="41">
        <v>1202020107</v>
      </c>
      <c r="K504" s="41" t="s">
        <v>1599</v>
      </c>
      <c r="L504" s="52" t="s">
        <v>1600</v>
      </c>
      <c r="M504" s="69" t="s">
        <v>1601</v>
      </c>
      <c r="N504" s="69"/>
      <c r="O504" s="69">
        <v>1</v>
      </c>
      <c r="P504" s="69" t="s">
        <v>50</v>
      </c>
      <c r="Q504" s="69" t="s">
        <v>51</v>
      </c>
      <c r="R504" s="69"/>
      <c r="S504" s="48">
        <v>44331</v>
      </c>
      <c r="T504" s="48">
        <v>44331</v>
      </c>
      <c r="U504" s="69"/>
      <c r="V504" s="69"/>
      <c r="W504" s="69"/>
      <c r="X504" s="69"/>
      <c r="Y504" s="69" t="s">
        <v>4128</v>
      </c>
      <c r="Z504" s="52">
        <v>25051898</v>
      </c>
      <c r="AA504" s="43" t="s">
        <v>52</v>
      </c>
      <c r="AB504" s="43" t="s">
        <v>53</v>
      </c>
      <c r="AC504" s="85">
        <v>3650</v>
      </c>
      <c r="AD504" s="141">
        <v>10</v>
      </c>
      <c r="AE504" s="142">
        <v>0</v>
      </c>
      <c r="AF504" s="69" t="str">
        <f t="shared" ref="AF504:AF507" si="84">_xlfn.CONCAT(AG504," years ",AH504," days")</f>
        <v>3 years 232 days</v>
      </c>
      <c r="AG504" s="69">
        <v>3</v>
      </c>
      <c r="AH504" s="69">
        <v>232</v>
      </c>
      <c r="AI504" s="69">
        <v>25051898</v>
      </c>
      <c r="AJ504" s="67">
        <v>9107909</v>
      </c>
      <c r="AK504" s="69">
        <v>2025</v>
      </c>
      <c r="AL504" s="61">
        <v>1242299.8175342474</v>
      </c>
      <c r="AM504" s="143"/>
    </row>
    <row r="505" spans="1:39" x14ac:dyDescent="0.35">
      <c r="A505" s="69" t="s">
        <v>4124</v>
      </c>
      <c r="B505" s="41">
        <v>1101403393</v>
      </c>
      <c r="C505" s="41"/>
      <c r="D505" s="41" t="s">
        <v>1598</v>
      </c>
      <c r="E505" s="101">
        <v>1</v>
      </c>
      <c r="F505" s="41" t="s">
        <v>1152</v>
      </c>
      <c r="G505" s="69" t="s">
        <v>1151</v>
      </c>
      <c r="H505" s="41">
        <v>9008000046</v>
      </c>
      <c r="I505" s="41" t="s">
        <v>1569</v>
      </c>
      <c r="J505" s="41">
        <v>1202020107</v>
      </c>
      <c r="K505" s="41" t="s">
        <v>1603</v>
      </c>
      <c r="L505" s="52" t="s">
        <v>1604</v>
      </c>
      <c r="M505" s="69" t="s">
        <v>1605</v>
      </c>
      <c r="N505" s="69"/>
      <c r="O505" s="69">
        <v>1</v>
      </c>
      <c r="P505" s="69" t="s">
        <v>50</v>
      </c>
      <c r="Q505" s="69" t="s">
        <v>51</v>
      </c>
      <c r="R505" s="69"/>
      <c r="S505" s="48">
        <v>44100</v>
      </c>
      <c r="T505" s="48">
        <v>44100</v>
      </c>
      <c r="U505" s="69"/>
      <c r="V505" s="69"/>
      <c r="W505" s="69"/>
      <c r="X505" s="69"/>
      <c r="Y505" s="69" t="s">
        <v>4127</v>
      </c>
      <c r="Z505" s="52">
        <v>2122000</v>
      </c>
      <c r="AA505" s="43" t="s">
        <v>52</v>
      </c>
      <c r="AB505" s="43" t="s">
        <v>53</v>
      </c>
      <c r="AC505" s="85">
        <v>3650</v>
      </c>
      <c r="AD505" s="141">
        <v>10</v>
      </c>
      <c r="AE505" s="142">
        <v>0</v>
      </c>
      <c r="AF505" s="69" t="str">
        <f t="shared" si="84"/>
        <v>4 years 98 days</v>
      </c>
      <c r="AG505" s="69">
        <v>4</v>
      </c>
      <c r="AH505" s="69">
        <v>98</v>
      </c>
      <c r="AI505" s="69">
        <v>2122000</v>
      </c>
      <c r="AJ505" s="67">
        <v>905774</v>
      </c>
      <c r="AK505" s="69">
        <v>2025</v>
      </c>
      <c r="AL505" s="61">
        <v>105228.19178082189</v>
      </c>
      <c r="AM505" s="143"/>
    </row>
    <row r="506" spans="1:39" x14ac:dyDescent="0.35">
      <c r="A506" s="69" t="s">
        <v>4124</v>
      </c>
      <c r="B506" s="41">
        <v>1101404687</v>
      </c>
      <c r="C506" s="41"/>
      <c r="D506" s="41" t="s">
        <v>1598</v>
      </c>
      <c r="E506" s="101">
        <v>2</v>
      </c>
      <c r="F506" s="41" t="s">
        <v>1152</v>
      </c>
      <c r="G506" s="69" t="s">
        <v>1151</v>
      </c>
      <c r="H506" s="41">
        <v>9008000046</v>
      </c>
      <c r="I506" s="41" t="s">
        <v>1569</v>
      </c>
      <c r="J506" s="41">
        <v>1202020107</v>
      </c>
      <c r="K506" s="41"/>
      <c r="L506" s="52" t="s">
        <v>1607</v>
      </c>
      <c r="M506" s="69" t="s">
        <v>1608</v>
      </c>
      <c r="N506" s="69"/>
      <c r="O506" s="69">
        <v>2</v>
      </c>
      <c r="P506" s="69" t="s">
        <v>50</v>
      </c>
      <c r="Q506" s="69" t="s">
        <v>51</v>
      </c>
      <c r="R506" s="69"/>
      <c r="S506" s="48">
        <v>45005</v>
      </c>
      <c r="T506" s="48">
        <v>45005</v>
      </c>
      <c r="U506" s="69"/>
      <c r="V506" s="69"/>
      <c r="W506" s="69"/>
      <c r="X506" s="69"/>
      <c r="Y506" s="69" t="s">
        <v>4129</v>
      </c>
      <c r="Z506" s="52">
        <v>155500</v>
      </c>
      <c r="AA506" s="43" t="s">
        <v>52</v>
      </c>
      <c r="AB506" s="43" t="s">
        <v>53</v>
      </c>
      <c r="AC506" s="85">
        <v>3650</v>
      </c>
      <c r="AD506" s="141">
        <v>10</v>
      </c>
      <c r="AE506" s="142">
        <v>0</v>
      </c>
      <c r="AF506" s="69" t="str">
        <f t="shared" si="84"/>
        <v>1 years 288 days</v>
      </c>
      <c r="AG506" s="69">
        <v>1</v>
      </c>
      <c r="AH506" s="69">
        <v>288</v>
      </c>
      <c r="AI506" s="69">
        <v>155500</v>
      </c>
      <c r="AJ506" s="67">
        <v>27820</v>
      </c>
      <c r="AK506" s="69">
        <v>2025</v>
      </c>
      <c r="AL506" s="61">
        <v>7710.6849315068539</v>
      </c>
      <c r="AM506" s="143"/>
    </row>
    <row r="507" spans="1:39" x14ac:dyDescent="0.35">
      <c r="A507" s="69" t="s">
        <v>4124</v>
      </c>
      <c r="B507" s="41">
        <v>1101405212</v>
      </c>
      <c r="C507" s="41"/>
      <c r="D507" s="41" t="s">
        <v>1598</v>
      </c>
      <c r="E507" s="101">
        <v>3</v>
      </c>
      <c r="F507" s="41" t="s">
        <v>1152</v>
      </c>
      <c r="G507" s="69" t="s">
        <v>1151</v>
      </c>
      <c r="H507" s="41">
        <v>9008000046</v>
      </c>
      <c r="I507" s="41" t="s">
        <v>1569</v>
      </c>
      <c r="J507" s="41">
        <v>1202020107</v>
      </c>
      <c r="K507" s="41"/>
      <c r="L507" s="52" t="s">
        <v>1610</v>
      </c>
      <c r="M507" s="69" t="s">
        <v>1611</v>
      </c>
      <c r="N507" s="69"/>
      <c r="O507" s="69">
        <v>2</v>
      </c>
      <c r="P507" s="69" t="s">
        <v>50</v>
      </c>
      <c r="Q507" s="69" t="s">
        <v>51</v>
      </c>
      <c r="R507" s="69"/>
      <c r="S507" s="48">
        <v>45463</v>
      </c>
      <c r="T507" s="48">
        <v>45463</v>
      </c>
      <c r="U507" s="69"/>
      <c r="V507" s="69"/>
      <c r="W507" s="69"/>
      <c r="X507" s="69"/>
      <c r="Y507" s="69" t="s">
        <v>4130</v>
      </c>
      <c r="Z507" s="83">
        <v>71050</v>
      </c>
      <c r="AA507" s="43" t="s">
        <v>52</v>
      </c>
      <c r="AB507" s="43" t="s">
        <v>53</v>
      </c>
      <c r="AC507" s="85">
        <v>1825</v>
      </c>
      <c r="AD507" s="141">
        <v>5</v>
      </c>
      <c r="AE507" s="142">
        <v>0</v>
      </c>
      <c r="AF507" s="69" t="str">
        <f t="shared" si="84"/>
        <v>0 years 195 days</v>
      </c>
      <c r="AG507" s="69">
        <v>0</v>
      </c>
      <c r="AH507" s="69">
        <v>195</v>
      </c>
      <c r="AI507" s="69">
        <v>71050</v>
      </c>
      <c r="AJ507" s="67">
        <v>7592</v>
      </c>
      <c r="AK507" s="69">
        <v>2025</v>
      </c>
      <c r="AL507" s="61">
        <v>7046.2465753424658</v>
      </c>
      <c r="AM507" s="143"/>
    </row>
    <row r="508" spans="1:39" x14ac:dyDescent="0.35">
      <c r="A508" s="69" t="s">
        <v>4124</v>
      </c>
      <c r="B508" s="41">
        <v>1101403867</v>
      </c>
      <c r="C508" s="41"/>
      <c r="D508" s="69"/>
      <c r="E508" s="101">
        <v>0</v>
      </c>
      <c r="F508" s="41" t="s">
        <v>1152</v>
      </c>
      <c r="G508" s="69" t="s">
        <v>1151</v>
      </c>
      <c r="H508" s="41">
        <v>9008000047</v>
      </c>
      <c r="I508" s="41" t="s">
        <v>1569</v>
      </c>
      <c r="J508" s="41">
        <v>1202020107</v>
      </c>
      <c r="K508" s="41" t="s">
        <v>1613</v>
      </c>
      <c r="L508" s="52" t="s">
        <v>1614</v>
      </c>
      <c r="M508" s="69" t="s">
        <v>1615</v>
      </c>
      <c r="N508" s="69"/>
      <c r="O508" s="69">
        <v>1</v>
      </c>
      <c r="P508" s="69" t="s">
        <v>50</v>
      </c>
      <c r="Q508" s="69" t="s">
        <v>51</v>
      </c>
      <c r="R508" s="69"/>
      <c r="S508" s="48">
        <v>44484</v>
      </c>
      <c r="T508" s="48">
        <v>44484</v>
      </c>
      <c r="U508" s="69"/>
      <c r="V508" s="69"/>
      <c r="W508" s="69"/>
      <c r="X508" s="69"/>
      <c r="Y508" s="69" t="s">
        <v>4128</v>
      </c>
      <c r="Z508" s="52">
        <v>25098529</v>
      </c>
      <c r="AA508" s="43" t="s">
        <v>52</v>
      </c>
      <c r="AB508" s="43" t="s">
        <v>53</v>
      </c>
      <c r="AC508" s="85">
        <v>3650</v>
      </c>
      <c r="AD508" s="141">
        <v>10</v>
      </c>
      <c r="AE508" s="142">
        <v>0</v>
      </c>
      <c r="AF508" s="69" t="str">
        <f t="shared" ref="AF508:AF510" si="85">_xlfn.CONCAT(AG508," years ",AH508," days")</f>
        <v>3 years 79 days</v>
      </c>
      <c r="AG508" s="69">
        <v>3</v>
      </c>
      <c r="AH508" s="69">
        <v>79</v>
      </c>
      <c r="AI508" s="69">
        <v>25098529</v>
      </c>
      <c r="AJ508" s="67">
        <v>8072787</v>
      </c>
      <c r="AK508" s="69">
        <v>2025</v>
      </c>
      <c r="AL508" s="61">
        <v>1244612.1219178103</v>
      </c>
      <c r="AM508" s="143"/>
    </row>
    <row r="509" spans="1:39" x14ac:dyDescent="0.35">
      <c r="A509" s="69" t="s">
        <v>4124</v>
      </c>
      <c r="B509" s="41">
        <v>1101404657</v>
      </c>
      <c r="C509" s="41"/>
      <c r="D509" s="41" t="s">
        <v>1612</v>
      </c>
      <c r="E509" s="101">
        <v>1</v>
      </c>
      <c r="F509" s="41" t="s">
        <v>1152</v>
      </c>
      <c r="G509" s="69" t="s">
        <v>1151</v>
      </c>
      <c r="H509" s="41">
        <v>9008000047</v>
      </c>
      <c r="I509" s="41" t="s">
        <v>1569</v>
      </c>
      <c r="J509" s="41">
        <v>1202020107</v>
      </c>
      <c r="K509" s="41"/>
      <c r="L509" s="52" t="s">
        <v>1617</v>
      </c>
      <c r="M509" s="69" t="s">
        <v>1618</v>
      </c>
      <c r="N509" s="69"/>
      <c r="O509" s="69">
        <v>1</v>
      </c>
      <c r="P509" s="69" t="s">
        <v>50</v>
      </c>
      <c r="Q509" s="69" t="s">
        <v>51</v>
      </c>
      <c r="R509" s="69"/>
      <c r="S509" s="48">
        <v>44986</v>
      </c>
      <c r="T509" s="48">
        <v>44986</v>
      </c>
      <c r="U509" s="69"/>
      <c r="V509" s="69"/>
      <c r="W509" s="69"/>
      <c r="X509" s="69"/>
      <c r="Y509" s="69" t="s">
        <v>4129</v>
      </c>
      <c r="Z509" s="52">
        <v>154841</v>
      </c>
      <c r="AA509" s="43" t="s">
        <v>52</v>
      </c>
      <c r="AB509" s="43" t="s">
        <v>53</v>
      </c>
      <c r="AC509" s="85">
        <v>3650</v>
      </c>
      <c r="AD509" s="141">
        <v>10</v>
      </c>
      <c r="AE509" s="142">
        <v>0</v>
      </c>
      <c r="AF509" s="69" t="str">
        <f t="shared" si="85"/>
        <v>1 years 307 days</v>
      </c>
      <c r="AG509" s="69">
        <v>1</v>
      </c>
      <c r="AH509" s="69">
        <v>307</v>
      </c>
      <c r="AI509" s="69">
        <v>154841</v>
      </c>
      <c r="AJ509" s="67">
        <v>28508</v>
      </c>
      <c r="AK509" s="69">
        <v>2025</v>
      </c>
      <c r="AL509" s="61">
        <v>7678.1295890410984</v>
      </c>
      <c r="AM509" s="143"/>
    </row>
    <row r="510" spans="1:39" x14ac:dyDescent="0.35">
      <c r="A510" s="69" t="s">
        <v>4124</v>
      </c>
      <c r="B510" s="41">
        <v>1101404926</v>
      </c>
      <c r="C510" s="41"/>
      <c r="D510" s="41" t="s">
        <v>1612</v>
      </c>
      <c r="E510" s="101">
        <v>2</v>
      </c>
      <c r="F510" s="41" t="s">
        <v>1152</v>
      </c>
      <c r="G510" s="69" t="s">
        <v>1151</v>
      </c>
      <c r="H510" s="41">
        <v>9008000047</v>
      </c>
      <c r="I510" s="41" t="s">
        <v>1569</v>
      </c>
      <c r="J510" s="41">
        <v>1202020107</v>
      </c>
      <c r="K510" s="41"/>
      <c r="L510" s="52" t="s">
        <v>1620</v>
      </c>
      <c r="M510" s="69" t="s">
        <v>1621</v>
      </c>
      <c r="N510" s="69"/>
      <c r="O510" s="69">
        <v>7</v>
      </c>
      <c r="P510" s="69" t="s">
        <v>50</v>
      </c>
      <c r="Q510" s="69" t="s">
        <v>51</v>
      </c>
      <c r="R510" s="69"/>
      <c r="S510" s="48">
        <v>45199</v>
      </c>
      <c r="T510" s="48">
        <v>45199</v>
      </c>
      <c r="U510" s="69"/>
      <c r="V510" s="69"/>
      <c r="W510" s="69"/>
      <c r="X510" s="69"/>
      <c r="Y510" s="69" t="s">
        <v>4129</v>
      </c>
      <c r="Z510" s="52">
        <v>122500</v>
      </c>
      <c r="AA510" s="43" t="s">
        <v>52</v>
      </c>
      <c r="AB510" s="43" t="s">
        <v>53</v>
      </c>
      <c r="AC510" s="85">
        <v>3650</v>
      </c>
      <c r="AD510" s="141">
        <v>10</v>
      </c>
      <c r="AE510" s="142">
        <v>0</v>
      </c>
      <c r="AF510" s="69" t="str">
        <f t="shared" si="85"/>
        <v>1 years 94 days</v>
      </c>
      <c r="AG510" s="69">
        <v>1</v>
      </c>
      <c r="AH510" s="69">
        <v>94</v>
      </c>
      <c r="AI510" s="69">
        <v>122500</v>
      </c>
      <c r="AJ510" s="67">
        <v>15405</v>
      </c>
      <c r="AK510" s="69">
        <v>2025</v>
      </c>
      <c r="AL510" s="61">
        <v>6074.4520547945212</v>
      </c>
      <c r="AM510" s="143"/>
    </row>
    <row r="511" spans="1:39" x14ac:dyDescent="0.35">
      <c r="A511" s="69" t="s">
        <v>4124</v>
      </c>
      <c r="B511" s="41">
        <v>1101403281</v>
      </c>
      <c r="C511" s="41"/>
      <c r="D511" s="69"/>
      <c r="E511" s="101">
        <v>0</v>
      </c>
      <c r="F511" s="41" t="s">
        <v>1152</v>
      </c>
      <c r="G511" s="69" t="s">
        <v>1151</v>
      </c>
      <c r="H511" s="41">
        <v>9008000048</v>
      </c>
      <c r="I511" s="41" t="s">
        <v>1569</v>
      </c>
      <c r="J511" s="41">
        <v>1202020107</v>
      </c>
      <c r="K511" s="41" t="s">
        <v>1623</v>
      </c>
      <c r="L511" s="52" t="s">
        <v>1624</v>
      </c>
      <c r="M511" s="69" t="s">
        <v>1625</v>
      </c>
      <c r="N511" s="69"/>
      <c r="O511" s="69">
        <v>1</v>
      </c>
      <c r="P511" s="69" t="s">
        <v>50</v>
      </c>
      <c r="Q511" s="69" t="s">
        <v>51</v>
      </c>
      <c r="R511" s="69"/>
      <c r="S511" s="48">
        <v>43908</v>
      </c>
      <c r="T511" s="48">
        <v>43908</v>
      </c>
      <c r="U511" s="69"/>
      <c r="V511" s="69"/>
      <c r="W511" s="69"/>
      <c r="X511" s="69"/>
      <c r="Y511" s="69" t="s">
        <v>4127</v>
      </c>
      <c r="Z511" s="52">
        <v>21669381</v>
      </c>
      <c r="AA511" s="43" t="s">
        <v>52</v>
      </c>
      <c r="AB511" s="43" t="s">
        <v>53</v>
      </c>
      <c r="AC511" s="85">
        <v>3650</v>
      </c>
      <c r="AD511" s="141">
        <v>10</v>
      </c>
      <c r="AE511" s="142">
        <v>0</v>
      </c>
      <c r="AF511" s="69" t="str">
        <f t="shared" ref="AF511:AF515" si="86">_xlfn.CONCAT(AG511," years ",AH511," days")</f>
        <v>4 years 290 days</v>
      </c>
      <c r="AG511" s="69">
        <v>4</v>
      </c>
      <c r="AH511" s="69">
        <v>290</v>
      </c>
      <c r="AI511" s="69">
        <v>21669381</v>
      </c>
      <c r="AJ511" s="67">
        <v>10388322</v>
      </c>
      <c r="AK511" s="69">
        <v>2025</v>
      </c>
      <c r="AL511" s="61">
        <v>1074564.3005479462</v>
      </c>
      <c r="AM511" s="143"/>
    </row>
    <row r="512" spans="1:39" x14ac:dyDescent="0.35">
      <c r="A512" s="69" t="s">
        <v>4124</v>
      </c>
      <c r="B512" s="41">
        <v>1101403282</v>
      </c>
      <c r="C512" s="41"/>
      <c r="D512" s="41" t="s">
        <v>1622</v>
      </c>
      <c r="E512" s="101">
        <v>1</v>
      </c>
      <c r="F512" s="41" t="s">
        <v>1152</v>
      </c>
      <c r="G512" s="69" t="s">
        <v>1151</v>
      </c>
      <c r="H512" s="41">
        <v>9008000048</v>
      </c>
      <c r="I512" s="41" t="s">
        <v>1569</v>
      </c>
      <c r="J512" s="41">
        <v>1202020107</v>
      </c>
      <c r="K512" s="41" t="s">
        <v>1627</v>
      </c>
      <c r="L512" s="52" t="s">
        <v>1628</v>
      </c>
      <c r="M512" s="69" t="s">
        <v>1629</v>
      </c>
      <c r="N512" s="69"/>
      <c r="O512" s="69">
        <v>1</v>
      </c>
      <c r="P512" s="69" t="s">
        <v>50</v>
      </c>
      <c r="Q512" s="69" t="s">
        <v>51</v>
      </c>
      <c r="R512" s="69"/>
      <c r="S512" s="48">
        <v>43908</v>
      </c>
      <c r="T512" s="48">
        <v>43908</v>
      </c>
      <c r="U512" s="69"/>
      <c r="V512" s="69"/>
      <c r="W512" s="69"/>
      <c r="X512" s="69"/>
      <c r="Y512" s="69" t="s">
        <v>4127</v>
      </c>
      <c r="Z512" s="52">
        <v>800000</v>
      </c>
      <c r="AA512" s="43" t="s">
        <v>52</v>
      </c>
      <c r="AB512" s="43" t="s">
        <v>53</v>
      </c>
      <c r="AC512" s="85">
        <v>3650</v>
      </c>
      <c r="AD512" s="141">
        <v>10</v>
      </c>
      <c r="AE512" s="142">
        <v>0</v>
      </c>
      <c r="AF512" s="69" t="str">
        <f t="shared" si="86"/>
        <v>4 years 290 days</v>
      </c>
      <c r="AG512" s="69">
        <v>4</v>
      </c>
      <c r="AH512" s="69">
        <v>290</v>
      </c>
      <c r="AI512" s="69">
        <v>800000</v>
      </c>
      <c r="AJ512" s="67">
        <v>383562</v>
      </c>
      <c r="AK512" s="69">
        <v>2025</v>
      </c>
      <c r="AL512" s="61">
        <v>39670.876712328754</v>
      </c>
      <c r="AM512" s="143"/>
    </row>
    <row r="513" spans="1:39" x14ac:dyDescent="0.35">
      <c r="A513" s="69" t="s">
        <v>4124</v>
      </c>
      <c r="B513" s="41">
        <v>1101405020</v>
      </c>
      <c r="C513" s="41"/>
      <c r="D513" s="41" t="s">
        <v>1622</v>
      </c>
      <c r="E513" s="101">
        <v>2</v>
      </c>
      <c r="F513" s="41" t="s">
        <v>1152</v>
      </c>
      <c r="G513" s="69" t="s">
        <v>1151</v>
      </c>
      <c r="H513" s="41">
        <v>9008000048</v>
      </c>
      <c r="I513" s="41" t="s">
        <v>1569</v>
      </c>
      <c r="J513" s="41">
        <v>1202020107</v>
      </c>
      <c r="K513" s="41" t="s">
        <v>1631</v>
      </c>
      <c r="L513" s="52" t="s">
        <v>1632</v>
      </c>
      <c r="M513" s="69" t="s">
        <v>1633</v>
      </c>
      <c r="N513" s="69"/>
      <c r="O513" s="69">
        <v>4</v>
      </c>
      <c r="P513" s="69" t="s">
        <v>50</v>
      </c>
      <c r="Q513" s="69" t="s">
        <v>51</v>
      </c>
      <c r="R513" s="69"/>
      <c r="S513" s="48">
        <v>45266</v>
      </c>
      <c r="T513" s="48">
        <v>45266</v>
      </c>
      <c r="U513" s="69"/>
      <c r="V513" s="69"/>
      <c r="W513" s="69"/>
      <c r="X513" s="69"/>
      <c r="Y513" s="69" t="s">
        <v>4129</v>
      </c>
      <c r="Z513" s="52">
        <v>3442500</v>
      </c>
      <c r="AA513" s="43" t="s">
        <v>52</v>
      </c>
      <c r="AB513" s="43" t="s">
        <v>53</v>
      </c>
      <c r="AC513" s="85">
        <v>3650</v>
      </c>
      <c r="AD513" s="141">
        <v>10</v>
      </c>
      <c r="AE513" s="142">
        <v>0</v>
      </c>
      <c r="AF513" s="69" t="str">
        <f t="shared" si="86"/>
        <v>1 years 27 days</v>
      </c>
      <c r="AG513" s="69">
        <v>1</v>
      </c>
      <c r="AH513" s="69">
        <v>27</v>
      </c>
      <c r="AI513" s="69">
        <v>3442500</v>
      </c>
      <c r="AJ513" s="67">
        <v>369715</v>
      </c>
      <c r="AK513" s="69">
        <v>2025</v>
      </c>
      <c r="AL513" s="61">
        <v>170710.34246575343</v>
      </c>
      <c r="AM513" s="143"/>
    </row>
    <row r="514" spans="1:39" x14ac:dyDescent="0.35">
      <c r="A514" s="69" t="s">
        <v>4124</v>
      </c>
      <c r="B514" s="41">
        <v>1101405110</v>
      </c>
      <c r="C514" s="41"/>
      <c r="D514" s="41" t="s">
        <v>1622</v>
      </c>
      <c r="E514" s="101">
        <v>3</v>
      </c>
      <c r="F514" s="41" t="s">
        <v>1152</v>
      </c>
      <c r="G514" s="69" t="s">
        <v>1151</v>
      </c>
      <c r="H514" s="41">
        <v>9008000048</v>
      </c>
      <c r="I514" s="41" t="s">
        <v>1569</v>
      </c>
      <c r="J514" s="41">
        <v>1202020107</v>
      </c>
      <c r="K514" s="41" t="s">
        <v>1635</v>
      </c>
      <c r="L514" s="52" t="s">
        <v>1636</v>
      </c>
      <c r="M514" s="69" t="s">
        <v>1637</v>
      </c>
      <c r="N514" s="69"/>
      <c r="O514" s="69">
        <v>6</v>
      </c>
      <c r="P514" s="69" t="s">
        <v>50</v>
      </c>
      <c r="Q514" s="69" t="s">
        <v>51</v>
      </c>
      <c r="R514" s="69"/>
      <c r="S514" s="48">
        <v>45357</v>
      </c>
      <c r="T514" s="48">
        <v>45357</v>
      </c>
      <c r="U514" s="69"/>
      <c r="V514" s="69"/>
      <c r="W514" s="69"/>
      <c r="X514" s="69"/>
      <c r="Y514" s="69" t="s">
        <v>4130</v>
      </c>
      <c r="Z514" s="52">
        <v>2418000</v>
      </c>
      <c r="AA514" s="43" t="s">
        <v>52</v>
      </c>
      <c r="AB514" s="43" t="s">
        <v>53</v>
      </c>
      <c r="AC514" s="85">
        <v>3650</v>
      </c>
      <c r="AD514" s="141">
        <v>10</v>
      </c>
      <c r="AE514" s="142">
        <v>0</v>
      </c>
      <c r="AF514" s="69" t="str">
        <f t="shared" si="86"/>
        <v>0 years 301 days</v>
      </c>
      <c r="AG514" s="69">
        <v>0</v>
      </c>
      <c r="AH514" s="69">
        <v>301</v>
      </c>
      <c r="AI514" s="69">
        <v>2418000</v>
      </c>
      <c r="AJ514" s="67">
        <v>199402</v>
      </c>
      <c r="AK514" s="69">
        <v>2025</v>
      </c>
      <c r="AL514" s="61">
        <v>119906.49315068492</v>
      </c>
      <c r="AM514" s="143"/>
    </row>
    <row r="515" spans="1:39" x14ac:dyDescent="0.35">
      <c r="A515" s="69" t="s">
        <v>4124</v>
      </c>
      <c r="B515" s="41">
        <v>1101405161</v>
      </c>
      <c r="C515" s="41"/>
      <c r="D515" s="41" t="s">
        <v>1622</v>
      </c>
      <c r="E515" s="101">
        <v>4</v>
      </c>
      <c r="F515" s="41" t="s">
        <v>1152</v>
      </c>
      <c r="G515" s="69" t="s">
        <v>1151</v>
      </c>
      <c r="H515" s="41">
        <v>9008000048</v>
      </c>
      <c r="I515" s="41" t="s">
        <v>1569</v>
      </c>
      <c r="J515" s="41">
        <v>1202020107</v>
      </c>
      <c r="K515" s="41"/>
      <c r="L515" s="52" t="s">
        <v>1639</v>
      </c>
      <c r="M515" s="69" t="s">
        <v>1640</v>
      </c>
      <c r="N515" s="69"/>
      <c r="O515" s="69">
        <v>2</v>
      </c>
      <c r="P515" s="69" t="s">
        <v>50</v>
      </c>
      <c r="Q515" s="69" t="s">
        <v>51</v>
      </c>
      <c r="R515" s="69"/>
      <c r="S515" s="48">
        <v>45405</v>
      </c>
      <c r="T515" s="48">
        <v>45405</v>
      </c>
      <c r="U515" s="69"/>
      <c r="V515" s="69"/>
      <c r="W515" s="69"/>
      <c r="X515" s="69"/>
      <c r="Y515" s="69" t="s">
        <v>4130</v>
      </c>
      <c r="Z515" s="83">
        <v>169600</v>
      </c>
      <c r="AA515" s="43" t="s">
        <v>52</v>
      </c>
      <c r="AB515" s="43" t="s">
        <v>53</v>
      </c>
      <c r="AC515" s="85">
        <v>3650</v>
      </c>
      <c r="AD515" s="141">
        <v>10</v>
      </c>
      <c r="AE515" s="142">
        <v>0</v>
      </c>
      <c r="AF515" s="69" t="str">
        <f t="shared" si="86"/>
        <v>0 years 253 days</v>
      </c>
      <c r="AG515" s="69">
        <v>0</v>
      </c>
      <c r="AH515" s="69">
        <v>253</v>
      </c>
      <c r="AI515" s="69">
        <v>169600</v>
      </c>
      <c r="AJ515" s="67">
        <v>11756</v>
      </c>
      <c r="AK515" s="69">
        <v>2025</v>
      </c>
      <c r="AL515" s="61">
        <v>8410.1369863013679</v>
      </c>
      <c r="AM515" s="143"/>
    </row>
    <row r="516" spans="1:39" x14ac:dyDescent="0.35">
      <c r="A516" s="69" t="s">
        <v>4124</v>
      </c>
      <c r="B516" s="41">
        <v>1101403057</v>
      </c>
      <c r="C516" s="41"/>
      <c r="D516" s="69"/>
      <c r="E516" s="101">
        <v>0</v>
      </c>
      <c r="F516" s="41" t="s">
        <v>1152</v>
      </c>
      <c r="G516" s="69" t="s">
        <v>1151</v>
      </c>
      <c r="H516" s="41">
        <v>9008000049</v>
      </c>
      <c r="I516" s="41" t="s">
        <v>1569</v>
      </c>
      <c r="J516" s="41">
        <v>1202020107</v>
      </c>
      <c r="K516" s="41" t="s">
        <v>1642</v>
      </c>
      <c r="L516" s="52" t="s">
        <v>1643</v>
      </c>
      <c r="M516" s="69" t="s">
        <v>1644</v>
      </c>
      <c r="N516" s="69"/>
      <c r="O516" s="69">
        <v>1</v>
      </c>
      <c r="P516" s="69" t="s">
        <v>50</v>
      </c>
      <c r="Q516" s="69" t="s">
        <v>51</v>
      </c>
      <c r="R516" s="69"/>
      <c r="S516" s="48">
        <v>43724</v>
      </c>
      <c r="T516" s="48">
        <v>43724</v>
      </c>
      <c r="U516" s="69"/>
      <c r="V516" s="69"/>
      <c r="W516" s="69"/>
      <c r="X516" s="69"/>
      <c r="Y516" s="69" t="s">
        <v>4126</v>
      </c>
      <c r="Z516" s="52">
        <v>21164757</v>
      </c>
      <c r="AA516" s="43" t="s">
        <v>52</v>
      </c>
      <c r="AB516" s="43" t="s">
        <v>53</v>
      </c>
      <c r="AC516" s="85">
        <v>3650</v>
      </c>
      <c r="AD516" s="141">
        <v>10</v>
      </c>
      <c r="AE516" s="142">
        <v>0</v>
      </c>
      <c r="AF516" s="69" t="str">
        <f t="shared" ref="AF516:AF520" si="87">_xlfn.CONCAT(AG516," years ",AH516," days")</f>
        <v>5 years 109 days</v>
      </c>
      <c r="AG516" s="69">
        <v>5</v>
      </c>
      <c r="AH516" s="69">
        <v>109</v>
      </c>
      <c r="AI516" s="69">
        <v>21164757</v>
      </c>
      <c r="AJ516" s="67">
        <v>11214422</v>
      </c>
      <c r="AK516" s="69">
        <v>2025</v>
      </c>
      <c r="AL516" s="61">
        <v>1049539.9328767136</v>
      </c>
      <c r="AM516" s="143"/>
    </row>
    <row r="517" spans="1:39" x14ac:dyDescent="0.35">
      <c r="A517" s="69" t="s">
        <v>4124</v>
      </c>
      <c r="B517" s="41">
        <v>1101404933</v>
      </c>
      <c r="C517" s="41"/>
      <c r="D517" s="41" t="s">
        <v>1641</v>
      </c>
      <c r="E517" s="101">
        <v>1</v>
      </c>
      <c r="F517" s="41" t="s">
        <v>1152</v>
      </c>
      <c r="G517" s="69" t="s">
        <v>1151</v>
      </c>
      <c r="H517" s="41">
        <v>9008000049</v>
      </c>
      <c r="I517" s="41" t="s">
        <v>1569</v>
      </c>
      <c r="J517" s="41">
        <v>1202020107</v>
      </c>
      <c r="K517" s="41"/>
      <c r="L517" s="52" t="s">
        <v>1646</v>
      </c>
      <c r="M517" s="69" t="s">
        <v>1647</v>
      </c>
      <c r="N517" s="69"/>
      <c r="O517" s="69">
        <v>1</v>
      </c>
      <c r="P517" s="69" t="s">
        <v>50</v>
      </c>
      <c r="Q517" s="69" t="s">
        <v>51</v>
      </c>
      <c r="R517" s="69"/>
      <c r="S517" s="48">
        <v>45199</v>
      </c>
      <c r="T517" s="48">
        <v>45199</v>
      </c>
      <c r="U517" s="69"/>
      <c r="V517" s="69"/>
      <c r="W517" s="69"/>
      <c r="X517" s="69"/>
      <c r="Y517" s="69" t="s">
        <v>4129</v>
      </c>
      <c r="Z517" s="52">
        <v>451800</v>
      </c>
      <c r="AA517" s="43" t="s">
        <v>52</v>
      </c>
      <c r="AB517" s="43" t="s">
        <v>53</v>
      </c>
      <c r="AC517" s="85">
        <v>3650</v>
      </c>
      <c r="AD517" s="141">
        <v>10</v>
      </c>
      <c r="AE517" s="142">
        <v>0</v>
      </c>
      <c r="AF517" s="69" t="str">
        <f t="shared" si="87"/>
        <v>1 years 94 days</v>
      </c>
      <c r="AG517" s="69">
        <v>1</v>
      </c>
      <c r="AH517" s="69">
        <v>94</v>
      </c>
      <c r="AI517" s="69">
        <v>451800</v>
      </c>
      <c r="AJ517" s="67">
        <v>56815</v>
      </c>
      <c r="AK517" s="69">
        <v>2025</v>
      </c>
      <c r="AL517" s="61">
        <v>22404.726027397264</v>
      </c>
      <c r="AM517" s="143"/>
    </row>
    <row r="518" spans="1:39" x14ac:dyDescent="0.35">
      <c r="A518" s="69" t="s">
        <v>4124</v>
      </c>
      <c r="B518" s="41">
        <v>1101405002</v>
      </c>
      <c r="C518" s="41"/>
      <c r="D518" s="41" t="s">
        <v>1641</v>
      </c>
      <c r="E518" s="101">
        <v>2</v>
      </c>
      <c r="F518" s="41" t="s">
        <v>1152</v>
      </c>
      <c r="G518" s="69" t="s">
        <v>1151</v>
      </c>
      <c r="H518" s="41">
        <v>9008000049</v>
      </c>
      <c r="I518" s="41" t="s">
        <v>1569</v>
      </c>
      <c r="J518" s="41">
        <v>1202020107</v>
      </c>
      <c r="K518" s="41"/>
      <c r="L518" s="52" t="s">
        <v>1649</v>
      </c>
      <c r="M518" s="69" t="s">
        <v>1650</v>
      </c>
      <c r="N518" s="69"/>
      <c r="O518" s="69">
        <v>1</v>
      </c>
      <c r="P518" s="69" t="s">
        <v>50</v>
      </c>
      <c r="Q518" s="69" t="s">
        <v>51</v>
      </c>
      <c r="R518" s="69"/>
      <c r="S518" s="48">
        <v>45251</v>
      </c>
      <c r="T518" s="48">
        <v>45251</v>
      </c>
      <c r="U518" s="69"/>
      <c r="V518" s="69"/>
      <c r="W518" s="69"/>
      <c r="X518" s="69"/>
      <c r="Y518" s="69" t="s">
        <v>4129</v>
      </c>
      <c r="Z518" s="52">
        <v>118750</v>
      </c>
      <c r="AA518" s="43" t="s">
        <v>52</v>
      </c>
      <c r="AB518" s="43" t="s">
        <v>53</v>
      </c>
      <c r="AC518" s="85">
        <v>3650</v>
      </c>
      <c r="AD518" s="141">
        <v>10</v>
      </c>
      <c r="AE518" s="142">
        <v>0</v>
      </c>
      <c r="AF518" s="69" t="str">
        <f t="shared" si="87"/>
        <v>1 years 42 days</v>
      </c>
      <c r="AG518" s="69">
        <v>1</v>
      </c>
      <c r="AH518" s="69">
        <v>42</v>
      </c>
      <c r="AI518" s="69">
        <v>118750</v>
      </c>
      <c r="AJ518" s="67">
        <v>13241</v>
      </c>
      <c r="AK518" s="69">
        <v>2025</v>
      </c>
      <c r="AL518" s="61">
        <v>5889.1369863013679</v>
      </c>
      <c r="AM518" s="143"/>
    </row>
    <row r="519" spans="1:39" x14ac:dyDescent="0.35">
      <c r="A519" s="69" t="s">
        <v>4124</v>
      </c>
      <c r="B519" s="41">
        <v>1101405164</v>
      </c>
      <c r="C519" s="41"/>
      <c r="D519" s="41" t="s">
        <v>1641</v>
      </c>
      <c r="E519" s="101">
        <v>3</v>
      </c>
      <c r="F519" s="41" t="s">
        <v>1152</v>
      </c>
      <c r="G519" s="69" t="s">
        <v>1151</v>
      </c>
      <c r="H519" s="41">
        <v>9008000049</v>
      </c>
      <c r="I519" s="41" t="s">
        <v>1569</v>
      </c>
      <c r="J519" s="41">
        <v>1202020107</v>
      </c>
      <c r="K519" s="41"/>
      <c r="L519" s="52" t="s">
        <v>1652</v>
      </c>
      <c r="M519" s="69" t="s">
        <v>1653</v>
      </c>
      <c r="N519" s="69"/>
      <c r="O519" s="69">
        <v>1</v>
      </c>
      <c r="P519" s="69" t="s">
        <v>50</v>
      </c>
      <c r="Q519" s="69" t="s">
        <v>51</v>
      </c>
      <c r="R519" s="69"/>
      <c r="S519" s="48">
        <v>45389</v>
      </c>
      <c r="T519" s="48">
        <v>45389</v>
      </c>
      <c r="U519" s="69"/>
      <c r="V519" s="69"/>
      <c r="W519" s="69"/>
      <c r="X519" s="69"/>
      <c r="Y519" s="69" t="s">
        <v>4130</v>
      </c>
      <c r="Z519" s="83">
        <v>96912</v>
      </c>
      <c r="AA519" s="43" t="s">
        <v>52</v>
      </c>
      <c r="AB519" s="43" t="s">
        <v>53</v>
      </c>
      <c r="AC519" s="85">
        <v>3650</v>
      </c>
      <c r="AD519" s="141">
        <v>10</v>
      </c>
      <c r="AE519" s="142">
        <v>0</v>
      </c>
      <c r="AF519" s="69" t="str">
        <f t="shared" si="87"/>
        <v>0 years 269 days</v>
      </c>
      <c r="AG519" s="69">
        <v>0</v>
      </c>
      <c r="AH519" s="69">
        <v>269</v>
      </c>
      <c r="AI519" s="69">
        <v>96912</v>
      </c>
      <c r="AJ519" s="67">
        <v>7142</v>
      </c>
      <c r="AK519" s="69">
        <v>2025</v>
      </c>
      <c r="AL519" s="61">
        <v>4806.054794520549</v>
      </c>
      <c r="AM519" s="143"/>
    </row>
    <row r="520" spans="1:39" x14ac:dyDescent="0.35">
      <c r="A520" s="69" t="s">
        <v>4124</v>
      </c>
      <c r="B520" s="41">
        <v>1101101477</v>
      </c>
      <c r="C520" s="41"/>
      <c r="D520" s="41" t="s">
        <v>1641</v>
      </c>
      <c r="E520" s="101">
        <v>4</v>
      </c>
      <c r="F520" s="41" t="s">
        <v>1152</v>
      </c>
      <c r="G520" s="69" t="s">
        <v>1151</v>
      </c>
      <c r="H520" s="41">
        <v>9008000049</v>
      </c>
      <c r="I520" s="41" t="s">
        <v>1569</v>
      </c>
      <c r="J520" s="41">
        <v>1202020107</v>
      </c>
      <c r="K520" s="41"/>
      <c r="L520" s="52" t="s">
        <v>1655</v>
      </c>
      <c r="M520" s="69" t="s">
        <v>1656</v>
      </c>
      <c r="N520" s="69"/>
      <c r="O520" s="69">
        <v>4</v>
      </c>
      <c r="P520" s="69" t="s">
        <v>50</v>
      </c>
      <c r="Q520" s="69" t="s">
        <v>51</v>
      </c>
      <c r="R520" s="69"/>
      <c r="S520" s="48">
        <v>41871</v>
      </c>
      <c r="T520" s="48">
        <v>43340</v>
      </c>
      <c r="U520" s="69"/>
      <c r="V520" s="69"/>
      <c r="W520" s="69"/>
      <c r="X520" s="69"/>
      <c r="Y520" s="69" t="s">
        <v>4125</v>
      </c>
      <c r="Z520" s="52">
        <v>460000</v>
      </c>
      <c r="AA520" s="43" t="s">
        <v>52</v>
      </c>
      <c r="AB520" s="43" t="s">
        <v>53</v>
      </c>
      <c r="AC520" s="85">
        <v>3942</v>
      </c>
      <c r="AD520" s="141">
        <v>10</v>
      </c>
      <c r="AE520" s="142">
        <v>10</v>
      </c>
      <c r="AF520" s="69" t="str">
        <f t="shared" si="87"/>
        <v>6 years 128 days</v>
      </c>
      <c r="AG520" s="69">
        <v>6</v>
      </c>
      <c r="AH520" s="69">
        <v>128</v>
      </c>
      <c r="AI520" s="69">
        <v>460000</v>
      </c>
      <c r="AJ520" s="67">
        <v>270375</v>
      </c>
      <c r="AK520" s="69">
        <v>2025</v>
      </c>
      <c r="AL520" s="61">
        <v>21121.702181633678</v>
      </c>
      <c r="AM520" s="143"/>
    </row>
    <row r="521" spans="1:39" x14ac:dyDescent="0.35">
      <c r="A521" s="69" t="s">
        <v>4124</v>
      </c>
      <c r="B521" s="41">
        <v>1101404897</v>
      </c>
      <c r="C521" s="41"/>
      <c r="D521" s="69"/>
      <c r="E521" s="101">
        <v>0</v>
      </c>
      <c r="F521" s="41" t="s">
        <v>1152</v>
      </c>
      <c r="G521" s="69" t="s">
        <v>1151</v>
      </c>
      <c r="H521" s="41">
        <v>9008000050</v>
      </c>
      <c r="I521" s="41" t="s">
        <v>1569</v>
      </c>
      <c r="J521" s="41">
        <v>1202020107</v>
      </c>
      <c r="K521" s="41" t="s">
        <v>1658</v>
      </c>
      <c r="L521" s="52" t="s">
        <v>1659</v>
      </c>
      <c r="M521" s="69" t="s">
        <v>1660</v>
      </c>
      <c r="N521" s="69"/>
      <c r="O521" s="69">
        <v>1</v>
      </c>
      <c r="P521" s="69" t="s">
        <v>50</v>
      </c>
      <c r="Q521" s="69" t="s">
        <v>51</v>
      </c>
      <c r="R521" s="69"/>
      <c r="S521" s="48">
        <v>45179</v>
      </c>
      <c r="T521" s="48">
        <v>45179</v>
      </c>
      <c r="U521" s="69"/>
      <c r="V521" s="69"/>
      <c r="W521" s="69"/>
      <c r="X521" s="69"/>
      <c r="Y521" s="69" t="s">
        <v>4129</v>
      </c>
      <c r="Z521" s="52">
        <v>28088000</v>
      </c>
      <c r="AA521" s="43" t="s">
        <v>52</v>
      </c>
      <c r="AB521" s="43" t="s">
        <v>53</v>
      </c>
      <c r="AC521" s="85">
        <v>3650</v>
      </c>
      <c r="AD521" s="141">
        <v>10</v>
      </c>
      <c r="AE521" s="142">
        <v>0</v>
      </c>
      <c r="AF521" s="69" t="str">
        <f t="shared" ref="AF521:AF523" si="88">_xlfn.CONCAT(AG521," years ",AH521," days")</f>
        <v>1 years 114 days</v>
      </c>
      <c r="AG521" s="69">
        <v>1</v>
      </c>
      <c r="AH521" s="69">
        <v>114</v>
      </c>
      <c r="AI521" s="69">
        <v>28088000</v>
      </c>
      <c r="AJ521" s="67">
        <v>3686069</v>
      </c>
      <c r="AK521" s="69">
        <v>2025</v>
      </c>
      <c r="AL521" s="61">
        <v>1392857.0273972601</v>
      </c>
      <c r="AM521" s="143"/>
    </row>
    <row r="522" spans="1:39" x14ac:dyDescent="0.35">
      <c r="A522" s="69" t="s">
        <v>4124</v>
      </c>
      <c r="B522" s="41">
        <v>1101404899</v>
      </c>
      <c r="C522" s="41"/>
      <c r="D522" s="41" t="s">
        <v>1657</v>
      </c>
      <c r="E522" s="101">
        <v>1</v>
      </c>
      <c r="F522" s="41" t="s">
        <v>1152</v>
      </c>
      <c r="G522" s="69" t="s">
        <v>1151</v>
      </c>
      <c r="H522" s="41">
        <v>9008000050</v>
      </c>
      <c r="I522" s="41" t="s">
        <v>1569</v>
      </c>
      <c r="J522" s="41">
        <v>1202020107</v>
      </c>
      <c r="K522" s="41" t="s">
        <v>1662</v>
      </c>
      <c r="L522" s="52" t="s">
        <v>1663</v>
      </c>
      <c r="M522" s="69" t="s">
        <v>1664</v>
      </c>
      <c r="N522" s="69"/>
      <c r="O522" s="69">
        <v>1</v>
      </c>
      <c r="P522" s="69" t="s">
        <v>50</v>
      </c>
      <c r="Q522" s="69" t="s">
        <v>51</v>
      </c>
      <c r="R522" s="69"/>
      <c r="S522" s="48">
        <v>45179</v>
      </c>
      <c r="T522" s="48">
        <v>45179</v>
      </c>
      <c r="U522" s="69"/>
      <c r="V522" s="69"/>
      <c r="W522" s="69"/>
      <c r="X522" s="69"/>
      <c r="Y522" s="69" t="s">
        <v>4129</v>
      </c>
      <c r="Z522" s="52">
        <v>7680641.0499999998</v>
      </c>
      <c r="AA522" s="43" t="s">
        <v>52</v>
      </c>
      <c r="AB522" s="43" t="s">
        <v>53</v>
      </c>
      <c r="AC522" s="85">
        <v>3650</v>
      </c>
      <c r="AD522" s="141">
        <v>10</v>
      </c>
      <c r="AE522" s="142">
        <v>0</v>
      </c>
      <c r="AF522" s="69" t="str">
        <f t="shared" si="88"/>
        <v>1 years 114 days</v>
      </c>
      <c r="AG522" s="69">
        <v>1</v>
      </c>
      <c r="AH522" s="69">
        <v>114</v>
      </c>
      <c r="AI522" s="69">
        <v>7680641.0499999998</v>
      </c>
      <c r="AJ522" s="67">
        <v>1007953</v>
      </c>
      <c r="AK522" s="69">
        <v>2025</v>
      </c>
      <c r="AL522" s="61">
        <v>380875.24465753417</v>
      </c>
      <c r="AM522" s="143"/>
    </row>
    <row r="523" spans="1:39" x14ac:dyDescent="0.35">
      <c r="A523" s="69" t="s">
        <v>4124</v>
      </c>
      <c r="B523" s="41">
        <v>1101404931</v>
      </c>
      <c r="C523" s="41"/>
      <c r="D523" s="41" t="s">
        <v>1657</v>
      </c>
      <c r="E523" s="101">
        <v>2</v>
      </c>
      <c r="F523" s="41" t="s">
        <v>1152</v>
      </c>
      <c r="G523" s="69" t="s">
        <v>1151</v>
      </c>
      <c r="H523" s="41">
        <v>9008000050</v>
      </c>
      <c r="I523" s="41" t="s">
        <v>1569</v>
      </c>
      <c r="J523" s="41">
        <v>1202020107</v>
      </c>
      <c r="K523" s="41"/>
      <c r="L523" s="52" t="s">
        <v>1666</v>
      </c>
      <c r="M523" s="69" t="s">
        <v>1667</v>
      </c>
      <c r="N523" s="69"/>
      <c r="O523" s="69">
        <v>5</v>
      </c>
      <c r="P523" s="69" t="s">
        <v>50</v>
      </c>
      <c r="Q523" s="69" t="s">
        <v>51</v>
      </c>
      <c r="R523" s="69"/>
      <c r="S523" s="48">
        <v>45199</v>
      </c>
      <c r="T523" s="48">
        <v>45199</v>
      </c>
      <c r="U523" s="69"/>
      <c r="V523" s="69"/>
      <c r="W523" s="69"/>
      <c r="X523" s="69"/>
      <c r="Y523" s="69" t="s">
        <v>4129</v>
      </c>
      <c r="Z523" s="52">
        <v>232969.60000000001</v>
      </c>
      <c r="AA523" s="43" t="s">
        <v>52</v>
      </c>
      <c r="AB523" s="43" t="s">
        <v>53</v>
      </c>
      <c r="AC523" s="85">
        <v>3650</v>
      </c>
      <c r="AD523" s="141">
        <v>10</v>
      </c>
      <c r="AE523" s="142">
        <v>0</v>
      </c>
      <c r="AF523" s="69" t="str">
        <f t="shared" si="88"/>
        <v>1 years 94 days</v>
      </c>
      <c r="AG523" s="69">
        <v>1</v>
      </c>
      <c r="AH523" s="69">
        <v>94</v>
      </c>
      <c r="AI523" s="69">
        <v>232969.60000000001</v>
      </c>
      <c r="AJ523" s="67">
        <v>29297</v>
      </c>
      <c r="AK523" s="69">
        <v>2025</v>
      </c>
      <c r="AL523" s="61">
        <v>11552.46410958904</v>
      </c>
      <c r="AM523" s="143"/>
    </row>
    <row r="524" spans="1:39" x14ac:dyDescent="0.35">
      <c r="A524" s="69" t="s">
        <v>4124</v>
      </c>
      <c r="B524" s="41">
        <v>1101404898</v>
      </c>
      <c r="C524" s="41"/>
      <c r="D524" s="69"/>
      <c r="E524" s="101">
        <v>0</v>
      </c>
      <c r="F524" s="41" t="s">
        <v>1152</v>
      </c>
      <c r="G524" s="69" t="s">
        <v>1151</v>
      </c>
      <c r="H524" s="41">
        <v>9008000051</v>
      </c>
      <c r="I524" s="41" t="s">
        <v>1569</v>
      </c>
      <c r="J524" s="41">
        <v>1202020107</v>
      </c>
      <c r="K524" s="41" t="s">
        <v>1669</v>
      </c>
      <c r="L524" s="52" t="s">
        <v>1670</v>
      </c>
      <c r="M524" s="69" t="s">
        <v>1671</v>
      </c>
      <c r="N524" s="69"/>
      <c r="O524" s="69">
        <v>1</v>
      </c>
      <c r="P524" s="69" t="s">
        <v>50</v>
      </c>
      <c r="Q524" s="69" t="s">
        <v>51</v>
      </c>
      <c r="R524" s="69"/>
      <c r="S524" s="48">
        <v>45179</v>
      </c>
      <c r="T524" s="48">
        <v>45179</v>
      </c>
      <c r="U524" s="69"/>
      <c r="V524" s="69"/>
      <c r="W524" s="69"/>
      <c r="X524" s="69"/>
      <c r="Y524" s="69" t="s">
        <v>4129</v>
      </c>
      <c r="Z524" s="52">
        <v>28088000</v>
      </c>
      <c r="AA524" s="43" t="s">
        <v>52</v>
      </c>
      <c r="AB524" s="43" t="s">
        <v>53</v>
      </c>
      <c r="AC524" s="85">
        <v>3650</v>
      </c>
      <c r="AD524" s="141">
        <v>10</v>
      </c>
      <c r="AE524" s="142">
        <v>0</v>
      </c>
      <c r="AF524" s="69" t="str">
        <f t="shared" ref="AF524:AF525" si="89">_xlfn.CONCAT(AG524," years ",AH524," days")</f>
        <v>1 years 114 days</v>
      </c>
      <c r="AG524" s="69">
        <v>1</v>
      </c>
      <c r="AH524" s="69">
        <v>114</v>
      </c>
      <c r="AI524" s="69">
        <v>28088000</v>
      </c>
      <c r="AJ524" s="67">
        <v>3686069</v>
      </c>
      <c r="AK524" s="69">
        <v>2025</v>
      </c>
      <c r="AL524" s="61">
        <v>1392857.0273972601</v>
      </c>
      <c r="AM524" s="143"/>
    </row>
    <row r="525" spans="1:39" x14ac:dyDescent="0.35">
      <c r="A525" s="69" t="s">
        <v>4124</v>
      </c>
      <c r="B525" s="41">
        <v>1101405367</v>
      </c>
      <c r="C525" s="41"/>
      <c r="D525" s="41" t="s">
        <v>1668</v>
      </c>
      <c r="E525" s="101">
        <v>1</v>
      </c>
      <c r="F525" s="41" t="s">
        <v>1152</v>
      </c>
      <c r="G525" s="69" t="s">
        <v>1151</v>
      </c>
      <c r="H525" s="41">
        <v>9008000051</v>
      </c>
      <c r="I525" s="41" t="s">
        <v>1569</v>
      </c>
      <c r="J525" s="41">
        <v>1202020107</v>
      </c>
      <c r="K525" s="41" t="s">
        <v>1673</v>
      </c>
      <c r="L525" s="52" t="s">
        <v>1674</v>
      </c>
      <c r="M525" s="69" t="s">
        <v>1675</v>
      </c>
      <c r="N525" s="69"/>
      <c r="O525" s="69">
        <v>8</v>
      </c>
      <c r="P525" s="69" t="s">
        <v>50</v>
      </c>
      <c r="Q525" s="69" t="s">
        <v>51</v>
      </c>
      <c r="R525" s="69"/>
      <c r="S525" s="48">
        <v>45658</v>
      </c>
      <c r="T525" s="48">
        <v>45658</v>
      </c>
      <c r="U525" s="69"/>
      <c r="V525" s="69"/>
      <c r="W525" s="69"/>
      <c r="X525" s="69"/>
      <c r="Y525" s="69" t="s">
        <v>4132</v>
      </c>
      <c r="Z525" s="83">
        <v>1974000</v>
      </c>
      <c r="AA525" s="43" t="s">
        <v>52</v>
      </c>
      <c r="AB525" s="43" t="s">
        <v>53</v>
      </c>
      <c r="AC525" s="85">
        <v>3650</v>
      </c>
      <c r="AD525" s="141">
        <v>10</v>
      </c>
      <c r="AE525" s="142">
        <v>0</v>
      </c>
      <c r="AF525" s="69" t="str">
        <f t="shared" si="89"/>
        <v>0 years 0 days</v>
      </c>
      <c r="AG525" s="69">
        <v>0</v>
      </c>
      <c r="AH525" s="69">
        <v>0</v>
      </c>
      <c r="AI525" s="69">
        <v>1974000</v>
      </c>
      <c r="AJ525" s="67">
        <v>0</v>
      </c>
      <c r="AK525" s="69">
        <v>2025</v>
      </c>
      <c r="AL525" s="61">
        <v>97888.767123287675</v>
      </c>
      <c r="AM525" s="143"/>
    </row>
    <row r="526" spans="1:39" x14ac:dyDescent="0.35">
      <c r="A526" s="69" t="s">
        <v>4124</v>
      </c>
      <c r="B526" s="41">
        <v>1101405412</v>
      </c>
      <c r="C526" s="41"/>
      <c r="D526" s="69"/>
      <c r="E526" s="101">
        <v>0</v>
      </c>
      <c r="F526" s="41" t="s">
        <v>1152</v>
      </c>
      <c r="G526" s="69" t="s">
        <v>1151</v>
      </c>
      <c r="H526" s="41">
        <v>9008000052</v>
      </c>
      <c r="I526" s="41" t="s">
        <v>1569</v>
      </c>
      <c r="J526" s="41">
        <v>1202020107</v>
      </c>
      <c r="K526" s="41" t="s">
        <v>1677</v>
      </c>
      <c r="L526" s="52" t="s">
        <v>1678</v>
      </c>
      <c r="M526" s="69" t="s">
        <v>1679</v>
      </c>
      <c r="N526" s="69"/>
      <c r="O526" s="69">
        <v>1</v>
      </c>
      <c r="P526" s="69" t="s">
        <v>50</v>
      </c>
      <c r="Q526" s="69" t="s">
        <v>51</v>
      </c>
      <c r="R526" s="69"/>
      <c r="S526" s="48">
        <v>45778</v>
      </c>
      <c r="T526" s="48">
        <v>45778</v>
      </c>
      <c r="U526" s="69"/>
      <c r="V526" s="69"/>
      <c r="W526" s="69"/>
      <c r="X526" s="69"/>
      <c r="Y526" s="69" t="s">
        <v>4132</v>
      </c>
      <c r="Z526" s="83">
        <v>0</v>
      </c>
      <c r="AA526" s="43" t="s">
        <v>52</v>
      </c>
      <c r="AB526" s="43" t="s">
        <v>53</v>
      </c>
      <c r="AC526" s="85">
        <v>3650</v>
      </c>
      <c r="AD526" s="141">
        <v>10</v>
      </c>
      <c r="AE526" s="142">
        <v>0</v>
      </c>
      <c r="AF526" s="69" t="str">
        <f t="shared" ref="AF526:AF531" si="90">_xlfn.CONCAT(AG526," years ",AH526," days")</f>
        <v>0 years 0 days</v>
      </c>
      <c r="AG526" s="69">
        <v>0</v>
      </c>
      <c r="AH526" s="69">
        <v>0</v>
      </c>
      <c r="AI526" s="69">
        <v>33656911.399999999</v>
      </c>
      <c r="AJ526" s="67">
        <v>0</v>
      </c>
      <c r="AK526" s="69">
        <v>2025</v>
      </c>
      <c r="AL526" s="61">
        <v>562485.36860273965</v>
      </c>
      <c r="AM526" s="143"/>
    </row>
    <row r="527" spans="1:39" x14ac:dyDescent="0.35">
      <c r="A527" s="69" t="s">
        <v>4124</v>
      </c>
      <c r="B527" s="41">
        <v>1101405410</v>
      </c>
      <c r="C527" s="41"/>
      <c r="D527" s="69"/>
      <c r="E527" s="101">
        <v>0</v>
      </c>
      <c r="F527" s="41" t="s">
        <v>1152</v>
      </c>
      <c r="G527" s="69" t="s">
        <v>1151</v>
      </c>
      <c r="H527" s="41">
        <v>9008000053</v>
      </c>
      <c r="I527" s="41" t="s">
        <v>1569</v>
      </c>
      <c r="J527" s="41">
        <v>1202020107</v>
      </c>
      <c r="K527" s="41" t="s">
        <v>1681</v>
      </c>
      <c r="L527" s="52" t="s">
        <v>1682</v>
      </c>
      <c r="M527" s="69" t="s">
        <v>1683</v>
      </c>
      <c r="N527" s="69"/>
      <c r="O527" s="69">
        <v>1</v>
      </c>
      <c r="P527" s="69" t="s">
        <v>50</v>
      </c>
      <c r="Q527" s="69" t="s">
        <v>51</v>
      </c>
      <c r="R527" s="69"/>
      <c r="S527" s="48">
        <v>45717</v>
      </c>
      <c r="T527" s="48">
        <v>45717</v>
      </c>
      <c r="U527" s="69"/>
      <c r="V527" s="69"/>
      <c r="W527" s="69"/>
      <c r="X527" s="69"/>
      <c r="Y527" s="69" t="s">
        <v>4132</v>
      </c>
      <c r="Z527" s="83">
        <v>31619159.199999999</v>
      </c>
      <c r="AA527" s="43" t="s">
        <v>52</v>
      </c>
      <c r="AB527" s="43" t="s">
        <v>53</v>
      </c>
      <c r="AC527" s="85">
        <v>3650</v>
      </c>
      <c r="AD527" s="141">
        <v>10</v>
      </c>
      <c r="AE527" s="142">
        <v>0</v>
      </c>
      <c r="AF527" s="69" t="str">
        <f t="shared" si="90"/>
        <v>0 years 0 days</v>
      </c>
      <c r="AG527" s="69">
        <v>0</v>
      </c>
      <c r="AH527" s="69">
        <v>0</v>
      </c>
      <c r="AI527" s="69">
        <v>31619159.199999999</v>
      </c>
      <c r="AJ527" s="67">
        <v>0</v>
      </c>
      <c r="AK527" s="69">
        <v>2025</v>
      </c>
      <c r="AL527" s="61">
        <v>1056859.5677808218</v>
      </c>
      <c r="AM527" s="143"/>
    </row>
    <row r="528" spans="1:39" x14ac:dyDescent="0.35">
      <c r="A528" s="69" t="s">
        <v>4124</v>
      </c>
      <c r="B528" s="41">
        <v>1101405331</v>
      </c>
      <c r="C528" s="41"/>
      <c r="D528" s="69"/>
      <c r="E528" s="101">
        <v>0</v>
      </c>
      <c r="F528" s="41" t="s">
        <v>1152</v>
      </c>
      <c r="G528" s="69" t="s">
        <v>1151</v>
      </c>
      <c r="H528" s="41">
        <v>9008000054</v>
      </c>
      <c r="I528" s="41" t="s">
        <v>1685</v>
      </c>
      <c r="J528" s="41">
        <v>1202020102</v>
      </c>
      <c r="K528" s="41" t="s">
        <v>1686</v>
      </c>
      <c r="L528" s="52" t="s">
        <v>1687</v>
      </c>
      <c r="M528" s="69" t="s">
        <v>1688</v>
      </c>
      <c r="N528" s="69"/>
      <c r="O528" s="69">
        <v>1</v>
      </c>
      <c r="P528" s="69" t="s">
        <v>50</v>
      </c>
      <c r="Q528" s="69" t="s">
        <v>51</v>
      </c>
      <c r="R528" s="69"/>
      <c r="S528" s="48">
        <v>45607</v>
      </c>
      <c r="T528" s="48">
        <v>45607</v>
      </c>
      <c r="U528" s="69"/>
      <c r="V528" s="69"/>
      <c r="W528" s="69"/>
      <c r="X528" s="69"/>
      <c r="Y528" s="69" t="s">
        <v>4130</v>
      </c>
      <c r="Z528" s="83">
        <v>16116676.659999998</v>
      </c>
      <c r="AA528" s="43" t="s">
        <v>52</v>
      </c>
      <c r="AB528" s="43" t="s">
        <v>53</v>
      </c>
      <c r="AC528" s="85">
        <v>3650</v>
      </c>
      <c r="AD528" s="141">
        <v>10</v>
      </c>
      <c r="AE528" s="142">
        <v>0</v>
      </c>
      <c r="AF528" s="69" t="str">
        <f t="shared" si="90"/>
        <v>0 years 51 days</v>
      </c>
      <c r="AG528" s="69">
        <v>0</v>
      </c>
      <c r="AH528" s="69">
        <v>51</v>
      </c>
      <c r="AI528" s="69">
        <v>16116676.659999998</v>
      </c>
      <c r="AJ528" s="67">
        <v>225192</v>
      </c>
      <c r="AK528" s="69">
        <v>2025</v>
      </c>
      <c r="AL528" s="61">
        <v>799210.46167671226</v>
      </c>
      <c r="AM528" s="143"/>
    </row>
    <row r="529" spans="1:39" x14ac:dyDescent="0.35">
      <c r="A529" s="69" t="s">
        <v>4124</v>
      </c>
      <c r="B529" s="41">
        <v>1101405339</v>
      </c>
      <c r="C529" s="41"/>
      <c r="D529" s="69"/>
      <c r="E529" s="101">
        <v>0</v>
      </c>
      <c r="F529" s="41" t="s">
        <v>1152</v>
      </c>
      <c r="G529" s="69" t="s">
        <v>1151</v>
      </c>
      <c r="H529" s="41">
        <v>9008000055</v>
      </c>
      <c r="I529" s="41" t="s">
        <v>1685</v>
      </c>
      <c r="J529" s="41">
        <v>1202020102</v>
      </c>
      <c r="K529" s="41" t="s">
        <v>1690</v>
      </c>
      <c r="L529" s="52" t="s">
        <v>1691</v>
      </c>
      <c r="M529" s="69" t="s">
        <v>1688</v>
      </c>
      <c r="N529" s="69"/>
      <c r="O529" s="69">
        <v>1</v>
      </c>
      <c r="P529" s="69" t="s">
        <v>50</v>
      </c>
      <c r="Q529" s="69" t="s">
        <v>51</v>
      </c>
      <c r="R529" s="69"/>
      <c r="S529" s="48">
        <v>45652</v>
      </c>
      <c r="T529" s="48">
        <v>45652</v>
      </c>
      <c r="U529" s="69"/>
      <c r="V529" s="69"/>
      <c r="W529" s="69"/>
      <c r="X529" s="69"/>
      <c r="Y529" s="69" t="s">
        <v>4130</v>
      </c>
      <c r="Z529" s="83">
        <v>16433885.300000001</v>
      </c>
      <c r="AA529" s="43" t="s">
        <v>52</v>
      </c>
      <c r="AB529" s="43" t="s">
        <v>53</v>
      </c>
      <c r="AC529" s="85">
        <v>3650</v>
      </c>
      <c r="AD529" s="141">
        <v>10</v>
      </c>
      <c r="AE529" s="142">
        <v>0</v>
      </c>
      <c r="AF529" s="69" t="str">
        <f t="shared" si="90"/>
        <v>0 years 6 days</v>
      </c>
      <c r="AG529" s="69">
        <v>0</v>
      </c>
      <c r="AH529" s="69">
        <v>6</v>
      </c>
      <c r="AI529" s="69">
        <v>16433885.300000001</v>
      </c>
      <c r="AJ529" s="67">
        <v>27015</v>
      </c>
      <c r="AK529" s="69">
        <v>2025</v>
      </c>
      <c r="AL529" s="61">
        <v>814940.21947945212</v>
      </c>
      <c r="AM529" s="143"/>
    </row>
    <row r="530" spans="1:39" x14ac:dyDescent="0.35">
      <c r="A530" s="69" t="s">
        <v>4124</v>
      </c>
      <c r="B530" s="41">
        <v>1101400731</v>
      </c>
      <c r="C530" s="41"/>
      <c r="D530" s="69"/>
      <c r="E530" s="101">
        <v>0</v>
      </c>
      <c r="F530" s="41" t="s">
        <v>1152</v>
      </c>
      <c r="G530" s="69" t="s">
        <v>1151</v>
      </c>
      <c r="H530" s="41">
        <v>9008000056</v>
      </c>
      <c r="I530" s="41" t="s">
        <v>1693</v>
      </c>
      <c r="J530" s="41">
        <v>1202110106</v>
      </c>
      <c r="K530" s="41" t="s">
        <v>1694</v>
      </c>
      <c r="L530" s="52" t="s">
        <v>1695</v>
      </c>
      <c r="M530" s="69" t="s">
        <v>1696</v>
      </c>
      <c r="N530" s="69"/>
      <c r="O530" s="69">
        <v>1</v>
      </c>
      <c r="P530" s="69" t="s">
        <v>50</v>
      </c>
      <c r="Q530" s="69" t="s">
        <v>51</v>
      </c>
      <c r="R530" s="69"/>
      <c r="S530" s="48">
        <v>41062</v>
      </c>
      <c r="T530" s="48">
        <v>43340</v>
      </c>
      <c r="U530" s="69"/>
      <c r="V530" s="69"/>
      <c r="W530" s="69"/>
      <c r="X530" s="69"/>
      <c r="Y530" s="69" t="s">
        <v>4125</v>
      </c>
      <c r="Z530" s="52">
        <v>460000</v>
      </c>
      <c r="AA530" s="43" t="s">
        <v>52</v>
      </c>
      <c r="AB530" s="43" t="s">
        <v>53</v>
      </c>
      <c r="AC530" s="85">
        <v>3212</v>
      </c>
      <c r="AD530" s="141">
        <v>8</v>
      </c>
      <c r="AE530" s="142">
        <v>10</v>
      </c>
      <c r="AF530" s="69" t="str">
        <f t="shared" si="90"/>
        <v>6 years 128 days</v>
      </c>
      <c r="AG530" s="69">
        <v>6</v>
      </c>
      <c r="AH530" s="69">
        <v>128</v>
      </c>
      <c r="AI530" s="69">
        <v>460000</v>
      </c>
      <c r="AJ530" s="67">
        <v>331824</v>
      </c>
      <c r="AK530" s="69">
        <v>2025</v>
      </c>
      <c r="AL530" s="61">
        <v>25921.952677459514</v>
      </c>
      <c r="AM530" s="143"/>
    </row>
    <row r="531" spans="1:39" x14ac:dyDescent="0.35">
      <c r="A531" s="69" t="s">
        <v>4124</v>
      </c>
      <c r="B531" s="41">
        <v>1101400796</v>
      </c>
      <c r="C531" s="41"/>
      <c r="D531" s="69"/>
      <c r="E531" s="101">
        <v>0</v>
      </c>
      <c r="F531" s="41" t="s">
        <v>1152</v>
      </c>
      <c r="G531" s="69" t="s">
        <v>1151</v>
      </c>
      <c r="H531" s="41">
        <v>9008000057</v>
      </c>
      <c r="I531" s="41" t="s">
        <v>1693</v>
      </c>
      <c r="J531" s="41">
        <v>1202110106</v>
      </c>
      <c r="K531" s="41" t="s">
        <v>1698</v>
      </c>
      <c r="L531" s="52" t="s">
        <v>1699</v>
      </c>
      <c r="M531" s="69" t="s">
        <v>1700</v>
      </c>
      <c r="N531" s="69"/>
      <c r="O531" s="69">
        <v>1</v>
      </c>
      <c r="P531" s="69" t="s">
        <v>50</v>
      </c>
      <c r="Q531" s="69" t="s">
        <v>51</v>
      </c>
      <c r="R531" s="69"/>
      <c r="S531" s="48">
        <v>41183</v>
      </c>
      <c r="T531" s="48">
        <v>43340</v>
      </c>
      <c r="U531" s="69"/>
      <c r="V531" s="69"/>
      <c r="W531" s="69"/>
      <c r="X531" s="69"/>
      <c r="Y531" s="69" t="s">
        <v>4125</v>
      </c>
      <c r="Z531" s="52">
        <v>470000</v>
      </c>
      <c r="AA531" s="43" t="s">
        <v>52</v>
      </c>
      <c r="AB531" s="43" t="s">
        <v>53</v>
      </c>
      <c r="AC531" s="85">
        <v>3322</v>
      </c>
      <c r="AD531" s="141">
        <v>9</v>
      </c>
      <c r="AE531" s="142">
        <v>1</v>
      </c>
      <c r="AF531" s="69" t="str">
        <f t="shared" si="90"/>
        <v>6 years 128 days</v>
      </c>
      <c r="AG531" s="69">
        <v>6</v>
      </c>
      <c r="AH531" s="69">
        <v>128</v>
      </c>
      <c r="AI531" s="69">
        <v>470000</v>
      </c>
      <c r="AJ531" s="67">
        <v>327812</v>
      </c>
      <c r="AK531" s="69">
        <v>2025</v>
      </c>
      <c r="AL531" s="61">
        <v>25607.626730884949</v>
      </c>
      <c r="AM531" s="143"/>
    </row>
    <row r="532" spans="1:39" x14ac:dyDescent="0.35">
      <c r="A532" s="69" t="s">
        <v>4124</v>
      </c>
      <c r="B532" s="41">
        <v>1101400887</v>
      </c>
      <c r="C532" s="41"/>
      <c r="D532" s="69"/>
      <c r="E532" s="101">
        <v>0</v>
      </c>
      <c r="F532" s="41" t="s">
        <v>1152</v>
      </c>
      <c r="G532" s="69" t="s">
        <v>1151</v>
      </c>
      <c r="H532" s="41">
        <v>9008000058</v>
      </c>
      <c r="I532" s="41" t="s">
        <v>1693</v>
      </c>
      <c r="J532" s="41">
        <v>1202110106</v>
      </c>
      <c r="K532" s="41" t="s">
        <v>1702</v>
      </c>
      <c r="L532" s="52" t="s">
        <v>1703</v>
      </c>
      <c r="M532" s="69" t="s">
        <v>1704</v>
      </c>
      <c r="N532" s="69"/>
      <c r="O532" s="69">
        <v>1</v>
      </c>
      <c r="P532" s="69" t="s">
        <v>50</v>
      </c>
      <c r="Q532" s="69" t="s">
        <v>51</v>
      </c>
      <c r="R532" s="69"/>
      <c r="S532" s="48">
        <v>41279</v>
      </c>
      <c r="T532" s="48">
        <v>43340</v>
      </c>
      <c r="U532" s="69"/>
      <c r="V532" s="69"/>
      <c r="W532" s="69"/>
      <c r="X532" s="69"/>
      <c r="Y532" s="69" t="s">
        <v>4125</v>
      </c>
      <c r="Z532" s="52">
        <v>480000</v>
      </c>
      <c r="AA532" s="43" t="s">
        <v>52</v>
      </c>
      <c r="AB532" s="43" t="s">
        <v>53</v>
      </c>
      <c r="AC532" s="85">
        <v>3431</v>
      </c>
      <c r="AD532" s="141">
        <v>9</v>
      </c>
      <c r="AE532" s="142">
        <v>5</v>
      </c>
      <c r="AF532" s="69" t="str">
        <f t="shared" ref="AF532:AF533" si="91">_xlfn.CONCAT(AG532," years ",AH532," days")</f>
        <v>6 years 128 days</v>
      </c>
      <c r="AG532" s="69">
        <v>6</v>
      </c>
      <c r="AH532" s="69">
        <v>128</v>
      </c>
      <c r="AI532" s="69">
        <v>480000</v>
      </c>
      <c r="AJ532" s="67">
        <v>324150</v>
      </c>
      <c r="AK532" s="69">
        <v>2025</v>
      </c>
      <c r="AL532" s="61">
        <v>25322.457009618171</v>
      </c>
      <c r="AM532" s="143"/>
    </row>
    <row r="533" spans="1:39" x14ac:dyDescent="0.35">
      <c r="A533" s="69" t="s">
        <v>4124</v>
      </c>
      <c r="B533" s="41">
        <v>1101403696</v>
      </c>
      <c r="C533" s="41"/>
      <c r="D533" s="41" t="s">
        <v>1701</v>
      </c>
      <c r="E533" s="101">
        <v>1</v>
      </c>
      <c r="F533" s="41" t="s">
        <v>1152</v>
      </c>
      <c r="G533" s="69" t="s">
        <v>1151</v>
      </c>
      <c r="H533" s="41">
        <v>9008000058</v>
      </c>
      <c r="I533" s="41" t="s">
        <v>1693</v>
      </c>
      <c r="J533" s="41">
        <v>1202110106</v>
      </c>
      <c r="K533" s="41"/>
      <c r="L533" s="52" t="s">
        <v>1706</v>
      </c>
      <c r="M533" s="69" t="s">
        <v>1707</v>
      </c>
      <c r="N533" s="69"/>
      <c r="O533" s="69">
        <v>1</v>
      </c>
      <c r="P533" s="69" t="s">
        <v>50</v>
      </c>
      <c r="Q533" s="69" t="s">
        <v>51</v>
      </c>
      <c r="R533" s="69"/>
      <c r="S533" s="48">
        <v>44336</v>
      </c>
      <c r="T533" s="48">
        <v>44336</v>
      </c>
      <c r="U533" s="69"/>
      <c r="V533" s="69"/>
      <c r="W533" s="69"/>
      <c r="X533" s="69"/>
      <c r="Y533" s="69" t="s">
        <v>4128</v>
      </c>
      <c r="Z533" s="52">
        <v>128240</v>
      </c>
      <c r="AA533" s="43" t="s">
        <v>52</v>
      </c>
      <c r="AB533" s="43" t="s">
        <v>53</v>
      </c>
      <c r="AC533" s="85">
        <v>3650</v>
      </c>
      <c r="AD533" s="141">
        <v>10</v>
      </c>
      <c r="AE533" s="142">
        <v>0</v>
      </c>
      <c r="AF533" s="69" t="str">
        <f t="shared" si="91"/>
        <v>3 years 227 days</v>
      </c>
      <c r="AG533" s="69">
        <v>3</v>
      </c>
      <c r="AH533" s="69">
        <v>227</v>
      </c>
      <c r="AI533" s="69">
        <v>128240</v>
      </c>
      <c r="AJ533" s="67">
        <v>46447</v>
      </c>
      <c r="AK533" s="69">
        <v>2025</v>
      </c>
      <c r="AL533" s="61">
        <v>6359.7726027397221</v>
      </c>
      <c r="AM533" s="143"/>
    </row>
    <row r="534" spans="1:39" x14ac:dyDescent="0.35">
      <c r="A534" s="69" t="s">
        <v>4124</v>
      </c>
      <c r="B534" s="41">
        <v>1101504309</v>
      </c>
      <c r="C534" s="41"/>
      <c r="D534" s="69"/>
      <c r="E534" s="101">
        <v>0</v>
      </c>
      <c r="F534" s="41" t="s">
        <v>1152</v>
      </c>
      <c r="G534" s="69" t="s">
        <v>1151</v>
      </c>
      <c r="H534" s="41">
        <v>9008000059</v>
      </c>
      <c r="I534" s="41" t="s">
        <v>1693</v>
      </c>
      <c r="J534" s="41">
        <v>1202110106</v>
      </c>
      <c r="K534" s="41" t="s">
        <v>1709</v>
      </c>
      <c r="L534" s="52" t="s">
        <v>1710</v>
      </c>
      <c r="M534" s="69" t="s">
        <v>1711</v>
      </c>
      <c r="N534" s="69"/>
      <c r="O534" s="69">
        <v>1</v>
      </c>
      <c r="P534" s="69" t="s">
        <v>50</v>
      </c>
      <c r="Q534" s="69" t="s">
        <v>51</v>
      </c>
      <c r="R534" s="69"/>
      <c r="S534" s="48">
        <v>44180</v>
      </c>
      <c r="T534" s="48">
        <v>44180</v>
      </c>
      <c r="U534" s="69"/>
      <c r="V534" s="69"/>
      <c r="W534" s="69"/>
      <c r="X534" s="69"/>
      <c r="Y534" s="69" t="s">
        <v>4127</v>
      </c>
      <c r="Z534" s="52">
        <v>620000</v>
      </c>
      <c r="AA534" s="43" t="s">
        <v>52</v>
      </c>
      <c r="AB534" s="43" t="s">
        <v>53</v>
      </c>
      <c r="AC534" s="85">
        <v>3650</v>
      </c>
      <c r="AD534" s="141">
        <v>10</v>
      </c>
      <c r="AE534" s="142">
        <v>0</v>
      </c>
      <c r="AF534" s="69" t="str">
        <f>_xlfn.CONCAT(AG534," years ",AH534," days")</f>
        <v>4 years 18 days</v>
      </c>
      <c r="AG534" s="69">
        <v>4</v>
      </c>
      <c r="AH534" s="69">
        <v>18</v>
      </c>
      <c r="AI534" s="69">
        <v>620000</v>
      </c>
      <c r="AJ534" s="67">
        <v>251058</v>
      </c>
      <c r="AK534" s="69">
        <v>2025</v>
      </c>
      <c r="AL534" s="61">
        <v>30744.739726027357</v>
      </c>
      <c r="AM534" s="143"/>
    </row>
    <row r="535" spans="1:39" x14ac:dyDescent="0.35">
      <c r="A535" s="69" t="s">
        <v>4124</v>
      </c>
      <c r="B535" s="41">
        <v>1101405411</v>
      </c>
      <c r="C535" s="41"/>
      <c r="D535" s="69"/>
      <c r="E535" s="101">
        <v>0</v>
      </c>
      <c r="F535" s="41" t="s">
        <v>1152</v>
      </c>
      <c r="G535" s="69" t="s">
        <v>1151</v>
      </c>
      <c r="H535" s="41">
        <v>9008000060</v>
      </c>
      <c r="I535" s="41" t="s">
        <v>1693</v>
      </c>
      <c r="J535" s="41">
        <v>1202110106</v>
      </c>
      <c r="K535" s="41" t="s">
        <v>1713</v>
      </c>
      <c r="L535" s="52" t="s">
        <v>1714</v>
      </c>
      <c r="M535" s="69" t="s">
        <v>1715</v>
      </c>
      <c r="N535" s="69"/>
      <c r="O535" s="69">
        <v>1</v>
      </c>
      <c r="P535" s="69" t="s">
        <v>50</v>
      </c>
      <c r="Q535" s="69" t="s">
        <v>51</v>
      </c>
      <c r="R535" s="69"/>
      <c r="S535" s="48">
        <v>45728</v>
      </c>
      <c r="T535" s="48">
        <v>45728</v>
      </c>
      <c r="U535" s="69"/>
      <c r="V535" s="69"/>
      <c r="W535" s="69"/>
      <c r="X535" s="69"/>
      <c r="Y535" s="69" t="s">
        <v>4132</v>
      </c>
      <c r="Z535" s="83">
        <v>1002500</v>
      </c>
      <c r="AA535" s="43" t="s">
        <v>52</v>
      </c>
      <c r="AB535" s="43" t="s">
        <v>53</v>
      </c>
      <c r="AC535" s="85">
        <v>3650</v>
      </c>
      <c r="AD535" s="141">
        <v>10</v>
      </c>
      <c r="AE535" s="142">
        <v>0</v>
      </c>
      <c r="AF535" s="69" t="str">
        <f>_xlfn.CONCAT(AG535," years ",AH535," days")</f>
        <v>0 years 0 days</v>
      </c>
      <c r="AG535" s="69">
        <v>0</v>
      </c>
      <c r="AH535" s="69">
        <v>0</v>
      </c>
      <c r="AI535" s="69">
        <v>1002500</v>
      </c>
      <c r="AJ535" s="67">
        <v>0</v>
      </c>
      <c r="AK535" s="69">
        <v>2025</v>
      </c>
      <c r="AL535" s="61">
        <v>30486.986301369863</v>
      </c>
      <c r="AM535" s="143"/>
    </row>
    <row r="536" spans="1:39" x14ac:dyDescent="0.35">
      <c r="A536" s="69" t="s">
        <v>4124</v>
      </c>
      <c r="B536" s="41">
        <v>1101403065</v>
      </c>
      <c r="C536" s="41"/>
      <c r="D536" s="69"/>
      <c r="E536" s="101">
        <v>0</v>
      </c>
      <c r="F536" s="41" t="s">
        <v>1152</v>
      </c>
      <c r="G536" s="69" t="s">
        <v>1151</v>
      </c>
      <c r="H536" s="41">
        <v>9008000061</v>
      </c>
      <c r="I536" s="41" t="s">
        <v>261</v>
      </c>
      <c r="J536" s="41">
        <v>1202010217</v>
      </c>
      <c r="K536" s="41" t="s">
        <v>1717</v>
      </c>
      <c r="L536" s="52" t="s">
        <v>1718</v>
      </c>
      <c r="M536" s="69" t="s">
        <v>1719</v>
      </c>
      <c r="N536" s="69"/>
      <c r="O536" s="69">
        <v>1</v>
      </c>
      <c r="P536" s="69" t="s">
        <v>50</v>
      </c>
      <c r="Q536" s="69" t="s">
        <v>51</v>
      </c>
      <c r="R536" s="69"/>
      <c r="S536" s="48">
        <v>43728</v>
      </c>
      <c r="T536" s="48">
        <v>43728</v>
      </c>
      <c r="U536" s="69"/>
      <c r="V536" s="69"/>
      <c r="W536" s="69"/>
      <c r="X536" s="69"/>
      <c r="Y536" s="69" t="s">
        <v>4126</v>
      </c>
      <c r="Z536" s="52">
        <v>149500</v>
      </c>
      <c r="AA536" s="43" t="s">
        <v>52</v>
      </c>
      <c r="AB536" s="43" t="s">
        <v>53</v>
      </c>
      <c r="AC536" s="85">
        <v>3650</v>
      </c>
      <c r="AD536" s="141">
        <v>10</v>
      </c>
      <c r="AE536" s="142">
        <v>0</v>
      </c>
      <c r="AF536" s="69" t="str">
        <f t="shared" ref="AF536:AF537" si="92">_xlfn.CONCAT(AG536," years ",AH536," days")</f>
        <v>5 years 105 days</v>
      </c>
      <c r="AG536" s="69">
        <v>5</v>
      </c>
      <c r="AH536" s="69">
        <v>105</v>
      </c>
      <c r="AI536" s="69">
        <v>149500</v>
      </c>
      <c r="AJ536" s="67">
        <v>79051</v>
      </c>
      <c r="AK536" s="69">
        <v>2025</v>
      </c>
      <c r="AL536" s="61">
        <v>7413.2465753424622</v>
      </c>
      <c r="AM536" s="143"/>
    </row>
    <row r="537" spans="1:39" x14ac:dyDescent="0.35">
      <c r="A537" s="69" t="s">
        <v>4124</v>
      </c>
      <c r="B537" s="41">
        <v>1101405209</v>
      </c>
      <c r="C537" s="41"/>
      <c r="D537" s="41" t="s">
        <v>1716</v>
      </c>
      <c r="E537" s="101">
        <v>1</v>
      </c>
      <c r="F537" s="41" t="s">
        <v>1152</v>
      </c>
      <c r="G537" s="69" t="s">
        <v>1151</v>
      </c>
      <c r="H537" s="41">
        <v>9008000061</v>
      </c>
      <c r="I537" s="41" t="s">
        <v>261</v>
      </c>
      <c r="J537" s="41">
        <v>1202010217</v>
      </c>
      <c r="K537" s="41"/>
      <c r="L537" s="52" t="s">
        <v>1721</v>
      </c>
      <c r="M537" s="69" t="s">
        <v>1722</v>
      </c>
      <c r="N537" s="69"/>
      <c r="O537" s="69">
        <v>2</v>
      </c>
      <c r="P537" s="69" t="s">
        <v>50</v>
      </c>
      <c r="Q537" s="69" t="s">
        <v>51</v>
      </c>
      <c r="R537" s="69"/>
      <c r="S537" s="48">
        <v>45455</v>
      </c>
      <c r="T537" s="48">
        <v>45455</v>
      </c>
      <c r="U537" s="69"/>
      <c r="V537" s="69"/>
      <c r="W537" s="69"/>
      <c r="X537" s="69"/>
      <c r="Y537" s="69" t="s">
        <v>4130</v>
      </c>
      <c r="Z537" s="83">
        <v>50000</v>
      </c>
      <c r="AA537" s="43" t="s">
        <v>52</v>
      </c>
      <c r="AB537" s="43" t="s">
        <v>53</v>
      </c>
      <c r="AC537" s="85">
        <v>1825</v>
      </c>
      <c r="AD537" s="141">
        <v>5</v>
      </c>
      <c r="AE537" s="142">
        <v>0</v>
      </c>
      <c r="AF537" s="69" t="str">
        <f t="shared" si="92"/>
        <v>0 years 203 days</v>
      </c>
      <c r="AG537" s="69">
        <v>0</v>
      </c>
      <c r="AH537" s="69">
        <v>203</v>
      </c>
      <c r="AI537" s="69">
        <v>50000</v>
      </c>
      <c r="AJ537" s="67">
        <v>5562</v>
      </c>
      <c r="AK537" s="69">
        <v>2025</v>
      </c>
      <c r="AL537" s="61">
        <v>4958.5479452054788</v>
      </c>
      <c r="AM537" s="143"/>
    </row>
    <row r="538" spans="1:39" x14ac:dyDescent="0.35">
      <c r="A538" s="69" t="s">
        <v>4124</v>
      </c>
      <c r="B538" s="41">
        <v>1101405098</v>
      </c>
      <c r="C538" s="41"/>
      <c r="D538" s="69"/>
      <c r="E538" s="101">
        <v>0</v>
      </c>
      <c r="F538" s="41" t="s">
        <v>1152</v>
      </c>
      <c r="G538" s="69" t="s">
        <v>1151</v>
      </c>
      <c r="H538" s="41">
        <v>9008000062</v>
      </c>
      <c r="I538" s="41" t="s">
        <v>261</v>
      </c>
      <c r="J538" s="41">
        <v>1202010217</v>
      </c>
      <c r="K538" s="41" t="s">
        <v>1724</v>
      </c>
      <c r="L538" s="52" t="s">
        <v>1725</v>
      </c>
      <c r="M538" s="69" t="s">
        <v>1726</v>
      </c>
      <c r="N538" s="69"/>
      <c r="O538" s="69">
        <v>1</v>
      </c>
      <c r="P538" s="69" t="s">
        <v>50</v>
      </c>
      <c r="Q538" s="69" t="s">
        <v>51</v>
      </c>
      <c r="R538" s="69"/>
      <c r="S538" s="48">
        <v>44550</v>
      </c>
      <c r="T538" s="48">
        <v>44550</v>
      </c>
      <c r="U538" s="69"/>
      <c r="V538" s="69"/>
      <c r="W538" s="69"/>
      <c r="X538" s="69"/>
      <c r="Y538" s="69" t="s">
        <v>4128</v>
      </c>
      <c r="Z538" s="52">
        <v>600000</v>
      </c>
      <c r="AA538" s="43" t="s">
        <v>52</v>
      </c>
      <c r="AB538" s="43" t="s">
        <v>53</v>
      </c>
      <c r="AC538" s="85">
        <v>3650</v>
      </c>
      <c r="AD538" s="141">
        <v>10</v>
      </c>
      <c r="AE538" s="142">
        <v>0</v>
      </c>
      <c r="AF538" s="69" t="str">
        <f t="shared" ref="AF538:AF539" si="93">_xlfn.CONCAT(AG538," years ",AH538," days")</f>
        <v>3 years 13 days</v>
      </c>
      <c r="AG538" s="69">
        <v>3</v>
      </c>
      <c r="AH538" s="69">
        <v>13</v>
      </c>
      <c r="AI538" s="69">
        <v>600000</v>
      </c>
      <c r="AJ538" s="67">
        <v>182137</v>
      </c>
      <c r="AK538" s="69">
        <v>2025</v>
      </c>
      <c r="AL538" s="61">
        <v>29753.410958904104</v>
      </c>
      <c r="AM538" s="143"/>
    </row>
    <row r="539" spans="1:39" x14ac:dyDescent="0.35">
      <c r="A539" s="69" t="s">
        <v>4124</v>
      </c>
      <c r="B539" s="41">
        <v>1101404858</v>
      </c>
      <c r="C539" s="41"/>
      <c r="D539" s="41" t="s">
        <v>1723</v>
      </c>
      <c r="E539" s="101">
        <v>1</v>
      </c>
      <c r="F539" s="41" t="s">
        <v>1152</v>
      </c>
      <c r="G539" s="69" t="s">
        <v>1151</v>
      </c>
      <c r="H539" s="41">
        <v>9008000062</v>
      </c>
      <c r="I539" s="41" t="s">
        <v>261</v>
      </c>
      <c r="J539" s="41">
        <v>1202010217</v>
      </c>
      <c r="K539" s="41"/>
      <c r="L539" s="52" t="s">
        <v>1728</v>
      </c>
      <c r="M539" s="69" t="s">
        <v>1729</v>
      </c>
      <c r="N539" s="69"/>
      <c r="O539" s="69">
        <v>1</v>
      </c>
      <c r="P539" s="69" t="s">
        <v>50</v>
      </c>
      <c r="Q539" s="69" t="s">
        <v>51</v>
      </c>
      <c r="R539" s="69"/>
      <c r="S539" s="48">
        <v>45158</v>
      </c>
      <c r="T539" s="48">
        <v>45158</v>
      </c>
      <c r="U539" s="69"/>
      <c r="V539" s="69"/>
      <c r="W539" s="69"/>
      <c r="X539" s="69"/>
      <c r="Y539" s="69" t="s">
        <v>4129</v>
      </c>
      <c r="Z539" s="52">
        <v>102436</v>
      </c>
      <c r="AA539" s="43" t="s">
        <v>52</v>
      </c>
      <c r="AB539" s="43" t="s">
        <v>53</v>
      </c>
      <c r="AC539" s="85">
        <v>3650</v>
      </c>
      <c r="AD539" s="141">
        <v>10</v>
      </c>
      <c r="AE539" s="142">
        <v>0</v>
      </c>
      <c r="AF539" s="69" t="str">
        <f t="shared" si="93"/>
        <v>1 years 135 days</v>
      </c>
      <c r="AG539" s="69">
        <v>1</v>
      </c>
      <c r="AH539" s="69">
        <v>135</v>
      </c>
      <c r="AI539" s="69">
        <v>102436</v>
      </c>
      <c r="AJ539" s="67">
        <v>14032</v>
      </c>
      <c r="AK539" s="69">
        <v>2025</v>
      </c>
      <c r="AL539" s="61">
        <v>5080.0317808219188</v>
      </c>
      <c r="AM539" s="143"/>
    </row>
    <row r="540" spans="1:39" x14ac:dyDescent="0.35">
      <c r="A540" s="69" t="s">
        <v>4124</v>
      </c>
      <c r="B540" s="41">
        <v>1101504376</v>
      </c>
      <c r="C540" s="41"/>
      <c r="D540" s="69"/>
      <c r="E540" s="101">
        <v>0</v>
      </c>
      <c r="F540" s="41" t="s">
        <v>1152</v>
      </c>
      <c r="G540" s="69" t="s">
        <v>1151</v>
      </c>
      <c r="H540" s="41">
        <v>9008000063</v>
      </c>
      <c r="I540" s="41" t="s">
        <v>1731</v>
      </c>
      <c r="J540" s="41">
        <v>1202110101</v>
      </c>
      <c r="K540" s="41" t="s">
        <v>1732</v>
      </c>
      <c r="L540" s="52" t="s">
        <v>1733</v>
      </c>
      <c r="M540" s="69" t="s">
        <v>1734</v>
      </c>
      <c r="N540" s="69"/>
      <c r="O540" s="69">
        <v>1</v>
      </c>
      <c r="P540" s="69" t="s">
        <v>50</v>
      </c>
      <c r="Q540" s="69" t="s">
        <v>51</v>
      </c>
      <c r="R540" s="69"/>
      <c r="S540" s="48">
        <v>43550</v>
      </c>
      <c r="T540" s="48">
        <v>43550</v>
      </c>
      <c r="U540" s="69"/>
      <c r="V540" s="69"/>
      <c r="W540" s="69"/>
      <c r="X540" s="69"/>
      <c r="Y540" s="69" t="s">
        <v>4126</v>
      </c>
      <c r="Z540" s="52">
        <v>1773118</v>
      </c>
      <c r="AA540" s="43" t="s">
        <v>52</v>
      </c>
      <c r="AB540" s="43" t="s">
        <v>53</v>
      </c>
      <c r="AC540" s="85">
        <v>3650</v>
      </c>
      <c r="AD540" s="141">
        <v>10</v>
      </c>
      <c r="AE540" s="142">
        <v>0</v>
      </c>
      <c r="AF540" s="69" t="str">
        <f t="shared" ref="AF540:AF541" si="94">_xlfn.CONCAT(AG540," years ",AH540," days")</f>
        <v>5 years 283 days</v>
      </c>
      <c r="AG540" s="69">
        <v>5</v>
      </c>
      <c r="AH540" s="69">
        <v>283</v>
      </c>
      <c r="AI540" s="69">
        <v>1773118</v>
      </c>
      <c r="AJ540" s="67">
        <v>1023551</v>
      </c>
      <c r="AK540" s="69">
        <v>2025</v>
      </c>
      <c r="AL540" s="61">
        <v>87926.803835616447</v>
      </c>
      <c r="AM540" s="143"/>
    </row>
    <row r="541" spans="1:39" x14ac:dyDescent="0.35">
      <c r="A541" s="69" t="s">
        <v>4124</v>
      </c>
      <c r="B541" s="41">
        <v>1101404935</v>
      </c>
      <c r="C541" s="41"/>
      <c r="D541" s="41" t="s">
        <v>1730</v>
      </c>
      <c r="E541" s="101">
        <v>1</v>
      </c>
      <c r="F541" s="41" t="s">
        <v>1152</v>
      </c>
      <c r="G541" s="69" t="s">
        <v>1151</v>
      </c>
      <c r="H541" s="41">
        <v>9008000063</v>
      </c>
      <c r="I541" s="41" t="s">
        <v>1731</v>
      </c>
      <c r="J541" s="41">
        <v>1202110101</v>
      </c>
      <c r="K541" s="41"/>
      <c r="L541" s="52" t="s">
        <v>1736</v>
      </c>
      <c r="M541" s="69" t="s">
        <v>1737</v>
      </c>
      <c r="N541" s="69"/>
      <c r="O541" s="69">
        <v>30</v>
      </c>
      <c r="P541" s="69" t="s">
        <v>50</v>
      </c>
      <c r="Q541" s="69" t="s">
        <v>51</v>
      </c>
      <c r="R541" s="69"/>
      <c r="S541" s="48">
        <v>45199</v>
      </c>
      <c r="T541" s="48">
        <v>45199</v>
      </c>
      <c r="U541" s="69"/>
      <c r="V541" s="69"/>
      <c r="W541" s="69"/>
      <c r="X541" s="69"/>
      <c r="Y541" s="69" t="s">
        <v>4129</v>
      </c>
      <c r="Z541" s="52">
        <v>76500</v>
      </c>
      <c r="AA541" s="43" t="s">
        <v>52</v>
      </c>
      <c r="AB541" s="43" t="s">
        <v>53</v>
      </c>
      <c r="AC541" s="85">
        <v>3650</v>
      </c>
      <c r="AD541" s="141">
        <v>10</v>
      </c>
      <c r="AE541" s="142">
        <v>0</v>
      </c>
      <c r="AF541" s="69" t="str">
        <f t="shared" si="94"/>
        <v>1 years 94 days</v>
      </c>
      <c r="AG541" s="69">
        <v>1</v>
      </c>
      <c r="AH541" s="69">
        <v>94</v>
      </c>
      <c r="AI541" s="69">
        <v>76500</v>
      </c>
      <c r="AJ541" s="67">
        <v>9620</v>
      </c>
      <c r="AK541" s="69">
        <v>2025</v>
      </c>
      <c r="AL541" s="61">
        <v>3793.698630136987</v>
      </c>
      <c r="AM541" s="143"/>
    </row>
    <row r="542" spans="1:39" x14ac:dyDescent="0.35">
      <c r="A542" s="69" t="s">
        <v>4124</v>
      </c>
      <c r="B542" s="41">
        <v>1101103320</v>
      </c>
      <c r="C542" s="41"/>
      <c r="D542" s="41" t="s">
        <v>1738</v>
      </c>
      <c r="E542" s="101">
        <v>2</v>
      </c>
      <c r="F542" s="41" t="s">
        <v>1152</v>
      </c>
      <c r="G542" s="69" t="s">
        <v>1151</v>
      </c>
      <c r="H542" s="41">
        <v>9008000064</v>
      </c>
      <c r="I542" s="41" t="s">
        <v>1731</v>
      </c>
      <c r="J542" s="41">
        <v>1202110101</v>
      </c>
      <c r="K542" s="41"/>
      <c r="L542" s="52" t="s">
        <v>1746</v>
      </c>
      <c r="M542" s="69" t="s">
        <v>1747</v>
      </c>
      <c r="N542" s="69"/>
      <c r="O542" s="69">
        <v>2</v>
      </c>
      <c r="P542" s="69" t="s">
        <v>50</v>
      </c>
      <c r="Q542" s="69" t="s">
        <v>51</v>
      </c>
      <c r="R542" s="69"/>
      <c r="S542" s="48">
        <v>44008</v>
      </c>
      <c r="T542" s="48">
        <v>44008</v>
      </c>
      <c r="U542" s="69"/>
      <c r="V542" s="69"/>
      <c r="W542" s="69"/>
      <c r="X542" s="69"/>
      <c r="Y542" s="69" t="s">
        <v>4127</v>
      </c>
      <c r="Z542" s="52">
        <v>47500</v>
      </c>
      <c r="AA542" s="43" t="s">
        <v>52</v>
      </c>
      <c r="AB542" s="43" t="s">
        <v>53</v>
      </c>
      <c r="AC542" s="85">
        <v>3650</v>
      </c>
      <c r="AD542" s="141">
        <v>10</v>
      </c>
      <c r="AE542" s="142">
        <v>0</v>
      </c>
      <c r="AF542" s="69" t="str">
        <f t="shared" ref="AF542:AF544" si="95">_xlfn.CONCAT(AG542," years ",AH542," days")</f>
        <v>4 years 190 days</v>
      </c>
      <c r="AG542" s="69">
        <v>4</v>
      </c>
      <c r="AH542" s="69">
        <v>190</v>
      </c>
      <c r="AI542" s="69">
        <v>47500</v>
      </c>
      <c r="AJ542" s="67">
        <v>21473</v>
      </c>
      <c r="AK542" s="69">
        <v>2025</v>
      </c>
      <c r="AL542" s="61">
        <v>2355.0821917808207</v>
      </c>
      <c r="AM542" s="143"/>
    </row>
    <row r="543" spans="1:39" x14ac:dyDescent="0.35">
      <c r="A543" s="69" t="s">
        <v>4124</v>
      </c>
      <c r="B543" s="41">
        <v>1101404941</v>
      </c>
      <c r="C543" s="41"/>
      <c r="D543" s="69"/>
      <c r="E543" s="101">
        <v>0</v>
      </c>
      <c r="F543" s="41" t="s">
        <v>1152</v>
      </c>
      <c r="G543" s="69" t="s">
        <v>1151</v>
      </c>
      <c r="H543" s="41">
        <v>9008000064</v>
      </c>
      <c r="I543" s="41" t="s">
        <v>1731</v>
      </c>
      <c r="J543" s="41">
        <v>1202110101</v>
      </c>
      <c r="K543" s="41" t="s">
        <v>1739</v>
      </c>
      <c r="L543" s="52" t="s">
        <v>1740</v>
      </c>
      <c r="M543" s="69" t="s">
        <v>1741</v>
      </c>
      <c r="N543" s="69"/>
      <c r="O543" s="69">
        <v>1</v>
      </c>
      <c r="P543" s="69" t="s">
        <v>50</v>
      </c>
      <c r="Q543" s="69" t="s">
        <v>51</v>
      </c>
      <c r="R543" s="69"/>
      <c r="S543" s="48">
        <v>44414</v>
      </c>
      <c r="T543" s="48">
        <v>44414</v>
      </c>
      <c r="U543" s="69"/>
      <c r="V543" s="69"/>
      <c r="W543" s="69"/>
      <c r="X543" s="69"/>
      <c r="Y543" s="69" t="s">
        <v>4128</v>
      </c>
      <c r="Z543" s="52">
        <v>1725000</v>
      </c>
      <c r="AA543" s="43" t="s">
        <v>52</v>
      </c>
      <c r="AB543" s="43" t="s">
        <v>53</v>
      </c>
      <c r="AC543" s="85">
        <v>3650</v>
      </c>
      <c r="AD543" s="141">
        <v>10</v>
      </c>
      <c r="AE543" s="142">
        <v>0</v>
      </c>
      <c r="AF543" s="69" t="str">
        <f t="shared" si="95"/>
        <v>3 years 149 days</v>
      </c>
      <c r="AG543" s="69">
        <v>3</v>
      </c>
      <c r="AH543" s="69">
        <v>149</v>
      </c>
      <c r="AI543" s="69">
        <v>1725000</v>
      </c>
      <c r="AJ543" s="67">
        <v>587918</v>
      </c>
      <c r="AK543" s="69">
        <v>2025</v>
      </c>
      <c r="AL543" s="61">
        <v>85540.904109589057</v>
      </c>
      <c r="AM543" s="143"/>
    </row>
    <row r="544" spans="1:39" x14ac:dyDescent="0.35">
      <c r="A544" s="69" t="s">
        <v>4124</v>
      </c>
      <c r="B544" s="41">
        <v>1101404768</v>
      </c>
      <c r="C544" s="41"/>
      <c r="D544" s="41" t="s">
        <v>1738</v>
      </c>
      <c r="E544" s="101">
        <v>1</v>
      </c>
      <c r="F544" s="41" t="s">
        <v>1152</v>
      </c>
      <c r="G544" s="69" t="s">
        <v>1151</v>
      </c>
      <c r="H544" s="41">
        <v>9008000064</v>
      </c>
      <c r="I544" s="41" t="s">
        <v>1731</v>
      </c>
      <c r="J544" s="41">
        <v>1202110101</v>
      </c>
      <c r="K544" s="41"/>
      <c r="L544" s="52" t="s">
        <v>1743</v>
      </c>
      <c r="M544" s="69" t="s">
        <v>1744</v>
      </c>
      <c r="N544" s="69"/>
      <c r="O544" s="69">
        <v>1</v>
      </c>
      <c r="P544" s="69" t="s">
        <v>50</v>
      </c>
      <c r="Q544" s="69" t="s">
        <v>51</v>
      </c>
      <c r="R544" s="69"/>
      <c r="S544" s="48">
        <v>45068</v>
      </c>
      <c r="T544" s="48">
        <v>45068</v>
      </c>
      <c r="U544" s="69"/>
      <c r="V544" s="69"/>
      <c r="W544" s="69"/>
      <c r="X544" s="69"/>
      <c r="Y544" s="69" t="s">
        <v>4129</v>
      </c>
      <c r="Z544" s="52">
        <v>100000</v>
      </c>
      <c r="AA544" s="43" t="s">
        <v>52</v>
      </c>
      <c r="AB544" s="43" t="s">
        <v>53</v>
      </c>
      <c r="AC544" s="85">
        <v>3650</v>
      </c>
      <c r="AD544" s="141">
        <v>10</v>
      </c>
      <c r="AE544" s="142">
        <v>0</v>
      </c>
      <c r="AF544" s="69" t="str">
        <f t="shared" si="95"/>
        <v>1 years 225 days</v>
      </c>
      <c r="AG544" s="69">
        <v>1</v>
      </c>
      <c r="AH544" s="69">
        <v>225</v>
      </c>
      <c r="AI544" s="69">
        <v>100000</v>
      </c>
      <c r="AJ544" s="67">
        <v>16164</v>
      </c>
      <c r="AK544" s="69">
        <v>2025</v>
      </c>
      <c r="AL544" s="61">
        <v>4959.2876712328762</v>
      </c>
      <c r="AM544" s="143"/>
    </row>
    <row r="545" spans="1:39" x14ac:dyDescent="0.35">
      <c r="A545" s="69" t="s">
        <v>4124</v>
      </c>
      <c r="B545" s="41">
        <v>1101405369</v>
      </c>
      <c r="C545" s="41"/>
      <c r="D545" s="69"/>
      <c r="E545" s="101">
        <v>0</v>
      </c>
      <c r="F545" s="41" t="s">
        <v>1152</v>
      </c>
      <c r="G545" s="69" t="s">
        <v>1151</v>
      </c>
      <c r="H545" s="41">
        <v>9008000065</v>
      </c>
      <c r="I545" s="41" t="s">
        <v>1731</v>
      </c>
      <c r="J545" s="41">
        <v>1202110101</v>
      </c>
      <c r="K545" s="41" t="s">
        <v>1749</v>
      </c>
      <c r="L545" s="52" t="s">
        <v>1750</v>
      </c>
      <c r="M545" s="69" t="s">
        <v>1751</v>
      </c>
      <c r="N545" s="69"/>
      <c r="O545" s="69">
        <v>8</v>
      </c>
      <c r="P545" s="69" t="s">
        <v>50</v>
      </c>
      <c r="Q545" s="69" t="s">
        <v>51</v>
      </c>
      <c r="R545" s="69"/>
      <c r="S545" s="48">
        <v>45675</v>
      </c>
      <c r="T545" s="48">
        <v>45675</v>
      </c>
      <c r="U545" s="69"/>
      <c r="V545" s="69"/>
      <c r="W545" s="69"/>
      <c r="X545" s="69"/>
      <c r="Y545" s="69" t="s">
        <v>4132</v>
      </c>
      <c r="Z545" s="83">
        <v>3592660</v>
      </c>
      <c r="AA545" s="43" t="s">
        <v>52</v>
      </c>
      <c r="AB545" s="43" t="s">
        <v>53</v>
      </c>
      <c r="AC545" s="85">
        <v>3650</v>
      </c>
      <c r="AD545" s="141">
        <v>10</v>
      </c>
      <c r="AE545" s="142">
        <v>0</v>
      </c>
      <c r="AF545" s="69" t="str">
        <f>_xlfn.CONCAT(AG545," years ",AH545," days")</f>
        <v>0 years 0 days</v>
      </c>
      <c r="AG545" s="69">
        <v>0</v>
      </c>
      <c r="AH545" s="69">
        <v>0</v>
      </c>
      <c r="AI545" s="69">
        <v>3592660</v>
      </c>
      <c r="AJ545" s="67">
        <v>0</v>
      </c>
      <c r="AK545" s="69">
        <v>2025</v>
      </c>
      <c r="AL545" s="61">
        <v>161423.62739726028</v>
      </c>
      <c r="AM545" s="143"/>
    </row>
    <row r="546" spans="1:39" x14ac:dyDescent="0.35">
      <c r="A546" s="69" t="s">
        <v>4124</v>
      </c>
      <c r="B546" s="41">
        <v>1101405119</v>
      </c>
      <c r="C546" s="41"/>
      <c r="D546" s="69"/>
      <c r="E546" s="101">
        <v>0</v>
      </c>
      <c r="F546" s="41" t="s">
        <v>1152</v>
      </c>
      <c r="G546" s="69" t="s">
        <v>1151</v>
      </c>
      <c r="H546" s="41">
        <v>9008000066</v>
      </c>
      <c r="I546" s="41" t="s">
        <v>261</v>
      </c>
      <c r="J546" s="41">
        <v>1202010217</v>
      </c>
      <c r="K546" s="41" t="s">
        <v>1753</v>
      </c>
      <c r="L546" s="52" t="s">
        <v>1754</v>
      </c>
      <c r="M546" s="69" t="s">
        <v>1755</v>
      </c>
      <c r="N546" s="69"/>
      <c r="O546" s="69">
        <v>1</v>
      </c>
      <c r="P546" s="69" t="s">
        <v>50</v>
      </c>
      <c r="Q546" s="69" t="s">
        <v>51</v>
      </c>
      <c r="R546" s="69"/>
      <c r="S546" s="48">
        <v>45370</v>
      </c>
      <c r="T546" s="48">
        <v>45370</v>
      </c>
      <c r="U546" s="69"/>
      <c r="V546" s="69"/>
      <c r="W546" s="69"/>
      <c r="X546" s="69"/>
      <c r="Y546" s="69" t="s">
        <v>4130</v>
      </c>
      <c r="Z546" s="52">
        <v>50000</v>
      </c>
      <c r="AA546" s="43" t="s">
        <v>52</v>
      </c>
      <c r="AB546" s="43" t="s">
        <v>53</v>
      </c>
      <c r="AC546" s="85">
        <v>3650</v>
      </c>
      <c r="AD546" s="141">
        <v>10</v>
      </c>
      <c r="AE546" s="142">
        <v>0</v>
      </c>
      <c r="AF546" s="69" t="str">
        <f>_xlfn.CONCAT(AG546," years ",AH546," days")</f>
        <v>0 years 288 days</v>
      </c>
      <c r="AG546" s="69">
        <v>0</v>
      </c>
      <c r="AH546" s="69">
        <v>288</v>
      </c>
      <c r="AI546" s="69">
        <v>50000</v>
      </c>
      <c r="AJ546" s="67">
        <v>3945</v>
      </c>
      <c r="AK546" s="69">
        <v>2025</v>
      </c>
      <c r="AL546" s="61">
        <v>2479.6575342465749</v>
      </c>
      <c r="AM546" s="143"/>
    </row>
    <row r="547" spans="1:39" x14ac:dyDescent="0.35">
      <c r="A547" s="69" t="s">
        <v>4124</v>
      </c>
      <c r="B547" s="41">
        <v>1101403436</v>
      </c>
      <c r="C547" s="41"/>
      <c r="D547" s="69"/>
      <c r="E547" s="101">
        <v>0</v>
      </c>
      <c r="F547" s="41" t="s">
        <v>1152</v>
      </c>
      <c r="G547" s="69" t="s">
        <v>1151</v>
      </c>
      <c r="H547" s="41">
        <v>9008000067</v>
      </c>
      <c r="I547" s="41" t="s">
        <v>261</v>
      </c>
      <c r="J547" s="41">
        <v>1202010217</v>
      </c>
      <c r="K547" s="41" t="s">
        <v>1757</v>
      </c>
      <c r="L547" s="52" t="s">
        <v>1758</v>
      </c>
      <c r="M547" s="69" t="s">
        <v>1759</v>
      </c>
      <c r="N547" s="69"/>
      <c r="O547" s="69">
        <v>1</v>
      </c>
      <c r="P547" s="69" t="s">
        <v>50</v>
      </c>
      <c r="Q547" s="69" t="s">
        <v>51</v>
      </c>
      <c r="R547" s="69"/>
      <c r="S547" s="48">
        <v>44137</v>
      </c>
      <c r="T547" s="48">
        <v>44137</v>
      </c>
      <c r="U547" s="69"/>
      <c r="V547" s="69"/>
      <c r="W547" s="69"/>
      <c r="X547" s="69"/>
      <c r="Y547" s="69" t="s">
        <v>4127</v>
      </c>
      <c r="Z547" s="52">
        <v>780000</v>
      </c>
      <c r="AA547" s="43" t="s">
        <v>52</v>
      </c>
      <c r="AB547" s="43" t="s">
        <v>53</v>
      </c>
      <c r="AC547" s="85">
        <v>3650</v>
      </c>
      <c r="AD547" s="141">
        <v>10</v>
      </c>
      <c r="AE547" s="142">
        <v>0</v>
      </c>
      <c r="AF547" s="69" t="str">
        <f>_xlfn.CONCAT(AG547," years ",AH547," days")</f>
        <v>4 years 61 days</v>
      </c>
      <c r="AG547" s="69">
        <v>4</v>
      </c>
      <c r="AH547" s="69">
        <v>61</v>
      </c>
      <c r="AI547" s="69">
        <v>780000</v>
      </c>
      <c r="AJ547" s="67">
        <v>325036</v>
      </c>
      <c r="AK547" s="69">
        <v>2025</v>
      </c>
      <c r="AL547" s="61">
        <v>38679.068493150757</v>
      </c>
      <c r="AM547" s="143"/>
    </row>
    <row r="548" spans="1:39" x14ac:dyDescent="0.35">
      <c r="A548" s="69" t="s">
        <v>4124</v>
      </c>
      <c r="B548" s="41">
        <v>1101404090</v>
      </c>
      <c r="C548" s="41"/>
      <c r="D548" s="69"/>
      <c r="E548" s="101">
        <v>0</v>
      </c>
      <c r="F548" s="41" t="s">
        <v>1152</v>
      </c>
      <c r="G548" s="69" t="s">
        <v>1151</v>
      </c>
      <c r="H548" s="41">
        <v>9008000068</v>
      </c>
      <c r="I548" s="41" t="s">
        <v>261</v>
      </c>
      <c r="J548" s="41">
        <v>1202010217</v>
      </c>
      <c r="K548" s="41" t="s">
        <v>1761</v>
      </c>
      <c r="L548" s="52" t="s">
        <v>1762</v>
      </c>
      <c r="M548" s="69" t="s">
        <v>1763</v>
      </c>
      <c r="N548" s="69"/>
      <c r="O548" s="69">
        <v>3</v>
      </c>
      <c r="P548" s="69" t="s">
        <v>50</v>
      </c>
      <c r="Q548" s="69" t="s">
        <v>51</v>
      </c>
      <c r="R548" s="69"/>
      <c r="S548" s="48">
        <v>44683</v>
      </c>
      <c r="T548" s="48">
        <v>44683</v>
      </c>
      <c r="U548" s="69"/>
      <c r="V548" s="69"/>
      <c r="W548" s="69"/>
      <c r="X548" s="69"/>
      <c r="Y548" s="69" t="s">
        <v>4131</v>
      </c>
      <c r="Z548" s="52">
        <v>1018250</v>
      </c>
      <c r="AA548" s="43" t="s">
        <v>52</v>
      </c>
      <c r="AB548" s="43" t="s">
        <v>53</v>
      </c>
      <c r="AC548" s="85">
        <v>3650</v>
      </c>
      <c r="AD548" s="141">
        <v>10</v>
      </c>
      <c r="AE548" s="142">
        <v>0</v>
      </c>
      <c r="AF548" s="69" t="str">
        <f>_xlfn.CONCAT(AG548," years ",AH548," days")</f>
        <v>2 years 245 days</v>
      </c>
      <c r="AG548" s="69">
        <v>2</v>
      </c>
      <c r="AH548" s="69">
        <v>245</v>
      </c>
      <c r="AI548" s="69">
        <v>1018250</v>
      </c>
      <c r="AJ548" s="67">
        <v>271998</v>
      </c>
      <c r="AK548" s="69">
        <v>2025</v>
      </c>
      <c r="AL548" s="61">
        <v>50494.328767123283</v>
      </c>
      <c r="AM548" s="143"/>
    </row>
    <row r="549" spans="1:39" x14ac:dyDescent="0.35">
      <c r="A549" s="69" t="s">
        <v>4124</v>
      </c>
      <c r="B549" s="41">
        <v>1101504378</v>
      </c>
      <c r="C549" s="41"/>
      <c r="D549" s="69"/>
      <c r="E549" s="101">
        <v>0</v>
      </c>
      <c r="F549" s="41" t="s">
        <v>1152</v>
      </c>
      <c r="G549" s="69" t="s">
        <v>1151</v>
      </c>
      <c r="H549" s="41">
        <v>9008000069</v>
      </c>
      <c r="I549" s="41" t="s">
        <v>261</v>
      </c>
      <c r="J549" s="41">
        <v>1202010217</v>
      </c>
      <c r="K549" s="41" t="s">
        <v>1765</v>
      </c>
      <c r="L549" s="52" t="s">
        <v>1766</v>
      </c>
      <c r="M549" s="69" t="s">
        <v>1767</v>
      </c>
      <c r="N549" s="69"/>
      <c r="O549" s="69">
        <v>1</v>
      </c>
      <c r="P549" s="69" t="s">
        <v>50</v>
      </c>
      <c r="Q549" s="69" t="s">
        <v>51</v>
      </c>
      <c r="R549" s="69"/>
      <c r="S549" s="48">
        <v>44206</v>
      </c>
      <c r="T549" s="48">
        <v>44206</v>
      </c>
      <c r="U549" s="69"/>
      <c r="V549" s="69"/>
      <c r="W549" s="69"/>
      <c r="X549" s="69"/>
      <c r="Y549" s="69" t="s">
        <v>4128</v>
      </c>
      <c r="Z549" s="52">
        <v>565000</v>
      </c>
      <c r="AA549" s="43" t="s">
        <v>52</v>
      </c>
      <c r="AB549" s="43" t="s">
        <v>53</v>
      </c>
      <c r="AC549" s="85">
        <v>3650</v>
      </c>
      <c r="AD549" s="141">
        <v>10</v>
      </c>
      <c r="AE549" s="142">
        <v>0</v>
      </c>
      <c r="AF549" s="69" t="str">
        <f>_xlfn.CONCAT(AG549," years ",AH549," days")</f>
        <v>3 years 357 days</v>
      </c>
      <c r="AG549" s="69">
        <v>3</v>
      </c>
      <c r="AH549" s="69">
        <v>357</v>
      </c>
      <c r="AI549" s="69">
        <v>565000</v>
      </c>
      <c r="AJ549" s="67">
        <v>224762</v>
      </c>
      <c r="AK549" s="69">
        <v>2025</v>
      </c>
      <c r="AL549" s="61">
        <v>28017.452054794499</v>
      </c>
      <c r="AM549" s="143"/>
    </row>
    <row r="550" spans="1:39" x14ac:dyDescent="0.35">
      <c r="A550" s="69" t="s">
        <v>4124</v>
      </c>
      <c r="B550" s="41">
        <v>1101402770</v>
      </c>
      <c r="C550" s="41"/>
      <c r="D550" s="69"/>
      <c r="E550" s="101">
        <v>0</v>
      </c>
      <c r="F550" s="41" t="s">
        <v>1152</v>
      </c>
      <c r="G550" s="69" t="s">
        <v>1151</v>
      </c>
      <c r="H550" s="41">
        <v>9008000070</v>
      </c>
      <c r="I550" s="41" t="s">
        <v>261</v>
      </c>
      <c r="J550" s="41">
        <v>1202010217</v>
      </c>
      <c r="K550" s="41" t="s">
        <v>1769</v>
      </c>
      <c r="L550" s="52" t="s">
        <v>1770</v>
      </c>
      <c r="M550" s="69" t="s">
        <v>49</v>
      </c>
      <c r="N550" s="69"/>
      <c r="O550" s="69">
        <v>1</v>
      </c>
      <c r="P550" s="69" t="s">
        <v>50</v>
      </c>
      <c r="Q550" s="69" t="s">
        <v>51</v>
      </c>
      <c r="R550" s="69"/>
      <c r="S550" s="48">
        <v>42884</v>
      </c>
      <c r="T550" s="48">
        <v>43340</v>
      </c>
      <c r="U550" s="69"/>
      <c r="V550" s="69"/>
      <c r="W550" s="69"/>
      <c r="X550" s="69"/>
      <c r="Y550" s="69" t="s">
        <v>4125</v>
      </c>
      <c r="Z550" s="52">
        <v>300000</v>
      </c>
      <c r="AA550" s="43" t="s">
        <v>52</v>
      </c>
      <c r="AB550" s="43" t="s">
        <v>53</v>
      </c>
      <c r="AC550" s="85">
        <v>5001</v>
      </c>
      <c r="AD550" s="141">
        <v>13</v>
      </c>
      <c r="AE550" s="142">
        <v>9</v>
      </c>
      <c r="AF550" s="69" t="str">
        <f t="shared" ref="AF550:AF551" si="96">_xlfn.CONCAT(AG550," years ",AH550," days")</f>
        <v>6 years 128 days</v>
      </c>
      <c r="AG550" s="69">
        <v>6</v>
      </c>
      <c r="AH550" s="69">
        <v>128</v>
      </c>
      <c r="AI550" s="69">
        <v>300000</v>
      </c>
      <c r="AJ550" s="67">
        <v>138992</v>
      </c>
      <c r="AK550" s="69">
        <v>2025</v>
      </c>
      <c r="AL550" s="61">
        <v>10858.029994001321</v>
      </c>
      <c r="AM550" s="143"/>
    </row>
    <row r="551" spans="1:39" x14ac:dyDescent="0.35">
      <c r="A551" s="69" t="s">
        <v>4124</v>
      </c>
      <c r="B551" s="41">
        <v>1101504381</v>
      </c>
      <c r="C551" s="41"/>
      <c r="D551" s="41" t="s">
        <v>1768</v>
      </c>
      <c r="E551" s="101">
        <v>1</v>
      </c>
      <c r="F551" s="41" t="s">
        <v>1152</v>
      </c>
      <c r="G551" s="69" t="s">
        <v>1151</v>
      </c>
      <c r="H551" s="41">
        <v>9008000070</v>
      </c>
      <c r="I551" s="41" t="s">
        <v>261</v>
      </c>
      <c r="J551" s="41">
        <v>1202010217</v>
      </c>
      <c r="K551" s="41"/>
      <c r="L551" s="52" t="s">
        <v>1772</v>
      </c>
      <c r="M551" s="69" t="s">
        <v>49</v>
      </c>
      <c r="N551" s="69"/>
      <c r="O551" s="69">
        <v>1</v>
      </c>
      <c r="P551" s="69" t="s">
        <v>50</v>
      </c>
      <c r="Q551" s="69" t="s">
        <v>51</v>
      </c>
      <c r="R551" s="69"/>
      <c r="S551" s="48">
        <v>42890</v>
      </c>
      <c r="T551" s="48">
        <v>43340</v>
      </c>
      <c r="U551" s="69"/>
      <c r="V551" s="69"/>
      <c r="W551" s="69"/>
      <c r="X551" s="69"/>
      <c r="Y551" s="69" t="s">
        <v>4125</v>
      </c>
      <c r="Z551" s="52">
        <v>175000</v>
      </c>
      <c r="AA551" s="43" t="s">
        <v>52</v>
      </c>
      <c r="AB551" s="43" t="s">
        <v>53</v>
      </c>
      <c r="AC551" s="85">
        <v>5037</v>
      </c>
      <c r="AD551" s="141">
        <v>13</v>
      </c>
      <c r="AE551" s="142">
        <v>10</v>
      </c>
      <c r="AF551" s="69" t="str">
        <f t="shared" si="96"/>
        <v>6 years 128 days</v>
      </c>
      <c r="AG551" s="69">
        <v>6</v>
      </c>
      <c r="AH551" s="69">
        <v>128</v>
      </c>
      <c r="AI551" s="69">
        <v>175000</v>
      </c>
      <c r="AJ551" s="67">
        <v>80499</v>
      </c>
      <c r="AK551" s="69">
        <v>2025</v>
      </c>
      <c r="AL551" s="61">
        <v>6288.7704983124859</v>
      </c>
      <c r="AM551" s="143"/>
    </row>
    <row r="552" spans="1:39" x14ac:dyDescent="0.35">
      <c r="A552" s="69" t="s">
        <v>4124</v>
      </c>
      <c r="B552" s="41">
        <v>1101402820</v>
      </c>
      <c r="C552" s="41"/>
      <c r="D552" s="69"/>
      <c r="E552" s="101">
        <v>0</v>
      </c>
      <c r="F552" s="41" t="s">
        <v>1152</v>
      </c>
      <c r="G552" s="69" t="s">
        <v>1151</v>
      </c>
      <c r="H552" s="41">
        <v>9008000071</v>
      </c>
      <c r="I552" s="41" t="s">
        <v>1774</v>
      </c>
      <c r="J552" s="41">
        <v>1202020109</v>
      </c>
      <c r="K552" s="41" t="s">
        <v>1775</v>
      </c>
      <c r="L552" s="52" t="s">
        <v>1776</v>
      </c>
      <c r="M552" s="69" t="s">
        <v>1777</v>
      </c>
      <c r="N552" s="69"/>
      <c r="O552" s="69">
        <v>1</v>
      </c>
      <c r="P552" s="69" t="s">
        <v>50</v>
      </c>
      <c r="Q552" s="69" t="s">
        <v>51</v>
      </c>
      <c r="R552" s="69"/>
      <c r="S552" s="48">
        <v>43485</v>
      </c>
      <c r="T552" s="48">
        <v>43485</v>
      </c>
      <c r="U552" s="69"/>
      <c r="V552" s="69"/>
      <c r="W552" s="69"/>
      <c r="X552" s="69"/>
      <c r="Y552" s="69" t="s">
        <v>4126</v>
      </c>
      <c r="Z552" s="52">
        <v>310000</v>
      </c>
      <c r="AA552" s="43" t="s">
        <v>52</v>
      </c>
      <c r="AB552" s="43" t="s">
        <v>53</v>
      </c>
      <c r="AC552" s="85">
        <v>3650</v>
      </c>
      <c r="AD552" s="141">
        <v>10</v>
      </c>
      <c r="AE552" s="142">
        <v>0</v>
      </c>
      <c r="AF552" s="69" t="str">
        <f>_xlfn.CONCAT(AG552," years ",AH552," days")</f>
        <v>5 years 348 days</v>
      </c>
      <c r="AG552" s="69">
        <v>5</v>
      </c>
      <c r="AH552" s="69">
        <v>348</v>
      </c>
      <c r="AI552" s="69">
        <v>310000</v>
      </c>
      <c r="AJ552" s="67">
        <v>184471</v>
      </c>
      <c r="AK552" s="69">
        <v>2025</v>
      </c>
      <c r="AL552" s="61">
        <v>15372.835616438359</v>
      </c>
      <c r="AM552" s="143"/>
    </row>
    <row r="553" spans="1:39" x14ac:dyDescent="0.35">
      <c r="A553" s="69" t="s">
        <v>4124</v>
      </c>
      <c r="B553" s="41">
        <v>1101404642</v>
      </c>
      <c r="C553" s="41"/>
      <c r="D553" s="69"/>
      <c r="E553" s="101">
        <v>0</v>
      </c>
      <c r="F553" s="41" t="s">
        <v>1152</v>
      </c>
      <c r="G553" s="69" t="s">
        <v>1151</v>
      </c>
      <c r="H553" s="41">
        <v>9008000072</v>
      </c>
      <c r="I553" s="41" t="s">
        <v>1779</v>
      </c>
      <c r="J553" s="41">
        <v>1202020111</v>
      </c>
      <c r="K553" s="41" t="s">
        <v>1780</v>
      </c>
      <c r="L553" s="52" t="s">
        <v>1781</v>
      </c>
      <c r="M553" s="69" t="s">
        <v>1782</v>
      </c>
      <c r="N553" s="69"/>
      <c r="O553" s="69">
        <v>1</v>
      </c>
      <c r="P553" s="69" t="s">
        <v>50</v>
      </c>
      <c r="Q553" s="69" t="s">
        <v>51</v>
      </c>
      <c r="R553" s="69"/>
      <c r="S553" s="48">
        <v>44986</v>
      </c>
      <c r="T553" s="48">
        <v>44986</v>
      </c>
      <c r="U553" s="69"/>
      <c r="V553" s="69"/>
      <c r="W553" s="69"/>
      <c r="X553" s="69"/>
      <c r="Y553" s="69" t="s">
        <v>4129</v>
      </c>
      <c r="Z553" s="52">
        <v>1400000</v>
      </c>
      <c r="AA553" s="43" t="s">
        <v>52</v>
      </c>
      <c r="AB553" s="43" t="s">
        <v>53</v>
      </c>
      <c r="AC553" s="85">
        <v>3650</v>
      </c>
      <c r="AD553" s="141">
        <v>10</v>
      </c>
      <c r="AE553" s="142">
        <v>0</v>
      </c>
      <c r="AF553" s="69" t="str">
        <f>_xlfn.CONCAT(AG553," years ",AH553," days")</f>
        <v>1 years 307 days</v>
      </c>
      <c r="AG553" s="69">
        <v>1</v>
      </c>
      <c r="AH553" s="69">
        <v>307</v>
      </c>
      <c r="AI553" s="69">
        <v>1400000</v>
      </c>
      <c r="AJ553" s="67">
        <v>257753</v>
      </c>
      <c r="AK553" s="69">
        <v>2025</v>
      </c>
      <c r="AL553" s="61">
        <v>69425.082191780792</v>
      </c>
      <c r="AM553" s="143"/>
    </row>
    <row r="554" spans="1:39" x14ac:dyDescent="0.35">
      <c r="A554" s="69" t="s">
        <v>4124</v>
      </c>
      <c r="B554" s="41">
        <v>1101403339</v>
      </c>
      <c r="C554" s="41"/>
      <c r="D554" s="69"/>
      <c r="E554" s="101">
        <v>0</v>
      </c>
      <c r="F554" s="41" t="s">
        <v>1152</v>
      </c>
      <c r="G554" s="69" t="s">
        <v>1151</v>
      </c>
      <c r="H554" s="41">
        <v>9008000073</v>
      </c>
      <c r="I554" s="41" t="s">
        <v>1779</v>
      </c>
      <c r="J554" s="41">
        <v>1202020111</v>
      </c>
      <c r="K554" s="41" t="s">
        <v>1784</v>
      </c>
      <c r="L554" s="52" t="s">
        <v>1785</v>
      </c>
      <c r="M554" s="69" t="s">
        <v>1786</v>
      </c>
      <c r="N554" s="69"/>
      <c r="O554" s="69">
        <v>1</v>
      </c>
      <c r="P554" s="69" t="s">
        <v>50</v>
      </c>
      <c r="Q554" s="69" t="s">
        <v>51</v>
      </c>
      <c r="R554" s="69"/>
      <c r="S554" s="48">
        <v>44032</v>
      </c>
      <c r="T554" s="48">
        <v>44032</v>
      </c>
      <c r="U554" s="69"/>
      <c r="V554" s="69"/>
      <c r="W554" s="69"/>
      <c r="X554" s="69"/>
      <c r="Y554" s="69" t="s">
        <v>4127</v>
      </c>
      <c r="Z554" s="52">
        <v>1100000</v>
      </c>
      <c r="AA554" s="43" t="s">
        <v>52</v>
      </c>
      <c r="AB554" s="43" t="s">
        <v>53</v>
      </c>
      <c r="AC554" s="85">
        <v>3650</v>
      </c>
      <c r="AD554" s="141">
        <v>10</v>
      </c>
      <c r="AE554" s="142">
        <v>0</v>
      </c>
      <c r="AF554" s="69" t="str">
        <f>_xlfn.CONCAT(AG554," years ",AH554," days")</f>
        <v>4 years 166 days</v>
      </c>
      <c r="AG554" s="69">
        <v>4</v>
      </c>
      <c r="AH554" s="69">
        <v>166</v>
      </c>
      <c r="AI554" s="69">
        <v>1100000</v>
      </c>
      <c r="AJ554" s="67">
        <v>490027</v>
      </c>
      <c r="AK554" s="69">
        <v>2025</v>
      </c>
      <c r="AL554" s="61">
        <v>54548.342465753434</v>
      </c>
      <c r="AM554" s="143"/>
    </row>
    <row r="555" spans="1:39" x14ac:dyDescent="0.35">
      <c r="A555" s="69" t="s">
        <v>4124</v>
      </c>
      <c r="B555" s="41">
        <v>1101504186</v>
      </c>
      <c r="C555" s="41"/>
      <c r="D555" s="69"/>
      <c r="E555" s="101">
        <v>0</v>
      </c>
      <c r="F555" s="41" t="s">
        <v>1152</v>
      </c>
      <c r="G555" s="69" t="s">
        <v>1151</v>
      </c>
      <c r="H555" s="41">
        <v>9008000074</v>
      </c>
      <c r="I555" s="41" t="s">
        <v>1779</v>
      </c>
      <c r="J555" s="41">
        <v>1202020111</v>
      </c>
      <c r="K555" s="41" t="s">
        <v>1788</v>
      </c>
      <c r="L555" s="52" t="s">
        <v>1789</v>
      </c>
      <c r="M555" s="69" t="s">
        <v>1790</v>
      </c>
      <c r="N555" s="69"/>
      <c r="O555" s="69">
        <v>1</v>
      </c>
      <c r="P555" s="69" t="s">
        <v>50</v>
      </c>
      <c r="Q555" s="69" t="s">
        <v>51</v>
      </c>
      <c r="R555" s="69"/>
      <c r="S555" s="48">
        <v>44620</v>
      </c>
      <c r="T555" s="48">
        <v>44620</v>
      </c>
      <c r="U555" s="69"/>
      <c r="V555" s="69"/>
      <c r="W555" s="69"/>
      <c r="X555" s="69"/>
      <c r="Y555" s="69" t="s">
        <v>4131</v>
      </c>
      <c r="Z555" s="52">
        <v>650000</v>
      </c>
      <c r="AA555" s="43" t="s">
        <v>52</v>
      </c>
      <c r="AB555" s="43" t="s">
        <v>53</v>
      </c>
      <c r="AC555" s="85">
        <v>3650</v>
      </c>
      <c r="AD555" s="141">
        <v>10</v>
      </c>
      <c r="AE555" s="142">
        <v>0</v>
      </c>
      <c r="AF555" s="69" t="str">
        <f>_xlfn.CONCAT(AG555," years ",AH555," days")</f>
        <v>2 years 308 days</v>
      </c>
      <c r="AG555" s="69">
        <v>2</v>
      </c>
      <c r="AH555" s="69">
        <v>308</v>
      </c>
      <c r="AI555" s="69">
        <v>650000</v>
      </c>
      <c r="AJ555" s="67">
        <v>184849</v>
      </c>
      <c r="AK555" s="69">
        <v>2025</v>
      </c>
      <c r="AL555" s="61">
        <v>32233.191780821915</v>
      </c>
      <c r="AM555" s="143"/>
    </row>
    <row r="556" spans="1:39" x14ac:dyDescent="0.35">
      <c r="A556" s="69" t="s">
        <v>4124</v>
      </c>
      <c r="B556" s="41">
        <v>1101404767</v>
      </c>
      <c r="C556" s="41"/>
      <c r="D556" s="69"/>
      <c r="E556" s="101">
        <v>0</v>
      </c>
      <c r="F556" s="41" t="s">
        <v>1152</v>
      </c>
      <c r="G556" s="69" t="s">
        <v>1151</v>
      </c>
      <c r="H556" s="41">
        <v>9008000075</v>
      </c>
      <c r="I556" s="41" t="s">
        <v>47</v>
      </c>
      <c r="J556" s="41">
        <v>1202010202</v>
      </c>
      <c r="K556" s="41" t="s">
        <v>818</v>
      </c>
      <c r="L556" s="52" t="s">
        <v>1792</v>
      </c>
      <c r="M556" s="69" t="s">
        <v>49</v>
      </c>
      <c r="N556" s="69"/>
      <c r="O556" s="69">
        <v>1</v>
      </c>
      <c r="P556" s="69" t="s">
        <v>50</v>
      </c>
      <c r="Q556" s="69" t="s">
        <v>51</v>
      </c>
      <c r="R556" s="69"/>
      <c r="S556" s="48">
        <v>41320</v>
      </c>
      <c r="T556" s="48">
        <v>43340</v>
      </c>
      <c r="U556" s="69"/>
      <c r="V556" s="69"/>
      <c r="W556" s="69"/>
      <c r="X556" s="69"/>
      <c r="Y556" s="69" t="s">
        <v>4125</v>
      </c>
      <c r="Z556" s="52">
        <v>7175000</v>
      </c>
      <c r="AA556" s="43" t="s">
        <v>52</v>
      </c>
      <c r="AB556" s="43" t="s">
        <v>53</v>
      </c>
      <c r="AC556" s="85">
        <v>3468</v>
      </c>
      <c r="AD556" s="141">
        <v>9</v>
      </c>
      <c r="AE556" s="142">
        <v>6</v>
      </c>
      <c r="AF556" s="69" t="str">
        <f>_xlfn.CONCAT(AG556," years ",AH556," days")</f>
        <v>6 years 128 days</v>
      </c>
      <c r="AG556" s="69">
        <v>6</v>
      </c>
      <c r="AH556" s="69">
        <v>128</v>
      </c>
      <c r="AI556" s="69">
        <v>7175000</v>
      </c>
      <c r="AJ556" s="67">
        <v>4793678</v>
      </c>
      <c r="AK556" s="69">
        <v>2025</v>
      </c>
      <c r="AL556" s="61">
        <v>374473.67243367992</v>
      </c>
      <c r="AM556" s="143"/>
    </row>
    <row r="557" spans="1:39" x14ac:dyDescent="0.35">
      <c r="A557" s="69" t="s">
        <v>4124</v>
      </c>
      <c r="B557" s="41">
        <v>1101402765</v>
      </c>
      <c r="C557" s="41"/>
      <c r="D557" s="69"/>
      <c r="E557" s="101">
        <v>0</v>
      </c>
      <c r="F557" s="41" t="s">
        <v>1152</v>
      </c>
      <c r="G557" s="69" t="s">
        <v>1151</v>
      </c>
      <c r="H557" s="41">
        <v>9008000076</v>
      </c>
      <c r="I557" s="41" t="s">
        <v>261</v>
      </c>
      <c r="J557" s="41" t="s">
        <v>1794</v>
      </c>
      <c r="K557" s="41" t="s">
        <v>818</v>
      </c>
      <c r="L557" s="52" t="s">
        <v>1795</v>
      </c>
      <c r="M557" s="69" t="s">
        <v>1796</v>
      </c>
      <c r="N557" s="69"/>
      <c r="O557" s="69">
        <v>1</v>
      </c>
      <c r="P557" s="69" t="s">
        <v>50</v>
      </c>
      <c r="Q557" s="69" t="s">
        <v>51</v>
      </c>
      <c r="R557" s="69"/>
      <c r="S557" s="48">
        <v>43449</v>
      </c>
      <c r="T557" s="48">
        <v>43449</v>
      </c>
      <c r="U557" s="69"/>
      <c r="V557" s="69"/>
      <c r="W557" s="69"/>
      <c r="X557" s="69"/>
      <c r="Y557" s="69" t="s">
        <v>4125</v>
      </c>
      <c r="Z557" s="52">
        <v>1623814</v>
      </c>
      <c r="AA557" s="43" t="s">
        <v>52</v>
      </c>
      <c r="AB557" s="43" t="s">
        <v>53</v>
      </c>
      <c r="AC557" s="85">
        <v>3650</v>
      </c>
      <c r="AD557" s="141">
        <v>10</v>
      </c>
      <c r="AE557" s="142">
        <v>0</v>
      </c>
      <c r="AF557" s="69" t="str">
        <f t="shared" ref="AF557:AF563" si="97">_xlfn.CONCAT(AG557," years ",AH557," days")</f>
        <v>6 years 19 days</v>
      </c>
      <c r="AG557" s="69">
        <v>6</v>
      </c>
      <c r="AH557" s="69">
        <v>19</v>
      </c>
      <c r="AI557" s="69">
        <v>1623814</v>
      </c>
      <c r="AJ557" s="67">
        <v>982296</v>
      </c>
      <c r="AK557" s="69">
        <v>2025</v>
      </c>
      <c r="AL557" s="61">
        <v>80523.629041095963</v>
      </c>
      <c r="AM557" s="143"/>
    </row>
    <row r="558" spans="1:39" x14ac:dyDescent="0.35">
      <c r="A558" s="69" t="s">
        <v>4124</v>
      </c>
      <c r="B558" s="41">
        <v>1101404478</v>
      </c>
      <c r="C558" s="41"/>
      <c r="D558" s="41" t="s">
        <v>1793</v>
      </c>
      <c r="E558" s="101">
        <v>1</v>
      </c>
      <c r="F558" s="41" t="s">
        <v>1152</v>
      </c>
      <c r="G558" s="69" t="s">
        <v>1151</v>
      </c>
      <c r="H558" s="41">
        <v>9008000076</v>
      </c>
      <c r="I558" s="41" t="s">
        <v>261</v>
      </c>
      <c r="J558" s="41" t="s">
        <v>1794</v>
      </c>
      <c r="K558" s="41" t="s">
        <v>818</v>
      </c>
      <c r="L558" s="52" t="s">
        <v>1798</v>
      </c>
      <c r="M558" s="69" t="s">
        <v>1799</v>
      </c>
      <c r="N558" s="69"/>
      <c r="O558" s="69">
        <v>3</v>
      </c>
      <c r="P558" s="69" t="s">
        <v>50</v>
      </c>
      <c r="Q558" s="69" t="s">
        <v>51</v>
      </c>
      <c r="R558" s="69"/>
      <c r="S558" s="48">
        <v>44896</v>
      </c>
      <c r="T558" s="48">
        <v>44896</v>
      </c>
      <c r="U558" s="69"/>
      <c r="V558" s="69"/>
      <c r="W558" s="69"/>
      <c r="X558" s="69"/>
      <c r="Y558" s="69" t="s">
        <v>4131</v>
      </c>
      <c r="Z558" s="52">
        <v>640350</v>
      </c>
      <c r="AA558" s="43" t="s">
        <v>52</v>
      </c>
      <c r="AB558" s="43" t="s">
        <v>53</v>
      </c>
      <c r="AC558" s="85">
        <v>3650</v>
      </c>
      <c r="AD558" s="141">
        <v>10</v>
      </c>
      <c r="AE558" s="142">
        <v>0</v>
      </c>
      <c r="AF558" s="69" t="str">
        <f t="shared" si="97"/>
        <v>2 years 32 days</v>
      </c>
      <c r="AG558" s="69">
        <v>2</v>
      </c>
      <c r="AH558" s="69">
        <v>32</v>
      </c>
      <c r="AI558" s="69">
        <v>640350</v>
      </c>
      <c r="AJ558" s="67">
        <v>133684</v>
      </c>
      <c r="AK558" s="69">
        <v>2025</v>
      </c>
      <c r="AL558" s="61">
        <v>31754.369863013708</v>
      </c>
      <c r="AM558" s="143"/>
    </row>
    <row r="559" spans="1:39" x14ac:dyDescent="0.35">
      <c r="A559" s="69" t="s">
        <v>4124</v>
      </c>
      <c r="B559" s="41">
        <v>1101404797</v>
      </c>
      <c r="C559" s="41"/>
      <c r="D559" s="41" t="s">
        <v>1793</v>
      </c>
      <c r="E559" s="101">
        <v>2</v>
      </c>
      <c r="F559" s="41" t="s">
        <v>1152</v>
      </c>
      <c r="G559" s="69" t="s">
        <v>1151</v>
      </c>
      <c r="H559" s="41">
        <v>9008000076</v>
      </c>
      <c r="I559" s="41" t="s">
        <v>261</v>
      </c>
      <c r="J559" s="41" t="s">
        <v>1794</v>
      </c>
      <c r="K559" s="41" t="s">
        <v>818</v>
      </c>
      <c r="L559" s="52" t="s">
        <v>1801</v>
      </c>
      <c r="M559" s="69" t="s">
        <v>1802</v>
      </c>
      <c r="N559" s="69"/>
      <c r="O559" s="69">
        <v>2</v>
      </c>
      <c r="P559" s="69" t="s">
        <v>50</v>
      </c>
      <c r="Q559" s="69" t="s">
        <v>51</v>
      </c>
      <c r="R559" s="69"/>
      <c r="S559" s="48">
        <v>45108</v>
      </c>
      <c r="T559" s="48">
        <v>45108</v>
      </c>
      <c r="U559" s="69"/>
      <c r="V559" s="69"/>
      <c r="W559" s="69"/>
      <c r="X559" s="69"/>
      <c r="Y559" s="69" t="s">
        <v>4129</v>
      </c>
      <c r="Z559" s="52">
        <v>436050</v>
      </c>
      <c r="AA559" s="43" t="s">
        <v>52</v>
      </c>
      <c r="AB559" s="43" t="s">
        <v>53</v>
      </c>
      <c r="AC559" s="85">
        <v>3650</v>
      </c>
      <c r="AD559" s="141">
        <v>10</v>
      </c>
      <c r="AE559" s="142">
        <v>0</v>
      </c>
      <c r="AF559" s="69" t="str">
        <f t="shared" si="97"/>
        <v>1 years 185 days</v>
      </c>
      <c r="AG559" s="69">
        <v>1</v>
      </c>
      <c r="AH559" s="69">
        <v>185</v>
      </c>
      <c r="AI559" s="69">
        <v>436050</v>
      </c>
      <c r="AJ559" s="67">
        <v>65706</v>
      </c>
      <c r="AK559" s="69">
        <v>2025</v>
      </c>
      <c r="AL559" s="61">
        <v>21623.465753424651</v>
      </c>
      <c r="AM559" s="143"/>
    </row>
    <row r="560" spans="1:39" x14ac:dyDescent="0.35">
      <c r="A560" s="69" t="s">
        <v>4124</v>
      </c>
      <c r="B560" s="41">
        <v>1101404803</v>
      </c>
      <c r="C560" s="41"/>
      <c r="D560" s="41" t="s">
        <v>1793</v>
      </c>
      <c r="E560" s="101">
        <v>3</v>
      </c>
      <c r="F560" s="41" t="s">
        <v>1152</v>
      </c>
      <c r="G560" s="69" t="s">
        <v>1151</v>
      </c>
      <c r="H560" s="41">
        <v>9008000076</v>
      </c>
      <c r="I560" s="41" t="s">
        <v>261</v>
      </c>
      <c r="J560" s="41" t="s">
        <v>1794</v>
      </c>
      <c r="K560" s="41" t="s">
        <v>818</v>
      </c>
      <c r="L560" s="52" t="s">
        <v>1804</v>
      </c>
      <c r="M560" s="69" t="s">
        <v>1805</v>
      </c>
      <c r="N560" s="69"/>
      <c r="O560" s="69">
        <v>1</v>
      </c>
      <c r="P560" s="69" t="s">
        <v>50</v>
      </c>
      <c r="Q560" s="69" t="s">
        <v>51</v>
      </c>
      <c r="R560" s="69"/>
      <c r="S560" s="48">
        <v>45108</v>
      </c>
      <c r="T560" s="48">
        <v>45108</v>
      </c>
      <c r="U560" s="69"/>
      <c r="V560" s="69"/>
      <c r="W560" s="69"/>
      <c r="X560" s="69"/>
      <c r="Y560" s="69" t="s">
        <v>4129</v>
      </c>
      <c r="Z560" s="52">
        <v>439190</v>
      </c>
      <c r="AA560" s="43" t="s">
        <v>52</v>
      </c>
      <c r="AB560" s="43" t="s">
        <v>53</v>
      </c>
      <c r="AC560" s="85">
        <v>3650</v>
      </c>
      <c r="AD560" s="141">
        <v>10</v>
      </c>
      <c r="AE560" s="142">
        <v>0</v>
      </c>
      <c r="AF560" s="69" t="str">
        <f t="shared" si="97"/>
        <v>1 years 185 days</v>
      </c>
      <c r="AG560" s="69">
        <v>1</v>
      </c>
      <c r="AH560" s="69">
        <v>185</v>
      </c>
      <c r="AI560" s="69">
        <v>439190</v>
      </c>
      <c r="AJ560" s="67">
        <v>66179</v>
      </c>
      <c r="AK560" s="69">
        <v>2025</v>
      </c>
      <c r="AL560" s="61">
        <v>21779.326027397256</v>
      </c>
      <c r="AM560" s="143"/>
    </row>
    <row r="561" spans="1:39" x14ac:dyDescent="0.35">
      <c r="A561" s="69" t="s">
        <v>4124</v>
      </c>
      <c r="B561" s="41">
        <v>1101402403</v>
      </c>
      <c r="C561" s="41"/>
      <c r="D561" s="41" t="s">
        <v>1793</v>
      </c>
      <c r="E561" s="101">
        <v>4</v>
      </c>
      <c r="F561" s="41" t="s">
        <v>1152</v>
      </c>
      <c r="G561" s="69" t="s">
        <v>1151</v>
      </c>
      <c r="H561" s="41">
        <v>9008000076</v>
      </c>
      <c r="I561" s="41" t="s">
        <v>261</v>
      </c>
      <c r="J561" s="41" t="s">
        <v>1794</v>
      </c>
      <c r="K561" s="41"/>
      <c r="L561" s="52" t="s">
        <v>1807</v>
      </c>
      <c r="M561" s="69" t="s">
        <v>1808</v>
      </c>
      <c r="N561" s="69"/>
      <c r="O561" s="69">
        <v>1</v>
      </c>
      <c r="P561" s="69" t="s">
        <v>50</v>
      </c>
      <c r="Q561" s="69" t="s">
        <v>51</v>
      </c>
      <c r="R561" s="69"/>
      <c r="S561" s="48">
        <v>42965</v>
      </c>
      <c r="T561" s="48">
        <v>43340</v>
      </c>
      <c r="U561" s="69"/>
      <c r="V561" s="69"/>
      <c r="W561" s="69"/>
      <c r="X561" s="69"/>
      <c r="Y561" s="69" t="s">
        <v>4125</v>
      </c>
      <c r="Z561" s="52">
        <v>195000</v>
      </c>
      <c r="AA561" s="43" t="s">
        <v>52</v>
      </c>
      <c r="AB561" s="43" t="s">
        <v>53</v>
      </c>
      <c r="AC561" s="85">
        <v>1460</v>
      </c>
      <c r="AD561" s="141">
        <v>4</v>
      </c>
      <c r="AE561" s="142">
        <v>0</v>
      </c>
      <c r="AF561" s="69" t="str">
        <f t="shared" si="97"/>
        <v>4 years 0 days</v>
      </c>
      <c r="AG561" s="69">
        <v>4</v>
      </c>
      <c r="AH561" s="69">
        <v>0</v>
      </c>
      <c r="AI561" s="69">
        <v>195000</v>
      </c>
      <c r="AJ561" s="67">
        <v>195000</v>
      </c>
      <c r="AK561" s="69">
        <v>2025</v>
      </c>
      <c r="AL561" s="61">
        <v>0</v>
      </c>
      <c r="AM561" s="143"/>
    </row>
    <row r="562" spans="1:39" x14ac:dyDescent="0.35">
      <c r="A562" s="69" t="s">
        <v>4124</v>
      </c>
      <c r="B562" s="41">
        <v>1101402486</v>
      </c>
      <c r="C562" s="41"/>
      <c r="D562" s="41" t="s">
        <v>1793</v>
      </c>
      <c r="E562" s="101">
        <v>5</v>
      </c>
      <c r="F562" s="41" t="s">
        <v>1152</v>
      </c>
      <c r="G562" s="69" t="s">
        <v>1151</v>
      </c>
      <c r="H562" s="41">
        <v>9008000076</v>
      </c>
      <c r="I562" s="41" t="s">
        <v>261</v>
      </c>
      <c r="J562" s="41" t="s">
        <v>1794</v>
      </c>
      <c r="K562" s="41"/>
      <c r="L562" s="52" t="s">
        <v>1810</v>
      </c>
      <c r="M562" s="69" t="s">
        <v>1811</v>
      </c>
      <c r="N562" s="69"/>
      <c r="O562" s="69">
        <v>2</v>
      </c>
      <c r="P562" s="69" t="s">
        <v>50</v>
      </c>
      <c r="Q562" s="69" t="s">
        <v>51</v>
      </c>
      <c r="R562" s="69"/>
      <c r="S562" s="48">
        <v>43111</v>
      </c>
      <c r="T562" s="48">
        <v>43340</v>
      </c>
      <c r="U562" s="69"/>
      <c r="V562" s="69"/>
      <c r="W562" s="69"/>
      <c r="X562" s="69"/>
      <c r="Y562" s="69" t="s">
        <v>4125</v>
      </c>
      <c r="Z562" s="52">
        <v>360000</v>
      </c>
      <c r="AA562" s="43" t="s">
        <v>52</v>
      </c>
      <c r="AB562" s="43" t="s">
        <v>53</v>
      </c>
      <c r="AC562" s="85">
        <v>1570</v>
      </c>
      <c r="AD562" s="141">
        <v>4</v>
      </c>
      <c r="AE562" s="142">
        <v>4</v>
      </c>
      <c r="AF562" s="69" t="str">
        <f t="shared" si="97"/>
        <v>4 years 110 days</v>
      </c>
      <c r="AG562" s="69">
        <v>4</v>
      </c>
      <c r="AH562" s="69">
        <v>110</v>
      </c>
      <c r="AI562" s="69">
        <v>360000</v>
      </c>
      <c r="AJ562" s="67">
        <v>360000</v>
      </c>
      <c r="AK562" s="69">
        <v>2025</v>
      </c>
      <c r="AL562" s="61">
        <v>0</v>
      </c>
      <c r="AM562" s="143"/>
    </row>
    <row r="563" spans="1:39" x14ac:dyDescent="0.35">
      <c r="A563" s="69" t="s">
        <v>4124</v>
      </c>
      <c r="B563" s="41">
        <v>1101402585</v>
      </c>
      <c r="C563" s="41"/>
      <c r="D563" s="41" t="s">
        <v>1793</v>
      </c>
      <c r="E563" s="101">
        <v>6</v>
      </c>
      <c r="F563" s="41" t="s">
        <v>1152</v>
      </c>
      <c r="G563" s="69" t="s">
        <v>1151</v>
      </c>
      <c r="H563" s="41">
        <v>9008000076</v>
      </c>
      <c r="I563" s="41" t="s">
        <v>261</v>
      </c>
      <c r="J563" s="41" t="s">
        <v>1794</v>
      </c>
      <c r="K563" s="41"/>
      <c r="L563" s="52" t="s">
        <v>1813</v>
      </c>
      <c r="M563" s="69" t="s">
        <v>49</v>
      </c>
      <c r="N563" s="69"/>
      <c r="O563" s="69">
        <v>1</v>
      </c>
      <c r="P563" s="69" t="s">
        <v>50</v>
      </c>
      <c r="Q563" s="69" t="s">
        <v>51</v>
      </c>
      <c r="R563" s="69"/>
      <c r="S563" s="48">
        <v>43250</v>
      </c>
      <c r="T563" s="48">
        <v>43340</v>
      </c>
      <c r="U563" s="69"/>
      <c r="V563" s="69"/>
      <c r="W563" s="69"/>
      <c r="X563" s="69"/>
      <c r="Y563" s="69" t="s">
        <v>4125</v>
      </c>
      <c r="Z563" s="52">
        <v>970000</v>
      </c>
      <c r="AA563" s="43" t="s">
        <v>52</v>
      </c>
      <c r="AB563" s="43" t="s">
        <v>53</v>
      </c>
      <c r="AC563" s="85">
        <v>1752</v>
      </c>
      <c r="AD563" s="141">
        <v>4</v>
      </c>
      <c r="AE563" s="142">
        <v>10</v>
      </c>
      <c r="AF563" s="69" t="str">
        <f t="shared" si="97"/>
        <v>4 years 292 days</v>
      </c>
      <c r="AG563" s="69">
        <v>4</v>
      </c>
      <c r="AH563" s="69">
        <v>292</v>
      </c>
      <c r="AI563" s="69">
        <v>970000</v>
      </c>
      <c r="AJ563" s="67">
        <v>970000</v>
      </c>
      <c r="AK563" s="69">
        <v>2025</v>
      </c>
      <c r="AL563" s="61">
        <v>0</v>
      </c>
      <c r="AM563" s="143"/>
    </row>
    <row r="564" spans="1:39" x14ac:dyDescent="0.35">
      <c r="A564" s="69" t="s">
        <v>4124</v>
      </c>
      <c r="B564" s="41">
        <v>1101404816</v>
      </c>
      <c r="C564" s="41"/>
      <c r="D564" s="69"/>
      <c r="E564" s="101">
        <v>0</v>
      </c>
      <c r="F564" s="41" t="s">
        <v>1152</v>
      </c>
      <c r="G564" s="69" t="s">
        <v>1151</v>
      </c>
      <c r="H564" s="41">
        <v>9008000077</v>
      </c>
      <c r="I564" s="41" t="s">
        <v>261</v>
      </c>
      <c r="J564" s="41" t="s">
        <v>1794</v>
      </c>
      <c r="K564" s="41" t="s">
        <v>818</v>
      </c>
      <c r="L564" s="52" t="s">
        <v>1815</v>
      </c>
      <c r="M564" s="69" t="s">
        <v>1816</v>
      </c>
      <c r="N564" s="69"/>
      <c r="O564" s="69">
        <v>15</v>
      </c>
      <c r="P564" s="69" t="s">
        <v>50</v>
      </c>
      <c r="Q564" s="69" t="s">
        <v>51</v>
      </c>
      <c r="R564" s="69"/>
      <c r="S564" s="48">
        <v>45118</v>
      </c>
      <c r="T564" s="48">
        <v>45118</v>
      </c>
      <c r="U564" s="69"/>
      <c r="V564" s="69"/>
      <c r="W564" s="69"/>
      <c r="X564" s="69"/>
      <c r="Y564" s="69" t="s">
        <v>4129</v>
      </c>
      <c r="Z564" s="52">
        <v>990000</v>
      </c>
      <c r="AA564" s="43" t="s">
        <v>52</v>
      </c>
      <c r="AB564" s="43" t="s">
        <v>53</v>
      </c>
      <c r="AC564" s="85">
        <v>3650</v>
      </c>
      <c r="AD564" s="141">
        <v>10</v>
      </c>
      <c r="AE564" s="142">
        <v>0</v>
      </c>
      <c r="AF564" s="69" t="str">
        <f t="shared" ref="AF564:AF572" si="98">_xlfn.CONCAT(AG564," years ",AH564," days")</f>
        <v>1 years 175 days</v>
      </c>
      <c r="AG564" s="69">
        <v>1</v>
      </c>
      <c r="AH564" s="69">
        <v>175</v>
      </c>
      <c r="AI564" s="69">
        <v>990000</v>
      </c>
      <c r="AJ564" s="67">
        <v>146466</v>
      </c>
      <c r="AK564" s="69">
        <v>2025</v>
      </c>
      <c r="AL564" s="61">
        <v>49092.904109589028</v>
      </c>
      <c r="AM564" s="143"/>
    </row>
    <row r="565" spans="1:39" x14ac:dyDescent="0.35">
      <c r="A565" s="69" t="s">
        <v>4124</v>
      </c>
      <c r="B565" s="41">
        <v>1101400467</v>
      </c>
      <c r="C565" s="41"/>
      <c r="D565" s="69"/>
      <c r="E565" s="101">
        <v>0</v>
      </c>
      <c r="F565" s="41" t="s">
        <v>1152</v>
      </c>
      <c r="G565" s="69" t="s">
        <v>1151</v>
      </c>
      <c r="H565" s="41">
        <v>9008000078</v>
      </c>
      <c r="I565" s="41" t="s">
        <v>1818</v>
      </c>
      <c r="J565" s="41">
        <v>1202110105</v>
      </c>
      <c r="K565" s="41" t="s">
        <v>1819</v>
      </c>
      <c r="L565" s="52" t="s">
        <v>1820</v>
      </c>
      <c r="M565" s="69" t="s">
        <v>49</v>
      </c>
      <c r="N565" s="69"/>
      <c r="O565" s="69">
        <v>1</v>
      </c>
      <c r="P565" s="69" t="s">
        <v>50</v>
      </c>
      <c r="Q565" s="69" t="s">
        <v>51</v>
      </c>
      <c r="R565" s="69"/>
      <c r="S565" s="48">
        <v>40375</v>
      </c>
      <c r="T565" s="48">
        <v>43340</v>
      </c>
      <c r="U565" s="69"/>
      <c r="V565" s="69"/>
      <c r="W565" s="69"/>
      <c r="X565" s="69"/>
      <c r="Y565" s="69" t="s">
        <v>4125</v>
      </c>
      <c r="Z565" s="52">
        <v>21000</v>
      </c>
      <c r="AA565" s="43" t="s">
        <v>52</v>
      </c>
      <c r="AB565" s="43" t="s">
        <v>53</v>
      </c>
      <c r="AC565" s="85">
        <v>2519</v>
      </c>
      <c r="AD565" s="141">
        <v>6</v>
      </c>
      <c r="AE565" s="142">
        <v>11</v>
      </c>
      <c r="AF565" s="69" t="str">
        <f t="shared" si="98"/>
        <v>6 years 128 days</v>
      </c>
      <c r="AG565" s="69">
        <v>6</v>
      </c>
      <c r="AH565" s="69">
        <v>128</v>
      </c>
      <c r="AI565" s="69">
        <v>21000</v>
      </c>
      <c r="AJ565" s="67">
        <v>21000</v>
      </c>
      <c r="AK565" s="69">
        <v>2025</v>
      </c>
      <c r="AL565" s="61">
        <v>0</v>
      </c>
      <c r="AM565" s="143"/>
    </row>
    <row r="566" spans="1:39" x14ac:dyDescent="0.35">
      <c r="A566" s="69" t="s">
        <v>4124</v>
      </c>
      <c r="B566" s="41">
        <v>1101400548</v>
      </c>
      <c r="C566" s="41"/>
      <c r="D566" s="69"/>
      <c r="E566" s="101">
        <v>0</v>
      </c>
      <c r="F566" s="41" t="s">
        <v>1152</v>
      </c>
      <c r="G566" s="69" t="s">
        <v>1151</v>
      </c>
      <c r="H566" s="41">
        <v>9008000079</v>
      </c>
      <c r="I566" s="41" t="s">
        <v>1818</v>
      </c>
      <c r="J566" s="41">
        <v>1202110105</v>
      </c>
      <c r="K566" s="41" t="s">
        <v>1822</v>
      </c>
      <c r="L566" s="52" t="s">
        <v>1823</v>
      </c>
      <c r="M566" s="69" t="s">
        <v>49</v>
      </c>
      <c r="N566" s="69"/>
      <c r="O566" s="69">
        <v>2</v>
      </c>
      <c r="P566" s="69" t="s">
        <v>50</v>
      </c>
      <c r="Q566" s="69" t="s">
        <v>51</v>
      </c>
      <c r="R566" s="69"/>
      <c r="S566" s="48">
        <v>40520</v>
      </c>
      <c r="T566" s="48">
        <v>43340</v>
      </c>
      <c r="U566" s="69"/>
      <c r="V566" s="69"/>
      <c r="W566" s="69"/>
      <c r="X566" s="69"/>
      <c r="Y566" s="69" t="s">
        <v>4125</v>
      </c>
      <c r="Z566" s="52">
        <v>43000</v>
      </c>
      <c r="AA566" s="43" t="s">
        <v>52</v>
      </c>
      <c r="AB566" s="43" t="s">
        <v>53</v>
      </c>
      <c r="AC566" s="85">
        <v>2665</v>
      </c>
      <c r="AD566" s="141">
        <v>7</v>
      </c>
      <c r="AE566" s="142">
        <v>4</v>
      </c>
      <c r="AF566" s="69" t="str">
        <f t="shared" si="98"/>
        <v>6 years 128 days</v>
      </c>
      <c r="AG566" s="69">
        <v>6</v>
      </c>
      <c r="AH566" s="69">
        <v>128</v>
      </c>
      <c r="AI566" s="69">
        <v>43000</v>
      </c>
      <c r="AJ566" s="67">
        <v>37385</v>
      </c>
      <c r="AK566" s="69">
        <v>2025</v>
      </c>
      <c r="AL566" s="61">
        <v>2920.4409005628622</v>
      </c>
      <c r="AM566" s="143"/>
    </row>
    <row r="567" spans="1:39" x14ac:dyDescent="0.35">
      <c r="A567" s="69" t="s">
        <v>4124</v>
      </c>
      <c r="B567" s="41">
        <v>1101400549</v>
      </c>
      <c r="C567" s="41"/>
      <c r="D567" s="69"/>
      <c r="E567" s="101">
        <v>0</v>
      </c>
      <c r="F567" s="41" t="s">
        <v>1152</v>
      </c>
      <c r="G567" s="69" t="s">
        <v>1151</v>
      </c>
      <c r="H567" s="41">
        <v>9008000080</v>
      </c>
      <c r="I567" s="41" t="s">
        <v>1818</v>
      </c>
      <c r="J567" s="41">
        <v>1202110105</v>
      </c>
      <c r="K567" s="41" t="s">
        <v>1825</v>
      </c>
      <c r="L567" s="52" t="s">
        <v>1826</v>
      </c>
      <c r="M567" s="69" t="s">
        <v>49</v>
      </c>
      <c r="N567" s="69"/>
      <c r="O567" s="69">
        <v>2</v>
      </c>
      <c r="P567" s="69" t="s">
        <v>50</v>
      </c>
      <c r="Q567" s="69" t="s">
        <v>51</v>
      </c>
      <c r="R567" s="69"/>
      <c r="S567" s="48">
        <v>40520</v>
      </c>
      <c r="T567" s="48">
        <v>43340</v>
      </c>
      <c r="U567" s="69"/>
      <c r="V567" s="69"/>
      <c r="W567" s="69"/>
      <c r="X567" s="69"/>
      <c r="Y567" s="69" t="s">
        <v>4125</v>
      </c>
      <c r="Z567" s="52">
        <v>43000</v>
      </c>
      <c r="AA567" s="43" t="s">
        <v>52</v>
      </c>
      <c r="AB567" s="43" t="s">
        <v>53</v>
      </c>
      <c r="AC567" s="85">
        <v>2665</v>
      </c>
      <c r="AD567" s="141">
        <v>7</v>
      </c>
      <c r="AE567" s="142">
        <v>4</v>
      </c>
      <c r="AF567" s="69" t="str">
        <f t="shared" si="98"/>
        <v>6 years 128 days</v>
      </c>
      <c r="AG567" s="69">
        <v>6</v>
      </c>
      <c r="AH567" s="69">
        <v>128</v>
      </c>
      <c r="AI567" s="69">
        <v>43000</v>
      </c>
      <c r="AJ567" s="67">
        <v>37385</v>
      </c>
      <c r="AK567" s="69">
        <v>2025</v>
      </c>
      <c r="AL567" s="61">
        <v>2920.4409005628622</v>
      </c>
      <c r="AM567" s="143"/>
    </row>
    <row r="568" spans="1:39" x14ac:dyDescent="0.35">
      <c r="A568" s="69" t="s">
        <v>4124</v>
      </c>
      <c r="B568" s="41">
        <v>1101400609</v>
      </c>
      <c r="C568" s="41"/>
      <c r="D568" s="69"/>
      <c r="E568" s="101">
        <v>0</v>
      </c>
      <c r="F568" s="41" t="s">
        <v>1152</v>
      </c>
      <c r="G568" s="69" t="s">
        <v>1151</v>
      </c>
      <c r="H568" s="41">
        <v>9008000081</v>
      </c>
      <c r="I568" s="41" t="s">
        <v>1818</v>
      </c>
      <c r="J568" s="41">
        <v>1202110105</v>
      </c>
      <c r="K568" s="41" t="s">
        <v>1828</v>
      </c>
      <c r="L568" s="52" t="s">
        <v>1829</v>
      </c>
      <c r="M568" s="69" t="s">
        <v>1830</v>
      </c>
      <c r="N568" s="69"/>
      <c r="O568" s="69">
        <v>1</v>
      </c>
      <c r="P568" s="69" t="s">
        <v>50</v>
      </c>
      <c r="Q568" s="69" t="s">
        <v>51</v>
      </c>
      <c r="R568" s="69"/>
      <c r="S568" s="48">
        <v>40653</v>
      </c>
      <c r="T568" s="48">
        <v>43340</v>
      </c>
      <c r="U568" s="69"/>
      <c r="V568" s="69"/>
      <c r="W568" s="69"/>
      <c r="X568" s="69"/>
      <c r="Y568" s="69" t="s">
        <v>4125</v>
      </c>
      <c r="Z568" s="52">
        <v>12500</v>
      </c>
      <c r="AA568" s="43" t="s">
        <v>52</v>
      </c>
      <c r="AB568" s="43" t="s">
        <v>53</v>
      </c>
      <c r="AC568" s="85">
        <v>949</v>
      </c>
      <c r="AD568" s="141">
        <v>2</v>
      </c>
      <c r="AE568" s="142">
        <v>7</v>
      </c>
      <c r="AF568" s="69" t="str">
        <f t="shared" si="98"/>
        <v>2 years 219 days</v>
      </c>
      <c r="AG568" s="69">
        <v>2</v>
      </c>
      <c r="AH568" s="69">
        <v>219</v>
      </c>
      <c r="AI568" s="69">
        <v>12500</v>
      </c>
      <c r="AJ568" s="67">
        <v>12500</v>
      </c>
      <c r="AK568" s="69">
        <v>2025</v>
      </c>
      <c r="AL568" s="61">
        <v>0</v>
      </c>
      <c r="AM568" s="143"/>
    </row>
    <row r="569" spans="1:39" x14ac:dyDescent="0.35">
      <c r="A569" s="69" t="s">
        <v>4124</v>
      </c>
      <c r="B569" s="41">
        <v>1101400610</v>
      </c>
      <c r="C569" s="41"/>
      <c r="D569" s="69"/>
      <c r="E569" s="101">
        <v>0</v>
      </c>
      <c r="F569" s="41" t="s">
        <v>1152</v>
      </c>
      <c r="G569" s="69" t="s">
        <v>1151</v>
      </c>
      <c r="H569" s="41">
        <v>9008000082</v>
      </c>
      <c r="I569" s="41" t="s">
        <v>1818</v>
      </c>
      <c r="J569" s="41">
        <v>1202110105</v>
      </c>
      <c r="K569" s="41" t="s">
        <v>1832</v>
      </c>
      <c r="L569" s="52" t="s">
        <v>1833</v>
      </c>
      <c r="M569" s="69" t="s">
        <v>1830</v>
      </c>
      <c r="N569" s="69"/>
      <c r="O569" s="69">
        <v>3</v>
      </c>
      <c r="P569" s="69" t="s">
        <v>50</v>
      </c>
      <c r="Q569" s="69" t="s">
        <v>51</v>
      </c>
      <c r="R569" s="69"/>
      <c r="S569" s="48">
        <v>40654</v>
      </c>
      <c r="T569" s="48">
        <v>43340</v>
      </c>
      <c r="U569" s="69"/>
      <c r="V569" s="69"/>
      <c r="W569" s="69"/>
      <c r="X569" s="69"/>
      <c r="Y569" s="69" t="s">
        <v>4125</v>
      </c>
      <c r="Z569" s="52">
        <v>38000</v>
      </c>
      <c r="AA569" s="43" t="s">
        <v>52</v>
      </c>
      <c r="AB569" s="43" t="s">
        <v>53</v>
      </c>
      <c r="AC569" s="85">
        <v>949</v>
      </c>
      <c r="AD569" s="141">
        <v>2</v>
      </c>
      <c r="AE569" s="142">
        <v>7</v>
      </c>
      <c r="AF569" s="69" t="str">
        <f t="shared" si="98"/>
        <v>2 years 219 days</v>
      </c>
      <c r="AG569" s="69">
        <v>2</v>
      </c>
      <c r="AH569" s="69">
        <v>219</v>
      </c>
      <c r="AI569" s="69">
        <v>38000</v>
      </c>
      <c r="AJ569" s="67">
        <v>38000</v>
      </c>
      <c r="AK569" s="69">
        <v>2025</v>
      </c>
      <c r="AL569" s="61">
        <v>0</v>
      </c>
      <c r="AM569" s="143"/>
    </row>
    <row r="570" spans="1:39" x14ac:dyDescent="0.35">
      <c r="A570" s="69" t="s">
        <v>4124</v>
      </c>
      <c r="B570" s="41">
        <v>1101400659</v>
      </c>
      <c r="C570" s="41"/>
      <c r="D570" s="69"/>
      <c r="E570" s="101">
        <v>0</v>
      </c>
      <c r="F570" s="41" t="s">
        <v>1152</v>
      </c>
      <c r="G570" s="69" t="s">
        <v>1151</v>
      </c>
      <c r="H570" s="41">
        <v>9008000083</v>
      </c>
      <c r="I570" s="41" t="s">
        <v>1818</v>
      </c>
      <c r="J570" s="41">
        <v>1202110105</v>
      </c>
      <c r="K570" s="41" t="s">
        <v>1835</v>
      </c>
      <c r="L570" s="52" t="s">
        <v>1836</v>
      </c>
      <c r="M570" s="69" t="s">
        <v>1837</v>
      </c>
      <c r="N570" s="69"/>
      <c r="O570" s="69">
        <v>1</v>
      </c>
      <c r="P570" s="69" t="s">
        <v>50</v>
      </c>
      <c r="Q570" s="69" t="s">
        <v>51</v>
      </c>
      <c r="R570" s="69"/>
      <c r="S570" s="48">
        <v>40810</v>
      </c>
      <c r="T570" s="48">
        <v>43340</v>
      </c>
      <c r="U570" s="69"/>
      <c r="V570" s="69"/>
      <c r="W570" s="69"/>
      <c r="X570" s="69"/>
      <c r="Y570" s="69" t="s">
        <v>4125</v>
      </c>
      <c r="Z570" s="52">
        <v>32000</v>
      </c>
      <c r="AA570" s="43" t="s">
        <v>52</v>
      </c>
      <c r="AB570" s="43" t="s">
        <v>53</v>
      </c>
      <c r="AC570" s="85">
        <v>1132</v>
      </c>
      <c r="AD570" s="141">
        <v>3</v>
      </c>
      <c r="AE570" s="142">
        <v>1</v>
      </c>
      <c r="AF570" s="69" t="str">
        <f t="shared" si="98"/>
        <v>3 years 37 days</v>
      </c>
      <c r="AG570" s="69">
        <v>3</v>
      </c>
      <c r="AH570" s="69">
        <v>37</v>
      </c>
      <c r="AI570" s="69">
        <v>32000</v>
      </c>
      <c r="AJ570" s="67">
        <v>32000</v>
      </c>
      <c r="AK570" s="69">
        <v>2025</v>
      </c>
      <c r="AL570" s="61">
        <v>0</v>
      </c>
      <c r="AM570" s="143"/>
    </row>
    <row r="571" spans="1:39" x14ac:dyDescent="0.35">
      <c r="A571" s="69" t="s">
        <v>4124</v>
      </c>
      <c r="B571" s="41">
        <v>1101400886</v>
      </c>
      <c r="C571" s="41"/>
      <c r="D571" s="69"/>
      <c r="E571" s="101">
        <v>0</v>
      </c>
      <c r="F571" s="41" t="s">
        <v>1152</v>
      </c>
      <c r="G571" s="69" t="s">
        <v>1151</v>
      </c>
      <c r="H571" s="41">
        <v>9008000084</v>
      </c>
      <c r="I571" s="41" t="s">
        <v>1818</v>
      </c>
      <c r="J571" s="41">
        <v>1202110105</v>
      </c>
      <c r="K571" s="41" t="s">
        <v>1839</v>
      </c>
      <c r="L571" s="52" t="s">
        <v>1840</v>
      </c>
      <c r="M571" s="69" t="s">
        <v>1841</v>
      </c>
      <c r="N571" s="69"/>
      <c r="O571" s="69">
        <v>5</v>
      </c>
      <c r="P571" s="69" t="s">
        <v>50</v>
      </c>
      <c r="Q571" s="69" t="s">
        <v>51</v>
      </c>
      <c r="R571" s="69"/>
      <c r="S571" s="48">
        <v>41277</v>
      </c>
      <c r="T571" s="48">
        <v>43340</v>
      </c>
      <c r="U571" s="69"/>
      <c r="V571" s="69"/>
      <c r="W571" s="69"/>
      <c r="X571" s="69"/>
      <c r="Y571" s="69" t="s">
        <v>4125</v>
      </c>
      <c r="Z571" s="52">
        <v>115000</v>
      </c>
      <c r="AA571" s="43" t="s">
        <v>52</v>
      </c>
      <c r="AB571" s="43" t="s">
        <v>53</v>
      </c>
      <c r="AC571" s="85">
        <v>1570</v>
      </c>
      <c r="AD571" s="141">
        <v>4</v>
      </c>
      <c r="AE571" s="142">
        <v>4</v>
      </c>
      <c r="AF571" s="69" t="str">
        <f t="shared" si="98"/>
        <v>4 years 110 days</v>
      </c>
      <c r="AG571" s="69">
        <v>4</v>
      </c>
      <c r="AH571" s="69">
        <v>110</v>
      </c>
      <c r="AI571" s="69">
        <v>115000</v>
      </c>
      <c r="AJ571" s="67">
        <v>115000</v>
      </c>
      <c r="AK571" s="69">
        <v>2025</v>
      </c>
      <c r="AL571" s="61">
        <v>0</v>
      </c>
      <c r="AM571" s="143"/>
    </row>
    <row r="572" spans="1:39" x14ac:dyDescent="0.35">
      <c r="A572" s="69" t="s">
        <v>4124</v>
      </c>
      <c r="B572" s="41">
        <v>1101401510</v>
      </c>
      <c r="C572" s="41"/>
      <c r="D572" s="69"/>
      <c r="E572" s="101">
        <v>0</v>
      </c>
      <c r="F572" s="41" t="s">
        <v>1152</v>
      </c>
      <c r="G572" s="69" t="s">
        <v>1151</v>
      </c>
      <c r="H572" s="41">
        <v>9008000085</v>
      </c>
      <c r="I572" s="41" t="s">
        <v>1843</v>
      </c>
      <c r="J572" s="41">
        <v>1202110105</v>
      </c>
      <c r="K572" s="41" t="s">
        <v>1844</v>
      </c>
      <c r="L572" s="52" t="s">
        <v>1845</v>
      </c>
      <c r="M572" s="69" t="s">
        <v>1846</v>
      </c>
      <c r="N572" s="69"/>
      <c r="O572" s="69">
        <v>3</v>
      </c>
      <c r="P572" s="69" t="s">
        <v>50</v>
      </c>
      <c r="Q572" s="69" t="s">
        <v>51</v>
      </c>
      <c r="R572" s="69"/>
      <c r="S572" s="48">
        <v>41912</v>
      </c>
      <c r="T572" s="48">
        <v>43340</v>
      </c>
      <c r="U572" s="69"/>
      <c r="V572" s="69"/>
      <c r="W572" s="69"/>
      <c r="X572" s="69"/>
      <c r="Y572" s="69" t="s">
        <v>4125</v>
      </c>
      <c r="Z572" s="52">
        <v>100000</v>
      </c>
      <c r="AA572" s="43" t="s">
        <v>52</v>
      </c>
      <c r="AB572" s="43" t="s">
        <v>53</v>
      </c>
      <c r="AC572" s="85">
        <v>2190</v>
      </c>
      <c r="AD572" s="141">
        <v>6</v>
      </c>
      <c r="AE572" s="142">
        <v>0</v>
      </c>
      <c r="AF572" s="69" t="str">
        <f t="shared" si="98"/>
        <v>6 years 0 days</v>
      </c>
      <c r="AG572" s="69">
        <v>6</v>
      </c>
      <c r="AH572" s="69">
        <v>0</v>
      </c>
      <c r="AI572" s="69">
        <v>100000</v>
      </c>
      <c r="AJ572" s="67">
        <v>100000</v>
      </c>
      <c r="AK572" s="69">
        <v>2025</v>
      </c>
      <c r="AL572" s="61">
        <v>0</v>
      </c>
      <c r="AM572" s="143"/>
    </row>
    <row r="573" spans="1:39" x14ac:dyDescent="0.35">
      <c r="A573" s="69" t="s">
        <v>4124</v>
      </c>
      <c r="B573" s="41">
        <v>1101403067</v>
      </c>
      <c r="C573" s="41"/>
      <c r="D573" s="69"/>
      <c r="E573" s="101">
        <v>0</v>
      </c>
      <c r="F573" s="41" t="s">
        <v>1152</v>
      </c>
      <c r="G573" s="69" t="s">
        <v>1151</v>
      </c>
      <c r="H573" s="41">
        <v>9008000086</v>
      </c>
      <c r="I573" s="41" t="s">
        <v>1843</v>
      </c>
      <c r="J573" s="41">
        <v>1202110105</v>
      </c>
      <c r="K573" s="41" t="s">
        <v>1848</v>
      </c>
      <c r="L573" s="52" t="s">
        <v>1849</v>
      </c>
      <c r="M573" s="69" t="s">
        <v>1850</v>
      </c>
      <c r="N573" s="69"/>
      <c r="O573" s="69">
        <v>1</v>
      </c>
      <c r="P573" s="69" t="s">
        <v>50</v>
      </c>
      <c r="Q573" s="69" t="s">
        <v>51</v>
      </c>
      <c r="R573" s="69"/>
      <c r="S573" s="48">
        <v>43729</v>
      </c>
      <c r="T573" s="48">
        <v>43729</v>
      </c>
      <c r="U573" s="69"/>
      <c r="V573" s="69"/>
      <c r="W573" s="69"/>
      <c r="X573" s="69"/>
      <c r="Y573" s="69" t="s">
        <v>4126</v>
      </c>
      <c r="Z573" s="52">
        <v>105500</v>
      </c>
      <c r="AA573" s="43" t="s">
        <v>52</v>
      </c>
      <c r="AB573" s="43" t="s">
        <v>53</v>
      </c>
      <c r="AC573" s="85">
        <v>3650</v>
      </c>
      <c r="AD573" s="141">
        <v>10</v>
      </c>
      <c r="AE573" s="142">
        <v>0</v>
      </c>
      <c r="AF573" s="69" t="str">
        <f t="shared" ref="AF573:AF576" si="99">_xlfn.CONCAT(AG573," years ",AH573," days")</f>
        <v>5 years 104 days</v>
      </c>
      <c r="AG573" s="69">
        <v>5</v>
      </c>
      <c r="AH573" s="69">
        <v>104</v>
      </c>
      <c r="AI573" s="69">
        <v>105500</v>
      </c>
      <c r="AJ573" s="67">
        <v>55756</v>
      </c>
      <c r="AK573" s="69">
        <v>2025</v>
      </c>
      <c r="AL573" s="61">
        <v>5231.6712328767171</v>
      </c>
      <c r="AM573" s="143"/>
    </row>
    <row r="574" spans="1:39" x14ac:dyDescent="0.35">
      <c r="A574" s="69" t="s">
        <v>4124</v>
      </c>
      <c r="B574" s="41">
        <v>1101404698</v>
      </c>
      <c r="C574" s="41"/>
      <c r="D574" s="41" t="s">
        <v>1847</v>
      </c>
      <c r="E574" s="101">
        <v>1</v>
      </c>
      <c r="F574" s="41" t="s">
        <v>1152</v>
      </c>
      <c r="G574" s="69" t="s">
        <v>1151</v>
      </c>
      <c r="H574" s="41">
        <v>9008000086</v>
      </c>
      <c r="I574" s="41" t="s">
        <v>1843</v>
      </c>
      <c r="J574" s="41">
        <v>1202110105</v>
      </c>
      <c r="K574" s="41"/>
      <c r="L574" s="52" t="s">
        <v>1852</v>
      </c>
      <c r="M574" s="69" t="s">
        <v>1853</v>
      </c>
      <c r="N574" s="69"/>
      <c r="O574" s="69">
        <v>1</v>
      </c>
      <c r="P574" s="69" t="s">
        <v>50</v>
      </c>
      <c r="Q574" s="69" t="s">
        <v>51</v>
      </c>
      <c r="R574" s="69"/>
      <c r="S574" s="48">
        <v>45016</v>
      </c>
      <c r="T574" s="48">
        <v>45016</v>
      </c>
      <c r="U574" s="69"/>
      <c r="V574" s="69"/>
      <c r="W574" s="69"/>
      <c r="X574" s="69"/>
      <c r="Y574" s="69" t="s">
        <v>4129</v>
      </c>
      <c r="Z574" s="52">
        <v>210765</v>
      </c>
      <c r="AA574" s="43" t="s">
        <v>52</v>
      </c>
      <c r="AB574" s="43" t="s">
        <v>53</v>
      </c>
      <c r="AC574" s="85">
        <v>3650</v>
      </c>
      <c r="AD574" s="141">
        <v>10</v>
      </c>
      <c r="AE574" s="142">
        <v>0</v>
      </c>
      <c r="AF574" s="69" t="str">
        <f t="shared" si="99"/>
        <v>1 years 277 days</v>
      </c>
      <c r="AG574" s="69">
        <v>1</v>
      </c>
      <c r="AH574" s="69">
        <v>277</v>
      </c>
      <c r="AI574" s="69">
        <v>210765</v>
      </c>
      <c r="AJ574" s="67">
        <v>37129</v>
      </c>
      <c r="AK574" s="69">
        <v>2025</v>
      </c>
      <c r="AL574" s="61">
        <v>10451.920547945207</v>
      </c>
      <c r="AM574" s="143"/>
    </row>
    <row r="575" spans="1:39" x14ac:dyDescent="0.35">
      <c r="A575" s="69" t="s">
        <v>4124</v>
      </c>
      <c r="B575" s="41">
        <v>1101504346</v>
      </c>
      <c r="C575" s="41"/>
      <c r="D575" s="41" t="s">
        <v>1847</v>
      </c>
      <c r="E575" s="101">
        <v>2</v>
      </c>
      <c r="F575" s="41" t="s">
        <v>1152</v>
      </c>
      <c r="G575" s="69" t="s">
        <v>1151</v>
      </c>
      <c r="H575" s="41">
        <v>9008000086</v>
      </c>
      <c r="I575" s="41" t="s">
        <v>1843</v>
      </c>
      <c r="J575" s="41">
        <v>1202110105</v>
      </c>
      <c r="K575" s="41"/>
      <c r="L575" s="52" t="s">
        <v>1855</v>
      </c>
      <c r="M575" s="69" t="s">
        <v>49</v>
      </c>
      <c r="N575" s="69"/>
      <c r="O575" s="69">
        <v>1</v>
      </c>
      <c r="P575" s="69" t="s">
        <v>50</v>
      </c>
      <c r="Q575" s="69" t="s">
        <v>51</v>
      </c>
      <c r="R575" s="69"/>
      <c r="S575" s="48">
        <v>40422</v>
      </c>
      <c r="T575" s="48">
        <v>43340</v>
      </c>
      <c r="U575" s="69"/>
      <c r="V575" s="69"/>
      <c r="W575" s="69"/>
      <c r="X575" s="69"/>
      <c r="Y575" s="69" t="s">
        <v>4125</v>
      </c>
      <c r="Z575" s="52">
        <v>21000</v>
      </c>
      <c r="AA575" s="43" t="s">
        <v>52</v>
      </c>
      <c r="AB575" s="43" t="s">
        <v>53</v>
      </c>
      <c r="AC575" s="85">
        <v>2555</v>
      </c>
      <c r="AD575" s="141">
        <v>7</v>
      </c>
      <c r="AE575" s="142">
        <v>0</v>
      </c>
      <c r="AF575" s="69" t="str">
        <f t="shared" si="99"/>
        <v>6 years 128 days</v>
      </c>
      <c r="AG575" s="69">
        <v>6</v>
      </c>
      <c r="AH575" s="69">
        <v>128</v>
      </c>
      <c r="AI575" s="69">
        <v>21000</v>
      </c>
      <c r="AJ575" s="67">
        <v>19044</v>
      </c>
      <c r="AK575" s="69">
        <v>2025</v>
      </c>
      <c r="AL575" s="61">
        <v>1487.5068493150684</v>
      </c>
      <c r="AM575" s="143"/>
    </row>
    <row r="576" spans="1:39" x14ac:dyDescent="0.35">
      <c r="A576" s="69" t="s">
        <v>4124</v>
      </c>
      <c r="B576" s="41">
        <v>1101504569</v>
      </c>
      <c r="C576" s="41"/>
      <c r="D576" s="41" t="s">
        <v>1847</v>
      </c>
      <c r="E576" s="101">
        <v>3</v>
      </c>
      <c r="F576" s="41" t="s">
        <v>1152</v>
      </c>
      <c r="G576" s="69" t="s">
        <v>1151</v>
      </c>
      <c r="H576" s="41">
        <v>9008000086</v>
      </c>
      <c r="I576" s="41" t="s">
        <v>1843</v>
      </c>
      <c r="J576" s="41">
        <v>1202110105</v>
      </c>
      <c r="K576" s="41"/>
      <c r="L576" s="52" t="s">
        <v>1857</v>
      </c>
      <c r="M576" s="69" t="s">
        <v>49</v>
      </c>
      <c r="N576" s="69"/>
      <c r="O576" s="69">
        <v>1</v>
      </c>
      <c r="P576" s="69" t="s">
        <v>50</v>
      </c>
      <c r="Q576" s="69" t="s">
        <v>51</v>
      </c>
      <c r="R576" s="69"/>
      <c r="S576" s="48">
        <v>42650</v>
      </c>
      <c r="T576" s="48">
        <v>43340</v>
      </c>
      <c r="U576" s="69"/>
      <c r="V576" s="69"/>
      <c r="W576" s="69"/>
      <c r="X576" s="69"/>
      <c r="Y576" s="69" t="s">
        <v>4125</v>
      </c>
      <c r="Z576" s="52">
        <v>38000</v>
      </c>
      <c r="AA576" s="43" t="s">
        <v>52</v>
      </c>
      <c r="AB576" s="43" t="s">
        <v>53</v>
      </c>
      <c r="AC576" s="85">
        <v>4782</v>
      </c>
      <c r="AD576" s="141">
        <v>13</v>
      </c>
      <c r="AE576" s="142">
        <v>1</v>
      </c>
      <c r="AF576" s="69" t="str">
        <f t="shared" si="99"/>
        <v>6 years 128 days</v>
      </c>
      <c r="AG576" s="69">
        <v>6</v>
      </c>
      <c r="AH576" s="69">
        <v>128</v>
      </c>
      <c r="AI576" s="69">
        <v>38000</v>
      </c>
      <c r="AJ576" s="67">
        <v>18412</v>
      </c>
      <c r="AK576" s="69">
        <v>2025</v>
      </c>
      <c r="AL576" s="61">
        <v>1438.2718527812649</v>
      </c>
      <c r="AM576" s="143"/>
    </row>
    <row r="577" spans="1:39" x14ac:dyDescent="0.35">
      <c r="A577" s="69" t="s">
        <v>4124</v>
      </c>
      <c r="B577" s="41">
        <v>1101404492</v>
      </c>
      <c r="C577" s="41"/>
      <c r="D577" s="69"/>
      <c r="E577" s="101">
        <v>0</v>
      </c>
      <c r="F577" s="41" t="s">
        <v>1152</v>
      </c>
      <c r="G577" s="69" t="s">
        <v>1151</v>
      </c>
      <c r="H577" s="41">
        <v>9008000087</v>
      </c>
      <c r="I577" s="41" t="s">
        <v>1843</v>
      </c>
      <c r="J577" s="41">
        <v>1202110105</v>
      </c>
      <c r="K577" s="41" t="s">
        <v>1859</v>
      </c>
      <c r="L577" s="52" t="s">
        <v>1860</v>
      </c>
      <c r="M577" s="69" t="s">
        <v>1861</v>
      </c>
      <c r="N577" s="69"/>
      <c r="O577" s="69">
        <v>1</v>
      </c>
      <c r="P577" s="69" t="s">
        <v>50</v>
      </c>
      <c r="Q577" s="69" t="s">
        <v>51</v>
      </c>
      <c r="R577" s="69"/>
      <c r="S577" s="48">
        <v>44896</v>
      </c>
      <c r="T577" s="48">
        <v>44896</v>
      </c>
      <c r="U577" s="69"/>
      <c r="V577" s="69"/>
      <c r="W577" s="69"/>
      <c r="X577" s="69"/>
      <c r="Y577" s="69" t="s">
        <v>4131</v>
      </c>
      <c r="Z577" s="52">
        <v>56000</v>
      </c>
      <c r="AA577" s="43" t="s">
        <v>52</v>
      </c>
      <c r="AB577" s="43" t="s">
        <v>53</v>
      </c>
      <c r="AC577" s="85">
        <v>3650</v>
      </c>
      <c r="AD577" s="141">
        <v>10</v>
      </c>
      <c r="AE577" s="142">
        <v>0</v>
      </c>
      <c r="AF577" s="69" t="str">
        <f t="shared" ref="AF577:AF582" si="100">_xlfn.CONCAT(AG577," years ",AH577," days")</f>
        <v>2 years 32 days</v>
      </c>
      <c r="AG577" s="69">
        <v>2</v>
      </c>
      <c r="AH577" s="69">
        <v>32</v>
      </c>
      <c r="AI577" s="69">
        <v>56000</v>
      </c>
      <c r="AJ577" s="67">
        <v>11691</v>
      </c>
      <c r="AK577" s="69">
        <v>2025</v>
      </c>
      <c r="AL577" s="61">
        <v>2776.945205479451</v>
      </c>
      <c r="AM577" s="143"/>
    </row>
    <row r="578" spans="1:39" x14ac:dyDescent="0.35">
      <c r="A578" s="69" t="s">
        <v>4124</v>
      </c>
      <c r="B578" s="41">
        <v>1101504340</v>
      </c>
      <c r="C578" s="41"/>
      <c r="D578" s="69"/>
      <c r="E578" s="101">
        <v>0</v>
      </c>
      <c r="F578" s="41" t="s">
        <v>1152</v>
      </c>
      <c r="G578" s="69" t="s">
        <v>1151</v>
      </c>
      <c r="H578" s="41">
        <v>9008000088</v>
      </c>
      <c r="I578" s="41" t="s">
        <v>1843</v>
      </c>
      <c r="J578" s="41">
        <v>1202110105</v>
      </c>
      <c r="K578" s="41" t="s">
        <v>1863</v>
      </c>
      <c r="L578" s="52" t="s">
        <v>1864</v>
      </c>
      <c r="M578" s="69" t="s">
        <v>49</v>
      </c>
      <c r="N578" s="69"/>
      <c r="O578" s="69">
        <v>1</v>
      </c>
      <c r="P578" s="69" t="s">
        <v>50</v>
      </c>
      <c r="Q578" s="69" t="s">
        <v>51</v>
      </c>
      <c r="R578" s="69"/>
      <c r="S578" s="48">
        <v>42541</v>
      </c>
      <c r="T578" s="48">
        <v>43340</v>
      </c>
      <c r="U578" s="69"/>
      <c r="V578" s="69"/>
      <c r="W578" s="69"/>
      <c r="X578" s="69"/>
      <c r="Y578" s="69" t="s">
        <v>4125</v>
      </c>
      <c r="Z578" s="52">
        <v>38000</v>
      </c>
      <c r="AA578" s="43" t="s">
        <v>52</v>
      </c>
      <c r="AB578" s="43" t="s">
        <v>53</v>
      </c>
      <c r="AC578" s="85">
        <v>4672</v>
      </c>
      <c r="AD578" s="141">
        <v>12</v>
      </c>
      <c r="AE578" s="142">
        <v>10</v>
      </c>
      <c r="AF578" s="69" t="str">
        <f t="shared" si="100"/>
        <v>6 years 128 days</v>
      </c>
      <c r="AG578" s="69">
        <v>6</v>
      </c>
      <c r="AH578" s="69">
        <v>128</v>
      </c>
      <c r="AI578" s="69">
        <v>38000</v>
      </c>
      <c r="AJ578" s="67">
        <v>18845</v>
      </c>
      <c r="AK578" s="69">
        <v>2025</v>
      </c>
      <c r="AL578" s="61">
        <v>1472.6369863013715</v>
      </c>
      <c r="AM578" s="143"/>
    </row>
    <row r="579" spans="1:39" x14ac:dyDescent="0.35">
      <c r="A579" s="69" t="s">
        <v>4124</v>
      </c>
      <c r="B579" s="41">
        <v>1101504385</v>
      </c>
      <c r="C579" s="41"/>
      <c r="D579" s="69"/>
      <c r="E579" s="101">
        <v>0</v>
      </c>
      <c r="F579" s="41" t="s">
        <v>1152</v>
      </c>
      <c r="G579" s="69" t="s">
        <v>1151</v>
      </c>
      <c r="H579" s="41">
        <v>9008000089</v>
      </c>
      <c r="I579" s="41" t="s">
        <v>1843</v>
      </c>
      <c r="J579" s="41">
        <v>1202110105</v>
      </c>
      <c r="K579" s="41" t="s">
        <v>1866</v>
      </c>
      <c r="L579" s="52" t="s">
        <v>1867</v>
      </c>
      <c r="M579" s="69" t="s">
        <v>1868</v>
      </c>
      <c r="N579" s="69"/>
      <c r="O579" s="69">
        <v>1</v>
      </c>
      <c r="P579" s="69" t="s">
        <v>50</v>
      </c>
      <c r="Q579" s="69" t="s">
        <v>51</v>
      </c>
      <c r="R579" s="69"/>
      <c r="S579" s="48">
        <v>42759</v>
      </c>
      <c r="T579" s="48">
        <v>43340</v>
      </c>
      <c r="U579" s="69"/>
      <c r="V579" s="69"/>
      <c r="W579" s="69"/>
      <c r="X579" s="69"/>
      <c r="Y579" s="69" t="s">
        <v>4125</v>
      </c>
      <c r="Z579" s="52">
        <v>39000</v>
      </c>
      <c r="AA579" s="43" t="s">
        <v>52</v>
      </c>
      <c r="AB579" s="43" t="s">
        <v>53</v>
      </c>
      <c r="AC579" s="85">
        <v>4891</v>
      </c>
      <c r="AD579" s="141">
        <v>13</v>
      </c>
      <c r="AE579" s="142">
        <v>5</v>
      </c>
      <c r="AF579" s="69" t="str">
        <f t="shared" si="100"/>
        <v>6 years 128 days</v>
      </c>
      <c r="AG579" s="69">
        <v>6</v>
      </c>
      <c r="AH579" s="69">
        <v>128</v>
      </c>
      <c r="AI579" s="69">
        <v>39000</v>
      </c>
      <c r="AJ579" s="67">
        <v>18475</v>
      </c>
      <c r="AK579" s="69">
        <v>2025</v>
      </c>
      <c r="AL579" s="61">
        <v>1443.6260478429758</v>
      </c>
      <c r="AM579" s="143"/>
    </row>
    <row r="580" spans="1:39" x14ac:dyDescent="0.35">
      <c r="A580" s="69" t="s">
        <v>4124</v>
      </c>
      <c r="B580" s="41">
        <v>1101504386</v>
      </c>
      <c r="C580" s="41"/>
      <c r="D580" s="69"/>
      <c r="E580" s="101">
        <v>0</v>
      </c>
      <c r="F580" s="41" t="s">
        <v>1152</v>
      </c>
      <c r="G580" s="69" t="s">
        <v>1151</v>
      </c>
      <c r="H580" s="41">
        <v>9008000090</v>
      </c>
      <c r="I580" s="41" t="s">
        <v>1843</v>
      </c>
      <c r="J580" s="41">
        <v>1202110105</v>
      </c>
      <c r="K580" s="41" t="s">
        <v>1870</v>
      </c>
      <c r="L580" s="52" t="s">
        <v>1871</v>
      </c>
      <c r="M580" s="69" t="s">
        <v>1872</v>
      </c>
      <c r="N580" s="69"/>
      <c r="O580" s="69">
        <v>1</v>
      </c>
      <c r="P580" s="69" t="s">
        <v>50</v>
      </c>
      <c r="Q580" s="69" t="s">
        <v>51</v>
      </c>
      <c r="R580" s="69"/>
      <c r="S580" s="48">
        <v>43470</v>
      </c>
      <c r="T580" s="48">
        <v>43470</v>
      </c>
      <c r="U580" s="69"/>
      <c r="V580" s="69"/>
      <c r="W580" s="69"/>
      <c r="X580" s="69"/>
      <c r="Y580" s="69" t="s">
        <v>4126</v>
      </c>
      <c r="Z580" s="52">
        <v>32000</v>
      </c>
      <c r="AA580" s="43" t="s">
        <v>52</v>
      </c>
      <c r="AB580" s="43" t="s">
        <v>53</v>
      </c>
      <c r="AC580" s="85">
        <v>3650</v>
      </c>
      <c r="AD580" s="141">
        <v>10</v>
      </c>
      <c r="AE580" s="142">
        <v>0</v>
      </c>
      <c r="AF580" s="69" t="str">
        <f t="shared" si="100"/>
        <v>5 years 363 days</v>
      </c>
      <c r="AG580" s="69">
        <v>5</v>
      </c>
      <c r="AH580" s="69">
        <v>363</v>
      </c>
      <c r="AI580" s="69">
        <v>32000</v>
      </c>
      <c r="AJ580" s="67">
        <v>19174</v>
      </c>
      <c r="AK580" s="69">
        <v>2025</v>
      </c>
      <c r="AL580" s="61">
        <v>1586.5479452054788</v>
      </c>
      <c r="AM580" s="143"/>
    </row>
    <row r="581" spans="1:39" x14ac:dyDescent="0.35">
      <c r="A581" s="69" t="s">
        <v>4124</v>
      </c>
      <c r="B581" s="41">
        <v>1101504387</v>
      </c>
      <c r="C581" s="41"/>
      <c r="D581" s="69"/>
      <c r="E581" s="101">
        <v>0</v>
      </c>
      <c r="F581" s="41" t="s">
        <v>1152</v>
      </c>
      <c r="G581" s="69" t="s">
        <v>1151</v>
      </c>
      <c r="H581" s="41">
        <v>9008000091</v>
      </c>
      <c r="I581" s="41" t="s">
        <v>1843</v>
      </c>
      <c r="J581" s="41">
        <v>1202110105</v>
      </c>
      <c r="K581" s="41" t="s">
        <v>1874</v>
      </c>
      <c r="L581" s="52" t="s">
        <v>1875</v>
      </c>
      <c r="M581" s="69" t="s">
        <v>49</v>
      </c>
      <c r="N581" s="69"/>
      <c r="O581" s="69">
        <v>1</v>
      </c>
      <c r="P581" s="69" t="s">
        <v>50</v>
      </c>
      <c r="Q581" s="69" t="s">
        <v>51</v>
      </c>
      <c r="R581" s="69"/>
      <c r="S581" s="48">
        <v>40422</v>
      </c>
      <c r="T581" s="48">
        <v>43340</v>
      </c>
      <c r="U581" s="69"/>
      <c r="V581" s="69"/>
      <c r="W581" s="69"/>
      <c r="X581" s="69"/>
      <c r="Y581" s="69" t="s">
        <v>4125</v>
      </c>
      <c r="Z581" s="52">
        <v>21000</v>
      </c>
      <c r="AA581" s="43" t="s">
        <v>52</v>
      </c>
      <c r="AB581" s="43" t="s">
        <v>53</v>
      </c>
      <c r="AC581" s="85">
        <v>2555</v>
      </c>
      <c r="AD581" s="141">
        <v>7</v>
      </c>
      <c r="AE581" s="142">
        <v>0</v>
      </c>
      <c r="AF581" s="69" t="str">
        <f t="shared" si="100"/>
        <v>6 years 128 days</v>
      </c>
      <c r="AG581" s="69">
        <v>6</v>
      </c>
      <c r="AH581" s="69">
        <v>128</v>
      </c>
      <c r="AI581" s="69">
        <v>21000</v>
      </c>
      <c r="AJ581" s="67">
        <v>19044</v>
      </c>
      <c r="AK581" s="69">
        <v>2025</v>
      </c>
      <c r="AL581" s="61">
        <v>1487.5068493150684</v>
      </c>
      <c r="AM581" s="143"/>
    </row>
    <row r="582" spans="1:39" x14ac:dyDescent="0.35">
      <c r="A582" s="69" t="s">
        <v>4124</v>
      </c>
      <c r="B582" s="41">
        <v>1101504388</v>
      </c>
      <c r="C582" s="41"/>
      <c r="D582" s="69"/>
      <c r="E582" s="101">
        <v>0</v>
      </c>
      <c r="F582" s="41" t="s">
        <v>1152</v>
      </c>
      <c r="G582" s="69" t="s">
        <v>1151</v>
      </c>
      <c r="H582" s="41">
        <v>9008000092</v>
      </c>
      <c r="I582" s="41" t="s">
        <v>1843</v>
      </c>
      <c r="J582" s="41">
        <v>1202110105</v>
      </c>
      <c r="K582" s="41" t="s">
        <v>1877</v>
      </c>
      <c r="L582" s="52" t="s">
        <v>1878</v>
      </c>
      <c r="M582" s="69" t="s">
        <v>49</v>
      </c>
      <c r="N582" s="69"/>
      <c r="O582" s="69">
        <v>1</v>
      </c>
      <c r="P582" s="69" t="s">
        <v>50</v>
      </c>
      <c r="Q582" s="69" t="s">
        <v>51</v>
      </c>
      <c r="R582" s="69"/>
      <c r="S582" s="48">
        <v>40422</v>
      </c>
      <c r="T582" s="48">
        <v>43340</v>
      </c>
      <c r="U582" s="69"/>
      <c r="V582" s="69"/>
      <c r="W582" s="69"/>
      <c r="X582" s="69"/>
      <c r="Y582" s="69" t="s">
        <v>4125</v>
      </c>
      <c r="Z582" s="52">
        <v>21000</v>
      </c>
      <c r="AA582" s="43" t="s">
        <v>52</v>
      </c>
      <c r="AB582" s="43" t="s">
        <v>53</v>
      </c>
      <c r="AC582" s="85">
        <v>2555</v>
      </c>
      <c r="AD582" s="141">
        <v>7</v>
      </c>
      <c r="AE582" s="142">
        <v>0</v>
      </c>
      <c r="AF582" s="69" t="str">
        <f t="shared" si="100"/>
        <v>6 years 128 days</v>
      </c>
      <c r="AG582" s="69">
        <v>6</v>
      </c>
      <c r="AH582" s="69">
        <v>128</v>
      </c>
      <c r="AI582" s="69">
        <v>21000</v>
      </c>
      <c r="AJ582" s="67">
        <v>19044</v>
      </c>
      <c r="AK582" s="69">
        <v>2025</v>
      </c>
      <c r="AL582" s="61">
        <v>1487.5068493150684</v>
      </c>
      <c r="AM582" s="143"/>
    </row>
    <row r="583" spans="1:39" x14ac:dyDescent="0.35">
      <c r="A583" s="69" t="s">
        <v>4124</v>
      </c>
      <c r="B583" s="41">
        <v>1101400348</v>
      </c>
      <c r="C583" s="41"/>
      <c r="D583" s="69"/>
      <c r="E583" s="101">
        <v>0</v>
      </c>
      <c r="F583" s="41" t="s">
        <v>1152</v>
      </c>
      <c r="G583" s="69" t="s">
        <v>1151</v>
      </c>
      <c r="H583" s="41">
        <v>9008000093</v>
      </c>
      <c r="I583" s="41" t="s">
        <v>1880</v>
      </c>
      <c r="J583" s="41">
        <v>1202110102</v>
      </c>
      <c r="K583" s="41" t="s">
        <v>1881</v>
      </c>
      <c r="L583" s="52" t="s">
        <v>1882</v>
      </c>
      <c r="M583" s="69" t="s">
        <v>49</v>
      </c>
      <c r="N583" s="69"/>
      <c r="O583" s="69">
        <v>1</v>
      </c>
      <c r="P583" s="69" t="s">
        <v>50</v>
      </c>
      <c r="Q583" s="69" t="s">
        <v>51</v>
      </c>
      <c r="R583" s="69"/>
      <c r="S583" s="48">
        <v>39995</v>
      </c>
      <c r="T583" s="48">
        <v>43340</v>
      </c>
      <c r="U583" s="69"/>
      <c r="V583" s="69"/>
      <c r="W583" s="69"/>
      <c r="X583" s="69"/>
      <c r="Y583" s="69" t="s">
        <v>4125</v>
      </c>
      <c r="Z583" s="52">
        <v>7500</v>
      </c>
      <c r="AA583" s="43" t="s">
        <v>52</v>
      </c>
      <c r="AB583" s="43" t="s">
        <v>53</v>
      </c>
      <c r="AC583" s="85">
        <v>365</v>
      </c>
      <c r="AD583" s="141">
        <v>1</v>
      </c>
      <c r="AE583" s="142">
        <v>0</v>
      </c>
      <c r="AF583" s="69" t="str">
        <f t="shared" ref="AF583:AF584" si="101">_xlfn.CONCAT(AG583," years ",AH583," days")</f>
        <v>1 years 0 days</v>
      </c>
      <c r="AG583" s="69">
        <v>1</v>
      </c>
      <c r="AH583" s="69">
        <v>0</v>
      </c>
      <c r="AI583" s="69">
        <v>7500</v>
      </c>
      <c r="AJ583" s="67">
        <v>7500</v>
      </c>
      <c r="AK583" s="69">
        <v>2025</v>
      </c>
      <c r="AL583" s="61">
        <v>0</v>
      </c>
      <c r="AM583" s="143"/>
    </row>
    <row r="584" spans="1:39" x14ac:dyDescent="0.35">
      <c r="A584" s="69" t="s">
        <v>4124</v>
      </c>
      <c r="B584" s="41">
        <v>1101102637</v>
      </c>
      <c r="C584" s="41"/>
      <c r="D584" s="41" t="s">
        <v>1879</v>
      </c>
      <c r="E584" s="101">
        <v>1</v>
      </c>
      <c r="F584" s="41" t="s">
        <v>1152</v>
      </c>
      <c r="G584" s="69" t="s">
        <v>1151</v>
      </c>
      <c r="H584" s="41">
        <v>9008000093</v>
      </c>
      <c r="I584" s="41" t="s">
        <v>1880</v>
      </c>
      <c r="J584" s="41">
        <v>1202110102</v>
      </c>
      <c r="K584" s="41"/>
      <c r="L584" s="52" t="s">
        <v>1884</v>
      </c>
      <c r="M584" s="69" t="s">
        <v>1885</v>
      </c>
      <c r="N584" s="69"/>
      <c r="O584" s="69">
        <v>1</v>
      </c>
      <c r="P584" s="69" t="s">
        <v>50</v>
      </c>
      <c r="Q584" s="69" t="s">
        <v>51</v>
      </c>
      <c r="R584" s="69"/>
      <c r="S584" s="48">
        <v>42759</v>
      </c>
      <c r="T584" s="48">
        <v>43340</v>
      </c>
      <c r="U584" s="69"/>
      <c r="V584" s="69"/>
      <c r="W584" s="69"/>
      <c r="X584" s="69"/>
      <c r="Y584" s="69" t="s">
        <v>4125</v>
      </c>
      <c r="Z584" s="52">
        <v>75000</v>
      </c>
      <c r="AA584" s="43" t="s">
        <v>52</v>
      </c>
      <c r="AB584" s="43" t="s">
        <v>53</v>
      </c>
      <c r="AC584" s="85">
        <v>4891</v>
      </c>
      <c r="AD584" s="141">
        <v>13</v>
      </c>
      <c r="AE584" s="142">
        <v>5</v>
      </c>
      <c r="AF584" s="69" t="str">
        <f t="shared" si="101"/>
        <v>6 years 128 days</v>
      </c>
      <c r="AG584" s="69">
        <v>6</v>
      </c>
      <c r="AH584" s="69">
        <v>128</v>
      </c>
      <c r="AI584" s="69">
        <v>75000</v>
      </c>
      <c r="AJ584" s="67">
        <v>35530</v>
      </c>
      <c r="AK584" s="69">
        <v>2025</v>
      </c>
      <c r="AL584" s="61">
        <v>2775.0500920057239</v>
      </c>
      <c r="AM584" s="143"/>
    </row>
    <row r="585" spans="1:39" x14ac:dyDescent="0.35">
      <c r="A585" s="69" t="s">
        <v>4124</v>
      </c>
      <c r="B585" s="41">
        <v>1101400354</v>
      </c>
      <c r="C585" s="41"/>
      <c r="D585" s="69"/>
      <c r="E585" s="101">
        <v>0</v>
      </c>
      <c r="F585" s="41" t="s">
        <v>1152</v>
      </c>
      <c r="G585" s="69" t="s">
        <v>1151</v>
      </c>
      <c r="H585" s="41">
        <v>9008000094</v>
      </c>
      <c r="I585" s="41" t="s">
        <v>1880</v>
      </c>
      <c r="J585" s="41">
        <v>1202110102</v>
      </c>
      <c r="K585" s="41" t="s">
        <v>1887</v>
      </c>
      <c r="L585" s="52" t="s">
        <v>1888</v>
      </c>
      <c r="M585" s="69" t="s">
        <v>49</v>
      </c>
      <c r="N585" s="69"/>
      <c r="O585" s="69">
        <v>1</v>
      </c>
      <c r="P585" s="69" t="s">
        <v>50</v>
      </c>
      <c r="Q585" s="69" t="s">
        <v>51</v>
      </c>
      <c r="R585" s="69"/>
      <c r="S585" s="48">
        <v>40015</v>
      </c>
      <c r="T585" s="48">
        <v>43340</v>
      </c>
      <c r="U585" s="69"/>
      <c r="V585" s="69"/>
      <c r="W585" s="69"/>
      <c r="X585" s="69"/>
      <c r="Y585" s="69" t="s">
        <v>4125</v>
      </c>
      <c r="Z585" s="52">
        <v>7750</v>
      </c>
      <c r="AA585" s="43" t="s">
        <v>52</v>
      </c>
      <c r="AB585" s="43" t="s">
        <v>53</v>
      </c>
      <c r="AC585" s="85">
        <v>365</v>
      </c>
      <c r="AD585" s="141">
        <v>1</v>
      </c>
      <c r="AE585" s="142">
        <v>0</v>
      </c>
      <c r="AF585" s="69" t="str">
        <f t="shared" ref="AF585:AF591" si="102">_xlfn.CONCAT(AG585," years ",AH585," days")</f>
        <v>1 years 0 days</v>
      </c>
      <c r="AG585" s="69">
        <v>1</v>
      </c>
      <c r="AH585" s="69">
        <v>0</v>
      </c>
      <c r="AI585" s="69">
        <v>7750</v>
      </c>
      <c r="AJ585" s="67">
        <v>7750</v>
      </c>
      <c r="AK585" s="69">
        <v>2025</v>
      </c>
      <c r="AL585" s="61">
        <v>0</v>
      </c>
      <c r="AM585" s="143"/>
    </row>
    <row r="586" spans="1:39" x14ac:dyDescent="0.35">
      <c r="A586" s="69" t="s">
        <v>4124</v>
      </c>
      <c r="B586" s="41">
        <v>1101403296</v>
      </c>
      <c r="C586" s="41"/>
      <c r="D586" s="69"/>
      <c r="E586" s="101">
        <v>0</v>
      </c>
      <c r="F586" s="41" t="s">
        <v>1152</v>
      </c>
      <c r="G586" s="69" t="s">
        <v>1151</v>
      </c>
      <c r="H586" s="41">
        <v>9008000095</v>
      </c>
      <c r="I586" s="41" t="s">
        <v>1880</v>
      </c>
      <c r="J586" s="41">
        <v>1202110102</v>
      </c>
      <c r="K586" s="41" t="s">
        <v>1890</v>
      </c>
      <c r="L586" s="52" t="s">
        <v>1891</v>
      </c>
      <c r="M586" s="69" t="s">
        <v>1892</v>
      </c>
      <c r="N586" s="69"/>
      <c r="O586" s="69">
        <v>2</v>
      </c>
      <c r="P586" s="69" t="s">
        <v>50</v>
      </c>
      <c r="Q586" s="69" t="s">
        <v>51</v>
      </c>
      <c r="R586" s="69"/>
      <c r="S586" s="48">
        <v>43952</v>
      </c>
      <c r="T586" s="48">
        <v>43952</v>
      </c>
      <c r="U586" s="69"/>
      <c r="V586" s="69"/>
      <c r="W586" s="69"/>
      <c r="X586" s="69"/>
      <c r="Y586" s="69" t="s">
        <v>4127</v>
      </c>
      <c r="Z586" s="52">
        <v>172960</v>
      </c>
      <c r="AA586" s="43" t="s">
        <v>52</v>
      </c>
      <c r="AB586" s="43" t="s">
        <v>53</v>
      </c>
      <c r="AC586" s="85">
        <v>3650</v>
      </c>
      <c r="AD586" s="141">
        <v>10</v>
      </c>
      <c r="AE586" s="142">
        <v>0</v>
      </c>
      <c r="AF586" s="69" t="str">
        <f t="shared" si="102"/>
        <v>4 years 246 days</v>
      </c>
      <c r="AG586" s="69">
        <v>4</v>
      </c>
      <c r="AH586" s="69">
        <v>246</v>
      </c>
      <c r="AI586" s="69">
        <v>172960</v>
      </c>
      <c r="AJ586" s="67">
        <v>80841</v>
      </c>
      <c r="AK586" s="69">
        <v>2025</v>
      </c>
      <c r="AL586" s="61">
        <v>8576.9506849315076</v>
      </c>
      <c r="AM586" s="143"/>
    </row>
    <row r="587" spans="1:39" x14ac:dyDescent="0.35">
      <c r="A587" s="69" t="s">
        <v>4124</v>
      </c>
      <c r="B587" s="41">
        <v>1101504290</v>
      </c>
      <c r="C587" s="41"/>
      <c r="D587" s="69"/>
      <c r="E587" s="101">
        <v>0</v>
      </c>
      <c r="F587" s="41" t="s">
        <v>1152</v>
      </c>
      <c r="G587" s="69" t="s">
        <v>1151</v>
      </c>
      <c r="H587" s="41">
        <v>9008000096</v>
      </c>
      <c r="I587" s="41" t="s">
        <v>1880</v>
      </c>
      <c r="J587" s="41">
        <v>1202110102</v>
      </c>
      <c r="K587" s="41" t="s">
        <v>1894</v>
      </c>
      <c r="L587" s="52" t="s">
        <v>1895</v>
      </c>
      <c r="M587" s="69" t="s">
        <v>49</v>
      </c>
      <c r="N587" s="69"/>
      <c r="O587" s="69">
        <v>1</v>
      </c>
      <c r="P587" s="69" t="s">
        <v>50</v>
      </c>
      <c r="Q587" s="69" t="s">
        <v>51</v>
      </c>
      <c r="R587" s="69"/>
      <c r="S587" s="48">
        <v>43460</v>
      </c>
      <c r="T587" s="48">
        <v>43460</v>
      </c>
      <c r="U587" s="69"/>
      <c r="V587" s="69"/>
      <c r="W587" s="69"/>
      <c r="X587" s="69"/>
      <c r="Y587" s="69" t="s">
        <v>4125</v>
      </c>
      <c r="Z587" s="52">
        <v>84000</v>
      </c>
      <c r="AA587" s="43" t="s">
        <v>52</v>
      </c>
      <c r="AB587" s="43" t="s">
        <v>53</v>
      </c>
      <c r="AC587" s="85">
        <v>3650</v>
      </c>
      <c r="AD587" s="141">
        <v>10</v>
      </c>
      <c r="AE587" s="142">
        <v>0</v>
      </c>
      <c r="AF587" s="69" t="str">
        <f t="shared" si="102"/>
        <v>6 years 8 days</v>
      </c>
      <c r="AG587" s="69">
        <v>6</v>
      </c>
      <c r="AH587" s="69">
        <v>8</v>
      </c>
      <c r="AI587" s="69">
        <v>84000</v>
      </c>
      <c r="AJ587" s="67">
        <v>50561</v>
      </c>
      <c r="AK587" s="69">
        <v>2025</v>
      </c>
      <c r="AL587" s="61">
        <v>4165.5753424657451</v>
      </c>
      <c r="AM587" s="143"/>
    </row>
    <row r="588" spans="1:39" x14ac:dyDescent="0.35">
      <c r="A588" s="69" t="s">
        <v>4124</v>
      </c>
      <c r="B588" s="41">
        <v>1101504383</v>
      </c>
      <c r="C588" s="41"/>
      <c r="D588" s="69"/>
      <c r="E588" s="101">
        <v>0</v>
      </c>
      <c r="F588" s="41" t="s">
        <v>1152</v>
      </c>
      <c r="G588" s="69" t="s">
        <v>1151</v>
      </c>
      <c r="H588" s="41">
        <v>9008000097</v>
      </c>
      <c r="I588" s="41" t="s">
        <v>1880</v>
      </c>
      <c r="J588" s="41">
        <v>1202110102</v>
      </c>
      <c r="K588" s="41" t="s">
        <v>1897</v>
      </c>
      <c r="L588" s="52" t="s">
        <v>1898</v>
      </c>
      <c r="M588" s="69" t="s">
        <v>49</v>
      </c>
      <c r="N588" s="69"/>
      <c r="O588" s="69">
        <v>1</v>
      </c>
      <c r="P588" s="69" t="s">
        <v>50</v>
      </c>
      <c r="Q588" s="69" t="s">
        <v>51</v>
      </c>
      <c r="R588" s="69"/>
      <c r="S588" s="48">
        <v>42650</v>
      </c>
      <c r="T588" s="48">
        <v>43340</v>
      </c>
      <c r="U588" s="69"/>
      <c r="V588" s="69"/>
      <c r="W588" s="69"/>
      <c r="X588" s="69"/>
      <c r="Y588" s="69" t="s">
        <v>4125</v>
      </c>
      <c r="Z588" s="52">
        <v>70000</v>
      </c>
      <c r="AA588" s="43" t="s">
        <v>52</v>
      </c>
      <c r="AB588" s="43" t="s">
        <v>53</v>
      </c>
      <c r="AC588" s="85">
        <v>2957</v>
      </c>
      <c r="AD588" s="141">
        <v>8</v>
      </c>
      <c r="AE588" s="142">
        <v>1</v>
      </c>
      <c r="AF588" s="69" t="str">
        <f t="shared" si="102"/>
        <v>6 years 128 days</v>
      </c>
      <c r="AG588" s="69">
        <v>6</v>
      </c>
      <c r="AH588" s="69">
        <v>128</v>
      </c>
      <c r="AI588" s="69">
        <v>70000</v>
      </c>
      <c r="AJ588" s="67">
        <v>54850</v>
      </c>
      <c r="AK588" s="69">
        <v>2025</v>
      </c>
      <c r="AL588" s="61">
        <v>4284.257693608386</v>
      </c>
      <c r="AM588" s="143"/>
    </row>
    <row r="589" spans="1:39" x14ac:dyDescent="0.35">
      <c r="A589" s="69" t="s">
        <v>4124</v>
      </c>
      <c r="B589" s="41">
        <v>1101504384</v>
      </c>
      <c r="C589" s="41"/>
      <c r="D589" s="69"/>
      <c r="E589" s="101">
        <v>0</v>
      </c>
      <c r="F589" s="41" t="s">
        <v>1152</v>
      </c>
      <c r="G589" s="69" t="s">
        <v>1151</v>
      </c>
      <c r="H589" s="41">
        <v>9008000098</v>
      </c>
      <c r="I589" s="41" t="s">
        <v>1880</v>
      </c>
      <c r="J589" s="41">
        <v>1202110102</v>
      </c>
      <c r="K589" s="41" t="s">
        <v>1900</v>
      </c>
      <c r="L589" s="52" t="s">
        <v>1901</v>
      </c>
      <c r="M589" s="69" t="s">
        <v>49</v>
      </c>
      <c r="N589" s="69"/>
      <c r="O589" s="69">
        <v>1</v>
      </c>
      <c r="P589" s="69" t="s">
        <v>50</v>
      </c>
      <c r="Q589" s="69" t="s">
        <v>51</v>
      </c>
      <c r="R589" s="69"/>
      <c r="S589" s="48">
        <v>42499</v>
      </c>
      <c r="T589" s="48">
        <v>43340</v>
      </c>
      <c r="U589" s="69"/>
      <c r="V589" s="69"/>
      <c r="W589" s="69"/>
      <c r="X589" s="69"/>
      <c r="Y589" s="69" t="s">
        <v>4125</v>
      </c>
      <c r="Z589" s="52">
        <v>67500</v>
      </c>
      <c r="AA589" s="43" t="s">
        <v>52</v>
      </c>
      <c r="AB589" s="43" t="s">
        <v>53</v>
      </c>
      <c r="AC589" s="85">
        <v>2811</v>
      </c>
      <c r="AD589" s="141">
        <v>7</v>
      </c>
      <c r="AE589" s="142">
        <v>9</v>
      </c>
      <c r="AF589" s="69" t="str">
        <f t="shared" si="102"/>
        <v>6 years 128 days</v>
      </c>
      <c r="AG589" s="69">
        <v>6</v>
      </c>
      <c r="AH589" s="69">
        <v>128</v>
      </c>
      <c r="AI589" s="69">
        <v>67500</v>
      </c>
      <c r="AJ589" s="67">
        <v>55638</v>
      </c>
      <c r="AK589" s="69">
        <v>2025</v>
      </c>
      <c r="AL589" s="61">
        <v>4345.9914621131174</v>
      </c>
      <c r="AM589" s="143"/>
    </row>
    <row r="590" spans="1:39" x14ac:dyDescent="0.35">
      <c r="A590" s="69" t="s">
        <v>4124</v>
      </c>
      <c r="B590" s="41">
        <v>1101504390</v>
      </c>
      <c r="C590" s="41"/>
      <c r="D590" s="69"/>
      <c r="E590" s="101">
        <v>0</v>
      </c>
      <c r="F590" s="41" t="s">
        <v>1152</v>
      </c>
      <c r="G590" s="69" t="s">
        <v>1151</v>
      </c>
      <c r="H590" s="41">
        <v>9008000099</v>
      </c>
      <c r="I590" s="41" t="s">
        <v>1880</v>
      </c>
      <c r="J590" s="41">
        <v>1202110102</v>
      </c>
      <c r="K590" s="41" t="s">
        <v>1903</v>
      </c>
      <c r="L590" s="52" t="s">
        <v>1904</v>
      </c>
      <c r="M590" s="69" t="s">
        <v>49</v>
      </c>
      <c r="N590" s="69"/>
      <c r="O590" s="69">
        <v>1</v>
      </c>
      <c r="P590" s="69" t="s">
        <v>50</v>
      </c>
      <c r="Q590" s="69" t="s">
        <v>51</v>
      </c>
      <c r="R590" s="69"/>
      <c r="S590" s="48">
        <v>41094</v>
      </c>
      <c r="T590" s="48">
        <v>43340</v>
      </c>
      <c r="U590" s="69"/>
      <c r="V590" s="69"/>
      <c r="W590" s="69"/>
      <c r="X590" s="69"/>
      <c r="Y590" s="69" t="s">
        <v>4125</v>
      </c>
      <c r="Z590" s="52">
        <v>85000</v>
      </c>
      <c r="AA590" s="43" t="s">
        <v>52</v>
      </c>
      <c r="AB590" s="43" t="s">
        <v>53</v>
      </c>
      <c r="AC590" s="85">
        <v>1387</v>
      </c>
      <c r="AD590" s="141">
        <v>3</v>
      </c>
      <c r="AE590" s="142">
        <v>10</v>
      </c>
      <c r="AF590" s="69" t="str">
        <f t="shared" si="102"/>
        <v>3 years 292 days</v>
      </c>
      <c r="AG590" s="69">
        <v>3</v>
      </c>
      <c r="AH590" s="69">
        <v>292</v>
      </c>
      <c r="AI590" s="69">
        <v>85000</v>
      </c>
      <c r="AJ590" s="67">
        <v>85000</v>
      </c>
      <c r="AK590" s="69">
        <v>2025</v>
      </c>
      <c r="AL590" s="61">
        <v>0</v>
      </c>
      <c r="AM590" s="143"/>
    </row>
    <row r="591" spans="1:39" x14ac:dyDescent="0.35">
      <c r="A591" s="69" t="s">
        <v>4124</v>
      </c>
      <c r="B591" s="41">
        <v>1101404697</v>
      </c>
      <c r="C591" s="41"/>
      <c r="D591" s="69"/>
      <c r="E591" s="101">
        <v>0</v>
      </c>
      <c r="F591" s="41" t="s">
        <v>1152</v>
      </c>
      <c r="G591" s="69" t="s">
        <v>1151</v>
      </c>
      <c r="H591" s="41">
        <v>9008000100</v>
      </c>
      <c r="I591" s="41" t="s">
        <v>1880</v>
      </c>
      <c r="J591" s="41">
        <v>1202110102</v>
      </c>
      <c r="K591" s="41" t="s">
        <v>1906</v>
      </c>
      <c r="L591" s="52" t="s">
        <v>1907</v>
      </c>
      <c r="M591" s="69" t="s">
        <v>1908</v>
      </c>
      <c r="N591" s="69"/>
      <c r="O591" s="69">
        <v>1</v>
      </c>
      <c r="P591" s="69" t="s">
        <v>50</v>
      </c>
      <c r="Q591" s="69" t="s">
        <v>51</v>
      </c>
      <c r="R591" s="69"/>
      <c r="S591" s="48">
        <v>45016</v>
      </c>
      <c r="T591" s="48">
        <v>45016</v>
      </c>
      <c r="U591" s="69"/>
      <c r="V591" s="69"/>
      <c r="W591" s="69"/>
      <c r="X591" s="69"/>
      <c r="Y591" s="69" t="s">
        <v>4129</v>
      </c>
      <c r="Z591" s="52">
        <v>136000</v>
      </c>
      <c r="AA591" s="43" t="s">
        <v>52</v>
      </c>
      <c r="AB591" s="43" t="s">
        <v>53</v>
      </c>
      <c r="AC591" s="85">
        <v>3650</v>
      </c>
      <c r="AD591" s="141">
        <v>10</v>
      </c>
      <c r="AE591" s="142">
        <v>0</v>
      </c>
      <c r="AF591" s="69" t="str">
        <f t="shared" si="102"/>
        <v>1 years 277 days</v>
      </c>
      <c r="AG591" s="69">
        <v>1</v>
      </c>
      <c r="AH591" s="69">
        <v>277</v>
      </c>
      <c r="AI591" s="69">
        <v>136000</v>
      </c>
      <c r="AJ591" s="67">
        <v>23958</v>
      </c>
      <c r="AK591" s="69">
        <v>2025</v>
      </c>
      <c r="AL591" s="61">
        <v>6744.465753424658</v>
      </c>
      <c r="AM591" s="143"/>
    </row>
    <row r="592" spans="1:39" x14ac:dyDescent="0.35">
      <c r="A592" s="69" t="s">
        <v>4124</v>
      </c>
      <c r="B592" s="41">
        <v>1101504310</v>
      </c>
      <c r="C592" s="41"/>
      <c r="D592" s="69"/>
      <c r="E592" s="101">
        <v>0</v>
      </c>
      <c r="F592" s="41" t="s">
        <v>1152</v>
      </c>
      <c r="G592" s="69" t="s">
        <v>1151</v>
      </c>
      <c r="H592" s="41">
        <v>9008000101</v>
      </c>
      <c r="I592" s="41" t="s">
        <v>1693</v>
      </c>
      <c r="J592" s="41">
        <v>1202110106</v>
      </c>
      <c r="K592" s="41" t="s">
        <v>1910</v>
      </c>
      <c r="L592" s="52" t="s">
        <v>1911</v>
      </c>
      <c r="M592" s="69" t="s">
        <v>1912</v>
      </c>
      <c r="N592" s="69"/>
      <c r="O592" s="69">
        <v>1</v>
      </c>
      <c r="P592" s="69" t="s">
        <v>50</v>
      </c>
      <c r="Q592" s="69" t="s">
        <v>51</v>
      </c>
      <c r="R592" s="69"/>
      <c r="S592" s="48">
        <v>44525</v>
      </c>
      <c r="T592" s="48">
        <v>44525</v>
      </c>
      <c r="U592" s="69"/>
      <c r="V592" s="69"/>
      <c r="W592" s="69"/>
      <c r="X592" s="69"/>
      <c r="Y592" s="69" t="s">
        <v>4128</v>
      </c>
      <c r="Z592" s="52">
        <v>1513000</v>
      </c>
      <c r="AA592" s="43" t="s">
        <v>52</v>
      </c>
      <c r="AB592" s="43" t="s">
        <v>53</v>
      </c>
      <c r="AC592" s="85">
        <v>3650</v>
      </c>
      <c r="AD592" s="141">
        <v>10</v>
      </c>
      <c r="AE592" s="142">
        <v>0</v>
      </c>
      <c r="AF592" s="69" t="str">
        <f t="shared" ref="AF592:AF593" si="103">_xlfn.CONCAT(AG592," years ",AH592," days")</f>
        <v>3 years 38 days</v>
      </c>
      <c r="AG592" s="69">
        <v>3</v>
      </c>
      <c r="AH592" s="69">
        <v>38</v>
      </c>
      <c r="AI592" s="69">
        <v>1513000</v>
      </c>
      <c r="AJ592" s="67">
        <v>469652</v>
      </c>
      <c r="AK592" s="69">
        <v>2025</v>
      </c>
      <c r="AL592" s="61">
        <v>75028</v>
      </c>
      <c r="AM592" s="143"/>
    </row>
    <row r="593" spans="1:39" x14ac:dyDescent="0.35">
      <c r="A593" s="69" t="s">
        <v>4124</v>
      </c>
      <c r="B593" s="41">
        <v>1101504305</v>
      </c>
      <c r="C593" s="41"/>
      <c r="D593" s="41" t="s">
        <v>1909</v>
      </c>
      <c r="E593" s="101">
        <v>1</v>
      </c>
      <c r="F593" s="41" t="s">
        <v>1152</v>
      </c>
      <c r="G593" s="69" t="s">
        <v>1151</v>
      </c>
      <c r="H593" s="41">
        <v>9008000101</v>
      </c>
      <c r="I593" s="41" t="s">
        <v>1693</v>
      </c>
      <c r="J593" s="41">
        <v>1202110106</v>
      </c>
      <c r="K593" s="41" t="s">
        <v>1914</v>
      </c>
      <c r="L593" s="52" t="s">
        <v>1915</v>
      </c>
      <c r="M593" s="69" t="s">
        <v>1916</v>
      </c>
      <c r="N593" s="69"/>
      <c r="O593" s="69">
        <v>1</v>
      </c>
      <c r="P593" s="69" t="s">
        <v>50</v>
      </c>
      <c r="Q593" s="69" t="s">
        <v>51</v>
      </c>
      <c r="R593" s="69"/>
      <c r="S593" s="48">
        <v>44544</v>
      </c>
      <c r="T593" s="48">
        <v>44544</v>
      </c>
      <c r="U593" s="69"/>
      <c r="V593" s="69"/>
      <c r="W593" s="69"/>
      <c r="X593" s="69"/>
      <c r="Y593" s="69" t="s">
        <v>4128</v>
      </c>
      <c r="Z593" s="52">
        <v>970100</v>
      </c>
      <c r="AA593" s="43" t="s">
        <v>52</v>
      </c>
      <c r="AB593" s="43" t="s">
        <v>53</v>
      </c>
      <c r="AC593" s="85">
        <v>3650</v>
      </c>
      <c r="AD593" s="141">
        <v>10</v>
      </c>
      <c r="AE593" s="142">
        <v>0</v>
      </c>
      <c r="AF593" s="69" t="str">
        <f t="shared" si="103"/>
        <v>3 years 19 days</v>
      </c>
      <c r="AG593" s="69">
        <v>3</v>
      </c>
      <c r="AH593" s="69">
        <v>19</v>
      </c>
      <c r="AI593" s="69">
        <v>970100</v>
      </c>
      <c r="AJ593" s="67">
        <v>296080</v>
      </c>
      <c r="AK593" s="69">
        <v>2025</v>
      </c>
      <c r="AL593" s="61">
        <v>48106.164383561641</v>
      </c>
      <c r="AM593" s="143"/>
    </row>
    <row r="594" spans="1:39" x14ac:dyDescent="0.35">
      <c r="A594" s="69" t="s">
        <v>4124</v>
      </c>
      <c r="B594" s="41">
        <v>1101404614</v>
      </c>
      <c r="C594" s="41"/>
      <c r="D594" s="41" t="s">
        <v>1909</v>
      </c>
      <c r="E594" s="101">
        <v>2</v>
      </c>
      <c r="F594" s="41" t="s">
        <v>1152</v>
      </c>
      <c r="G594" s="69" t="s">
        <v>1151</v>
      </c>
      <c r="H594" s="41">
        <v>9008000101</v>
      </c>
      <c r="I594" s="41" t="s">
        <v>1693</v>
      </c>
      <c r="J594" s="41">
        <v>1202110106</v>
      </c>
      <c r="K594" s="41"/>
      <c r="L594" s="52" t="s">
        <v>1918</v>
      </c>
      <c r="M594" s="69" t="s">
        <v>49</v>
      </c>
      <c r="N594" s="69"/>
      <c r="O594" s="69">
        <v>1</v>
      </c>
      <c r="P594" s="69" t="s">
        <v>50</v>
      </c>
      <c r="Q594" s="69" t="s">
        <v>51</v>
      </c>
      <c r="R594" s="69"/>
      <c r="S594" s="48">
        <v>42420</v>
      </c>
      <c r="T594" s="48">
        <v>43340</v>
      </c>
      <c r="U594" s="69"/>
      <c r="V594" s="69"/>
      <c r="W594" s="69"/>
      <c r="X594" s="69"/>
      <c r="Y594" s="69" t="s">
        <v>4125</v>
      </c>
      <c r="Z594" s="52">
        <v>55000</v>
      </c>
      <c r="AA594" s="43" t="s">
        <v>52</v>
      </c>
      <c r="AB594" s="43" t="s">
        <v>53</v>
      </c>
      <c r="AC594" s="85">
        <v>4563</v>
      </c>
      <c r="AD594" s="141">
        <v>12</v>
      </c>
      <c r="AE594" s="142">
        <v>6</v>
      </c>
      <c r="AF594" s="69" t="str">
        <f t="shared" ref="AF594:AF596" si="104">_xlfn.CONCAT(AG594," years ",AH594," days")</f>
        <v>6 years 128 days</v>
      </c>
      <c r="AG594" s="69">
        <v>6</v>
      </c>
      <c r="AH594" s="69">
        <v>128</v>
      </c>
      <c r="AI594" s="69">
        <v>55000</v>
      </c>
      <c r="AJ594" s="67">
        <v>27928</v>
      </c>
      <c r="AK594" s="69">
        <v>2025</v>
      </c>
      <c r="AL594" s="61">
        <v>2181.5770326539568</v>
      </c>
      <c r="AM594" s="143"/>
    </row>
    <row r="595" spans="1:39" x14ac:dyDescent="0.35">
      <c r="A595" s="69" t="s">
        <v>4124</v>
      </c>
      <c r="B595" s="41">
        <v>1101404616</v>
      </c>
      <c r="C595" s="41"/>
      <c r="D595" s="41" t="s">
        <v>1909</v>
      </c>
      <c r="E595" s="101">
        <v>4</v>
      </c>
      <c r="F595" s="41" t="s">
        <v>1152</v>
      </c>
      <c r="G595" s="69" t="s">
        <v>1151</v>
      </c>
      <c r="H595" s="41">
        <v>9008000101</v>
      </c>
      <c r="I595" s="41" t="s">
        <v>1693</v>
      </c>
      <c r="J595" s="41">
        <v>1202110106</v>
      </c>
      <c r="K595" s="41"/>
      <c r="L595" s="52" t="s">
        <v>1922</v>
      </c>
      <c r="M595" s="69" t="s">
        <v>49</v>
      </c>
      <c r="N595" s="69"/>
      <c r="O595" s="69">
        <v>1</v>
      </c>
      <c r="P595" s="69" t="s">
        <v>50</v>
      </c>
      <c r="Q595" s="69" t="s">
        <v>51</v>
      </c>
      <c r="R595" s="69"/>
      <c r="S595" s="48">
        <v>42460</v>
      </c>
      <c r="T595" s="48">
        <v>43340</v>
      </c>
      <c r="U595" s="69"/>
      <c r="V595" s="69"/>
      <c r="W595" s="69"/>
      <c r="X595" s="69"/>
      <c r="Y595" s="69" t="s">
        <v>4125</v>
      </c>
      <c r="Z595" s="52">
        <v>140000</v>
      </c>
      <c r="AA595" s="43" t="s">
        <v>52</v>
      </c>
      <c r="AB595" s="43" t="s">
        <v>53</v>
      </c>
      <c r="AC595" s="85">
        <v>4599</v>
      </c>
      <c r="AD595" s="141">
        <v>12</v>
      </c>
      <c r="AE595" s="142">
        <v>7</v>
      </c>
      <c r="AF595" s="69" t="str">
        <f t="shared" si="104"/>
        <v>6 years 128 days</v>
      </c>
      <c r="AG595" s="69">
        <v>6</v>
      </c>
      <c r="AH595" s="69">
        <v>128</v>
      </c>
      <c r="AI595" s="69">
        <v>140000</v>
      </c>
      <c r="AJ595" s="67">
        <v>70533</v>
      </c>
      <c r="AK595" s="69">
        <v>2025</v>
      </c>
      <c r="AL595" s="61">
        <v>5509.6179604261706</v>
      </c>
      <c r="AM595" s="143"/>
    </row>
    <row r="596" spans="1:39" x14ac:dyDescent="0.35">
      <c r="A596" s="69" t="s">
        <v>4124</v>
      </c>
      <c r="B596" s="41">
        <v>1101404615</v>
      </c>
      <c r="C596" s="41"/>
      <c r="D596" s="41" t="s">
        <v>1909</v>
      </c>
      <c r="E596" s="101">
        <v>3</v>
      </c>
      <c r="F596" s="41" t="s">
        <v>1152</v>
      </c>
      <c r="G596" s="69" t="s">
        <v>1151</v>
      </c>
      <c r="H596" s="41">
        <v>9008000101</v>
      </c>
      <c r="I596" s="41" t="s">
        <v>1693</v>
      </c>
      <c r="J596" s="41">
        <v>1202110106</v>
      </c>
      <c r="K596" s="41"/>
      <c r="L596" s="52" t="s">
        <v>1920</v>
      </c>
      <c r="M596" s="69" t="s">
        <v>49</v>
      </c>
      <c r="N596" s="69"/>
      <c r="O596" s="69">
        <v>1</v>
      </c>
      <c r="P596" s="69" t="s">
        <v>50</v>
      </c>
      <c r="Q596" s="69" t="s">
        <v>51</v>
      </c>
      <c r="R596" s="69"/>
      <c r="S596" s="48">
        <v>42475</v>
      </c>
      <c r="T596" s="48">
        <v>43340</v>
      </c>
      <c r="U596" s="69"/>
      <c r="V596" s="69"/>
      <c r="W596" s="69"/>
      <c r="X596" s="69"/>
      <c r="Y596" s="69" t="s">
        <v>4125</v>
      </c>
      <c r="Z596" s="52">
        <v>72500</v>
      </c>
      <c r="AA596" s="43" t="s">
        <v>52</v>
      </c>
      <c r="AB596" s="43" t="s">
        <v>53</v>
      </c>
      <c r="AC596" s="85">
        <v>4599</v>
      </c>
      <c r="AD596" s="141">
        <v>12</v>
      </c>
      <c r="AE596" s="142">
        <v>7</v>
      </c>
      <c r="AF596" s="69" t="str">
        <f t="shared" si="104"/>
        <v>6 years 128 days</v>
      </c>
      <c r="AG596" s="69">
        <v>6</v>
      </c>
      <c r="AH596" s="69">
        <v>128</v>
      </c>
      <c r="AI596" s="69">
        <v>72500</v>
      </c>
      <c r="AJ596" s="67">
        <v>36526</v>
      </c>
      <c r="AK596" s="69">
        <v>2025</v>
      </c>
      <c r="AL596" s="61">
        <v>2853.2128723635542</v>
      </c>
      <c r="AM596" s="143"/>
    </row>
    <row r="597" spans="1:39" x14ac:dyDescent="0.35">
      <c r="A597" s="69" t="s">
        <v>4124</v>
      </c>
      <c r="B597" s="41">
        <v>1101404741</v>
      </c>
      <c r="C597" s="41"/>
      <c r="D597" s="69"/>
      <c r="E597" s="101">
        <v>0</v>
      </c>
      <c r="F597" s="41" t="s">
        <v>1152</v>
      </c>
      <c r="G597" s="69" t="s">
        <v>1151</v>
      </c>
      <c r="H597" s="41">
        <v>9008000102</v>
      </c>
      <c r="I597" s="41" t="s">
        <v>261</v>
      </c>
      <c r="J597" s="41" t="s">
        <v>1794</v>
      </c>
      <c r="K597" s="41" t="s">
        <v>818</v>
      </c>
      <c r="L597" s="52" t="s">
        <v>1924</v>
      </c>
      <c r="M597" s="69" t="s">
        <v>1925</v>
      </c>
      <c r="N597" s="69"/>
      <c r="O597" s="69">
        <v>1</v>
      </c>
      <c r="P597" s="69" t="s">
        <v>50</v>
      </c>
      <c r="Q597" s="69" t="s">
        <v>51</v>
      </c>
      <c r="R597" s="69"/>
      <c r="S597" s="48">
        <v>45056</v>
      </c>
      <c r="T597" s="48">
        <v>45056</v>
      </c>
      <c r="U597" s="69"/>
      <c r="V597" s="69"/>
      <c r="W597" s="69"/>
      <c r="X597" s="69"/>
      <c r="Y597" s="69" t="s">
        <v>4129</v>
      </c>
      <c r="Z597" s="52">
        <v>803850</v>
      </c>
      <c r="AA597" s="43" t="s">
        <v>52</v>
      </c>
      <c r="AB597" s="43" t="s">
        <v>53</v>
      </c>
      <c r="AC597" s="85">
        <v>3650</v>
      </c>
      <c r="AD597" s="141">
        <v>10</v>
      </c>
      <c r="AE597" s="142">
        <v>0</v>
      </c>
      <c r="AF597" s="69" t="str">
        <f t="shared" ref="AF597:AF600" si="105">_xlfn.CONCAT(AG597," years ",AH597," days")</f>
        <v>1 years 237 days</v>
      </c>
      <c r="AG597" s="69">
        <v>1</v>
      </c>
      <c r="AH597" s="69">
        <v>237</v>
      </c>
      <c r="AI597" s="69">
        <v>803850</v>
      </c>
      <c r="AJ597" s="67">
        <v>132580</v>
      </c>
      <c r="AK597" s="69">
        <v>2025</v>
      </c>
      <c r="AL597" s="61">
        <v>39862.342465753405</v>
      </c>
      <c r="AM597" s="143"/>
    </row>
    <row r="598" spans="1:39" x14ac:dyDescent="0.35">
      <c r="A598" s="69" t="s">
        <v>4124</v>
      </c>
      <c r="B598" s="41">
        <v>1101404644</v>
      </c>
      <c r="C598" s="41"/>
      <c r="D598" s="41" t="s">
        <v>1923</v>
      </c>
      <c r="E598" s="101">
        <v>1</v>
      </c>
      <c r="F598" s="41" t="s">
        <v>1152</v>
      </c>
      <c r="G598" s="69" t="s">
        <v>1151</v>
      </c>
      <c r="H598" s="41">
        <v>9008000102</v>
      </c>
      <c r="I598" s="41" t="s">
        <v>261</v>
      </c>
      <c r="J598" s="41" t="s">
        <v>1794</v>
      </c>
      <c r="K598" s="41" t="s">
        <v>818</v>
      </c>
      <c r="L598" s="52" t="s">
        <v>1927</v>
      </c>
      <c r="M598" s="69" t="s">
        <v>1928</v>
      </c>
      <c r="N598" s="69"/>
      <c r="O598" s="69">
        <v>3</v>
      </c>
      <c r="P598" s="69" t="s">
        <v>50</v>
      </c>
      <c r="Q598" s="69" t="s">
        <v>51</v>
      </c>
      <c r="R598" s="69"/>
      <c r="S598" s="48">
        <v>44986</v>
      </c>
      <c r="T598" s="48">
        <v>44986</v>
      </c>
      <c r="U598" s="69"/>
      <c r="V598" s="69"/>
      <c r="W598" s="69"/>
      <c r="X598" s="69"/>
      <c r="Y598" s="69" t="s">
        <v>4129</v>
      </c>
      <c r="Z598" s="52">
        <v>803850</v>
      </c>
      <c r="AA598" s="43" t="s">
        <v>52</v>
      </c>
      <c r="AB598" s="43" t="s">
        <v>53</v>
      </c>
      <c r="AC598" s="85">
        <v>3650</v>
      </c>
      <c r="AD598" s="141">
        <v>10</v>
      </c>
      <c r="AE598" s="142">
        <v>0</v>
      </c>
      <c r="AF598" s="69" t="str">
        <f t="shared" si="105"/>
        <v>1 years 307 days</v>
      </c>
      <c r="AG598" s="69">
        <v>1</v>
      </c>
      <c r="AH598" s="69">
        <v>307</v>
      </c>
      <c r="AI598" s="69">
        <v>803850</v>
      </c>
      <c r="AJ598" s="67">
        <v>147996</v>
      </c>
      <c r="AK598" s="69">
        <v>2025</v>
      </c>
      <c r="AL598" s="61">
        <v>39862.643835616444</v>
      </c>
      <c r="AM598" s="143"/>
    </row>
    <row r="599" spans="1:39" x14ac:dyDescent="0.35">
      <c r="A599" s="69" t="s">
        <v>4124</v>
      </c>
      <c r="B599" s="41">
        <v>1101405188</v>
      </c>
      <c r="C599" s="41"/>
      <c r="D599" s="41" t="s">
        <v>1923</v>
      </c>
      <c r="E599" s="101">
        <v>2</v>
      </c>
      <c r="F599" s="41" t="s">
        <v>1152</v>
      </c>
      <c r="G599" s="69" t="s">
        <v>1151</v>
      </c>
      <c r="H599" s="41">
        <v>9008000102</v>
      </c>
      <c r="I599" s="41" t="s">
        <v>261</v>
      </c>
      <c r="J599" s="41" t="s">
        <v>1794</v>
      </c>
      <c r="K599" s="41" t="s">
        <v>818</v>
      </c>
      <c r="L599" s="52" t="s">
        <v>1930</v>
      </c>
      <c r="M599" s="69" t="s">
        <v>1931</v>
      </c>
      <c r="N599" s="69"/>
      <c r="O599" s="69">
        <v>2</v>
      </c>
      <c r="P599" s="69" t="s">
        <v>50</v>
      </c>
      <c r="Q599" s="69" t="s">
        <v>51</v>
      </c>
      <c r="R599" s="69"/>
      <c r="S599" s="48">
        <v>45439</v>
      </c>
      <c r="T599" s="48">
        <v>45439</v>
      </c>
      <c r="U599" s="69"/>
      <c r="V599" s="69"/>
      <c r="W599" s="69"/>
      <c r="X599" s="69"/>
      <c r="Y599" s="69" t="s">
        <v>4130</v>
      </c>
      <c r="Z599" s="83">
        <v>268000</v>
      </c>
      <c r="AA599" s="43" t="s">
        <v>52</v>
      </c>
      <c r="AB599" s="43" t="s">
        <v>53</v>
      </c>
      <c r="AC599" s="85">
        <v>3650</v>
      </c>
      <c r="AD599" s="141">
        <v>10</v>
      </c>
      <c r="AE599" s="142">
        <v>0</v>
      </c>
      <c r="AF599" s="69" t="str">
        <f t="shared" si="105"/>
        <v>0 years 219 days</v>
      </c>
      <c r="AG599" s="69">
        <v>0</v>
      </c>
      <c r="AH599" s="69">
        <v>219</v>
      </c>
      <c r="AI599" s="69">
        <v>268000</v>
      </c>
      <c r="AJ599" s="67">
        <v>16080</v>
      </c>
      <c r="AK599" s="69">
        <v>2025</v>
      </c>
      <c r="AL599" s="61">
        <v>13289.863013698632</v>
      </c>
      <c r="AM599" s="143"/>
    </row>
    <row r="600" spans="1:39" x14ac:dyDescent="0.35">
      <c r="A600" s="69" t="s">
        <v>4124</v>
      </c>
      <c r="B600" s="41">
        <v>1101100462</v>
      </c>
      <c r="C600" s="41"/>
      <c r="D600" s="41" t="s">
        <v>1923</v>
      </c>
      <c r="E600" s="101">
        <v>3</v>
      </c>
      <c r="F600" s="41" t="s">
        <v>1152</v>
      </c>
      <c r="G600" s="69" t="s">
        <v>1151</v>
      </c>
      <c r="H600" s="41">
        <v>9008000103</v>
      </c>
      <c r="I600" s="41" t="s">
        <v>1933</v>
      </c>
      <c r="J600" s="41">
        <v>1202110103</v>
      </c>
      <c r="K600" s="41"/>
      <c r="L600" s="52" t="s">
        <v>1940</v>
      </c>
      <c r="M600" s="69" t="s">
        <v>49</v>
      </c>
      <c r="N600" s="69"/>
      <c r="O600" s="69">
        <v>1</v>
      </c>
      <c r="P600" s="69" t="s">
        <v>50</v>
      </c>
      <c r="Q600" s="69" t="s">
        <v>51</v>
      </c>
      <c r="R600" s="69"/>
      <c r="S600" s="48">
        <v>40357</v>
      </c>
      <c r="T600" s="48">
        <v>43340</v>
      </c>
      <c r="U600" s="69"/>
      <c r="V600" s="69"/>
      <c r="W600" s="69"/>
      <c r="X600" s="69"/>
      <c r="Y600" s="69" t="s">
        <v>4125</v>
      </c>
      <c r="Z600" s="52">
        <v>195000</v>
      </c>
      <c r="AA600" s="43" t="s">
        <v>52</v>
      </c>
      <c r="AB600" s="43" t="s">
        <v>53</v>
      </c>
      <c r="AC600" s="85">
        <v>2482</v>
      </c>
      <c r="AD600" s="141">
        <v>6</v>
      </c>
      <c r="AE600" s="142">
        <v>10</v>
      </c>
      <c r="AF600" s="69" t="str">
        <f t="shared" si="105"/>
        <v>6 years 128 days</v>
      </c>
      <c r="AG600" s="69">
        <v>6</v>
      </c>
      <c r="AH600" s="69">
        <v>128</v>
      </c>
      <c r="AI600" s="69">
        <v>195000</v>
      </c>
      <c r="AJ600" s="67">
        <v>182037</v>
      </c>
      <c r="AK600" s="69">
        <v>2025</v>
      </c>
      <c r="AL600" s="61">
        <v>12963</v>
      </c>
      <c r="AM600" s="143"/>
    </row>
    <row r="601" spans="1:39" x14ac:dyDescent="0.35">
      <c r="A601" s="69" t="s">
        <v>4124</v>
      </c>
      <c r="B601" s="41">
        <v>1101100847</v>
      </c>
      <c r="C601" s="41"/>
      <c r="D601" s="69"/>
      <c r="E601" s="101">
        <v>0</v>
      </c>
      <c r="F601" s="41" t="s">
        <v>1152</v>
      </c>
      <c r="G601" s="69" t="s">
        <v>1151</v>
      </c>
      <c r="H601" s="41">
        <v>9008000103</v>
      </c>
      <c r="I601" s="41" t="s">
        <v>1933</v>
      </c>
      <c r="J601" s="41">
        <v>1202110103</v>
      </c>
      <c r="K601" s="41"/>
      <c r="L601" s="52" t="s">
        <v>1934</v>
      </c>
      <c r="M601" s="69" t="s">
        <v>49</v>
      </c>
      <c r="N601" s="69"/>
      <c r="O601" s="69">
        <v>2</v>
      </c>
      <c r="P601" s="69" t="s">
        <v>50</v>
      </c>
      <c r="Q601" s="69" t="s">
        <v>51</v>
      </c>
      <c r="R601" s="69"/>
      <c r="S601" s="48">
        <v>41237</v>
      </c>
      <c r="T601" s="48">
        <v>43340</v>
      </c>
      <c r="U601" s="69"/>
      <c r="V601" s="69"/>
      <c r="W601" s="69"/>
      <c r="X601" s="69"/>
      <c r="Y601" s="69" t="s">
        <v>4125</v>
      </c>
      <c r="Z601" s="52">
        <v>1175000</v>
      </c>
      <c r="AA601" s="43" t="s">
        <v>52</v>
      </c>
      <c r="AB601" s="43" t="s">
        <v>53</v>
      </c>
      <c r="AC601" s="85">
        <v>3358</v>
      </c>
      <c r="AD601" s="141">
        <v>9</v>
      </c>
      <c r="AE601" s="142">
        <v>2</v>
      </c>
      <c r="AF601" s="69" t="str">
        <f t="shared" ref="AF601:AF607" si="106">_xlfn.CONCAT(AG601," years ",AH601," days")</f>
        <v>6 years 128 days</v>
      </c>
      <c r="AG601" s="69">
        <v>6</v>
      </c>
      <c r="AH601" s="69">
        <v>128</v>
      </c>
      <c r="AI601" s="69">
        <v>1175000</v>
      </c>
      <c r="AJ601" s="67">
        <v>810743</v>
      </c>
      <c r="AK601" s="69">
        <v>2025</v>
      </c>
      <c r="AL601" s="61">
        <v>63333.831447289907</v>
      </c>
      <c r="AM601" s="143"/>
    </row>
    <row r="602" spans="1:39" x14ac:dyDescent="0.35">
      <c r="A602" s="69" t="s">
        <v>4124</v>
      </c>
      <c r="B602" s="41">
        <v>1101400603</v>
      </c>
      <c r="C602" s="41"/>
      <c r="D602" s="41" t="s">
        <v>1932</v>
      </c>
      <c r="E602" s="101">
        <v>1</v>
      </c>
      <c r="F602" s="41" t="s">
        <v>1152</v>
      </c>
      <c r="G602" s="69" t="s">
        <v>1151</v>
      </c>
      <c r="H602" s="41">
        <v>9008000103</v>
      </c>
      <c r="I602" s="41" t="s">
        <v>1933</v>
      </c>
      <c r="J602" s="41">
        <v>1202110103</v>
      </c>
      <c r="K602" s="41"/>
      <c r="L602" s="52" t="s">
        <v>1936</v>
      </c>
      <c r="M602" s="69" t="s">
        <v>49</v>
      </c>
      <c r="N602" s="69"/>
      <c r="O602" s="69">
        <v>1</v>
      </c>
      <c r="P602" s="69" t="s">
        <v>50</v>
      </c>
      <c r="Q602" s="69" t="s">
        <v>51</v>
      </c>
      <c r="R602" s="69"/>
      <c r="S602" s="48">
        <v>40634</v>
      </c>
      <c r="T602" s="48">
        <v>43340</v>
      </c>
      <c r="U602" s="69"/>
      <c r="V602" s="69"/>
      <c r="W602" s="69"/>
      <c r="X602" s="69"/>
      <c r="Y602" s="69" t="s">
        <v>4125</v>
      </c>
      <c r="Z602" s="52">
        <v>6500</v>
      </c>
      <c r="AA602" s="43" t="s">
        <v>52</v>
      </c>
      <c r="AB602" s="43" t="s">
        <v>53</v>
      </c>
      <c r="AC602" s="85">
        <v>2774</v>
      </c>
      <c r="AD602" s="141">
        <v>7</v>
      </c>
      <c r="AE602" s="142">
        <v>7</v>
      </c>
      <c r="AF602" s="69" t="str">
        <f t="shared" si="106"/>
        <v>6 years 128 days</v>
      </c>
      <c r="AG602" s="69">
        <v>6</v>
      </c>
      <c r="AH602" s="69">
        <v>128</v>
      </c>
      <c r="AI602" s="69">
        <v>6500</v>
      </c>
      <c r="AJ602" s="67">
        <v>6500</v>
      </c>
      <c r="AK602" s="69">
        <v>2025</v>
      </c>
      <c r="AL602" s="61">
        <v>0</v>
      </c>
      <c r="AM602" s="143"/>
    </row>
    <row r="603" spans="1:39" x14ac:dyDescent="0.35">
      <c r="A603" s="69" t="s">
        <v>4124</v>
      </c>
      <c r="B603" s="41">
        <v>1101400606</v>
      </c>
      <c r="C603" s="41"/>
      <c r="D603" s="41" t="s">
        <v>1932</v>
      </c>
      <c r="E603" s="101">
        <v>2</v>
      </c>
      <c r="F603" s="41" t="s">
        <v>1152</v>
      </c>
      <c r="G603" s="69" t="s">
        <v>1151</v>
      </c>
      <c r="H603" s="41">
        <v>9008000103</v>
      </c>
      <c r="I603" s="41" t="s">
        <v>1933</v>
      </c>
      <c r="J603" s="41">
        <v>1202110103</v>
      </c>
      <c r="K603" s="41"/>
      <c r="L603" s="52" t="s">
        <v>1938</v>
      </c>
      <c r="M603" s="69" t="s">
        <v>49</v>
      </c>
      <c r="N603" s="69"/>
      <c r="O603" s="69">
        <v>1</v>
      </c>
      <c r="P603" s="69" t="s">
        <v>50</v>
      </c>
      <c r="Q603" s="69" t="s">
        <v>51</v>
      </c>
      <c r="R603" s="69"/>
      <c r="S603" s="48">
        <v>40639</v>
      </c>
      <c r="T603" s="48">
        <v>43340</v>
      </c>
      <c r="U603" s="69"/>
      <c r="V603" s="69"/>
      <c r="W603" s="69"/>
      <c r="X603" s="69"/>
      <c r="Y603" s="69" t="s">
        <v>4125</v>
      </c>
      <c r="Z603" s="52">
        <v>16500</v>
      </c>
      <c r="AA603" s="43" t="s">
        <v>52</v>
      </c>
      <c r="AB603" s="43" t="s">
        <v>53</v>
      </c>
      <c r="AC603" s="85">
        <v>949</v>
      </c>
      <c r="AD603" s="141">
        <v>2</v>
      </c>
      <c r="AE603" s="142">
        <v>7</v>
      </c>
      <c r="AF603" s="69" t="str">
        <f t="shared" si="106"/>
        <v>2 years 219 days</v>
      </c>
      <c r="AG603" s="69">
        <v>2</v>
      </c>
      <c r="AH603" s="69">
        <v>219</v>
      </c>
      <c r="AI603" s="69">
        <v>16500</v>
      </c>
      <c r="AJ603" s="67">
        <v>16500</v>
      </c>
      <c r="AK603" s="69">
        <v>2025</v>
      </c>
      <c r="AL603" s="61">
        <v>0</v>
      </c>
      <c r="AM603" s="143"/>
    </row>
    <row r="604" spans="1:39" x14ac:dyDescent="0.35">
      <c r="A604" s="69" t="s">
        <v>4124</v>
      </c>
      <c r="B604" s="41">
        <v>1101100492</v>
      </c>
      <c r="C604" s="41"/>
      <c r="D604" s="41" t="s">
        <v>1932</v>
      </c>
      <c r="E604" s="101">
        <v>4</v>
      </c>
      <c r="F604" s="41" t="s">
        <v>1152</v>
      </c>
      <c r="G604" s="69" t="s">
        <v>1151</v>
      </c>
      <c r="H604" s="41">
        <v>9008000103</v>
      </c>
      <c r="I604" s="41" t="s">
        <v>1933</v>
      </c>
      <c r="J604" s="41">
        <v>1202110103</v>
      </c>
      <c r="K604" s="41"/>
      <c r="L604" s="52" t="s">
        <v>1942</v>
      </c>
      <c r="M604" s="69" t="s">
        <v>49</v>
      </c>
      <c r="N604" s="69"/>
      <c r="O604" s="69">
        <v>1</v>
      </c>
      <c r="P604" s="69" t="s">
        <v>50</v>
      </c>
      <c r="Q604" s="69" t="s">
        <v>51</v>
      </c>
      <c r="R604" s="69"/>
      <c r="S604" s="48">
        <v>40429</v>
      </c>
      <c r="T604" s="48">
        <v>43340</v>
      </c>
      <c r="U604" s="69"/>
      <c r="V604" s="69"/>
      <c r="W604" s="69"/>
      <c r="X604" s="69"/>
      <c r="Y604" s="69" t="s">
        <v>4125</v>
      </c>
      <c r="Z604" s="52">
        <v>180000</v>
      </c>
      <c r="AA604" s="43" t="s">
        <v>52</v>
      </c>
      <c r="AB604" s="43" t="s">
        <v>53</v>
      </c>
      <c r="AC604" s="85">
        <v>2555</v>
      </c>
      <c r="AD604" s="141">
        <v>7</v>
      </c>
      <c r="AE604" s="142">
        <v>0</v>
      </c>
      <c r="AF604" s="69" t="str">
        <f t="shared" si="106"/>
        <v>6 years 128 days</v>
      </c>
      <c r="AG604" s="69">
        <v>6</v>
      </c>
      <c r="AH604" s="69">
        <v>128</v>
      </c>
      <c r="AI604" s="69">
        <v>180000</v>
      </c>
      <c r="AJ604" s="67">
        <v>163233</v>
      </c>
      <c r="AK604" s="69">
        <v>2025</v>
      </c>
      <c r="AL604" s="61">
        <v>12751.344422700553</v>
      </c>
      <c r="AM604" s="143"/>
    </row>
    <row r="605" spans="1:39" x14ac:dyDescent="0.35">
      <c r="A605" s="69" t="s">
        <v>4124</v>
      </c>
      <c r="B605" s="41">
        <v>1101100980</v>
      </c>
      <c r="C605" s="41"/>
      <c r="D605" s="41" t="s">
        <v>1932</v>
      </c>
      <c r="E605" s="101">
        <v>5</v>
      </c>
      <c r="F605" s="41" t="s">
        <v>1152</v>
      </c>
      <c r="G605" s="69" t="s">
        <v>1151</v>
      </c>
      <c r="H605" s="41">
        <v>9008000103</v>
      </c>
      <c r="I605" s="41" t="s">
        <v>1933</v>
      </c>
      <c r="J605" s="41">
        <v>1202110103</v>
      </c>
      <c r="K605" s="41"/>
      <c r="L605" s="52" t="s">
        <v>1944</v>
      </c>
      <c r="M605" s="69" t="s">
        <v>49</v>
      </c>
      <c r="N605" s="69"/>
      <c r="O605" s="69">
        <v>1</v>
      </c>
      <c r="P605" s="69" t="s">
        <v>50</v>
      </c>
      <c r="Q605" s="69" t="s">
        <v>51</v>
      </c>
      <c r="R605" s="69"/>
      <c r="S605" s="48">
        <v>41365</v>
      </c>
      <c r="T605" s="48">
        <v>43340</v>
      </c>
      <c r="U605" s="69"/>
      <c r="V605" s="69"/>
      <c r="W605" s="69"/>
      <c r="X605" s="69"/>
      <c r="Y605" s="69" t="s">
        <v>4125</v>
      </c>
      <c r="Z605" s="52">
        <v>125000</v>
      </c>
      <c r="AA605" s="43" t="s">
        <v>52</v>
      </c>
      <c r="AB605" s="43" t="s">
        <v>53</v>
      </c>
      <c r="AC605" s="85">
        <v>3504</v>
      </c>
      <c r="AD605" s="141">
        <v>9</v>
      </c>
      <c r="AE605" s="142">
        <v>7</v>
      </c>
      <c r="AF605" s="69" t="str">
        <f t="shared" si="106"/>
        <v>6 years 128 days</v>
      </c>
      <c r="AG605" s="69">
        <v>6</v>
      </c>
      <c r="AH605" s="69">
        <v>128</v>
      </c>
      <c r="AI605" s="69">
        <v>125000</v>
      </c>
      <c r="AJ605" s="67">
        <v>82656</v>
      </c>
      <c r="AK605" s="69">
        <v>2025</v>
      </c>
      <c r="AL605" s="61">
        <v>6456.4429223744228</v>
      </c>
      <c r="AM605" s="143"/>
    </row>
    <row r="606" spans="1:39" x14ac:dyDescent="0.35">
      <c r="A606" s="69" t="s">
        <v>4124</v>
      </c>
      <c r="B606" s="41">
        <v>1101100103</v>
      </c>
      <c r="C606" s="41"/>
      <c r="D606" s="41" t="s">
        <v>1932</v>
      </c>
      <c r="E606" s="101">
        <v>6</v>
      </c>
      <c r="F606" s="41" t="s">
        <v>1152</v>
      </c>
      <c r="G606" s="69" t="s">
        <v>1151</v>
      </c>
      <c r="H606" s="41">
        <v>9008000103</v>
      </c>
      <c r="I606" s="41" t="s">
        <v>1933</v>
      </c>
      <c r="J606" s="41">
        <v>1202110103</v>
      </c>
      <c r="K606" s="41"/>
      <c r="L606" s="52" t="s">
        <v>1946</v>
      </c>
      <c r="M606" s="69" t="s">
        <v>49</v>
      </c>
      <c r="N606" s="69"/>
      <c r="O606" s="69">
        <v>1</v>
      </c>
      <c r="P606" s="69" t="s">
        <v>50</v>
      </c>
      <c r="Q606" s="69" t="s">
        <v>51</v>
      </c>
      <c r="R606" s="69"/>
      <c r="S606" s="48">
        <v>38303</v>
      </c>
      <c r="T606" s="48">
        <v>43340</v>
      </c>
      <c r="U606" s="69"/>
      <c r="V606" s="69"/>
      <c r="W606" s="69"/>
      <c r="X606" s="69"/>
      <c r="Y606" s="69" t="s">
        <v>4125</v>
      </c>
      <c r="Z606" s="52">
        <v>95000</v>
      </c>
      <c r="AA606" s="43" t="s">
        <v>52</v>
      </c>
      <c r="AB606" s="43" t="s">
        <v>53</v>
      </c>
      <c r="AC606" s="85">
        <v>548</v>
      </c>
      <c r="AD606" s="141">
        <v>1</v>
      </c>
      <c r="AE606" s="142">
        <v>6</v>
      </c>
      <c r="AF606" s="69" t="str">
        <f t="shared" si="106"/>
        <v>1 years 183 days</v>
      </c>
      <c r="AG606" s="69">
        <v>1</v>
      </c>
      <c r="AH606" s="69">
        <v>183</v>
      </c>
      <c r="AI606" s="69">
        <v>95000</v>
      </c>
      <c r="AJ606" s="67">
        <v>95000</v>
      </c>
      <c r="AK606" s="69">
        <v>2025</v>
      </c>
      <c r="AL606" s="61">
        <v>0</v>
      </c>
      <c r="AM606" s="143"/>
    </row>
    <row r="607" spans="1:39" x14ac:dyDescent="0.35">
      <c r="A607" s="69" t="s">
        <v>4124</v>
      </c>
      <c r="B607" s="41">
        <v>1101100861</v>
      </c>
      <c r="C607" s="41"/>
      <c r="D607" s="41" t="s">
        <v>1932</v>
      </c>
      <c r="E607" s="101">
        <v>7</v>
      </c>
      <c r="F607" s="41" t="s">
        <v>1152</v>
      </c>
      <c r="G607" s="69" t="s">
        <v>1151</v>
      </c>
      <c r="H607" s="41">
        <v>9008000103</v>
      </c>
      <c r="I607" s="41" t="s">
        <v>1933</v>
      </c>
      <c r="J607" s="41">
        <v>1202110103</v>
      </c>
      <c r="K607" s="41"/>
      <c r="L607" s="52" t="s">
        <v>1948</v>
      </c>
      <c r="M607" s="69" t="s">
        <v>1204</v>
      </c>
      <c r="N607" s="69"/>
      <c r="O607" s="69">
        <v>1</v>
      </c>
      <c r="P607" s="69" t="s">
        <v>50</v>
      </c>
      <c r="Q607" s="69" t="s">
        <v>51</v>
      </c>
      <c r="R607" s="69"/>
      <c r="S607" s="48">
        <v>41260</v>
      </c>
      <c r="T607" s="48">
        <v>43340</v>
      </c>
      <c r="U607" s="69"/>
      <c r="V607" s="69"/>
      <c r="W607" s="69"/>
      <c r="X607" s="69"/>
      <c r="Y607" s="69" t="s">
        <v>4125</v>
      </c>
      <c r="Z607" s="52">
        <v>500000</v>
      </c>
      <c r="AA607" s="43" t="s">
        <v>52</v>
      </c>
      <c r="AB607" s="43" t="s">
        <v>53</v>
      </c>
      <c r="AC607" s="85">
        <v>3395</v>
      </c>
      <c r="AD607" s="141">
        <v>9</v>
      </c>
      <c r="AE607" s="142">
        <v>4</v>
      </c>
      <c r="AF607" s="69" t="str">
        <f t="shared" si="106"/>
        <v>6 years 128 days</v>
      </c>
      <c r="AG607" s="69">
        <v>6</v>
      </c>
      <c r="AH607" s="69">
        <v>128</v>
      </c>
      <c r="AI607" s="69">
        <v>500000</v>
      </c>
      <c r="AJ607" s="67">
        <v>341237</v>
      </c>
      <c r="AK607" s="69">
        <v>2025</v>
      </c>
      <c r="AL607" s="61">
        <v>26656.961708394752</v>
      </c>
      <c r="AM607" s="143"/>
    </row>
    <row r="608" spans="1:39" x14ac:dyDescent="0.35">
      <c r="A608" s="69" t="s">
        <v>4124</v>
      </c>
      <c r="B608" s="41">
        <v>1101403396</v>
      </c>
      <c r="C608" s="41"/>
      <c r="D608" s="69"/>
      <c r="E608" s="41">
        <v>0</v>
      </c>
      <c r="F608" s="41" t="s">
        <v>1951</v>
      </c>
      <c r="G608" s="69" t="s">
        <v>1950</v>
      </c>
      <c r="H608" s="41">
        <v>9009000001</v>
      </c>
      <c r="I608" s="41" t="s">
        <v>261</v>
      </c>
      <c r="J608" s="41">
        <v>1202010217</v>
      </c>
      <c r="K608" s="41" t="s">
        <v>1952</v>
      </c>
      <c r="L608" s="52" t="s">
        <v>1953</v>
      </c>
      <c r="M608" s="69" t="s">
        <v>1954</v>
      </c>
      <c r="N608" s="69"/>
      <c r="O608" s="69">
        <v>1</v>
      </c>
      <c r="P608" s="69" t="s">
        <v>50</v>
      </c>
      <c r="Q608" s="69" t="s">
        <v>51</v>
      </c>
      <c r="R608" s="69"/>
      <c r="S608" s="48">
        <v>44101</v>
      </c>
      <c r="T608" s="48">
        <v>44101</v>
      </c>
      <c r="U608" s="69"/>
      <c r="V608" s="69"/>
      <c r="W608" s="69"/>
      <c r="X608" s="69"/>
      <c r="Y608" s="69" t="s">
        <v>4127</v>
      </c>
      <c r="Z608" s="52">
        <v>4806633</v>
      </c>
      <c r="AA608" s="43" t="s">
        <v>52</v>
      </c>
      <c r="AB608" s="43" t="s">
        <v>53</v>
      </c>
      <c r="AC608" s="85">
        <v>3650</v>
      </c>
      <c r="AD608" s="141">
        <v>10</v>
      </c>
      <c r="AE608" s="142">
        <v>0</v>
      </c>
      <c r="AF608" s="69" t="str">
        <f>_xlfn.CONCAT(AG608," years ",AH608," days")</f>
        <v>4 years 97 days</v>
      </c>
      <c r="AG608" s="69">
        <v>4</v>
      </c>
      <c r="AH608" s="69">
        <v>97</v>
      </c>
      <c r="AI608" s="69">
        <v>4806633</v>
      </c>
      <c r="AJ608" s="67">
        <v>2050391</v>
      </c>
      <c r="AK608" s="69">
        <v>2025</v>
      </c>
      <c r="AL608" s="61">
        <v>238356.43945205491</v>
      </c>
      <c r="AM608" s="143"/>
    </row>
    <row r="609" spans="1:39" x14ac:dyDescent="0.35">
      <c r="A609" s="69" t="s">
        <v>4124</v>
      </c>
      <c r="B609" s="41">
        <v>1101103392</v>
      </c>
      <c r="C609" s="41"/>
      <c r="D609" s="69"/>
      <c r="E609" s="41">
        <v>0</v>
      </c>
      <c r="F609" s="41" t="s">
        <v>1951</v>
      </c>
      <c r="G609" s="69" t="s">
        <v>1950</v>
      </c>
      <c r="H609" s="41">
        <v>9009000002</v>
      </c>
      <c r="I609" s="41" t="s">
        <v>261</v>
      </c>
      <c r="J609" s="41">
        <v>1202010217</v>
      </c>
      <c r="K609" s="41" t="s">
        <v>1956</v>
      </c>
      <c r="L609" s="52" t="s">
        <v>1957</v>
      </c>
      <c r="M609" s="69" t="s">
        <v>1958</v>
      </c>
      <c r="N609" s="69"/>
      <c r="O609" s="69">
        <v>1</v>
      </c>
      <c r="P609" s="69" t="s">
        <v>50</v>
      </c>
      <c r="Q609" s="69" t="s">
        <v>51</v>
      </c>
      <c r="R609" s="69"/>
      <c r="S609" s="48">
        <v>44100</v>
      </c>
      <c r="T609" s="48">
        <v>44100</v>
      </c>
      <c r="U609" s="69"/>
      <c r="V609" s="69"/>
      <c r="W609" s="69"/>
      <c r="X609" s="69"/>
      <c r="Y609" s="69" t="s">
        <v>4127</v>
      </c>
      <c r="Z609" s="52">
        <v>2368200</v>
      </c>
      <c r="AA609" s="43" t="s">
        <v>52</v>
      </c>
      <c r="AB609" s="43" t="s">
        <v>53</v>
      </c>
      <c r="AC609" s="85">
        <v>3650</v>
      </c>
      <c r="AD609" s="141">
        <v>10</v>
      </c>
      <c r="AE609" s="142">
        <v>0</v>
      </c>
      <c r="AF609" s="69" t="str">
        <f>_xlfn.CONCAT(AG609," years ",AH609," days")</f>
        <v>4 years 98 days</v>
      </c>
      <c r="AG609" s="69">
        <v>4</v>
      </c>
      <c r="AH609" s="69">
        <v>98</v>
      </c>
      <c r="AI609" s="69">
        <v>2368200</v>
      </c>
      <c r="AJ609" s="67">
        <v>1010865</v>
      </c>
      <c r="AK609" s="69">
        <v>2025</v>
      </c>
      <c r="AL609" s="61">
        <v>117436.31506849313</v>
      </c>
      <c r="AM609" s="143"/>
    </row>
    <row r="610" spans="1:39" x14ac:dyDescent="0.35">
      <c r="A610" s="69" t="s">
        <v>4124</v>
      </c>
      <c r="B610" s="152">
        <v>1151404761</v>
      </c>
      <c r="C610" s="41"/>
      <c r="D610" s="69"/>
      <c r="E610" s="41">
        <v>0</v>
      </c>
      <c r="F610" s="41" t="s">
        <v>1961</v>
      </c>
      <c r="G610" s="69" t="s">
        <v>1960</v>
      </c>
      <c r="H610" s="41">
        <v>9010000001</v>
      </c>
      <c r="I610" s="41" t="s">
        <v>261</v>
      </c>
      <c r="J610" s="41">
        <v>1202010217</v>
      </c>
      <c r="K610" s="41"/>
      <c r="L610" s="52" t="s">
        <v>2048</v>
      </c>
      <c r="M610" s="69" t="s">
        <v>49</v>
      </c>
      <c r="N610" s="69"/>
      <c r="O610" s="69">
        <v>1</v>
      </c>
      <c r="P610" s="69" t="s">
        <v>50</v>
      </c>
      <c r="Q610" s="69" t="s">
        <v>51</v>
      </c>
      <c r="R610" s="69"/>
      <c r="S610" s="48">
        <v>40563</v>
      </c>
      <c r="T610" s="48">
        <v>43340</v>
      </c>
      <c r="U610" s="69"/>
      <c r="V610" s="69"/>
      <c r="W610" s="69"/>
      <c r="X610" s="69"/>
      <c r="Y610" s="69" t="s">
        <v>4125</v>
      </c>
      <c r="Z610" s="52">
        <v>500</v>
      </c>
      <c r="AA610" s="43" t="s">
        <v>52</v>
      </c>
      <c r="AB610" s="43" t="s">
        <v>53</v>
      </c>
      <c r="AC610" s="85">
        <v>183</v>
      </c>
      <c r="AD610" s="141">
        <v>0</v>
      </c>
      <c r="AE610" s="142">
        <v>6</v>
      </c>
      <c r="AF610" s="69" t="str">
        <f t="shared" ref="AF610:AF673" si="107">_xlfn.CONCAT(AG610," years ",AH610," days")</f>
        <v>0 years 183 days</v>
      </c>
      <c r="AG610" s="69">
        <v>0</v>
      </c>
      <c r="AH610" s="69">
        <v>183</v>
      </c>
      <c r="AI610" s="69">
        <v>500</v>
      </c>
      <c r="AJ610" s="67">
        <v>500</v>
      </c>
      <c r="AK610" s="69">
        <v>2025</v>
      </c>
      <c r="AL610" s="61">
        <v>0</v>
      </c>
      <c r="AM610" s="143"/>
    </row>
    <row r="611" spans="1:39" x14ac:dyDescent="0.35">
      <c r="A611" s="69" t="s">
        <v>4124</v>
      </c>
      <c r="B611" s="41">
        <v>1151404762</v>
      </c>
      <c r="C611" s="41"/>
      <c r="D611" s="69"/>
      <c r="E611" s="41">
        <v>0</v>
      </c>
      <c r="F611" s="41" t="s">
        <v>1961</v>
      </c>
      <c r="G611" s="69" t="s">
        <v>1960</v>
      </c>
      <c r="H611" s="41">
        <v>9010000001</v>
      </c>
      <c r="I611" s="41" t="s">
        <v>261</v>
      </c>
      <c r="J611" s="41">
        <v>1202010217</v>
      </c>
      <c r="K611" s="41" t="s">
        <v>2050</v>
      </c>
      <c r="L611" s="52" t="s">
        <v>2051</v>
      </c>
      <c r="M611" s="69" t="s">
        <v>2052</v>
      </c>
      <c r="N611" s="69"/>
      <c r="O611" s="69">
        <v>1</v>
      </c>
      <c r="P611" s="69" t="s">
        <v>50</v>
      </c>
      <c r="Q611" s="69" t="s">
        <v>51</v>
      </c>
      <c r="R611" s="69"/>
      <c r="S611" s="48">
        <v>42898</v>
      </c>
      <c r="T611" s="48">
        <v>43340</v>
      </c>
      <c r="U611" s="69"/>
      <c r="V611" s="69"/>
      <c r="W611" s="69"/>
      <c r="X611" s="69"/>
      <c r="Y611" s="69" t="s">
        <v>4125</v>
      </c>
      <c r="Z611" s="52">
        <v>75000</v>
      </c>
      <c r="AA611" s="43" t="s">
        <v>52</v>
      </c>
      <c r="AB611" s="43" t="s">
        <v>53</v>
      </c>
      <c r="AC611" s="85">
        <v>1387</v>
      </c>
      <c r="AD611" s="141">
        <v>3</v>
      </c>
      <c r="AE611" s="142">
        <v>10</v>
      </c>
      <c r="AF611" s="69" t="str">
        <f t="shared" si="107"/>
        <v>3 years 292 days</v>
      </c>
      <c r="AG611" s="69">
        <v>3</v>
      </c>
      <c r="AH611" s="69">
        <v>292</v>
      </c>
      <c r="AI611" s="69">
        <v>75000</v>
      </c>
      <c r="AJ611" s="67">
        <v>75000</v>
      </c>
      <c r="AK611" s="69">
        <v>2025</v>
      </c>
      <c r="AL611" s="61">
        <v>0</v>
      </c>
      <c r="AM611" s="143"/>
    </row>
    <row r="612" spans="1:39" x14ac:dyDescent="0.35">
      <c r="A612" s="69" t="s">
        <v>4124</v>
      </c>
      <c r="B612" s="41">
        <v>1151400711</v>
      </c>
      <c r="C612" s="41"/>
      <c r="D612" s="69"/>
      <c r="E612" s="41">
        <v>0</v>
      </c>
      <c r="F612" s="41" t="s">
        <v>1961</v>
      </c>
      <c r="G612" s="69" t="s">
        <v>1960</v>
      </c>
      <c r="H612" s="41">
        <v>9010000001</v>
      </c>
      <c r="I612" s="41" t="s">
        <v>261</v>
      </c>
      <c r="J612" s="41">
        <v>1202010217</v>
      </c>
      <c r="K612" s="41"/>
      <c r="L612" s="52" t="s">
        <v>1962</v>
      </c>
      <c r="M612" s="69" t="s">
        <v>1837</v>
      </c>
      <c r="N612" s="69"/>
      <c r="O612" s="69">
        <v>1</v>
      </c>
      <c r="P612" s="69" t="s">
        <v>50</v>
      </c>
      <c r="Q612" s="69" t="s">
        <v>51</v>
      </c>
      <c r="R612" s="69"/>
      <c r="S612" s="48">
        <v>40993</v>
      </c>
      <c r="T612" s="48">
        <v>43340</v>
      </c>
      <c r="U612" s="69"/>
      <c r="V612" s="69"/>
      <c r="W612" s="69"/>
      <c r="X612" s="69"/>
      <c r="Y612" s="69" t="s">
        <v>4125</v>
      </c>
      <c r="Z612" s="52">
        <v>16500</v>
      </c>
      <c r="AA612" s="43" t="s">
        <v>52</v>
      </c>
      <c r="AB612" s="43" t="s">
        <v>53</v>
      </c>
      <c r="AC612" s="85">
        <v>183</v>
      </c>
      <c r="AD612" s="141">
        <v>0</v>
      </c>
      <c r="AE612" s="142">
        <v>6</v>
      </c>
      <c r="AF612" s="69" t="str">
        <f t="shared" si="107"/>
        <v>0 years 183 days</v>
      </c>
      <c r="AG612" s="69">
        <v>0</v>
      </c>
      <c r="AH612" s="69">
        <v>183</v>
      </c>
      <c r="AI612" s="69">
        <v>16500</v>
      </c>
      <c r="AJ612" s="67">
        <v>16500</v>
      </c>
      <c r="AK612" s="69">
        <v>2025</v>
      </c>
      <c r="AL612" s="61">
        <v>0</v>
      </c>
      <c r="AM612" s="143"/>
    </row>
    <row r="613" spans="1:39" x14ac:dyDescent="0.35">
      <c r="A613" s="69" t="s">
        <v>4124</v>
      </c>
      <c r="B613" s="41">
        <v>1151400712</v>
      </c>
      <c r="C613" s="41"/>
      <c r="D613" s="69"/>
      <c r="E613" s="41">
        <v>0</v>
      </c>
      <c r="F613" s="41" t="s">
        <v>1961</v>
      </c>
      <c r="G613" s="69" t="s">
        <v>1960</v>
      </c>
      <c r="H613" s="41">
        <v>9010000001</v>
      </c>
      <c r="I613" s="41" t="s">
        <v>261</v>
      </c>
      <c r="J613" s="41">
        <v>1202010217</v>
      </c>
      <c r="K613" s="41"/>
      <c r="L613" s="52" t="s">
        <v>1964</v>
      </c>
      <c r="M613" s="69" t="s">
        <v>1965</v>
      </c>
      <c r="N613" s="69"/>
      <c r="O613" s="69">
        <v>1</v>
      </c>
      <c r="P613" s="69" t="s">
        <v>50</v>
      </c>
      <c r="Q613" s="69" t="s">
        <v>51</v>
      </c>
      <c r="R613" s="69"/>
      <c r="S613" s="48">
        <v>40994</v>
      </c>
      <c r="T613" s="48">
        <v>43340</v>
      </c>
      <c r="U613" s="69"/>
      <c r="V613" s="69"/>
      <c r="W613" s="69"/>
      <c r="X613" s="69"/>
      <c r="Y613" s="69" t="s">
        <v>4125</v>
      </c>
      <c r="Z613" s="52">
        <v>4800</v>
      </c>
      <c r="AA613" s="43" t="s">
        <v>52</v>
      </c>
      <c r="AB613" s="43" t="s">
        <v>53</v>
      </c>
      <c r="AC613" s="85">
        <v>183</v>
      </c>
      <c r="AD613" s="141">
        <v>0</v>
      </c>
      <c r="AE613" s="142">
        <v>6</v>
      </c>
      <c r="AF613" s="69" t="str">
        <f t="shared" si="107"/>
        <v>0 years 183 days</v>
      </c>
      <c r="AG613" s="69">
        <v>0</v>
      </c>
      <c r="AH613" s="69">
        <v>183</v>
      </c>
      <c r="AI613" s="69">
        <v>4800</v>
      </c>
      <c r="AJ613" s="67">
        <v>4800</v>
      </c>
      <c r="AK613" s="69">
        <v>2025</v>
      </c>
      <c r="AL613" s="61">
        <v>0</v>
      </c>
      <c r="AM613" s="143"/>
    </row>
    <row r="614" spans="1:39" x14ac:dyDescent="0.35">
      <c r="A614" s="69" t="s">
        <v>4124</v>
      </c>
      <c r="B614" s="41">
        <v>1151401131</v>
      </c>
      <c r="C614" s="41"/>
      <c r="D614" s="69"/>
      <c r="E614" s="41">
        <v>0</v>
      </c>
      <c r="F614" s="41" t="s">
        <v>1961</v>
      </c>
      <c r="G614" s="69" t="s">
        <v>1960</v>
      </c>
      <c r="H614" s="41">
        <v>9010000001</v>
      </c>
      <c r="I614" s="41" t="s">
        <v>261</v>
      </c>
      <c r="J614" s="41">
        <v>1202010217</v>
      </c>
      <c r="K614" s="41"/>
      <c r="L614" s="52" t="s">
        <v>1967</v>
      </c>
      <c r="M614" s="69" t="s">
        <v>49</v>
      </c>
      <c r="N614" s="69"/>
      <c r="O614" s="69">
        <v>1</v>
      </c>
      <c r="P614" s="69" t="s">
        <v>50</v>
      </c>
      <c r="Q614" s="69" t="s">
        <v>51</v>
      </c>
      <c r="R614" s="69"/>
      <c r="S614" s="48">
        <v>41474</v>
      </c>
      <c r="T614" s="48">
        <v>43340</v>
      </c>
      <c r="U614" s="69"/>
      <c r="V614" s="69"/>
      <c r="W614" s="69"/>
      <c r="X614" s="69"/>
      <c r="Y614" s="69" t="s">
        <v>4125</v>
      </c>
      <c r="Z614" s="52">
        <v>1200</v>
      </c>
      <c r="AA614" s="43" t="s">
        <v>52</v>
      </c>
      <c r="AB614" s="43" t="s">
        <v>53</v>
      </c>
      <c r="AC614" s="85">
        <v>183</v>
      </c>
      <c r="AD614" s="141">
        <v>0</v>
      </c>
      <c r="AE614" s="142">
        <v>6</v>
      </c>
      <c r="AF614" s="69" t="str">
        <f t="shared" si="107"/>
        <v>0 years 183 days</v>
      </c>
      <c r="AG614" s="69">
        <v>0</v>
      </c>
      <c r="AH614" s="69">
        <v>183</v>
      </c>
      <c r="AI614" s="69">
        <v>1200</v>
      </c>
      <c r="AJ614" s="67">
        <v>1200</v>
      </c>
      <c r="AK614" s="69">
        <v>2025</v>
      </c>
      <c r="AL614" s="61">
        <v>0</v>
      </c>
      <c r="AM614" s="143"/>
    </row>
    <row r="615" spans="1:39" x14ac:dyDescent="0.35">
      <c r="A615" s="69" t="s">
        <v>4124</v>
      </c>
      <c r="B615" s="41">
        <v>1151401196</v>
      </c>
      <c r="C615" s="41"/>
      <c r="D615" s="69"/>
      <c r="E615" s="41">
        <v>0</v>
      </c>
      <c r="F615" s="41" t="s">
        <v>1961</v>
      </c>
      <c r="G615" s="69" t="s">
        <v>1960</v>
      </c>
      <c r="H615" s="41">
        <v>9010000001</v>
      </c>
      <c r="I615" s="41" t="s">
        <v>261</v>
      </c>
      <c r="J615" s="41">
        <v>1202010217</v>
      </c>
      <c r="K615" s="41"/>
      <c r="L615" s="52" t="s">
        <v>1969</v>
      </c>
      <c r="M615" s="69" t="s">
        <v>1970</v>
      </c>
      <c r="N615" s="69"/>
      <c r="O615" s="69">
        <v>1</v>
      </c>
      <c r="P615" s="69" t="s">
        <v>50</v>
      </c>
      <c r="Q615" s="69" t="s">
        <v>51</v>
      </c>
      <c r="R615" s="69"/>
      <c r="S615" s="48">
        <v>41535</v>
      </c>
      <c r="T615" s="48">
        <v>43340</v>
      </c>
      <c r="U615" s="69"/>
      <c r="V615" s="69"/>
      <c r="W615" s="69"/>
      <c r="X615" s="69"/>
      <c r="Y615" s="69" t="s">
        <v>4125</v>
      </c>
      <c r="Z615" s="52">
        <v>2500</v>
      </c>
      <c r="AA615" s="43" t="s">
        <v>52</v>
      </c>
      <c r="AB615" s="43" t="s">
        <v>53</v>
      </c>
      <c r="AC615" s="85">
        <v>183</v>
      </c>
      <c r="AD615" s="141">
        <v>0</v>
      </c>
      <c r="AE615" s="142">
        <v>6</v>
      </c>
      <c r="AF615" s="69" t="str">
        <f t="shared" si="107"/>
        <v>0 years 183 days</v>
      </c>
      <c r="AG615" s="69">
        <v>0</v>
      </c>
      <c r="AH615" s="69">
        <v>183</v>
      </c>
      <c r="AI615" s="69">
        <v>2500</v>
      </c>
      <c r="AJ615" s="67">
        <v>2500</v>
      </c>
      <c r="AK615" s="69">
        <v>2025</v>
      </c>
      <c r="AL615" s="61">
        <v>0</v>
      </c>
      <c r="AM615" s="143"/>
    </row>
    <row r="616" spans="1:39" x14ac:dyDescent="0.35">
      <c r="A616" s="69" t="s">
        <v>4124</v>
      </c>
      <c r="B616" s="41">
        <v>1151401267</v>
      </c>
      <c r="C616" s="41"/>
      <c r="D616" s="69"/>
      <c r="E616" s="41">
        <v>0</v>
      </c>
      <c r="F616" s="41" t="s">
        <v>1961</v>
      </c>
      <c r="G616" s="69" t="s">
        <v>1960</v>
      </c>
      <c r="H616" s="41">
        <v>9010000001</v>
      </c>
      <c r="I616" s="41" t="s">
        <v>261</v>
      </c>
      <c r="J616" s="41">
        <v>1202010217</v>
      </c>
      <c r="K616" s="41"/>
      <c r="L616" s="52" t="s">
        <v>1972</v>
      </c>
      <c r="M616" s="69" t="s">
        <v>49</v>
      </c>
      <c r="N616" s="69"/>
      <c r="O616" s="69">
        <v>1</v>
      </c>
      <c r="P616" s="69" t="s">
        <v>50</v>
      </c>
      <c r="Q616" s="69" t="s">
        <v>51</v>
      </c>
      <c r="R616" s="69"/>
      <c r="S616" s="48">
        <v>41611</v>
      </c>
      <c r="T616" s="48">
        <v>43340</v>
      </c>
      <c r="U616" s="69"/>
      <c r="V616" s="69"/>
      <c r="W616" s="69"/>
      <c r="X616" s="69"/>
      <c r="Y616" s="69" t="s">
        <v>4125</v>
      </c>
      <c r="Z616" s="52">
        <v>600</v>
      </c>
      <c r="AA616" s="43" t="s">
        <v>52</v>
      </c>
      <c r="AB616" s="43" t="s">
        <v>53</v>
      </c>
      <c r="AC616" s="85">
        <v>183</v>
      </c>
      <c r="AD616" s="141">
        <v>0</v>
      </c>
      <c r="AE616" s="142">
        <v>6</v>
      </c>
      <c r="AF616" s="69" t="str">
        <f t="shared" si="107"/>
        <v>0 years 183 days</v>
      </c>
      <c r="AG616" s="69">
        <v>0</v>
      </c>
      <c r="AH616" s="69">
        <v>183</v>
      </c>
      <c r="AI616" s="69">
        <v>600</v>
      </c>
      <c r="AJ616" s="67">
        <v>600</v>
      </c>
      <c r="AK616" s="69">
        <v>2025</v>
      </c>
      <c r="AL616" s="61">
        <v>0</v>
      </c>
      <c r="AM616" s="143"/>
    </row>
    <row r="617" spans="1:39" x14ac:dyDescent="0.35">
      <c r="A617" s="69" t="s">
        <v>4124</v>
      </c>
      <c r="B617" s="41">
        <v>1151401489</v>
      </c>
      <c r="C617" s="41"/>
      <c r="D617" s="69"/>
      <c r="E617" s="41">
        <v>0</v>
      </c>
      <c r="F617" s="41" t="s">
        <v>1961</v>
      </c>
      <c r="G617" s="69" t="s">
        <v>1960</v>
      </c>
      <c r="H617" s="41">
        <v>9010000001</v>
      </c>
      <c r="I617" s="41" t="s">
        <v>261</v>
      </c>
      <c r="J617" s="41">
        <v>1202010217</v>
      </c>
      <c r="K617" s="41" t="s">
        <v>1974</v>
      </c>
      <c r="L617" s="52" t="s">
        <v>1975</v>
      </c>
      <c r="M617" s="69" t="s">
        <v>49</v>
      </c>
      <c r="N617" s="69"/>
      <c r="O617" s="69">
        <v>8</v>
      </c>
      <c r="P617" s="69" t="s">
        <v>50</v>
      </c>
      <c r="Q617" s="69" t="s">
        <v>51</v>
      </c>
      <c r="R617" s="69"/>
      <c r="S617" s="48">
        <v>41887</v>
      </c>
      <c r="T617" s="48">
        <v>43340</v>
      </c>
      <c r="U617" s="69"/>
      <c r="V617" s="69"/>
      <c r="W617" s="69"/>
      <c r="X617" s="69"/>
      <c r="Y617" s="69" t="s">
        <v>4125</v>
      </c>
      <c r="Z617" s="52">
        <v>4200</v>
      </c>
      <c r="AA617" s="43" t="s">
        <v>52</v>
      </c>
      <c r="AB617" s="43" t="s">
        <v>53</v>
      </c>
      <c r="AC617" s="85">
        <v>365</v>
      </c>
      <c r="AD617" s="141">
        <v>1</v>
      </c>
      <c r="AE617" s="142">
        <v>0</v>
      </c>
      <c r="AF617" s="69" t="str">
        <f t="shared" si="107"/>
        <v>1 years 0 days</v>
      </c>
      <c r="AG617" s="69">
        <v>1</v>
      </c>
      <c r="AH617" s="69">
        <v>0</v>
      </c>
      <c r="AI617" s="69">
        <v>4200</v>
      </c>
      <c r="AJ617" s="67">
        <v>4200</v>
      </c>
      <c r="AK617" s="69">
        <v>2025</v>
      </c>
      <c r="AL617" s="61">
        <v>0</v>
      </c>
      <c r="AM617" s="143"/>
    </row>
    <row r="618" spans="1:39" x14ac:dyDescent="0.35">
      <c r="A618" s="69" t="s">
        <v>4124</v>
      </c>
      <c r="B618" s="41">
        <v>1151401491</v>
      </c>
      <c r="C618" s="41"/>
      <c r="D618" s="69"/>
      <c r="E618" s="41">
        <v>0</v>
      </c>
      <c r="F618" s="41" t="s">
        <v>1961</v>
      </c>
      <c r="G618" s="69" t="s">
        <v>1960</v>
      </c>
      <c r="H618" s="41">
        <v>9010000001</v>
      </c>
      <c r="I618" s="41" t="s">
        <v>261</v>
      </c>
      <c r="J618" s="41">
        <v>1202010217</v>
      </c>
      <c r="K618" s="41" t="s">
        <v>1977</v>
      </c>
      <c r="L618" s="52" t="s">
        <v>1978</v>
      </c>
      <c r="M618" s="69" t="s">
        <v>1979</v>
      </c>
      <c r="N618" s="69"/>
      <c r="O618" s="69">
        <v>3</v>
      </c>
      <c r="P618" s="69" t="s">
        <v>50</v>
      </c>
      <c r="Q618" s="69" t="s">
        <v>51</v>
      </c>
      <c r="R618" s="69"/>
      <c r="S618" s="48">
        <v>41890</v>
      </c>
      <c r="T618" s="48">
        <v>43340</v>
      </c>
      <c r="U618" s="69"/>
      <c r="V618" s="69"/>
      <c r="W618" s="69"/>
      <c r="X618" s="69"/>
      <c r="Y618" s="69" t="s">
        <v>4125</v>
      </c>
      <c r="Z618" s="52">
        <v>3800</v>
      </c>
      <c r="AA618" s="43" t="s">
        <v>52</v>
      </c>
      <c r="AB618" s="43" t="s">
        <v>53</v>
      </c>
      <c r="AC618" s="85">
        <v>365</v>
      </c>
      <c r="AD618" s="141">
        <v>1</v>
      </c>
      <c r="AE618" s="142">
        <v>0</v>
      </c>
      <c r="AF618" s="69" t="str">
        <f t="shared" si="107"/>
        <v>1 years 0 days</v>
      </c>
      <c r="AG618" s="69">
        <v>1</v>
      </c>
      <c r="AH618" s="69">
        <v>0</v>
      </c>
      <c r="AI618" s="69">
        <v>3800</v>
      </c>
      <c r="AJ618" s="67">
        <v>3800</v>
      </c>
      <c r="AK618" s="69">
        <v>2025</v>
      </c>
      <c r="AL618" s="61">
        <v>0</v>
      </c>
      <c r="AM618" s="143"/>
    </row>
    <row r="619" spans="1:39" x14ac:dyDescent="0.35">
      <c r="A619" s="69" t="s">
        <v>4124</v>
      </c>
      <c r="B619" s="41">
        <v>1151401590</v>
      </c>
      <c r="C619" s="41"/>
      <c r="D619" s="69"/>
      <c r="E619" s="41">
        <v>0</v>
      </c>
      <c r="F619" s="41" t="s">
        <v>1961</v>
      </c>
      <c r="G619" s="69" t="s">
        <v>1960</v>
      </c>
      <c r="H619" s="41">
        <v>9010000001</v>
      </c>
      <c r="I619" s="41" t="s">
        <v>261</v>
      </c>
      <c r="J619" s="41">
        <v>1202010217</v>
      </c>
      <c r="K619" s="41" t="s">
        <v>1981</v>
      </c>
      <c r="L619" s="52" t="s">
        <v>1982</v>
      </c>
      <c r="M619" s="69" t="s">
        <v>1983</v>
      </c>
      <c r="N619" s="69"/>
      <c r="O619" s="69">
        <v>16</v>
      </c>
      <c r="P619" s="69" t="s">
        <v>50</v>
      </c>
      <c r="Q619" s="69" t="s">
        <v>51</v>
      </c>
      <c r="R619" s="69"/>
      <c r="S619" s="48">
        <v>42009</v>
      </c>
      <c r="T619" s="48">
        <v>43340</v>
      </c>
      <c r="U619" s="69"/>
      <c r="V619" s="69"/>
      <c r="W619" s="69"/>
      <c r="X619" s="69"/>
      <c r="Y619" s="69" t="s">
        <v>4125</v>
      </c>
      <c r="Z619" s="52">
        <v>5000</v>
      </c>
      <c r="AA619" s="43" t="s">
        <v>52</v>
      </c>
      <c r="AB619" s="43" t="s">
        <v>53</v>
      </c>
      <c r="AC619" s="85">
        <v>475</v>
      </c>
      <c r="AD619" s="141">
        <v>1</v>
      </c>
      <c r="AE619" s="142">
        <v>4</v>
      </c>
      <c r="AF619" s="69" t="str">
        <f t="shared" si="107"/>
        <v>1 years 110 days</v>
      </c>
      <c r="AG619" s="69">
        <v>1</v>
      </c>
      <c r="AH619" s="69">
        <v>110</v>
      </c>
      <c r="AI619" s="69">
        <v>5000</v>
      </c>
      <c r="AJ619" s="67">
        <v>5000</v>
      </c>
      <c r="AK619" s="69">
        <v>2025</v>
      </c>
      <c r="AL619" s="61">
        <v>0</v>
      </c>
      <c r="AM619" s="143"/>
    </row>
    <row r="620" spans="1:39" x14ac:dyDescent="0.35">
      <c r="A620" s="69" t="s">
        <v>4124</v>
      </c>
      <c r="B620" s="41">
        <v>1151401610</v>
      </c>
      <c r="C620" s="41"/>
      <c r="D620" s="69"/>
      <c r="E620" s="41">
        <v>0</v>
      </c>
      <c r="F620" s="41" t="s">
        <v>1961</v>
      </c>
      <c r="G620" s="69" t="s">
        <v>1960</v>
      </c>
      <c r="H620" s="41">
        <v>9010000001</v>
      </c>
      <c r="I620" s="41" t="s">
        <v>261</v>
      </c>
      <c r="J620" s="41">
        <v>1202010217</v>
      </c>
      <c r="K620" s="41"/>
      <c r="L620" s="52" t="s">
        <v>1985</v>
      </c>
      <c r="M620" s="69" t="s">
        <v>49</v>
      </c>
      <c r="N620" s="69"/>
      <c r="O620" s="69">
        <v>1</v>
      </c>
      <c r="P620" s="69" t="s">
        <v>50</v>
      </c>
      <c r="Q620" s="69" t="s">
        <v>51</v>
      </c>
      <c r="R620" s="69"/>
      <c r="S620" s="48">
        <v>42040</v>
      </c>
      <c r="T620" s="48">
        <v>43340</v>
      </c>
      <c r="U620" s="69"/>
      <c r="V620" s="69"/>
      <c r="W620" s="69"/>
      <c r="X620" s="69"/>
      <c r="Y620" s="69" t="s">
        <v>4125</v>
      </c>
      <c r="Z620" s="52">
        <v>1500</v>
      </c>
      <c r="AA620" s="43" t="s">
        <v>52</v>
      </c>
      <c r="AB620" s="43" t="s">
        <v>53</v>
      </c>
      <c r="AC620" s="85">
        <v>511</v>
      </c>
      <c r="AD620" s="141">
        <v>1</v>
      </c>
      <c r="AE620" s="142">
        <v>5</v>
      </c>
      <c r="AF620" s="69" t="str">
        <f t="shared" si="107"/>
        <v>1 years 146 days</v>
      </c>
      <c r="AG620" s="69">
        <v>1</v>
      </c>
      <c r="AH620" s="69">
        <v>146</v>
      </c>
      <c r="AI620" s="69">
        <v>1500</v>
      </c>
      <c r="AJ620" s="67">
        <v>1500</v>
      </c>
      <c r="AK620" s="69">
        <v>2025</v>
      </c>
      <c r="AL620" s="61">
        <v>0</v>
      </c>
      <c r="AM620" s="143"/>
    </row>
    <row r="621" spans="1:39" x14ac:dyDescent="0.35">
      <c r="A621" s="69" t="s">
        <v>4124</v>
      </c>
      <c r="B621" s="41">
        <v>1151402094</v>
      </c>
      <c r="C621" s="41"/>
      <c r="D621" s="69"/>
      <c r="E621" s="41">
        <v>0</v>
      </c>
      <c r="F621" s="41" t="s">
        <v>1961</v>
      </c>
      <c r="G621" s="69" t="s">
        <v>1960</v>
      </c>
      <c r="H621" s="41">
        <v>9010000001</v>
      </c>
      <c r="I621" s="41" t="s">
        <v>261</v>
      </c>
      <c r="J621" s="41">
        <v>1202010217</v>
      </c>
      <c r="K621" s="41" t="s">
        <v>1987</v>
      </c>
      <c r="L621" s="52" t="s">
        <v>1988</v>
      </c>
      <c r="M621" s="69" t="s">
        <v>1989</v>
      </c>
      <c r="N621" s="69"/>
      <c r="O621" s="69">
        <v>4</v>
      </c>
      <c r="P621" s="69" t="s">
        <v>50</v>
      </c>
      <c r="Q621" s="69" t="s">
        <v>51</v>
      </c>
      <c r="R621" s="69"/>
      <c r="S621" s="48">
        <v>42613</v>
      </c>
      <c r="T621" s="48">
        <v>43340</v>
      </c>
      <c r="U621" s="69"/>
      <c r="V621" s="69"/>
      <c r="W621" s="69"/>
      <c r="X621" s="69"/>
      <c r="Y621" s="69" t="s">
        <v>4125</v>
      </c>
      <c r="Z621" s="52">
        <v>60000</v>
      </c>
      <c r="AA621" s="43" t="s">
        <v>52</v>
      </c>
      <c r="AB621" s="43" t="s">
        <v>53</v>
      </c>
      <c r="AC621" s="85">
        <v>1095</v>
      </c>
      <c r="AD621" s="141">
        <v>3</v>
      </c>
      <c r="AE621" s="142">
        <v>0</v>
      </c>
      <c r="AF621" s="69" t="str">
        <f t="shared" si="107"/>
        <v>3 years 0 days</v>
      </c>
      <c r="AG621" s="69">
        <v>3</v>
      </c>
      <c r="AH621" s="69">
        <v>0</v>
      </c>
      <c r="AI621" s="69">
        <v>60000</v>
      </c>
      <c r="AJ621" s="67">
        <v>60000</v>
      </c>
      <c r="AK621" s="69">
        <v>2025</v>
      </c>
      <c r="AL621" s="61">
        <v>0</v>
      </c>
      <c r="AM621" s="143"/>
    </row>
    <row r="622" spans="1:39" x14ac:dyDescent="0.35">
      <c r="A622" s="69" t="s">
        <v>4124</v>
      </c>
      <c r="B622" s="41">
        <v>1151402216</v>
      </c>
      <c r="C622" s="41"/>
      <c r="D622" s="69"/>
      <c r="E622" s="41">
        <v>0</v>
      </c>
      <c r="F622" s="41" t="s">
        <v>1961</v>
      </c>
      <c r="G622" s="69" t="s">
        <v>1960</v>
      </c>
      <c r="H622" s="41">
        <v>9010000001</v>
      </c>
      <c r="I622" s="41" t="s">
        <v>261</v>
      </c>
      <c r="J622" s="41">
        <v>1202010217</v>
      </c>
      <c r="K622" s="41" t="s">
        <v>1991</v>
      </c>
      <c r="L622" s="52" t="s">
        <v>1992</v>
      </c>
      <c r="M622" s="69" t="s">
        <v>1993</v>
      </c>
      <c r="N622" s="69"/>
      <c r="O622" s="69">
        <v>4</v>
      </c>
      <c r="P622" s="69" t="s">
        <v>50</v>
      </c>
      <c r="Q622" s="69" t="s">
        <v>51</v>
      </c>
      <c r="R622" s="69"/>
      <c r="S622" s="48">
        <v>42737</v>
      </c>
      <c r="T622" s="48">
        <v>43340</v>
      </c>
      <c r="U622" s="69"/>
      <c r="V622" s="69"/>
      <c r="W622" s="69"/>
      <c r="X622" s="69"/>
      <c r="Y622" s="69" t="s">
        <v>4125</v>
      </c>
      <c r="Z622" s="52">
        <v>41000</v>
      </c>
      <c r="AA622" s="43" t="s">
        <v>52</v>
      </c>
      <c r="AB622" s="43" t="s">
        <v>53</v>
      </c>
      <c r="AC622" s="85">
        <v>1205</v>
      </c>
      <c r="AD622" s="141">
        <v>3</v>
      </c>
      <c r="AE622" s="142">
        <v>4</v>
      </c>
      <c r="AF622" s="69" t="str">
        <f t="shared" si="107"/>
        <v>3 years 110 days</v>
      </c>
      <c r="AG622" s="69">
        <v>3</v>
      </c>
      <c r="AH622" s="69">
        <v>110</v>
      </c>
      <c r="AI622" s="69">
        <v>41000</v>
      </c>
      <c r="AJ622" s="67">
        <v>41000</v>
      </c>
      <c r="AK622" s="69">
        <v>2025</v>
      </c>
      <c r="AL622" s="61">
        <v>0</v>
      </c>
      <c r="AM622" s="143"/>
    </row>
    <row r="623" spans="1:39" x14ac:dyDescent="0.35">
      <c r="A623" s="69" t="s">
        <v>4124</v>
      </c>
      <c r="B623" s="41">
        <v>1151402489</v>
      </c>
      <c r="C623" s="41"/>
      <c r="D623" s="69"/>
      <c r="E623" s="41">
        <v>0</v>
      </c>
      <c r="F623" s="41" t="s">
        <v>1961</v>
      </c>
      <c r="G623" s="69" t="s">
        <v>1960</v>
      </c>
      <c r="H623" s="41">
        <v>9010000001</v>
      </c>
      <c r="I623" s="41" t="s">
        <v>261</v>
      </c>
      <c r="J623" s="41">
        <v>1202010217</v>
      </c>
      <c r="K623" s="41" t="s">
        <v>1995</v>
      </c>
      <c r="L623" s="52" t="s">
        <v>1996</v>
      </c>
      <c r="M623" s="69" t="s">
        <v>1997</v>
      </c>
      <c r="N623" s="69"/>
      <c r="O623" s="69">
        <v>4</v>
      </c>
      <c r="P623" s="69" t="s">
        <v>50</v>
      </c>
      <c r="Q623" s="69" t="s">
        <v>51</v>
      </c>
      <c r="R623" s="69"/>
      <c r="S623" s="48">
        <v>43117</v>
      </c>
      <c r="T623" s="48">
        <v>43340</v>
      </c>
      <c r="U623" s="69"/>
      <c r="V623" s="69"/>
      <c r="W623" s="69"/>
      <c r="X623" s="69"/>
      <c r="Y623" s="69" t="s">
        <v>4125</v>
      </c>
      <c r="Z623" s="52">
        <v>32000</v>
      </c>
      <c r="AA623" s="43" t="s">
        <v>52</v>
      </c>
      <c r="AB623" s="43" t="s">
        <v>53</v>
      </c>
      <c r="AC623" s="85">
        <v>1606</v>
      </c>
      <c r="AD623" s="141">
        <v>4</v>
      </c>
      <c r="AE623" s="142">
        <v>5</v>
      </c>
      <c r="AF623" s="69" t="str">
        <f t="shared" si="107"/>
        <v>4 years 146 days</v>
      </c>
      <c r="AG623" s="69">
        <v>4</v>
      </c>
      <c r="AH623" s="69">
        <v>146</v>
      </c>
      <c r="AI623" s="69">
        <v>32000</v>
      </c>
      <c r="AJ623" s="67">
        <v>32000</v>
      </c>
      <c r="AK623" s="69">
        <v>2025</v>
      </c>
      <c r="AL623" s="61">
        <v>0</v>
      </c>
      <c r="AM623" s="143"/>
    </row>
    <row r="624" spans="1:39" x14ac:dyDescent="0.35">
      <c r="A624" s="69" t="s">
        <v>4124</v>
      </c>
      <c r="B624" s="41">
        <v>1101404759</v>
      </c>
      <c r="C624" s="41"/>
      <c r="D624" s="69"/>
      <c r="E624" s="41">
        <v>0</v>
      </c>
      <c r="F624" s="41" t="s">
        <v>1961</v>
      </c>
      <c r="G624" s="69" t="s">
        <v>1960</v>
      </c>
      <c r="H624" s="41">
        <v>9010000001</v>
      </c>
      <c r="I624" s="41" t="s">
        <v>261</v>
      </c>
      <c r="J624" s="41">
        <v>1202010217</v>
      </c>
      <c r="K624" s="41" t="s">
        <v>2040</v>
      </c>
      <c r="L624" s="52" t="s">
        <v>2041</v>
      </c>
      <c r="M624" s="69" t="s">
        <v>2042</v>
      </c>
      <c r="N624" s="69"/>
      <c r="O624" s="69">
        <v>1</v>
      </c>
      <c r="P624" s="69" t="s">
        <v>50</v>
      </c>
      <c r="Q624" s="69" t="s">
        <v>51</v>
      </c>
      <c r="R624" s="69"/>
      <c r="S624" s="48">
        <v>43425</v>
      </c>
      <c r="T624" s="48">
        <v>43425</v>
      </c>
      <c r="U624" s="69"/>
      <c r="V624" s="69"/>
      <c r="W624" s="69"/>
      <c r="X624" s="69"/>
      <c r="Y624" s="69" t="s">
        <v>4125</v>
      </c>
      <c r="Z624" s="52">
        <v>49343</v>
      </c>
      <c r="AA624" s="43" t="s">
        <v>52</v>
      </c>
      <c r="AB624" s="43" t="s">
        <v>53</v>
      </c>
      <c r="AC624" s="85">
        <v>3650</v>
      </c>
      <c r="AD624" s="141">
        <v>10</v>
      </c>
      <c r="AE624" s="142">
        <v>0</v>
      </c>
      <c r="AF624" s="69" t="str">
        <f t="shared" si="107"/>
        <v>6 years 43 days</v>
      </c>
      <c r="AG624" s="69">
        <v>6</v>
      </c>
      <c r="AH624" s="69">
        <v>43</v>
      </c>
      <c r="AI624" s="69">
        <v>49343</v>
      </c>
      <c r="AJ624" s="67">
        <v>30174</v>
      </c>
      <c r="AK624" s="69">
        <v>2025</v>
      </c>
      <c r="AL624" s="61">
        <v>2446.4545205479444</v>
      </c>
      <c r="AM624" s="143"/>
    </row>
    <row r="625" spans="1:39" x14ac:dyDescent="0.35">
      <c r="A625" s="69" t="s">
        <v>4124</v>
      </c>
      <c r="B625" s="41">
        <v>1101404760</v>
      </c>
      <c r="C625" s="41"/>
      <c r="D625" s="69"/>
      <c r="E625" s="41">
        <v>0</v>
      </c>
      <c r="F625" s="41" t="s">
        <v>1961</v>
      </c>
      <c r="G625" s="69" t="s">
        <v>1960</v>
      </c>
      <c r="H625" s="41">
        <v>9010000001</v>
      </c>
      <c r="I625" s="41" t="s">
        <v>261</v>
      </c>
      <c r="J625" s="41">
        <v>1202010217</v>
      </c>
      <c r="K625" s="41" t="s">
        <v>2044</v>
      </c>
      <c r="L625" s="52" t="s">
        <v>2045</v>
      </c>
      <c r="M625" s="69" t="s">
        <v>2046</v>
      </c>
      <c r="N625" s="69"/>
      <c r="O625" s="69">
        <v>1</v>
      </c>
      <c r="P625" s="69" t="s">
        <v>50</v>
      </c>
      <c r="Q625" s="69" t="s">
        <v>51</v>
      </c>
      <c r="R625" s="69"/>
      <c r="S625" s="48">
        <v>43439</v>
      </c>
      <c r="T625" s="48">
        <v>43439</v>
      </c>
      <c r="U625" s="69"/>
      <c r="V625" s="69"/>
      <c r="W625" s="69"/>
      <c r="X625" s="69"/>
      <c r="Y625" s="69" t="s">
        <v>4125</v>
      </c>
      <c r="Z625" s="52">
        <v>24402</v>
      </c>
      <c r="AA625" s="43" t="s">
        <v>52</v>
      </c>
      <c r="AB625" s="43" t="s">
        <v>53</v>
      </c>
      <c r="AC625" s="85">
        <v>3650</v>
      </c>
      <c r="AD625" s="141">
        <v>10</v>
      </c>
      <c r="AE625" s="142">
        <v>0</v>
      </c>
      <c r="AF625" s="69" t="str">
        <f t="shared" si="107"/>
        <v>6 years 29 days</v>
      </c>
      <c r="AG625" s="69">
        <v>6</v>
      </c>
      <c r="AH625" s="69">
        <v>29</v>
      </c>
      <c r="AI625" s="69">
        <v>24402</v>
      </c>
      <c r="AJ625" s="67">
        <v>14828</v>
      </c>
      <c r="AK625" s="69">
        <v>2025</v>
      </c>
      <c r="AL625" s="61">
        <v>1210.4652054794515</v>
      </c>
      <c r="AM625" s="143"/>
    </row>
    <row r="626" spans="1:39" x14ac:dyDescent="0.35">
      <c r="A626" s="69" t="s">
        <v>4124</v>
      </c>
      <c r="B626" s="41">
        <v>1151402664</v>
      </c>
      <c r="C626" s="41"/>
      <c r="D626" s="69"/>
      <c r="E626" s="41">
        <v>0</v>
      </c>
      <c r="F626" s="41" t="s">
        <v>1961</v>
      </c>
      <c r="G626" s="69" t="s">
        <v>1960</v>
      </c>
      <c r="H626" s="41">
        <v>9010000001</v>
      </c>
      <c r="I626" s="41" t="s">
        <v>261</v>
      </c>
      <c r="J626" s="41">
        <v>1202010217</v>
      </c>
      <c r="K626" s="41"/>
      <c r="L626" s="52" t="s">
        <v>1999</v>
      </c>
      <c r="M626" s="69" t="s">
        <v>49</v>
      </c>
      <c r="N626" s="69"/>
      <c r="O626" s="69">
        <v>1</v>
      </c>
      <c r="P626" s="69" t="s">
        <v>50</v>
      </c>
      <c r="Q626" s="69" t="s">
        <v>51</v>
      </c>
      <c r="R626" s="69"/>
      <c r="S626" s="48">
        <v>43341</v>
      </c>
      <c r="T626" s="48">
        <v>43341</v>
      </c>
      <c r="U626" s="69"/>
      <c r="V626" s="69"/>
      <c r="W626" s="69"/>
      <c r="X626" s="69"/>
      <c r="Y626" s="69" t="s">
        <v>4125</v>
      </c>
      <c r="Z626" s="52">
        <v>73828.3</v>
      </c>
      <c r="AA626" s="43" t="s">
        <v>52</v>
      </c>
      <c r="AB626" s="43" t="s">
        <v>53</v>
      </c>
      <c r="AC626" s="85">
        <v>1825</v>
      </c>
      <c r="AD626" s="141">
        <v>5</v>
      </c>
      <c r="AE626" s="142">
        <v>0</v>
      </c>
      <c r="AF626" s="69" t="str">
        <f t="shared" si="107"/>
        <v>5 years 0 days</v>
      </c>
      <c r="AG626" s="69">
        <v>5</v>
      </c>
      <c r="AH626" s="69">
        <v>0</v>
      </c>
      <c r="AI626" s="69">
        <v>73828.3</v>
      </c>
      <c r="AJ626" s="67">
        <v>73828</v>
      </c>
      <c r="AK626" s="69">
        <v>2025</v>
      </c>
      <c r="AL626" s="61">
        <v>0.30000000000291038</v>
      </c>
      <c r="AM626" s="143"/>
    </row>
    <row r="627" spans="1:39" x14ac:dyDescent="0.35">
      <c r="A627" s="69" t="s">
        <v>4124</v>
      </c>
      <c r="B627" s="41">
        <v>1151402726</v>
      </c>
      <c r="C627" s="41"/>
      <c r="D627" s="69"/>
      <c r="E627" s="41">
        <v>0</v>
      </c>
      <c r="F627" s="41" t="s">
        <v>1961</v>
      </c>
      <c r="G627" s="69" t="s">
        <v>1960</v>
      </c>
      <c r="H627" s="41">
        <v>9010000001</v>
      </c>
      <c r="I627" s="41" t="s">
        <v>261</v>
      </c>
      <c r="J627" s="41">
        <v>1202010217</v>
      </c>
      <c r="K627" s="41" t="s">
        <v>2001</v>
      </c>
      <c r="L627" s="52" t="s">
        <v>2002</v>
      </c>
      <c r="M627" s="69" t="s">
        <v>2003</v>
      </c>
      <c r="N627" s="69"/>
      <c r="O627" s="69">
        <v>1</v>
      </c>
      <c r="P627" s="69" t="s">
        <v>50</v>
      </c>
      <c r="Q627" s="69" t="s">
        <v>51</v>
      </c>
      <c r="R627" s="69"/>
      <c r="S627" s="48">
        <v>43404</v>
      </c>
      <c r="T627" s="48">
        <v>43404</v>
      </c>
      <c r="U627" s="69"/>
      <c r="V627" s="69"/>
      <c r="W627" s="69"/>
      <c r="X627" s="69"/>
      <c r="Y627" s="69" t="s">
        <v>4125</v>
      </c>
      <c r="Z627" s="52">
        <v>102802</v>
      </c>
      <c r="AA627" s="43" t="s">
        <v>52</v>
      </c>
      <c r="AB627" s="43" t="s">
        <v>53</v>
      </c>
      <c r="AC627" s="85">
        <v>1825</v>
      </c>
      <c r="AD627" s="141">
        <v>5</v>
      </c>
      <c r="AE627" s="142">
        <v>0</v>
      </c>
      <c r="AF627" s="69" t="str">
        <f t="shared" si="107"/>
        <v>5 years 0 days</v>
      </c>
      <c r="AG627" s="69">
        <v>5</v>
      </c>
      <c r="AH627" s="69">
        <v>0</v>
      </c>
      <c r="AI627" s="69">
        <v>102802</v>
      </c>
      <c r="AJ627" s="67">
        <v>102802</v>
      </c>
      <c r="AK627" s="69">
        <v>2025</v>
      </c>
      <c r="AL627" s="61">
        <v>0</v>
      </c>
      <c r="AM627" s="143"/>
    </row>
    <row r="628" spans="1:39" x14ac:dyDescent="0.35">
      <c r="A628" s="69" t="s">
        <v>4124</v>
      </c>
      <c r="B628" s="41">
        <v>1151402835</v>
      </c>
      <c r="C628" s="41"/>
      <c r="D628" s="69"/>
      <c r="E628" s="41">
        <v>0</v>
      </c>
      <c r="F628" s="41" t="s">
        <v>1961</v>
      </c>
      <c r="G628" s="69" t="s">
        <v>1960</v>
      </c>
      <c r="H628" s="41">
        <v>9010000001</v>
      </c>
      <c r="I628" s="41" t="s">
        <v>261</v>
      </c>
      <c r="J628" s="41">
        <v>1202010217</v>
      </c>
      <c r="K628" s="41"/>
      <c r="L628" s="52" t="s">
        <v>2005</v>
      </c>
      <c r="M628" s="69" t="s">
        <v>2006</v>
      </c>
      <c r="N628" s="69"/>
      <c r="O628" s="69">
        <v>1</v>
      </c>
      <c r="P628" s="69" t="s">
        <v>50</v>
      </c>
      <c r="Q628" s="69" t="s">
        <v>51</v>
      </c>
      <c r="R628" s="69"/>
      <c r="S628" s="48">
        <v>43495</v>
      </c>
      <c r="T628" s="48">
        <v>43495</v>
      </c>
      <c r="U628" s="69"/>
      <c r="V628" s="69"/>
      <c r="W628" s="69"/>
      <c r="X628" s="69"/>
      <c r="Y628" s="69" t="s">
        <v>4126</v>
      </c>
      <c r="Z628" s="52">
        <v>26166</v>
      </c>
      <c r="AA628" s="43" t="s">
        <v>52</v>
      </c>
      <c r="AB628" s="43" t="s">
        <v>53</v>
      </c>
      <c r="AC628" s="85">
        <v>1825</v>
      </c>
      <c r="AD628" s="141">
        <v>5</v>
      </c>
      <c r="AE628" s="142">
        <v>0</v>
      </c>
      <c r="AF628" s="69" t="str">
        <f t="shared" si="107"/>
        <v>5 years 0 days</v>
      </c>
      <c r="AG628" s="69">
        <v>5</v>
      </c>
      <c r="AH628" s="69">
        <v>0</v>
      </c>
      <c r="AI628" s="69">
        <v>26166</v>
      </c>
      <c r="AJ628" s="67">
        <v>26166</v>
      </c>
      <c r="AK628" s="69">
        <v>2025</v>
      </c>
      <c r="AL628" s="61">
        <v>0</v>
      </c>
      <c r="AM628" s="143"/>
    </row>
    <row r="629" spans="1:39" x14ac:dyDescent="0.35">
      <c r="A629" s="69" t="s">
        <v>4124</v>
      </c>
      <c r="B629" s="41">
        <v>1151402919</v>
      </c>
      <c r="C629" s="41"/>
      <c r="D629" s="69"/>
      <c r="E629" s="41">
        <v>0</v>
      </c>
      <c r="F629" s="41" t="s">
        <v>1961</v>
      </c>
      <c r="G629" s="69" t="s">
        <v>1960</v>
      </c>
      <c r="H629" s="41">
        <v>9010000001</v>
      </c>
      <c r="I629" s="41" t="s">
        <v>261</v>
      </c>
      <c r="J629" s="41">
        <v>1202010217</v>
      </c>
      <c r="K629" s="41"/>
      <c r="L629" s="52" t="s">
        <v>2008</v>
      </c>
      <c r="M629" s="69" t="s">
        <v>2009</v>
      </c>
      <c r="N629" s="69"/>
      <c r="O629" s="69">
        <v>1</v>
      </c>
      <c r="P629" s="69" t="s">
        <v>50</v>
      </c>
      <c r="Q629" s="69" t="s">
        <v>51</v>
      </c>
      <c r="R629" s="69"/>
      <c r="S629" s="48">
        <v>43555</v>
      </c>
      <c r="T629" s="48">
        <v>43555</v>
      </c>
      <c r="U629" s="69"/>
      <c r="V629" s="69"/>
      <c r="W629" s="69"/>
      <c r="X629" s="69"/>
      <c r="Y629" s="69" t="s">
        <v>4126</v>
      </c>
      <c r="Z629" s="52">
        <v>21470</v>
      </c>
      <c r="AA629" s="43" t="s">
        <v>52</v>
      </c>
      <c r="AB629" s="43" t="s">
        <v>53</v>
      </c>
      <c r="AC629" s="85">
        <v>1825</v>
      </c>
      <c r="AD629" s="141">
        <v>5</v>
      </c>
      <c r="AE629" s="142">
        <v>0</v>
      </c>
      <c r="AF629" s="69" t="str">
        <f t="shared" si="107"/>
        <v>5 years 0 days</v>
      </c>
      <c r="AG629" s="69">
        <v>5</v>
      </c>
      <c r="AH629" s="69">
        <v>0</v>
      </c>
      <c r="AI629" s="69">
        <v>21470</v>
      </c>
      <c r="AJ629" s="67">
        <v>21470</v>
      </c>
      <c r="AK629" s="69">
        <v>2025</v>
      </c>
      <c r="AL629" s="61">
        <v>0</v>
      </c>
      <c r="AM629" s="143"/>
    </row>
    <row r="630" spans="1:39" x14ac:dyDescent="0.35">
      <c r="A630" s="69" t="s">
        <v>4124</v>
      </c>
      <c r="B630" s="41">
        <v>1151404763</v>
      </c>
      <c r="C630" s="41"/>
      <c r="D630" s="69"/>
      <c r="E630" s="41">
        <v>0</v>
      </c>
      <c r="F630" s="41" t="s">
        <v>1961</v>
      </c>
      <c r="G630" s="69" t="s">
        <v>1960</v>
      </c>
      <c r="H630" s="41">
        <v>9010000001</v>
      </c>
      <c r="I630" s="41" t="s">
        <v>261</v>
      </c>
      <c r="J630" s="41">
        <v>1202010217</v>
      </c>
      <c r="K630" s="41"/>
      <c r="L630" s="52" t="s">
        <v>2054</v>
      </c>
      <c r="M630" s="69" t="s">
        <v>2055</v>
      </c>
      <c r="N630" s="69"/>
      <c r="O630" s="69">
        <v>1</v>
      </c>
      <c r="P630" s="69" t="s">
        <v>50</v>
      </c>
      <c r="Q630" s="69" t="s">
        <v>51</v>
      </c>
      <c r="R630" s="69"/>
      <c r="S630" s="48">
        <v>43725</v>
      </c>
      <c r="T630" s="48">
        <v>43725</v>
      </c>
      <c r="U630" s="69"/>
      <c r="V630" s="69"/>
      <c r="W630" s="69"/>
      <c r="X630" s="69"/>
      <c r="Y630" s="69" t="s">
        <v>4126</v>
      </c>
      <c r="Z630" s="52">
        <v>7800</v>
      </c>
      <c r="AA630" s="43" t="s">
        <v>52</v>
      </c>
      <c r="AB630" s="43" t="s">
        <v>53</v>
      </c>
      <c r="AC630" s="85">
        <v>1825</v>
      </c>
      <c r="AD630" s="141">
        <v>5</v>
      </c>
      <c r="AE630" s="142">
        <v>0</v>
      </c>
      <c r="AF630" s="69" t="str">
        <f t="shared" si="107"/>
        <v>5 years 0 days</v>
      </c>
      <c r="AG630" s="69">
        <v>5</v>
      </c>
      <c r="AH630" s="69">
        <v>0</v>
      </c>
      <c r="AI630" s="69">
        <v>7800</v>
      </c>
      <c r="AJ630" s="67">
        <v>7800</v>
      </c>
      <c r="AK630" s="69">
        <v>2025</v>
      </c>
      <c r="AL630" s="61">
        <v>0</v>
      </c>
      <c r="AM630" s="143"/>
    </row>
    <row r="631" spans="1:39" x14ac:dyDescent="0.35">
      <c r="A631" s="69" t="s">
        <v>4124</v>
      </c>
      <c r="B631" s="41">
        <v>1151403061</v>
      </c>
      <c r="C631" s="41"/>
      <c r="D631" s="69"/>
      <c r="E631" s="41">
        <v>0</v>
      </c>
      <c r="F631" s="41" t="s">
        <v>1961</v>
      </c>
      <c r="G631" s="69" t="s">
        <v>1960</v>
      </c>
      <c r="H631" s="41">
        <v>9010000001</v>
      </c>
      <c r="I631" s="41" t="s">
        <v>261</v>
      </c>
      <c r="J631" s="41">
        <v>1202010217</v>
      </c>
      <c r="K631" s="41"/>
      <c r="L631" s="52" t="s">
        <v>2011</v>
      </c>
      <c r="M631" s="69" t="s">
        <v>2012</v>
      </c>
      <c r="N631" s="69"/>
      <c r="O631" s="69">
        <v>1</v>
      </c>
      <c r="P631" s="69" t="s">
        <v>50</v>
      </c>
      <c r="Q631" s="69" t="s">
        <v>51</v>
      </c>
      <c r="R631" s="69"/>
      <c r="S631" s="48">
        <v>43726</v>
      </c>
      <c r="T631" s="48">
        <v>43726</v>
      </c>
      <c r="U631" s="69"/>
      <c r="V631" s="69"/>
      <c r="W631" s="69"/>
      <c r="X631" s="69"/>
      <c r="Y631" s="69" t="s">
        <v>4126</v>
      </c>
      <c r="Z631" s="52">
        <v>7800</v>
      </c>
      <c r="AA631" s="43" t="s">
        <v>52</v>
      </c>
      <c r="AB631" s="43" t="s">
        <v>53</v>
      </c>
      <c r="AC631" s="85">
        <v>1825</v>
      </c>
      <c r="AD631" s="141">
        <v>5</v>
      </c>
      <c r="AE631" s="142">
        <v>0</v>
      </c>
      <c r="AF631" s="69" t="str">
        <f t="shared" si="107"/>
        <v>5 years 0 days</v>
      </c>
      <c r="AG631" s="69">
        <v>5</v>
      </c>
      <c r="AH631" s="69">
        <v>0</v>
      </c>
      <c r="AI631" s="69">
        <v>7800</v>
      </c>
      <c r="AJ631" s="67">
        <v>7800</v>
      </c>
      <c r="AK631" s="69">
        <v>2025</v>
      </c>
      <c r="AL631" s="61">
        <v>0</v>
      </c>
      <c r="AM631" s="143"/>
    </row>
    <row r="632" spans="1:39" x14ac:dyDescent="0.35">
      <c r="A632" s="69" t="s">
        <v>4124</v>
      </c>
      <c r="B632" s="41">
        <v>1151403290</v>
      </c>
      <c r="C632" s="41"/>
      <c r="D632" s="69"/>
      <c r="E632" s="41">
        <v>0</v>
      </c>
      <c r="F632" s="41" t="s">
        <v>1961</v>
      </c>
      <c r="G632" s="69" t="s">
        <v>1960</v>
      </c>
      <c r="H632" s="41">
        <v>9010000001</v>
      </c>
      <c r="I632" s="41" t="s">
        <v>261</v>
      </c>
      <c r="J632" s="41">
        <v>1202010217</v>
      </c>
      <c r="K632" s="41" t="s">
        <v>2014</v>
      </c>
      <c r="L632" s="52" t="s">
        <v>2015</v>
      </c>
      <c r="M632" s="69" t="s">
        <v>2016</v>
      </c>
      <c r="N632" s="69"/>
      <c r="O632" s="69">
        <v>9</v>
      </c>
      <c r="P632" s="69" t="s">
        <v>50</v>
      </c>
      <c r="Q632" s="69" t="s">
        <v>51</v>
      </c>
      <c r="R632" s="69"/>
      <c r="S632" s="48">
        <v>43931</v>
      </c>
      <c r="T632" s="48">
        <v>43931</v>
      </c>
      <c r="U632" s="69"/>
      <c r="V632" s="69"/>
      <c r="W632" s="69"/>
      <c r="X632" s="69"/>
      <c r="Y632" s="69" t="s">
        <v>4127</v>
      </c>
      <c r="Z632" s="52">
        <v>198164</v>
      </c>
      <c r="AA632" s="43" t="s">
        <v>52</v>
      </c>
      <c r="AB632" s="43" t="s">
        <v>53</v>
      </c>
      <c r="AC632" s="85">
        <v>1825</v>
      </c>
      <c r="AD632" s="141">
        <v>5</v>
      </c>
      <c r="AE632" s="142">
        <v>0</v>
      </c>
      <c r="AF632" s="69" t="str">
        <f t="shared" si="107"/>
        <v>4 years 267 days</v>
      </c>
      <c r="AG632" s="69">
        <v>4</v>
      </c>
      <c r="AH632" s="69">
        <v>267</v>
      </c>
      <c r="AI632" s="69">
        <v>198164</v>
      </c>
      <c r="AJ632" s="67">
        <v>187523</v>
      </c>
      <c r="AK632" s="69">
        <v>2025</v>
      </c>
      <c r="AL632" s="61">
        <v>10641</v>
      </c>
      <c r="AM632" s="143"/>
    </row>
    <row r="633" spans="1:39" x14ac:dyDescent="0.35">
      <c r="A633" s="69" t="s">
        <v>4124</v>
      </c>
      <c r="B633" s="41">
        <v>1151404764</v>
      </c>
      <c r="C633" s="41"/>
      <c r="D633" s="69"/>
      <c r="E633" s="41">
        <v>0</v>
      </c>
      <c r="F633" s="41" t="s">
        <v>1961</v>
      </c>
      <c r="G633" s="69" t="s">
        <v>1960</v>
      </c>
      <c r="H633" s="41">
        <v>9010000001</v>
      </c>
      <c r="I633" s="41" t="s">
        <v>261</v>
      </c>
      <c r="J633" s="41">
        <v>1202010217</v>
      </c>
      <c r="K633" s="41" t="s">
        <v>2057</v>
      </c>
      <c r="L633" s="52" t="s">
        <v>2058</v>
      </c>
      <c r="M633" s="69" t="s">
        <v>2059</v>
      </c>
      <c r="N633" s="69"/>
      <c r="O633" s="69">
        <v>6</v>
      </c>
      <c r="P633" s="69" t="s">
        <v>50</v>
      </c>
      <c r="Q633" s="69" t="s">
        <v>51</v>
      </c>
      <c r="R633" s="69"/>
      <c r="S633" s="48">
        <v>44045</v>
      </c>
      <c r="T633" s="48">
        <v>44045</v>
      </c>
      <c r="U633" s="69"/>
      <c r="V633" s="69"/>
      <c r="W633" s="69"/>
      <c r="X633" s="69"/>
      <c r="Y633" s="69" t="s">
        <v>4127</v>
      </c>
      <c r="Z633" s="52">
        <v>60045</v>
      </c>
      <c r="AA633" s="43" t="s">
        <v>52</v>
      </c>
      <c r="AB633" s="43" t="s">
        <v>53</v>
      </c>
      <c r="AC633" s="85">
        <v>1825</v>
      </c>
      <c r="AD633" s="141">
        <v>5</v>
      </c>
      <c r="AE633" s="142">
        <v>0</v>
      </c>
      <c r="AF633" s="69" t="str">
        <f t="shared" si="107"/>
        <v>4 years 153 days</v>
      </c>
      <c r="AG633" s="69">
        <v>4</v>
      </c>
      <c r="AH633" s="69">
        <v>153</v>
      </c>
      <c r="AI633" s="69">
        <v>60045</v>
      </c>
      <c r="AJ633" s="67">
        <v>53070</v>
      </c>
      <c r="AK633" s="69">
        <v>2025</v>
      </c>
      <c r="AL633" s="61">
        <v>5955.0575342465745</v>
      </c>
      <c r="AM633" s="143"/>
    </row>
    <row r="634" spans="1:39" x14ac:dyDescent="0.35">
      <c r="A634" s="69" t="s">
        <v>4124</v>
      </c>
      <c r="B634" s="41">
        <v>1151403446</v>
      </c>
      <c r="C634" s="41"/>
      <c r="D634" s="69"/>
      <c r="E634" s="41">
        <v>0</v>
      </c>
      <c r="F634" s="41" t="s">
        <v>1961</v>
      </c>
      <c r="G634" s="69" t="s">
        <v>1960</v>
      </c>
      <c r="H634" s="41">
        <v>9010000001</v>
      </c>
      <c r="I634" s="41" t="s">
        <v>261</v>
      </c>
      <c r="J634" s="41">
        <v>1202010217</v>
      </c>
      <c r="K634" s="41" t="s">
        <v>2018</v>
      </c>
      <c r="L634" s="52" t="s">
        <v>2019</v>
      </c>
      <c r="M634" s="69" t="s">
        <v>2020</v>
      </c>
      <c r="N634" s="69"/>
      <c r="O634" s="69">
        <v>1</v>
      </c>
      <c r="P634" s="69" t="s">
        <v>50</v>
      </c>
      <c r="Q634" s="69" t="s">
        <v>51</v>
      </c>
      <c r="R634" s="69"/>
      <c r="S634" s="48">
        <v>44150</v>
      </c>
      <c r="T634" s="48">
        <v>44150</v>
      </c>
      <c r="U634" s="69"/>
      <c r="V634" s="69"/>
      <c r="W634" s="69"/>
      <c r="X634" s="69"/>
      <c r="Y634" s="69" t="s">
        <v>4127</v>
      </c>
      <c r="Z634" s="52">
        <v>23058</v>
      </c>
      <c r="AA634" s="43" t="s">
        <v>52</v>
      </c>
      <c r="AB634" s="43" t="s">
        <v>53</v>
      </c>
      <c r="AC634" s="85">
        <v>1825</v>
      </c>
      <c r="AD634" s="141">
        <v>5</v>
      </c>
      <c r="AE634" s="142">
        <v>0</v>
      </c>
      <c r="AF634" s="69" t="str">
        <f t="shared" si="107"/>
        <v>4 years 48 days</v>
      </c>
      <c r="AG634" s="69">
        <v>4</v>
      </c>
      <c r="AH634" s="69">
        <v>48</v>
      </c>
      <c r="AI634" s="69">
        <v>23058</v>
      </c>
      <c r="AJ634" s="67">
        <v>19053</v>
      </c>
      <c r="AK634" s="69">
        <v>2025</v>
      </c>
      <c r="AL634" s="61">
        <v>2286.7052054794549</v>
      </c>
      <c r="AM634" s="143"/>
    </row>
    <row r="635" spans="1:39" x14ac:dyDescent="0.35">
      <c r="A635" s="69" t="s">
        <v>4124</v>
      </c>
      <c r="B635" s="41">
        <v>1151403711</v>
      </c>
      <c r="C635" s="41"/>
      <c r="D635" s="69"/>
      <c r="E635" s="41">
        <v>0</v>
      </c>
      <c r="F635" s="41" t="s">
        <v>1961</v>
      </c>
      <c r="G635" s="69" t="s">
        <v>1960</v>
      </c>
      <c r="H635" s="41">
        <v>9010000001</v>
      </c>
      <c r="I635" s="41" t="s">
        <v>261</v>
      </c>
      <c r="J635" s="41">
        <v>1202010217</v>
      </c>
      <c r="K635" s="41" t="s">
        <v>2022</v>
      </c>
      <c r="L635" s="52" t="s">
        <v>2023</v>
      </c>
      <c r="M635" s="69" t="s">
        <v>2024</v>
      </c>
      <c r="N635" s="69"/>
      <c r="O635" s="69">
        <v>1</v>
      </c>
      <c r="P635" s="69" t="s">
        <v>50</v>
      </c>
      <c r="Q635" s="69" t="s">
        <v>51</v>
      </c>
      <c r="R635" s="69"/>
      <c r="S635" s="48">
        <v>44344</v>
      </c>
      <c r="T635" s="48">
        <v>44344</v>
      </c>
      <c r="U635" s="69"/>
      <c r="V635" s="69"/>
      <c r="W635" s="69"/>
      <c r="X635" s="69"/>
      <c r="Y635" s="69" t="s">
        <v>4128</v>
      </c>
      <c r="Z635" s="52">
        <v>55500</v>
      </c>
      <c r="AA635" s="43" t="s">
        <v>52</v>
      </c>
      <c r="AB635" s="43" t="s">
        <v>53</v>
      </c>
      <c r="AC635" s="85">
        <v>1825</v>
      </c>
      <c r="AD635" s="141">
        <v>5</v>
      </c>
      <c r="AE635" s="142">
        <v>0</v>
      </c>
      <c r="AF635" s="69" t="str">
        <f t="shared" si="107"/>
        <v>3 years 219 days</v>
      </c>
      <c r="AG635" s="69">
        <v>3</v>
      </c>
      <c r="AH635" s="69">
        <v>219</v>
      </c>
      <c r="AI635" s="69">
        <v>55500</v>
      </c>
      <c r="AJ635" s="67">
        <v>39960</v>
      </c>
      <c r="AK635" s="69">
        <v>2025</v>
      </c>
      <c r="AL635" s="61">
        <v>5504.3835616438373</v>
      </c>
      <c r="AM635" s="143"/>
    </row>
    <row r="636" spans="1:39" x14ac:dyDescent="0.35">
      <c r="A636" s="69" t="s">
        <v>4124</v>
      </c>
      <c r="B636" s="41">
        <v>1151403764</v>
      </c>
      <c r="C636" s="41"/>
      <c r="D636" s="69"/>
      <c r="E636" s="41">
        <v>0</v>
      </c>
      <c r="F636" s="41" t="s">
        <v>1961</v>
      </c>
      <c r="G636" s="69" t="s">
        <v>1960</v>
      </c>
      <c r="H636" s="41">
        <v>9010000001</v>
      </c>
      <c r="I636" s="41" t="s">
        <v>261</v>
      </c>
      <c r="J636" s="41">
        <v>1202010217</v>
      </c>
      <c r="K636" s="41" t="s">
        <v>2026</v>
      </c>
      <c r="L636" s="52" t="s">
        <v>2027</v>
      </c>
      <c r="M636" s="69" t="s">
        <v>2028</v>
      </c>
      <c r="N636" s="69"/>
      <c r="O636" s="69">
        <v>4</v>
      </c>
      <c r="P636" s="69" t="s">
        <v>50</v>
      </c>
      <c r="Q636" s="69" t="s">
        <v>51</v>
      </c>
      <c r="R636" s="69"/>
      <c r="S636" s="48">
        <v>44392</v>
      </c>
      <c r="T636" s="48">
        <v>44392</v>
      </c>
      <c r="U636" s="69"/>
      <c r="V636" s="69"/>
      <c r="W636" s="69"/>
      <c r="X636" s="69"/>
      <c r="Y636" s="69" t="s">
        <v>4128</v>
      </c>
      <c r="Z636" s="52">
        <v>37457</v>
      </c>
      <c r="AA636" s="43" t="s">
        <v>52</v>
      </c>
      <c r="AB636" s="43" t="s">
        <v>53</v>
      </c>
      <c r="AC636" s="85">
        <v>1825</v>
      </c>
      <c r="AD636" s="141">
        <v>5</v>
      </c>
      <c r="AE636" s="142">
        <v>0</v>
      </c>
      <c r="AF636" s="69" t="str">
        <f t="shared" si="107"/>
        <v>3 years 171 days</v>
      </c>
      <c r="AG636" s="69">
        <v>3</v>
      </c>
      <c r="AH636" s="69">
        <v>171</v>
      </c>
      <c r="AI636" s="69">
        <v>37457</v>
      </c>
      <c r="AJ636" s="67">
        <v>25984</v>
      </c>
      <c r="AK636" s="69">
        <v>2025</v>
      </c>
      <c r="AL636" s="61">
        <v>3714.7830136986267</v>
      </c>
      <c r="AM636" s="143"/>
    </row>
    <row r="637" spans="1:39" x14ac:dyDescent="0.35">
      <c r="A637" s="69" t="s">
        <v>4124</v>
      </c>
      <c r="B637" s="41">
        <v>1151404765</v>
      </c>
      <c r="C637" s="41"/>
      <c r="D637" s="69"/>
      <c r="E637" s="41">
        <v>0</v>
      </c>
      <c r="F637" s="41" t="s">
        <v>1961</v>
      </c>
      <c r="G637" s="69" t="s">
        <v>1960</v>
      </c>
      <c r="H637" s="41">
        <v>9010000001</v>
      </c>
      <c r="I637" s="41" t="s">
        <v>261</v>
      </c>
      <c r="J637" s="41">
        <v>1202010217</v>
      </c>
      <c r="K637" s="41" t="s">
        <v>2061</v>
      </c>
      <c r="L637" s="52" t="s">
        <v>2062</v>
      </c>
      <c r="M637" s="69" t="s">
        <v>2063</v>
      </c>
      <c r="N637" s="69"/>
      <c r="O637" s="69">
        <v>1</v>
      </c>
      <c r="P637" s="69" t="s">
        <v>50</v>
      </c>
      <c r="Q637" s="69" t="s">
        <v>51</v>
      </c>
      <c r="R637" s="69"/>
      <c r="S637" s="48">
        <v>44410</v>
      </c>
      <c r="T637" s="48">
        <v>44410</v>
      </c>
      <c r="U637" s="69"/>
      <c r="V637" s="69"/>
      <c r="W637" s="69"/>
      <c r="X637" s="69"/>
      <c r="Y637" s="69" t="s">
        <v>4128</v>
      </c>
      <c r="Z637" s="52">
        <v>8075</v>
      </c>
      <c r="AA637" s="43" t="s">
        <v>52</v>
      </c>
      <c r="AB637" s="43" t="s">
        <v>53</v>
      </c>
      <c r="AC637" s="85">
        <v>1825</v>
      </c>
      <c r="AD637" s="141">
        <v>5</v>
      </c>
      <c r="AE637" s="142">
        <v>0</v>
      </c>
      <c r="AF637" s="69" t="str">
        <f t="shared" si="107"/>
        <v>3 years 153 days</v>
      </c>
      <c r="AG637" s="69">
        <v>3</v>
      </c>
      <c r="AH637" s="69">
        <v>153</v>
      </c>
      <c r="AI637" s="69">
        <v>8075</v>
      </c>
      <c r="AJ637" s="67">
        <v>5522</v>
      </c>
      <c r="AK637" s="69">
        <v>2025</v>
      </c>
      <c r="AL637" s="61">
        <v>800.83561643835583</v>
      </c>
      <c r="AM637" s="143"/>
    </row>
    <row r="638" spans="1:39" x14ac:dyDescent="0.35">
      <c r="A638" s="69" t="s">
        <v>4124</v>
      </c>
      <c r="B638" s="41">
        <v>1101403959</v>
      </c>
      <c r="C638" s="41"/>
      <c r="D638" s="69"/>
      <c r="E638" s="41">
        <v>0</v>
      </c>
      <c r="F638" s="41" t="s">
        <v>1961</v>
      </c>
      <c r="G638" s="69" t="s">
        <v>1960</v>
      </c>
      <c r="H638" s="41">
        <v>9010000001</v>
      </c>
      <c r="I638" s="41" t="s">
        <v>261</v>
      </c>
      <c r="J638" s="41">
        <v>1202010217</v>
      </c>
      <c r="K638" s="41" t="s">
        <v>1961</v>
      </c>
      <c r="L638" s="52" t="s">
        <v>2030</v>
      </c>
      <c r="M638" s="69" t="s">
        <v>2031</v>
      </c>
      <c r="N638" s="69"/>
      <c r="O638" s="69">
        <v>1</v>
      </c>
      <c r="P638" s="69" t="s">
        <v>50</v>
      </c>
      <c r="Q638" s="69" t="s">
        <v>51</v>
      </c>
      <c r="R638" s="69"/>
      <c r="S638" s="48">
        <v>44558</v>
      </c>
      <c r="T638" s="48">
        <v>44558</v>
      </c>
      <c r="U638" s="69"/>
      <c r="V638" s="69"/>
      <c r="W638" s="69"/>
      <c r="X638" s="69"/>
      <c r="Y638" s="69" t="s">
        <v>4128</v>
      </c>
      <c r="Z638" s="52">
        <v>65091</v>
      </c>
      <c r="AA638" s="43" t="s">
        <v>52</v>
      </c>
      <c r="AB638" s="43" t="s">
        <v>53</v>
      </c>
      <c r="AC638" s="85">
        <v>3650</v>
      </c>
      <c r="AD638" s="141">
        <v>10</v>
      </c>
      <c r="AE638" s="142">
        <v>0</v>
      </c>
      <c r="AF638" s="69" t="str">
        <f t="shared" si="107"/>
        <v>3 years 5 days</v>
      </c>
      <c r="AG638" s="69">
        <v>3</v>
      </c>
      <c r="AH638" s="69">
        <v>5</v>
      </c>
      <c r="AI638" s="69">
        <v>65091</v>
      </c>
      <c r="AJ638" s="67">
        <v>19616</v>
      </c>
      <c r="AK638" s="69">
        <v>2025</v>
      </c>
      <c r="AL638" s="61">
        <v>3228.2660273972615</v>
      </c>
      <c r="AM638" s="143"/>
    </row>
    <row r="639" spans="1:39" x14ac:dyDescent="0.35">
      <c r="A639" s="69" t="s">
        <v>4124</v>
      </c>
      <c r="B639" s="41">
        <v>1151404766</v>
      </c>
      <c r="C639" s="41"/>
      <c r="D639" s="69"/>
      <c r="E639" s="41">
        <v>0</v>
      </c>
      <c r="F639" s="41" t="s">
        <v>1961</v>
      </c>
      <c r="G639" s="69" t="s">
        <v>1960</v>
      </c>
      <c r="H639" s="41">
        <v>9010000001</v>
      </c>
      <c r="I639" s="41" t="s">
        <v>261</v>
      </c>
      <c r="J639" s="41">
        <v>1202010217</v>
      </c>
      <c r="K639" s="41" t="s">
        <v>2065</v>
      </c>
      <c r="L639" s="52" t="s">
        <v>2066</v>
      </c>
      <c r="M639" s="69" t="s">
        <v>2067</v>
      </c>
      <c r="N639" s="69"/>
      <c r="O639" s="69">
        <v>3</v>
      </c>
      <c r="P639" s="69" t="s">
        <v>50</v>
      </c>
      <c r="Q639" s="69" t="s">
        <v>51</v>
      </c>
      <c r="R639" s="69"/>
      <c r="S639" s="48">
        <v>44635</v>
      </c>
      <c r="T639" s="48">
        <v>44635</v>
      </c>
      <c r="U639" s="69"/>
      <c r="V639" s="69"/>
      <c r="W639" s="69"/>
      <c r="X639" s="69"/>
      <c r="Y639" s="69" t="s">
        <v>4131</v>
      </c>
      <c r="Z639" s="52">
        <v>29769</v>
      </c>
      <c r="AA639" s="43" t="s">
        <v>52</v>
      </c>
      <c r="AB639" s="43" t="s">
        <v>53</v>
      </c>
      <c r="AC639" s="85">
        <v>1825</v>
      </c>
      <c r="AD639" s="141">
        <v>5</v>
      </c>
      <c r="AE639" s="142">
        <v>0</v>
      </c>
      <c r="AF639" s="69" t="str">
        <f t="shared" si="107"/>
        <v>2 years 293 days</v>
      </c>
      <c r="AG639" s="69">
        <v>2</v>
      </c>
      <c r="AH639" s="69">
        <v>293</v>
      </c>
      <c r="AI639" s="69">
        <v>29769</v>
      </c>
      <c r="AJ639" s="67">
        <v>16548</v>
      </c>
      <c r="AK639" s="69">
        <v>2025</v>
      </c>
      <c r="AL639" s="61">
        <v>2952.7339726027385</v>
      </c>
      <c r="AM639" s="143"/>
    </row>
    <row r="640" spans="1:39" x14ac:dyDescent="0.35">
      <c r="A640" s="69" t="s">
        <v>4124</v>
      </c>
      <c r="B640" s="41">
        <v>1101404476</v>
      </c>
      <c r="C640" s="41"/>
      <c r="D640" s="69"/>
      <c r="E640" s="41">
        <v>0</v>
      </c>
      <c r="F640" s="41" t="s">
        <v>1961</v>
      </c>
      <c r="G640" s="69" t="s">
        <v>1960</v>
      </c>
      <c r="H640" s="41">
        <v>9010000001</v>
      </c>
      <c r="I640" s="41" t="s">
        <v>261</v>
      </c>
      <c r="J640" s="41">
        <v>1202010217</v>
      </c>
      <c r="K640" s="41" t="s">
        <v>1961</v>
      </c>
      <c r="L640" s="52" t="s">
        <v>2033</v>
      </c>
      <c r="M640" s="69" t="s">
        <v>2034</v>
      </c>
      <c r="N640" s="69"/>
      <c r="O640" s="69">
        <v>3</v>
      </c>
      <c r="P640" s="69" t="s">
        <v>50</v>
      </c>
      <c r="Q640" s="69" t="s">
        <v>51</v>
      </c>
      <c r="R640" s="69"/>
      <c r="S640" s="48">
        <v>44896</v>
      </c>
      <c r="T640" s="48">
        <v>44896</v>
      </c>
      <c r="U640" s="69"/>
      <c r="V640" s="69"/>
      <c r="W640" s="69"/>
      <c r="X640" s="69"/>
      <c r="Y640" s="69" t="s">
        <v>4131</v>
      </c>
      <c r="Z640" s="52">
        <v>138239</v>
      </c>
      <c r="AA640" s="43" t="s">
        <v>52</v>
      </c>
      <c r="AB640" s="43" t="s">
        <v>53</v>
      </c>
      <c r="AC640" s="85">
        <v>3650</v>
      </c>
      <c r="AD640" s="141">
        <v>10</v>
      </c>
      <c r="AE640" s="142">
        <v>0</v>
      </c>
      <c r="AF640" s="69" t="str">
        <f t="shared" si="107"/>
        <v>2 years 32 days</v>
      </c>
      <c r="AG640" s="69">
        <v>2</v>
      </c>
      <c r="AH640" s="69">
        <v>32</v>
      </c>
      <c r="AI640" s="69">
        <v>138239</v>
      </c>
      <c r="AJ640" s="67">
        <v>28860</v>
      </c>
      <c r="AK640" s="69">
        <v>2025</v>
      </c>
      <c r="AL640" s="61">
        <v>6854.8978082191752</v>
      </c>
      <c r="AM640" s="143"/>
    </row>
    <row r="641" spans="1:39" x14ac:dyDescent="0.35">
      <c r="A641" s="69" t="s">
        <v>4124</v>
      </c>
      <c r="B641" s="41">
        <v>1151404645</v>
      </c>
      <c r="C641" s="41"/>
      <c r="D641" s="69"/>
      <c r="E641" s="41">
        <v>0</v>
      </c>
      <c r="F641" s="41" t="s">
        <v>1961</v>
      </c>
      <c r="G641" s="69" t="s">
        <v>1960</v>
      </c>
      <c r="H641" s="41">
        <v>9010000001</v>
      </c>
      <c r="I641" s="41" t="s">
        <v>261</v>
      </c>
      <c r="J641" s="41">
        <v>1202010217</v>
      </c>
      <c r="K641" s="41" t="s">
        <v>2036</v>
      </c>
      <c r="L641" s="52" t="s">
        <v>2037</v>
      </c>
      <c r="M641" s="69" t="s">
        <v>2038</v>
      </c>
      <c r="N641" s="69"/>
      <c r="O641" s="69">
        <v>44</v>
      </c>
      <c r="P641" s="69" t="s">
        <v>50</v>
      </c>
      <c r="Q641" s="69" t="s">
        <v>51</v>
      </c>
      <c r="R641" s="69"/>
      <c r="S641" s="48">
        <v>44986</v>
      </c>
      <c r="T641" s="48">
        <v>44986</v>
      </c>
      <c r="U641" s="69"/>
      <c r="V641" s="69"/>
      <c r="W641" s="69"/>
      <c r="X641" s="69"/>
      <c r="Y641" s="69" t="s">
        <v>4129</v>
      </c>
      <c r="Z641" s="52">
        <v>1572202.83</v>
      </c>
      <c r="AA641" s="43" t="s">
        <v>52</v>
      </c>
      <c r="AB641" s="43" t="s">
        <v>53</v>
      </c>
      <c r="AC641" s="85">
        <v>1825</v>
      </c>
      <c r="AD641" s="141">
        <v>5</v>
      </c>
      <c r="AE641" s="142">
        <v>0</v>
      </c>
      <c r="AF641" s="69" t="str">
        <f t="shared" si="107"/>
        <v>1 years 307 days</v>
      </c>
      <c r="AG641" s="69">
        <v>1</v>
      </c>
      <c r="AH641" s="69">
        <v>307</v>
      </c>
      <c r="AI641" s="69">
        <v>1572202.83</v>
      </c>
      <c r="AJ641" s="67">
        <v>578915</v>
      </c>
      <c r="AK641" s="69">
        <v>2025</v>
      </c>
      <c r="AL641" s="61">
        <v>155928.29822465766</v>
      </c>
      <c r="AM641" s="143"/>
    </row>
    <row r="642" spans="1:39" x14ac:dyDescent="0.35">
      <c r="A642" s="69" t="s">
        <v>4124</v>
      </c>
      <c r="B642" s="41">
        <v>1151404796</v>
      </c>
      <c r="C642" s="41"/>
      <c r="D642" s="69"/>
      <c r="E642" s="41">
        <v>0</v>
      </c>
      <c r="F642" s="41" t="s">
        <v>1961</v>
      </c>
      <c r="G642" s="69" t="s">
        <v>1960</v>
      </c>
      <c r="H642" s="41">
        <v>9010000001</v>
      </c>
      <c r="I642" s="41" t="s">
        <v>261</v>
      </c>
      <c r="J642" s="41">
        <v>1202010217</v>
      </c>
      <c r="K642" s="41" t="s">
        <v>2069</v>
      </c>
      <c r="L642" s="52" t="s">
        <v>2070</v>
      </c>
      <c r="M642" s="69" t="s">
        <v>2071</v>
      </c>
      <c r="N642" s="69"/>
      <c r="O642" s="69">
        <v>1</v>
      </c>
      <c r="P642" s="69" t="s">
        <v>50</v>
      </c>
      <c r="Q642" s="69" t="s">
        <v>51</v>
      </c>
      <c r="R642" s="69"/>
      <c r="S642" s="48">
        <v>45108</v>
      </c>
      <c r="T642" s="48">
        <v>45108</v>
      </c>
      <c r="U642" s="69"/>
      <c r="V642" s="69"/>
      <c r="W642" s="69"/>
      <c r="X642" s="69"/>
      <c r="Y642" s="69" t="s">
        <v>4129</v>
      </c>
      <c r="Z642" s="52">
        <v>109280</v>
      </c>
      <c r="AA642" s="43" t="s">
        <v>52</v>
      </c>
      <c r="AB642" s="43" t="s">
        <v>53</v>
      </c>
      <c r="AC642" s="85">
        <v>1825</v>
      </c>
      <c r="AD642" s="141">
        <v>5</v>
      </c>
      <c r="AE642" s="142">
        <v>0</v>
      </c>
      <c r="AF642" s="69" t="str">
        <f t="shared" si="107"/>
        <v>1 years 185 days</v>
      </c>
      <c r="AG642" s="69">
        <v>1</v>
      </c>
      <c r="AH642" s="69">
        <v>185</v>
      </c>
      <c r="AI642" s="69">
        <v>109280</v>
      </c>
      <c r="AJ642" s="67">
        <v>32934</v>
      </c>
      <c r="AK642" s="69">
        <v>2025</v>
      </c>
      <c r="AL642" s="61">
        <v>10837.879452054796</v>
      </c>
      <c r="AM642" s="143"/>
    </row>
    <row r="643" spans="1:39" x14ac:dyDescent="0.35">
      <c r="A643" s="69" t="s">
        <v>4124</v>
      </c>
      <c r="B643" s="41">
        <v>1151404827</v>
      </c>
      <c r="C643" s="41"/>
      <c r="D643" s="69"/>
      <c r="E643" s="41">
        <v>0</v>
      </c>
      <c r="F643" s="41" t="s">
        <v>1961</v>
      </c>
      <c r="G643" s="69" t="s">
        <v>1960</v>
      </c>
      <c r="H643" s="41">
        <v>9010000001</v>
      </c>
      <c r="I643" s="41" t="s">
        <v>261</v>
      </c>
      <c r="J643" s="41">
        <v>1202010217</v>
      </c>
      <c r="K643" s="41" t="s">
        <v>2073</v>
      </c>
      <c r="L643" s="52" t="s">
        <v>2074</v>
      </c>
      <c r="M643" s="69" t="s">
        <v>2075</v>
      </c>
      <c r="N643" s="69"/>
      <c r="O643" s="69">
        <v>16</v>
      </c>
      <c r="P643" s="69" t="s">
        <v>50</v>
      </c>
      <c r="Q643" s="69" t="s">
        <v>51</v>
      </c>
      <c r="R643" s="69"/>
      <c r="S643" s="48">
        <v>45129</v>
      </c>
      <c r="T643" s="48">
        <v>45129</v>
      </c>
      <c r="U643" s="69"/>
      <c r="V643" s="69"/>
      <c r="W643" s="69"/>
      <c r="X643" s="69"/>
      <c r="Y643" s="69" t="s">
        <v>4129</v>
      </c>
      <c r="Z643" s="52">
        <v>152533</v>
      </c>
      <c r="AA643" s="43" t="s">
        <v>52</v>
      </c>
      <c r="AB643" s="43" t="s">
        <v>53</v>
      </c>
      <c r="AC643" s="85">
        <v>1825</v>
      </c>
      <c r="AD643" s="141">
        <v>5</v>
      </c>
      <c r="AE643" s="142">
        <v>0</v>
      </c>
      <c r="AF643" s="69" t="str">
        <f t="shared" si="107"/>
        <v>1 years 164 days</v>
      </c>
      <c r="AG643" s="69">
        <v>1</v>
      </c>
      <c r="AH643" s="69">
        <v>164</v>
      </c>
      <c r="AI643" s="69">
        <v>152533</v>
      </c>
      <c r="AJ643" s="67">
        <v>44214</v>
      </c>
      <c r="AK643" s="69">
        <v>2025</v>
      </c>
      <c r="AL643" s="61">
        <v>15127.605479452046</v>
      </c>
      <c r="AM643" s="143"/>
    </row>
    <row r="644" spans="1:39" x14ac:dyDescent="0.35">
      <c r="A644" s="69" t="s">
        <v>4124</v>
      </c>
      <c r="B644" s="41">
        <v>1151404847</v>
      </c>
      <c r="C644" s="41"/>
      <c r="D644" s="69"/>
      <c r="E644" s="41">
        <v>0</v>
      </c>
      <c r="F644" s="41" t="s">
        <v>1961</v>
      </c>
      <c r="G644" s="69" t="s">
        <v>1960</v>
      </c>
      <c r="H644" s="41">
        <v>9010000001</v>
      </c>
      <c r="I644" s="41" t="s">
        <v>261</v>
      </c>
      <c r="J644" s="41">
        <v>1202010217</v>
      </c>
      <c r="K644" s="41"/>
      <c r="L644" s="52" t="s">
        <v>2077</v>
      </c>
      <c r="M644" s="69" t="s">
        <v>2078</v>
      </c>
      <c r="N644" s="69"/>
      <c r="O644" s="69">
        <v>3</v>
      </c>
      <c r="P644" s="69" t="s">
        <v>50</v>
      </c>
      <c r="Q644" s="69" t="s">
        <v>51</v>
      </c>
      <c r="R644" s="69"/>
      <c r="S644" s="48">
        <v>45145</v>
      </c>
      <c r="T644" s="48">
        <v>45145</v>
      </c>
      <c r="U644" s="69"/>
      <c r="V644" s="69"/>
      <c r="W644" s="69"/>
      <c r="X644" s="69"/>
      <c r="Y644" s="69" t="s">
        <v>4129</v>
      </c>
      <c r="Z644" s="52">
        <v>10039.5</v>
      </c>
      <c r="AA644" s="43" t="s">
        <v>52</v>
      </c>
      <c r="AB644" s="43" t="s">
        <v>53</v>
      </c>
      <c r="AC644" s="85">
        <v>1825</v>
      </c>
      <c r="AD644" s="141">
        <v>5</v>
      </c>
      <c r="AE644" s="142">
        <v>0</v>
      </c>
      <c r="AF644" s="69" t="str">
        <f t="shared" si="107"/>
        <v>1 years 148 days</v>
      </c>
      <c r="AG644" s="69">
        <v>1</v>
      </c>
      <c r="AH644" s="69">
        <v>148</v>
      </c>
      <c r="AI644" s="69">
        <v>10039.5</v>
      </c>
      <c r="AJ644" s="67">
        <v>2822</v>
      </c>
      <c r="AK644" s="69">
        <v>2025</v>
      </c>
      <c r="AL644" s="61">
        <v>995.76054794520542</v>
      </c>
      <c r="AM644" s="143"/>
    </row>
    <row r="645" spans="1:39" x14ac:dyDescent="0.35">
      <c r="A645" s="69" t="s">
        <v>4124</v>
      </c>
      <c r="B645" s="41">
        <v>1151404977</v>
      </c>
      <c r="C645" s="41"/>
      <c r="D645" s="69"/>
      <c r="E645" s="41">
        <v>0</v>
      </c>
      <c r="F645" s="41" t="s">
        <v>1961</v>
      </c>
      <c r="G645" s="69" t="s">
        <v>1960</v>
      </c>
      <c r="H645" s="41">
        <v>9010000001</v>
      </c>
      <c r="I645" s="41" t="s">
        <v>261</v>
      </c>
      <c r="J645" s="41">
        <v>1202010217</v>
      </c>
      <c r="K645" s="41"/>
      <c r="L645" s="52" t="s">
        <v>2080</v>
      </c>
      <c r="M645" s="69" t="s">
        <v>2081</v>
      </c>
      <c r="N645" s="69"/>
      <c r="O645" s="69">
        <v>103</v>
      </c>
      <c r="P645" s="69" t="s">
        <v>50</v>
      </c>
      <c r="Q645" s="69" t="s">
        <v>51</v>
      </c>
      <c r="R645" s="69"/>
      <c r="S645" s="48">
        <v>45231</v>
      </c>
      <c r="T645" s="48">
        <v>45231</v>
      </c>
      <c r="U645" s="69"/>
      <c r="V645" s="69"/>
      <c r="W645" s="69"/>
      <c r="X645" s="69"/>
      <c r="Y645" s="69" t="s">
        <v>4129</v>
      </c>
      <c r="Z645" s="52">
        <v>21776</v>
      </c>
      <c r="AA645" s="43" t="s">
        <v>52</v>
      </c>
      <c r="AB645" s="43" t="s">
        <v>53</v>
      </c>
      <c r="AC645" s="85">
        <v>1825</v>
      </c>
      <c r="AD645" s="141">
        <v>5</v>
      </c>
      <c r="AE645" s="142">
        <v>0</v>
      </c>
      <c r="AF645" s="69" t="str">
        <f t="shared" si="107"/>
        <v>1 years 62 days</v>
      </c>
      <c r="AG645" s="69">
        <v>1</v>
      </c>
      <c r="AH645" s="69">
        <v>62</v>
      </c>
      <c r="AI645" s="69">
        <v>21776</v>
      </c>
      <c r="AJ645" s="67">
        <v>5095</v>
      </c>
      <c r="AK645" s="69">
        <v>2025</v>
      </c>
      <c r="AL645" s="61">
        <v>2159.6893150684928</v>
      </c>
      <c r="AM645" s="143"/>
    </row>
    <row r="646" spans="1:39" x14ac:dyDescent="0.35">
      <c r="A646" s="69" t="s">
        <v>4124</v>
      </c>
      <c r="B646" s="41">
        <v>1151405029</v>
      </c>
      <c r="C646" s="41"/>
      <c r="D646" s="69"/>
      <c r="E646" s="41">
        <v>0</v>
      </c>
      <c r="F646" s="41" t="s">
        <v>1961</v>
      </c>
      <c r="G646" s="69" t="s">
        <v>1960</v>
      </c>
      <c r="H646" s="41">
        <v>9010000001</v>
      </c>
      <c r="I646" s="41" t="s">
        <v>261</v>
      </c>
      <c r="J646" s="41">
        <v>1202010217</v>
      </c>
      <c r="K646" s="41"/>
      <c r="L646" s="52" t="s">
        <v>2083</v>
      </c>
      <c r="M646" s="69" t="s">
        <v>2084</v>
      </c>
      <c r="N646" s="69"/>
      <c r="O646" s="69">
        <v>1</v>
      </c>
      <c r="P646" s="69" t="s">
        <v>50</v>
      </c>
      <c r="Q646" s="69" t="s">
        <v>51</v>
      </c>
      <c r="R646" s="69"/>
      <c r="S646" s="48">
        <v>45271</v>
      </c>
      <c r="T646" s="48">
        <v>45271</v>
      </c>
      <c r="U646" s="69"/>
      <c r="V646" s="69"/>
      <c r="W646" s="69"/>
      <c r="X646" s="69"/>
      <c r="Y646" s="69" t="s">
        <v>4129</v>
      </c>
      <c r="Z646" s="52">
        <v>67915.5</v>
      </c>
      <c r="AA646" s="43" t="s">
        <v>52</v>
      </c>
      <c r="AB646" s="43" t="s">
        <v>53</v>
      </c>
      <c r="AC646" s="85">
        <v>1825</v>
      </c>
      <c r="AD646" s="141">
        <v>5</v>
      </c>
      <c r="AE646" s="142">
        <v>0</v>
      </c>
      <c r="AF646" s="69" t="str">
        <f t="shared" si="107"/>
        <v>1 years 22 days</v>
      </c>
      <c r="AG646" s="69">
        <v>1</v>
      </c>
      <c r="AH646" s="69">
        <v>22</v>
      </c>
      <c r="AI646" s="69">
        <v>67915.5</v>
      </c>
      <c r="AJ646" s="67">
        <v>14402</v>
      </c>
      <c r="AK646" s="69">
        <v>2025</v>
      </c>
      <c r="AL646" s="61">
        <v>6735.5364383561682</v>
      </c>
      <c r="AM646" s="143"/>
    </row>
    <row r="647" spans="1:39" x14ac:dyDescent="0.35">
      <c r="A647" s="69" t="s">
        <v>4124</v>
      </c>
      <c r="B647" s="41">
        <v>1151405107</v>
      </c>
      <c r="C647" s="41"/>
      <c r="D647" s="69"/>
      <c r="E647" s="41">
        <v>0</v>
      </c>
      <c r="F647" s="41" t="s">
        <v>1961</v>
      </c>
      <c r="G647" s="69" t="s">
        <v>1960</v>
      </c>
      <c r="H647" s="41">
        <v>9010000001</v>
      </c>
      <c r="I647" s="41" t="s">
        <v>261</v>
      </c>
      <c r="J647" s="41">
        <v>1202010217</v>
      </c>
      <c r="K647" s="41" t="s">
        <v>2086</v>
      </c>
      <c r="L647" s="52" t="s">
        <v>2087</v>
      </c>
      <c r="M647" s="69" t="s">
        <v>2088</v>
      </c>
      <c r="N647" s="69"/>
      <c r="O647" s="69">
        <v>26</v>
      </c>
      <c r="P647" s="69" t="s">
        <v>50</v>
      </c>
      <c r="Q647" s="69" t="s">
        <v>51</v>
      </c>
      <c r="R647" s="69"/>
      <c r="S647" s="48">
        <v>45356</v>
      </c>
      <c r="T647" s="48">
        <v>45356</v>
      </c>
      <c r="U647" s="69"/>
      <c r="V647" s="69"/>
      <c r="W647" s="69"/>
      <c r="X647" s="69"/>
      <c r="Y647" s="69" t="s">
        <v>4130</v>
      </c>
      <c r="Z647" s="52">
        <v>26015.4</v>
      </c>
      <c r="AA647" s="43" t="s">
        <v>52</v>
      </c>
      <c r="AB647" s="43" t="s">
        <v>53</v>
      </c>
      <c r="AC647" s="85">
        <v>1825</v>
      </c>
      <c r="AD647" s="141">
        <v>5</v>
      </c>
      <c r="AE647" s="142">
        <v>0</v>
      </c>
      <c r="AF647" s="69" t="str">
        <f t="shared" si="107"/>
        <v>0 years 302 days</v>
      </c>
      <c r="AG647" s="69">
        <v>0</v>
      </c>
      <c r="AH647" s="69">
        <v>302</v>
      </c>
      <c r="AI647" s="69">
        <v>26015.4</v>
      </c>
      <c r="AJ647" s="67">
        <v>4305</v>
      </c>
      <c r="AK647" s="69">
        <v>2025</v>
      </c>
      <c r="AL647" s="61">
        <v>2580.1716164383561</v>
      </c>
      <c r="AM647" s="143"/>
    </row>
    <row r="648" spans="1:39" x14ac:dyDescent="0.35">
      <c r="A648" s="69" t="s">
        <v>4124</v>
      </c>
      <c r="B648" s="41">
        <v>1151405143</v>
      </c>
      <c r="C648" s="41"/>
      <c r="D648" s="69"/>
      <c r="E648" s="41">
        <v>0</v>
      </c>
      <c r="F648" s="41" t="s">
        <v>1961</v>
      </c>
      <c r="G648" s="69" t="s">
        <v>1960</v>
      </c>
      <c r="H648" s="41">
        <v>9010000001</v>
      </c>
      <c r="I648" s="41" t="s">
        <v>261</v>
      </c>
      <c r="J648" s="41">
        <v>1202010217</v>
      </c>
      <c r="K648" s="41" t="s">
        <v>2090</v>
      </c>
      <c r="L648" s="52" t="s">
        <v>2091</v>
      </c>
      <c r="M648" s="69" t="s">
        <v>2092</v>
      </c>
      <c r="N648" s="69"/>
      <c r="O648" s="69">
        <v>4</v>
      </c>
      <c r="P648" s="69" t="s">
        <v>50</v>
      </c>
      <c r="Q648" s="69" t="s">
        <v>51</v>
      </c>
      <c r="R648" s="69"/>
      <c r="S648" s="48">
        <v>45382</v>
      </c>
      <c r="T648" s="48">
        <v>45382</v>
      </c>
      <c r="U648" s="69"/>
      <c r="V648" s="69"/>
      <c r="W648" s="69"/>
      <c r="X648" s="69"/>
      <c r="Y648" s="69" t="s">
        <v>4130</v>
      </c>
      <c r="Z648" s="52">
        <v>22116</v>
      </c>
      <c r="AA648" s="43" t="s">
        <v>52</v>
      </c>
      <c r="AB648" s="43" t="s">
        <v>53</v>
      </c>
      <c r="AC648" s="85">
        <v>1825</v>
      </c>
      <c r="AD648" s="141">
        <v>5</v>
      </c>
      <c r="AE648" s="142">
        <v>0</v>
      </c>
      <c r="AF648" s="69" t="str">
        <f t="shared" si="107"/>
        <v>0 years 276 days</v>
      </c>
      <c r="AG648" s="69">
        <v>0</v>
      </c>
      <c r="AH648" s="69">
        <v>276</v>
      </c>
      <c r="AI648" s="69">
        <v>22116</v>
      </c>
      <c r="AJ648" s="67">
        <v>3357</v>
      </c>
      <c r="AK648" s="69">
        <v>2025</v>
      </c>
      <c r="AL648" s="61">
        <v>2193.2071232876715</v>
      </c>
      <c r="AM648" s="143"/>
    </row>
    <row r="649" spans="1:39" x14ac:dyDescent="0.35">
      <c r="A649" s="69" t="s">
        <v>4124</v>
      </c>
      <c r="B649" s="41">
        <v>1151400030</v>
      </c>
      <c r="C649" s="41"/>
      <c r="D649" s="69"/>
      <c r="E649" s="41">
        <v>0</v>
      </c>
      <c r="F649" s="41" t="s">
        <v>1961</v>
      </c>
      <c r="G649" s="69" t="s">
        <v>1960</v>
      </c>
      <c r="H649" s="41">
        <v>9010000002</v>
      </c>
      <c r="I649" s="41" t="s">
        <v>47</v>
      </c>
      <c r="J649" s="41">
        <v>1202010202</v>
      </c>
      <c r="K649" s="41"/>
      <c r="L649" s="52" t="s">
        <v>2094</v>
      </c>
      <c r="M649" s="69" t="s">
        <v>49</v>
      </c>
      <c r="N649" s="69"/>
      <c r="O649" s="69">
        <v>1</v>
      </c>
      <c r="P649" s="69" t="s">
        <v>50</v>
      </c>
      <c r="Q649" s="69" t="s">
        <v>51</v>
      </c>
      <c r="R649" s="69"/>
      <c r="S649" s="48">
        <v>37518</v>
      </c>
      <c r="T649" s="48">
        <v>43340</v>
      </c>
      <c r="U649" s="69"/>
      <c r="V649" s="69"/>
      <c r="W649" s="69"/>
      <c r="X649" s="69"/>
      <c r="Y649" s="69" t="s">
        <v>4125</v>
      </c>
      <c r="Z649" s="52">
        <v>700</v>
      </c>
      <c r="AA649" s="43" t="s">
        <v>52</v>
      </c>
      <c r="AB649" s="43" t="s">
        <v>53</v>
      </c>
      <c r="AC649" s="85">
        <v>183</v>
      </c>
      <c r="AD649" s="141">
        <v>0</v>
      </c>
      <c r="AE649" s="142">
        <v>6</v>
      </c>
      <c r="AF649" s="69" t="str">
        <f t="shared" si="107"/>
        <v>0 years 183 days</v>
      </c>
      <c r="AG649" s="69">
        <v>0</v>
      </c>
      <c r="AH649" s="69">
        <v>183</v>
      </c>
      <c r="AI649" s="69">
        <v>700</v>
      </c>
      <c r="AJ649" s="67">
        <v>700</v>
      </c>
      <c r="AK649" s="69">
        <v>2025</v>
      </c>
      <c r="AL649" s="61">
        <v>0</v>
      </c>
      <c r="AM649" s="143"/>
    </row>
    <row r="650" spans="1:39" x14ac:dyDescent="0.35">
      <c r="A650" s="69" t="s">
        <v>4124</v>
      </c>
      <c r="B650" s="41">
        <v>1151400747</v>
      </c>
      <c r="C650" s="41"/>
      <c r="D650" s="69"/>
      <c r="E650" s="41">
        <v>0</v>
      </c>
      <c r="F650" s="41" t="s">
        <v>1961</v>
      </c>
      <c r="G650" s="69" t="s">
        <v>1960</v>
      </c>
      <c r="H650" s="41">
        <v>9010000003</v>
      </c>
      <c r="I650" s="41" t="s">
        <v>47</v>
      </c>
      <c r="J650" s="41">
        <v>1202010202</v>
      </c>
      <c r="K650" s="41"/>
      <c r="L650" s="52" t="s">
        <v>2096</v>
      </c>
      <c r="M650" s="69" t="s">
        <v>2097</v>
      </c>
      <c r="N650" s="69"/>
      <c r="O650" s="69">
        <v>1</v>
      </c>
      <c r="P650" s="69" t="s">
        <v>50</v>
      </c>
      <c r="Q650" s="69" t="s">
        <v>51</v>
      </c>
      <c r="R650" s="69"/>
      <c r="S650" s="48">
        <v>41099</v>
      </c>
      <c r="T650" s="48">
        <v>43340</v>
      </c>
      <c r="U650" s="69"/>
      <c r="V650" s="69"/>
      <c r="W650" s="69"/>
      <c r="X650" s="69"/>
      <c r="Y650" s="69" t="s">
        <v>4125</v>
      </c>
      <c r="Z650" s="52">
        <v>5750</v>
      </c>
      <c r="AA650" s="43" t="s">
        <v>52</v>
      </c>
      <c r="AB650" s="43" t="s">
        <v>53</v>
      </c>
      <c r="AC650" s="85">
        <v>183</v>
      </c>
      <c r="AD650" s="141">
        <v>0</v>
      </c>
      <c r="AE650" s="142">
        <v>6</v>
      </c>
      <c r="AF650" s="69" t="str">
        <f t="shared" si="107"/>
        <v>0 years 183 days</v>
      </c>
      <c r="AG650" s="69">
        <v>0</v>
      </c>
      <c r="AH650" s="69">
        <v>183</v>
      </c>
      <c r="AI650" s="69">
        <v>5750</v>
      </c>
      <c r="AJ650" s="67">
        <v>5750</v>
      </c>
      <c r="AK650" s="69">
        <v>2025</v>
      </c>
      <c r="AL650" s="61">
        <v>0</v>
      </c>
      <c r="AM650" s="143"/>
    </row>
    <row r="651" spans="1:39" x14ac:dyDescent="0.35">
      <c r="A651" s="69" t="s">
        <v>4124</v>
      </c>
      <c r="B651" s="41">
        <v>1151400750</v>
      </c>
      <c r="C651" s="41"/>
      <c r="D651" s="69"/>
      <c r="E651" s="41">
        <v>0</v>
      </c>
      <c r="F651" s="41" t="s">
        <v>1961</v>
      </c>
      <c r="G651" s="69" t="s">
        <v>1960</v>
      </c>
      <c r="H651" s="41">
        <v>9010000004</v>
      </c>
      <c r="I651" s="41" t="s">
        <v>47</v>
      </c>
      <c r="J651" s="41">
        <v>1202010202</v>
      </c>
      <c r="K651" s="41"/>
      <c r="L651" s="52" t="s">
        <v>2099</v>
      </c>
      <c r="M651" s="69" t="s">
        <v>2100</v>
      </c>
      <c r="N651" s="69"/>
      <c r="O651" s="69">
        <v>1</v>
      </c>
      <c r="P651" s="69" t="s">
        <v>50</v>
      </c>
      <c r="Q651" s="69" t="s">
        <v>51</v>
      </c>
      <c r="R651" s="69"/>
      <c r="S651" s="48">
        <v>41102</v>
      </c>
      <c r="T651" s="48">
        <v>43340</v>
      </c>
      <c r="U651" s="69"/>
      <c r="V651" s="69"/>
      <c r="W651" s="69"/>
      <c r="X651" s="69"/>
      <c r="Y651" s="69" t="s">
        <v>4125</v>
      </c>
      <c r="Z651" s="52">
        <v>9500</v>
      </c>
      <c r="AA651" s="43" t="s">
        <v>52</v>
      </c>
      <c r="AB651" s="43" t="s">
        <v>53</v>
      </c>
      <c r="AC651" s="85">
        <v>183</v>
      </c>
      <c r="AD651" s="141">
        <v>0</v>
      </c>
      <c r="AE651" s="142">
        <v>6</v>
      </c>
      <c r="AF651" s="69" t="str">
        <f t="shared" si="107"/>
        <v>0 years 183 days</v>
      </c>
      <c r="AG651" s="69">
        <v>0</v>
      </c>
      <c r="AH651" s="69">
        <v>183</v>
      </c>
      <c r="AI651" s="69">
        <v>9500</v>
      </c>
      <c r="AJ651" s="67">
        <v>9500</v>
      </c>
      <c r="AK651" s="69">
        <v>2025</v>
      </c>
      <c r="AL651" s="61">
        <v>0</v>
      </c>
      <c r="AM651" s="143"/>
    </row>
    <row r="652" spans="1:39" x14ac:dyDescent="0.35">
      <c r="A652" s="69" t="s">
        <v>4124</v>
      </c>
      <c r="B652" s="41">
        <v>1151400710</v>
      </c>
      <c r="C652" s="41"/>
      <c r="D652" s="69"/>
      <c r="E652" s="41">
        <v>0</v>
      </c>
      <c r="F652" s="41" t="s">
        <v>1961</v>
      </c>
      <c r="G652" s="69" t="s">
        <v>1960</v>
      </c>
      <c r="H652" s="41">
        <v>9010000005</v>
      </c>
      <c r="I652" s="41" t="s">
        <v>47</v>
      </c>
      <c r="J652" s="41">
        <v>1202010202</v>
      </c>
      <c r="K652" s="41"/>
      <c r="L652" s="52" t="s">
        <v>2102</v>
      </c>
      <c r="M652" s="69" t="s">
        <v>2103</v>
      </c>
      <c r="N652" s="69"/>
      <c r="O652" s="69">
        <v>1</v>
      </c>
      <c r="P652" s="69" t="s">
        <v>50</v>
      </c>
      <c r="Q652" s="69" t="s">
        <v>51</v>
      </c>
      <c r="R652" s="69"/>
      <c r="S652" s="48">
        <v>40993</v>
      </c>
      <c r="T652" s="48">
        <v>43340</v>
      </c>
      <c r="U652" s="69"/>
      <c r="V652" s="69"/>
      <c r="W652" s="69"/>
      <c r="X652" s="69"/>
      <c r="Y652" s="69" t="s">
        <v>4125</v>
      </c>
      <c r="Z652" s="52">
        <v>5000</v>
      </c>
      <c r="AA652" s="43" t="s">
        <v>52</v>
      </c>
      <c r="AB652" s="43" t="s">
        <v>53</v>
      </c>
      <c r="AC652" s="85">
        <v>584</v>
      </c>
      <c r="AD652" s="141">
        <v>1</v>
      </c>
      <c r="AE652" s="142">
        <v>7</v>
      </c>
      <c r="AF652" s="69" t="str">
        <f t="shared" si="107"/>
        <v>1 years 219 days</v>
      </c>
      <c r="AG652" s="69">
        <v>1</v>
      </c>
      <c r="AH652" s="69">
        <v>219</v>
      </c>
      <c r="AI652" s="69">
        <v>5000</v>
      </c>
      <c r="AJ652" s="67">
        <v>5000</v>
      </c>
      <c r="AK652" s="69">
        <v>2025</v>
      </c>
      <c r="AL652" s="61">
        <v>0</v>
      </c>
      <c r="AM652" s="143"/>
    </row>
    <row r="653" spans="1:39" x14ac:dyDescent="0.35">
      <c r="A653" s="69" t="s">
        <v>4124</v>
      </c>
      <c r="B653" s="41">
        <v>1151401005</v>
      </c>
      <c r="C653" s="41"/>
      <c r="D653" s="69"/>
      <c r="E653" s="41">
        <v>0</v>
      </c>
      <c r="F653" s="41" t="s">
        <v>1961</v>
      </c>
      <c r="G653" s="69" t="s">
        <v>1960</v>
      </c>
      <c r="H653" s="41">
        <v>9010000006</v>
      </c>
      <c r="I653" s="41" t="s">
        <v>47</v>
      </c>
      <c r="J653" s="41">
        <v>1202010202</v>
      </c>
      <c r="K653" s="41"/>
      <c r="L653" s="52" t="s">
        <v>2105</v>
      </c>
      <c r="M653" s="69" t="s">
        <v>2106</v>
      </c>
      <c r="N653" s="69"/>
      <c r="O653" s="69">
        <v>1</v>
      </c>
      <c r="P653" s="69" t="s">
        <v>50</v>
      </c>
      <c r="Q653" s="69" t="s">
        <v>51</v>
      </c>
      <c r="R653" s="69"/>
      <c r="S653" s="48">
        <v>41391</v>
      </c>
      <c r="T653" s="48">
        <v>43340</v>
      </c>
      <c r="U653" s="69"/>
      <c r="V653" s="69"/>
      <c r="W653" s="69"/>
      <c r="X653" s="69"/>
      <c r="Y653" s="69" t="s">
        <v>4125</v>
      </c>
      <c r="Z653" s="52">
        <v>21000</v>
      </c>
      <c r="AA653" s="43" t="s">
        <v>52</v>
      </c>
      <c r="AB653" s="43" t="s">
        <v>53</v>
      </c>
      <c r="AC653" s="85">
        <v>183</v>
      </c>
      <c r="AD653" s="141">
        <v>0</v>
      </c>
      <c r="AE653" s="142">
        <v>6</v>
      </c>
      <c r="AF653" s="69" t="str">
        <f t="shared" si="107"/>
        <v>0 years 183 days</v>
      </c>
      <c r="AG653" s="69">
        <v>0</v>
      </c>
      <c r="AH653" s="69">
        <v>183</v>
      </c>
      <c r="AI653" s="69">
        <v>21000</v>
      </c>
      <c r="AJ653" s="67">
        <v>21000</v>
      </c>
      <c r="AK653" s="69">
        <v>2025</v>
      </c>
      <c r="AL653" s="61">
        <v>0</v>
      </c>
      <c r="AM653" s="143"/>
    </row>
    <row r="654" spans="1:39" x14ac:dyDescent="0.35">
      <c r="A654" s="69" t="s">
        <v>4124</v>
      </c>
      <c r="B654" s="41">
        <v>1151401130</v>
      </c>
      <c r="C654" s="41"/>
      <c r="D654" s="69"/>
      <c r="E654" s="41">
        <v>0</v>
      </c>
      <c r="F654" s="41" t="s">
        <v>1961</v>
      </c>
      <c r="G654" s="69" t="s">
        <v>1960</v>
      </c>
      <c r="H654" s="41">
        <v>9010000007</v>
      </c>
      <c r="I654" s="41" t="s">
        <v>47</v>
      </c>
      <c r="J654" s="41">
        <v>1202010202</v>
      </c>
      <c r="K654" s="41"/>
      <c r="L654" s="52" t="s">
        <v>2108</v>
      </c>
      <c r="M654" s="69" t="s">
        <v>49</v>
      </c>
      <c r="N654" s="69"/>
      <c r="O654" s="69">
        <v>1</v>
      </c>
      <c r="P654" s="69" t="s">
        <v>50</v>
      </c>
      <c r="Q654" s="69" t="s">
        <v>51</v>
      </c>
      <c r="R654" s="69"/>
      <c r="S654" s="48">
        <v>41474</v>
      </c>
      <c r="T654" s="48">
        <v>43340</v>
      </c>
      <c r="U654" s="69"/>
      <c r="V654" s="69"/>
      <c r="W654" s="69"/>
      <c r="X654" s="69"/>
      <c r="Y654" s="69" t="s">
        <v>4125</v>
      </c>
      <c r="Z654" s="52">
        <v>1700</v>
      </c>
      <c r="AA654" s="43" t="s">
        <v>52</v>
      </c>
      <c r="AB654" s="43" t="s">
        <v>53</v>
      </c>
      <c r="AC654" s="85">
        <v>183</v>
      </c>
      <c r="AD654" s="141">
        <v>0</v>
      </c>
      <c r="AE654" s="142">
        <v>6</v>
      </c>
      <c r="AF654" s="69" t="str">
        <f t="shared" si="107"/>
        <v>0 years 183 days</v>
      </c>
      <c r="AG654" s="69">
        <v>0</v>
      </c>
      <c r="AH654" s="69">
        <v>183</v>
      </c>
      <c r="AI654" s="69">
        <v>1700</v>
      </c>
      <c r="AJ654" s="67">
        <v>1700</v>
      </c>
      <c r="AK654" s="69">
        <v>2025</v>
      </c>
      <c r="AL654" s="61">
        <v>0</v>
      </c>
      <c r="AM654" s="143"/>
    </row>
    <row r="655" spans="1:39" x14ac:dyDescent="0.35">
      <c r="A655" s="69" t="s">
        <v>4124</v>
      </c>
      <c r="B655" s="41">
        <v>1151401259</v>
      </c>
      <c r="C655" s="41"/>
      <c r="D655" s="69"/>
      <c r="E655" s="41">
        <v>0</v>
      </c>
      <c r="F655" s="41" t="s">
        <v>1961</v>
      </c>
      <c r="G655" s="69" t="s">
        <v>1960</v>
      </c>
      <c r="H655" s="41">
        <v>9010000008</v>
      </c>
      <c r="I655" s="41" t="s">
        <v>47</v>
      </c>
      <c r="J655" s="41">
        <v>1202010202</v>
      </c>
      <c r="K655" s="41"/>
      <c r="L655" s="52" t="s">
        <v>2110</v>
      </c>
      <c r="M655" s="69" t="s">
        <v>49</v>
      </c>
      <c r="N655" s="69"/>
      <c r="O655" s="69">
        <v>1</v>
      </c>
      <c r="P655" s="69" t="s">
        <v>50</v>
      </c>
      <c r="Q655" s="69" t="s">
        <v>51</v>
      </c>
      <c r="R655" s="69"/>
      <c r="S655" s="48">
        <v>41599</v>
      </c>
      <c r="T655" s="48">
        <v>43340</v>
      </c>
      <c r="U655" s="69"/>
      <c r="V655" s="69"/>
      <c r="W655" s="69"/>
      <c r="X655" s="69"/>
      <c r="Y655" s="69" t="s">
        <v>4125</v>
      </c>
      <c r="Z655" s="52">
        <v>2000</v>
      </c>
      <c r="AA655" s="43" t="s">
        <v>52</v>
      </c>
      <c r="AB655" s="43" t="s">
        <v>53</v>
      </c>
      <c r="AC655" s="85">
        <v>183</v>
      </c>
      <c r="AD655" s="141">
        <v>0</v>
      </c>
      <c r="AE655" s="142">
        <v>6</v>
      </c>
      <c r="AF655" s="69" t="str">
        <f t="shared" si="107"/>
        <v>0 years 183 days</v>
      </c>
      <c r="AG655" s="69">
        <v>0</v>
      </c>
      <c r="AH655" s="69">
        <v>183</v>
      </c>
      <c r="AI655" s="69">
        <v>2000</v>
      </c>
      <c r="AJ655" s="67">
        <v>2000</v>
      </c>
      <c r="AK655" s="69">
        <v>2025</v>
      </c>
      <c r="AL655" s="61">
        <v>0</v>
      </c>
      <c r="AM655" s="143"/>
    </row>
    <row r="656" spans="1:39" x14ac:dyDescent="0.35">
      <c r="A656" s="69" t="s">
        <v>4124</v>
      </c>
      <c r="B656" s="41">
        <v>1151401311</v>
      </c>
      <c r="C656" s="41"/>
      <c r="D656" s="69"/>
      <c r="E656" s="41">
        <v>0</v>
      </c>
      <c r="F656" s="41" t="s">
        <v>1961</v>
      </c>
      <c r="G656" s="69" t="s">
        <v>1960</v>
      </c>
      <c r="H656" s="41">
        <v>9010000009</v>
      </c>
      <c r="I656" s="41" t="s">
        <v>47</v>
      </c>
      <c r="J656" s="41">
        <v>1202010202</v>
      </c>
      <c r="K656" s="41"/>
      <c r="L656" s="52" t="s">
        <v>2112</v>
      </c>
      <c r="M656" s="69" t="s">
        <v>49</v>
      </c>
      <c r="N656" s="69"/>
      <c r="O656" s="69">
        <v>1</v>
      </c>
      <c r="P656" s="69" t="s">
        <v>50</v>
      </c>
      <c r="Q656" s="69" t="s">
        <v>51</v>
      </c>
      <c r="R656" s="69"/>
      <c r="S656" s="48">
        <v>41642</v>
      </c>
      <c r="T656" s="48">
        <v>43340</v>
      </c>
      <c r="U656" s="69"/>
      <c r="V656" s="69"/>
      <c r="W656" s="69"/>
      <c r="X656" s="69"/>
      <c r="Y656" s="69" t="s">
        <v>4125</v>
      </c>
      <c r="Z656" s="52">
        <v>2400</v>
      </c>
      <c r="AA656" s="43" t="s">
        <v>52</v>
      </c>
      <c r="AB656" s="43" t="s">
        <v>53</v>
      </c>
      <c r="AC656" s="85">
        <v>183</v>
      </c>
      <c r="AD656" s="141">
        <v>0</v>
      </c>
      <c r="AE656" s="142">
        <v>6</v>
      </c>
      <c r="AF656" s="69" t="str">
        <f t="shared" si="107"/>
        <v>0 years 183 days</v>
      </c>
      <c r="AG656" s="69">
        <v>0</v>
      </c>
      <c r="AH656" s="69">
        <v>183</v>
      </c>
      <c r="AI656" s="69">
        <v>2400</v>
      </c>
      <c r="AJ656" s="67">
        <v>2400</v>
      </c>
      <c r="AK656" s="69">
        <v>2025</v>
      </c>
      <c r="AL656" s="61">
        <v>0</v>
      </c>
      <c r="AM656" s="143"/>
    </row>
    <row r="657" spans="1:39" x14ac:dyDescent="0.35">
      <c r="A657" s="69" t="s">
        <v>4124</v>
      </c>
      <c r="B657" s="41">
        <v>1151401444</v>
      </c>
      <c r="C657" s="41"/>
      <c r="D657" s="69"/>
      <c r="E657" s="41">
        <v>0</v>
      </c>
      <c r="F657" s="41" t="s">
        <v>1961</v>
      </c>
      <c r="G657" s="69" t="s">
        <v>1960</v>
      </c>
      <c r="H657" s="41">
        <v>9010000010</v>
      </c>
      <c r="I657" s="41" t="s">
        <v>47</v>
      </c>
      <c r="J657" s="41">
        <v>1202010202</v>
      </c>
      <c r="K657" s="41"/>
      <c r="L657" s="52" t="s">
        <v>2114</v>
      </c>
      <c r="M657" s="69" t="s">
        <v>49</v>
      </c>
      <c r="N657" s="69"/>
      <c r="O657" s="69">
        <v>1</v>
      </c>
      <c r="P657" s="69" t="s">
        <v>50</v>
      </c>
      <c r="Q657" s="69" t="s">
        <v>51</v>
      </c>
      <c r="R657" s="69"/>
      <c r="S657" s="48">
        <v>41820</v>
      </c>
      <c r="T657" s="48">
        <v>43340</v>
      </c>
      <c r="U657" s="69"/>
      <c r="V657" s="69"/>
      <c r="W657" s="69"/>
      <c r="X657" s="69"/>
      <c r="Y657" s="69" t="s">
        <v>4125</v>
      </c>
      <c r="Z657" s="52">
        <v>950</v>
      </c>
      <c r="AA657" s="43" t="s">
        <v>52</v>
      </c>
      <c r="AB657" s="43" t="s">
        <v>53</v>
      </c>
      <c r="AC657" s="85">
        <v>292</v>
      </c>
      <c r="AD657" s="141">
        <v>0</v>
      </c>
      <c r="AE657" s="142">
        <v>10</v>
      </c>
      <c r="AF657" s="69" t="str">
        <f t="shared" si="107"/>
        <v>0 years 292 days</v>
      </c>
      <c r="AG657" s="69">
        <v>0</v>
      </c>
      <c r="AH657" s="69">
        <v>292</v>
      </c>
      <c r="AI657" s="69">
        <v>950</v>
      </c>
      <c r="AJ657" s="67">
        <v>950</v>
      </c>
      <c r="AK657" s="69">
        <v>2025</v>
      </c>
      <c r="AL657" s="61">
        <v>0</v>
      </c>
      <c r="AM657" s="143"/>
    </row>
    <row r="658" spans="1:39" x14ac:dyDescent="0.35">
      <c r="A658" s="69" t="s">
        <v>4124</v>
      </c>
      <c r="B658" s="41">
        <v>1151401445</v>
      </c>
      <c r="C658" s="41"/>
      <c r="D658" s="69"/>
      <c r="E658" s="41">
        <v>0</v>
      </c>
      <c r="F658" s="41" t="s">
        <v>1961</v>
      </c>
      <c r="G658" s="69" t="s">
        <v>1960</v>
      </c>
      <c r="H658" s="41">
        <v>9010000011</v>
      </c>
      <c r="I658" s="41" t="s">
        <v>47</v>
      </c>
      <c r="J658" s="41">
        <v>1202010202</v>
      </c>
      <c r="K658" s="41"/>
      <c r="L658" s="52" t="s">
        <v>2116</v>
      </c>
      <c r="M658" s="69" t="s">
        <v>49</v>
      </c>
      <c r="N658" s="69"/>
      <c r="O658" s="69">
        <v>1</v>
      </c>
      <c r="P658" s="69" t="s">
        <v>50</v>
      </c>
      <c r="Q658" s="69" t="s">
        <v>51</v>
      </c>
      <c r="R658" s="69"/>
      <c r="S658" s="48">
        <v>41820</v>
      </c>
      <c r="T658" s="48">
        <v>43340</v>
      </c>
      <c r="U658" s="69"/>
      <c r="V658" s="69"/>
      <c r="W658" s="69"/>
      <c r="X658" s="69"/>
      <c r="Y658" s="69" t="s">
        <v>4125</v>
      </c>
      <c r="Z658" s="52">
        <v>19000</v>
      </c>
      <c r="AA658" s="43" t="s">
        <v>52</v>
      </c>
      <c r="AB658" s="43" t="s">
        <v>53</v>
      </c>
      <c r="AC658" s="85">
        <v>3942</v>
      </c>
      <c r="AD658" s="141">
        <v>10</v>
      </c>
      <c r="AE658" s="142">
        <v>10</v>
      </c>
      <c r="AF658" s="69" t="str">
        <f t="shared" si="107"/>
        <v>6 years 128 days</v>
      </c>
      <c r="AG658" s="69">
        <v>6</v>
      </c>
      <c r="AH658" s="69">
        <v>128</v>
      </c>
      <c r="AI658" s="69">
        <v>19000</v>
      </c>
      <c r="AJ658" s="67">
        <v>11168</v>
      </c>
      <c r="AK658" s="69">
        <v>2025</v>
      </c>
      <c r="AL658" s="61">
        <v>872.08117706747908</v>
      </c>
      <c r="AM658" s="143"/>
    </row>
    <row r="659" spans="1:39" x14ac:dyDescent="0.35">
      <c r="A659" s="69" t="s">
        <v>4124</v>
      </c>
      <c r="B659" s="41">
        <v>1151401576</v>
      </c>
      <c r="C659" s="41"/>
      <c r="D659" s="69"/>
      <c r="E659" s="41">
        <v>0</v>
      </c>
      <c r="F659" s="41" t="s">
        <v>1961</v>
      </c>
      <c r="G659" s="69" t="s">
        <v>1960</v>
      </c>
      <c r="H659" s="41">
        <v>9010000012</v>
      </c>
      <c r="I659" s="41" t="s">
        <v>47</v>
      </c>
      <c r="J659" s="41">
        <v>1202010202</v>
      </c>
      <c r="K659" s="41"/>
      <c r="L659" s="52" t="s">
        <v>2118</v>
      </c>
      <c r="M659" s="69" t="s">
        <v>49</v>
      </c>
      <c r="N659" s="69"/>
      <c r="O659" s="69">
        <v>1</v>
      </c>
      <c r="P659" s="69" t="s">
        <v>50</v>
      </c>
      <c r="Q659" s="69" t="s">
        <v>51</v>
      </c>
      <c r="R659" s="69"/>
      <c r="S659" s="48">
        <v>41991</v>
      </c>
      <c r="T659" s="48">
        <v>43340</v>
      </c>
      <c r="U659" s="69"/>
      <c r="V659" s="69"/>
      <c r="W659" s="69"/>
      <c r="X659" s="69"/>
      <c r="Y659" s="69" t="s">
        <v>4125</v>
      </c>
      <c r="Z659" s="52">
        <v>8750</v>
      </c>
      <c r="AA659" s="43" t="s">
        <v>52</v>
      </c>
      <c r="AB659" s="43" t="s">
        <v>53</v>
      </c>
      <c r="AC659" s="85">
        <v>475</v>
      </c>
      <c r="AD659" s="141">
        <v>1</v>
      </c>
      <c r="AE659" s="142">
        <v>4</v>
      </c>
      <c r="AF659" s="69" t="str">
        <f t="shared" si="107"/>
        <v>1 years 110 days</v>
      </c>
      <c r="AG659" s="69">
        <v>1</v>
      </c>
      <c r="AH659" s="69">
        <v>110</v>
      </c>
      <c r="AI659" s="69">
        <v>8750</v>
      </c>
      <c r="AJ659" s="67">
        <v>8750</v>
      </c>
      <c r="AK659" s="69">
        <v>2025</v>
      </c>
      <c r="AL659" s="61">
        <v>0</v>
      </c>
      <c r="AM659" s="143"/>
    </row>
    <row r="660" spans="1:39" x14ac:dyDescent="0.35">
      <c r="A660" s="69" t="s">
        <v>4124</v>
      </c>
      <c r="B660" s="41">
        <v>1151401587</v>
      </c>
      <c r="C660" s="41"/>
      <c r="D660" s="69"/>
      <c r="E660" s="41">
        <v>0</v>
      </c>
      <c r="F660" s="41" t="s">
        <v>1961</v>
      </c>
      <c r="G660" s="69" t="s">
        <v>1960</v>
      </c>
      <c r="H660" s="41">
        <v>9010000013</v>
      </c>
      <c r="I660" s="41" t="s">
        <v>47</v>
      </c>
      <c r="J660" s="41">
        <v>1202010202</v>
      </c>
      <c r="K660" s="41"/>
      <c r="L660" s="52" t="s">
        <v>2120</v>
      </c>
      <c r="M660" s="69" t="s">
        <v>49</v>
      </c>
      <c r="N660" s="69"/>
      <c r="O660" s="69">
        <v>1</v>
      </c>
      <c r="P660" s="69" t="s">
        <v>50</v>
      </c>
      <c r="Q660" s="69" t="s">
        <v>51</v>
      </c>
      <c r="R660" s="69"/>
      <c r="S660" s="48">
        <v>42004</v>
      </c>
      <c r="T660" s="48">
        <v>43340</v>
      </c>
      <c r="U660" s="69"/>
      <c r="V660" s="69"/>
      <c r="W660" s="69"/>
      <c r="X660" s="69"/>
      <c r="Y660" s="69" t="s">
        <v>4125</v>
      </c>
      <c r="Z660" s="52">
        <v>26000</v>
      </c>
      <c r="AA660" s="43" t="s">
        <v>52</v>
      </c>
      <c r="AB660" s="43" t="s">
        <v>53</v>
      </c>
      <c r="AC660" s="85">
        <v>4125</v>
      </c>
      <c r="AD660" s="141">
        <v>11</v>
      </c>
      <c r="AE660" s="142">
        <v>4</v>
      </c>
      <c r="AF660" s="69" t="str">
        <f t="shared" si="107"/>
        <v>6 years 128 days</v>
      </c>
      <c r="AG660" s="69">
        <v>6</v>
      </c>
      <c r="AH660" s="69">
        <v>128</v>
      </c>
      <c r="AI660" s="69">
        <v>26000</v>
      </c>
      <c r="AJ660" s="67">
        <v>14604</v>
      </c>
      <c r="AK660" s="69">
        <v>2025</v>
      </c>
      <c r="AL660" s="61">
        <v>1140.9696969696943</v>
      </c>
      <c r="AM660" s="143"/>
    </row>
    <row r="661" spans="1:39" x14ac:dyDescent="0.35">
      <c r="A661" s="69" t="s">
        <v>4124</v>
      </c>
      <c r="B661" s="41">
        <v>1151401915</v>
      </c>
      <c r="C661" s="41"/>
      <c r="D661" s="69"/>
      <c r="E661" s="41">
        <v>0</v>
      </c>
      <c r="F661" s="41" t="s">
        <v>1961</v>
      </c>
      <c r="G661" s="69" t="s">
        <v>1960</v>
      </c>
      <c r="H661" s="41">
        <v>9010000014</v>
      </c>
      <c r="I661" s="41" t="s">
        <v>47</v>
      </c>
      <c r="J661" s="41">
        <v>1202010202</v>
      </c>
      <c r="K661" s="41"/>
      <c r="L661" s="52" t="s">
        <v>2122</v>
      </c>
      <c r="M661" s="69" t="s">
        <v>49</v>
      </c>
      <c r="N661" s="69"/>
      <c r="O661" s="69">
        <v>1</v>
      </c>
      <c r="P661" s="69" t="s">
        <v>50</v>
      </c>
      <c r="Q661" s="69" t="s">
        <v>51</v>
      </c>
      <c r="R661" s="69"/>
      <c r="S661" s="48">
        <v>42509</v>
      </c>
      <c r="T661" s="48">
        <v>43340</v>
      </c>
      <c r="U661" s="69"/>
      <c r="V661" s="69"/>
      <c r="W661" s="69"/>
      <c r="X661" s="69"/>
      <c r="Y661" s="69" t="s">
        <v>4125</v>
      </c>
      <c r="Z661" s="52">
        <v>22000</v>
      </c>
      <c r="AA661" s="43" t="s">
        <v>52</v>
      </c>
      <c r="AB661" s="43" t="s">
        <v>53</v>
      </c>
      <c r="AC661" s="85">
        <v>986</v>
      </c>
      <c r="AD661" s="141">
        <v>2</v>
      </c>
      <c r="AE661" s="142">
        <v>9</v>
      </c>
      <c r="AF661" s="69" t="str">
        <f t="shared" si="107"/>
        <v>2 years 256 days</v>
      </c>
      <c r="AG661" s="69">
        <v>2</v>
      </c>
      <c r="AH661" s="69">
        <v>256</v>
      </c>
      <c r="AI661" s="69">
        <v>22000</v>
      </c>
      <c r="AJ661" s="67">
        <v>22000</v>
      </c>
      <c r="AK661" s="69">
        <v>2025</v>
      </c>
      <c r="AL661" s="61">
        <v>0</v>
      </c>
      <c r="AM661" s="143"/>
    </row>
    <row r="662" spans="1:39" x14ac:dyDescent="0.35">
      <c r="A662" s="69" t="s">
        <v>4124</v>
      </c>
      <c r="B662" s="41">
        <v>1151402115</v>
      </c>
      <c r="C662" s="41"/>
      <c r="D662" s="69"/>
      <c r="E662" s="41">
        <v>0</v>
      </c>
      <c r="F662" s="41" t="s">
        <v>1961</v>
      </c>
      <c r="G662" s="69" t="s">
        <v>1960</v>
      </c>
      <c r="H662" s="41">
        <v>9010000015</v>
      </c>
      <c r="I662" s="41" t="s">
        <v>47</v>
      </c>
      <c r="J662" s="41">
        <v>1202010202</v>
      </c>
      <c r="K662" s="41"/>
      <c r="L662" s="52" t="s">
        <v>2124</v>
      </c>
      <c r="M662" s="69" t="s">
        <v>49</v>
      </c>
      <c r="N662" s="69"/>
      <c r="O662" s="69">
        <v>1</v>
      </c>
      <c r="P662" s="69" t="s">
        <v>50</v>
      </c>
      <c r="Q662" s="69" t="s">
        <v>51</v>
      </c>
      <c r="R662" s="69"/>
      <c r="S662" s="48">
        <v>42634</v>
      </c>
      <c r="T662" s="48">
        <v>43340</v>
      </c>
      <c r="U662" s="69"/>
      <c r="V662" s="69"/>
      <c r="W662" s="69"/>
      <c r="X662" s="69"/>
      <c r="Y662" s="69" t="s">
        <v>4125</v>
      </c>
      <c r="Z662" s="52">
        <v>5000</v>
      </c>
      <c r="AA662" s="43" t="s">
        <v>52</v>
      </c>
      <c r="AB662" s="43" t="s">
        <v>53</v>
      </c>
      <c r="AC662" s="85">
        <v>1132</v>
      </c>
      <c r="AD662" s="141">
        <v>3</v>
      </c>
      <c r="AE662" s="142">
        <v>1</v>
      </c>
      <c r="AF662" s="69" t="str">
        <f t="shared" si="107"/>
        <v>3 years 37 days</v>
      </c>
      <c r="AG662" s="69">
        <v>3</v>
      </c>
      <c r="AH662" s="69">
        <v>37</v>
      </c>
      <c r="AI662" s="69">
        <v>5000</v>
      </c>
      <c r="AJ662" s="67">
        <v>5000</v>
      </c>
      <c r="AK662" s="69">
        <v>2025</v>
      </c>
      <c r="AL662" s="61">
        <v>0</v>
      </c>
      <c r="AM662" s="143"/>
    </row>
    <row r="663" spans="1:39" x14ac:dyDescent="0.35">
      <c r="A663" s="69" t="s">
        <v>4124</v>
      </c>
      <c r="B663" s="41">
        <v>1151402360</v>
      </c>
      <c r="C663" s="41"/>
      <c r="D663" s="69"/>
      <c r="E663" s="41">
        <v>0</v>
      </c>
      <c r="F663" s="41" t="s">
        <v>1961</v>
      </c>
      <c r="G663" s="69" t="s">
        <v>1960</v>
      </c>
      <c r="H663" s="41">
        <v>9010000016</v>
      </c>
      <c r="I663" s="41" t="s">
        <v>47</v>
      </c>
      <c r="J663" s="41">
        <v>1202010202</v>
      </c>
      <c r="K663" s="41"/>
      <c r="L663" s="52" t="s">
        <v>2126</v>
      </c>
      <c r="M663" s="69" t="s">
        <v>2127</v>
      </c>
      <c r="N663" s="69"/>
      <c r="O663" s="69">
        <v>1</v>
      </c>
      <c r="P663" s="69" t="s">
        <v>50</v>
      </c>
      <c r="Q663" s="69" t="s">
        <v>51</v>
      </c>
      <c r="R663" s="69"/>
      <c r="S663" s="48">
        <v>42905</v>
      </c>
      <c r="T663" s="48">
        <v>43340</v>
      </c>
      <c r="U663" s="69"/>
      <c r="V663" s="69"/>
      <c r="W663" s="69"/>
      <c r="X663" s="69"/>
      <c r="Y663" s="69" t="s">
        <v>4125</v>
      </c>
      <c r="Z663" s="52">
        <v>22000</v>
      </c>
      <c r="AA663" s="43" t="s">
        <v>52</v>
      </c>
      <c r="AB663" s="43" t="s">
        <v>53</v>
      </c>
      <c r="AC663" s="85">
        <v>1387</v>
      </c>
      <c r="AD663" s="141">
        <v>3</v>
      </c>
      <c r="AE663" s="142">
        <v>10</v>
      </c>
      <c r="AF663" s="69" t="str">
        <f t="shared" si="107"/>
        <v>3 years 292 days</v>
      </c>
      <c r="AG663" s="69">
        <v>3</v>
      </c>
      <c r="AH663" s="69">
        <v>292</v>
      </c>
      <c r="AI663" s="69">
        <v>22000</v>
      </c>
      <c r="AJ663" s="67">
        <v>22000</v>
      </c>
      <c r="AK663" s="69">
        <v>2025</v>
      </c>
      <c r="AL663" s="61">
        <v>0</v>
      </c>
      <c r="AM663" s="143"/>
    </row>
    <row r="664" spans="1:39" x14ac:dyDescent="0.35">
      <c r="A664" s="69" t="s">
        <v>4124</v>
      </c>
      <c r="B664" s="41">
        <v>1151402490</v>
      </c>
      <c r="C664" s="41"/>
      <c r="D664" s="69"/>
      <c r="E664" s="41">
        <v>0</v>
      </c>
      <c r="F664" s="41" t="s">
        <v>1961</v>
      </c>
      <c r="G664" s="69" t="s">
        <v>1960</v>
      </c>
      <c r="H664" s="41">
        <v>9010000018</v>
      </c>
      <c r="I664" s="41" t="s">
        <v>47</v>
      </c>
      <c r="J664" s="41">
        <v>1202010202</v>
      </c>
      <c r="K664" s="41"/>
      <c r="L664" s="52" t="s">
        <v>2129</v>
      </c>
      <c r="M664" s="69" t="s">
        <v>2130</v>
      </c>
      <c r="N664" s="69"/>
      <c r="O664" s="69">
        <v>1</v>
      </c>
      <c r="P664" s="69" t="s">
        <v>50</v>
      </c>
      <c r="Q664" s="69" t="s">
        <v>51</v>
      </c>
      <c r="R664" s="69"/>
      <c r="S664" s="48">
        <v>43117</v>
      </c>
      <c r="T664" s="48">
        <v>43340</v>
      </c>
      <c r="U664" s="69"/>
      <c r="V664" s="69"/>
      <c r="W664" s="69"/>
      <c r="X664" s="69"/>
      <c r="Y664" s="69" t="s">
        <v>4125</v>
      </c>
      <c r="Z664" s="52">
        <v>7500</v>
      </c>
      <c r="AA664" s="43" t="s">
        <v>52</v>
      </c>
      <c r="AB664" s="43" t="s">
        <v>53</v>
      </c>
      <c r="AC664" s="85">
        <v>1606</v>
      </c>
      <c r="AD664" s="141">
        <v>4</v>
      </c>
      <c r="AE664" s="142">
        <v>5</v>
      </c>
      <c r="AF664" s="69" t="str">
        <f t="shared" si="107"/>
        <v>4 years 146 days</v>
      </c>
      <c r="AG664" s="69">
        <v>4</v>
      </c>
      <c r="AH664" s="69">
        <v>146</v>
      </c>
      <c r="AI664" s="69">
        <v>7500</v>
      </c>
      <c r="AJ664" s="67">
        <v>7500</v>
      </c>
      <c r="AK664" s="69">
        <v>2025</v>
      </c>
      <c r="AL664" s="61">
        <v>0</v>
      </c>
      <c r="AM664" s="143"/>
    </row>
    <row r="665" spans="1:39" x14ac:dyDescent="0.35">
      <c r="A665" s="69" t="s">
        <v>4124</v>
      </c>
      <c r="B665" s="41">
        <v>1151402497</v>
      </c>
      <c r="C665" s="41"/>
      <c r="D665" s="69"/>
      <c r="E665" s="41">
        <v>0</v>
      </c>
      <c r="F665" s="41" t="s">
        <v>1961</v>
      </c>
      <c r="G665" s="69" t="s">
        <v>1960</v>
      </c>
      <c r="H665" s="41">
        <v>9010000019</v>
      </c>
      <c r="I665" s="41" t="s">
        <v>47</v>
      </c>
      <c r="J665" s="41">
        <v>1202010202</v>
      </c>
      <c r="K665" s="41"/>
      <c r="L665" s="52" t="s">
        <v>2132</v>
      </c>
      <c r="M665" s="69" t="s">
        <v>49</v>
      </c>
      <c r="N665" s="69"/>
      <c r="O665" s="69">
        <v>1</v>
      </c>
      <c r="P665" s="69" t="s">
        <v>50</v>
      </c>
      <c r="Q665" s="69" t="s">
        <v>51</v>
      </c>
      <c r="R665" s="69"/>
      <c r="S665" s="48">
        <v>43138</v>
      </c>
      <c r="T665" s="48">
        <v>43340</v>
      </c>
      <c r="U665" s="69"/>
      <c r="V665" s="69"/>
      <c r="W665" s="69"/>
      <c r="X665" s="69"/>
      <c r="Y665" s="69" t="s">
        <v>4125</v>
      </c>
      <c r="Z665" s="52">
        <v>24000</v>
      </c>
      <c r="AA665" s="43" t="s">
        <v>52</v>
      </c>
      <c r="AB665" s="43" t="s">
        <v>53</v>
      </c>
      <c r="AC665" s="85">
        <v>2701</v>
      </c>
      <c r="AD665" s="141">
        <v>7</v>
      </c>
      <c r="AE665" s="142">
        <v>5</v>
      </c>
      <c r="AF665" s="69" t="str">
        <f t="shared" si="107"/>
        <v>6 years 128 days</v>
      </c>
      <c r="AG665" s="69">
        <v>6</v>
      </c>
      <c r="AH665" s="69">
        <v>128</v>
      </c>
      <c r="AI665" s="69">
        <v>24000</v>
      </c>
      <c r="AJ665" s="67">
        <v>20588</v>
      </c>
      <c r="AK665" s="69">
        <v>2025</v>
      </c>
      <c r="AL665" s="61">
        <v>1608.2236208811555</v>
      </c>
      <c r="AM665" s="143"/>
    </row>
    <row r="666" spans="1:39" x14ac:dyDescent="0.35">
      <c r="A666" s="69" t="s">
        <v>4124</v>
      </c>
      <c r="B666" s="41">
        <v>1151402501</v>
      </c>
      <c r="C666" s="41"/>
      <c r="D666" s="69"/>
      <c r="E666" s="41">
        <v>0</v>
      </c>
      <c r="F666" s="41" t="s">
        <v>1961</v>
      </c>
      <c r="G666" s="69" t="s">
        <v>1960</v>
      </c>
      <c r="H666" s="41">
        <v>9010000020</v>
      </c>
      <c r="I666" s="41" t="s">
        <v>47</v>
      </c>
      <c r="J666" s="41">
        <v>1202010202</v>
      </c>
      <c r="K666" s="41"/>
      <c r="L666" s="52" t="s">
        <v>2134</v>
      </c>
      <c r="M666" s="69" t="s">
        <v>49</v>
      </c>
      <c r="N666" s="69"/>
      <c r="O666" s="69">
        <v>1</v>
      </c>
      <c r="P666" s="69" t="s">
        <v>50</v>
      </c>
      <c r="Q666" s="69" t="s">
        <v>51</v>
      </c>
      <c r="R666" s="69"/>
      <c r="S666" s="48">
        <v>43141</v>
      </c>
      <c r="T666" s="48">
        <v>43340</v>
      </c>
      <c r="U666" s="69"/>
      <c r="V666" s="69"/>
      <c r="W666" s="69"/>
      <c r="X666" s="69"/>
      <c r="Y666" s="69" t="s">
        <v>4125</v>
      </c>
      <c r="Z666" s="52">
        <v>4000</v>
      </c>
      <c r="AA666" s="43" t="s">
        <v>52</v>
      </c>
      <c r="AB666" s="43" t="s">
        <v>53</v>
      </c>
      <c r="AC666" s="85">
        <v>2701</v>
      </c>
      <c r="AD666" s="141">
        <v>7</v>
      </c>
      <c r="AE666" s="142">
        <v>5</v>
      </c>
      <c r="AF666" s="69" t="str">
        <f t="shared" si="107"/>
        <v>6 years 128 days</v>
      </c>
      <c r="AG666" s="69">
        <v>6</v>
      </c>
      <c r="AH666" s="69">
        <v>128</v>
      </c>
      <c r="AI666" s="69">
        <v>4000</v>
      </c>
      <c r="AJ666" s="67">
        <v>4000</v>
      </c>
      <c r="AK666" s="69">
        <v>2025</v>
      </c>
      <c r="AL666" s="61">
        <v>0</v>
      </c>
      <c r="AM666" s="143"/>
    </row>
    <row r="667" spans="1:39" x14ac:dyDescent="0.35">
      <c r="A667" s="69" t="s">
        <v>4124</v>
      </c>
      <c r="B667" s="41">
        <v>1151402834</v>
      </c>
      <c r="C667" s="41"/>
      <c r="D667" s="69"/>
      <c r="E667" s="41">
        <v>0</v>
      </c>
      <c r="F667" s="41" t="s">
        <v>1961</v>
      </c>
      <c r="G667" s="69" t="s">
        <v>1960</v>
      </c>
      <c r="H667" s="41">
        <v>9010000021</v>
      </c>
      <c r="I667" s="41" t="s">
        <v>47</v>
      </c>
      <c r="J667" s="41">
        <v>1202010202</v>
      </c>
      <c r="K667" s="41"/>
      <c r="L667" s="52" t="s">
        <v>2136</v>
      </c>
      <c r="M667" s="69" t="s">
        <v>2137</v>
      </c>
      <c r="N667" s="69"/>
      <c r="O667" s="69">
        <v>1</v>
      </c>
      <c r="P667" s="69" t="s">
        <v>50</v>
      </c>
      <c r="Q667" s="69" t="s">
        <v>51</v>
      </c>
      <c r="R667" s="69"/>
      <c r="S667" s="48">
        <v>43495</v>
      </c>
      <c r="T667" s="48">
        <v>43495</v>
      </c>
      <c r="U667" s="69"/>
      <c r="V667" s="69"/>
      <c r="W667" s="69"/>
      <c r="X667" s="69"/>
      <c r="Y667" s="69" t="s">
        <v>4126</v>
      </c>
      <c r="Z667" s="52">
        <v>13034</v>
      </c>
      <c r="AA667" s="43" t="s">
        <v>52</v>
      </c>
      <c r="AB667" s="43" t="s">
        <v>53</v>
      </c>
      <c r="AC667" s="85">
        <v>1825</v>
      </c>
      <c r="AD667" s="141">
        <v>5</v>
      </c>
      <c r="AE667" s="142">
        <v>0</v>
      </c>
      <c r="AF667" s="69" t="str">
        <f t="shared" si="107"/>
        <v>5 years 0 days</v>
      </c>
      <c r="AG667" s="69">
        <v>5</v>
      </c>
      <c r="AH667" s="69">
        <v>0</v>
      </c>
      <c r="AI667" s="69">
        <v>13034</v>
      </c>
      <c r="AJ667" s="67">
        <v>13034</v>
      </c>
      <c r="AK667" s="69">
        <v>2025</v>
      </c>
      <c r="AL667" s="61">
        <v>0</v>
      </c>
      <c r="AM667" s="143"/>
    </row>
    <row r="668" spans="1:39" x14ac:dyDescent="0.35">
      <c r="A668" s="69" t="s">
        <v>4124</v>
      </c>
      <c r="B668" s="41">
        <v>1151402840</v>
      </c>
      <c r="C668" s="41"/>
      <c r="D668" s="69"/>
      <c r="E668" s="41">
        <v>0</v>
      </c>
      <c r="F668" s="41" t="s">
        <v>1961</v>
      </c>
      <c r="G668" s="69" t="s">
        <v>1960</v>
      </c>
      <c r="H668" s="41">
        <v>9010000022</v>
      </c>
      <c r="I668" s="41" t="s">
        <v>47</v>
      </c>
      <c r="J668" s="41">
        <v>1202010202</v>
      </c>
      <c r="K668" s="41"/>
      <c r="L668" s="52" t="s">
        <v>2139</v>
      </c>
      <c r="M668" s="69" t="s">
        <v>2140</v>
      </c>
      <c r="N668" s="69"/>
      <c r="O668" s="69">
        <v>1</v>
      </c>
      <c r="P668" s="69" t="s">
        <v>50</v>
      </c>
      <c r="Q668" s="69" t="s">
        <v>51</v>
      </c>
      <c r="R668" s="69"/>
      <c r="S668" s="48">
        <v>43497</v>
      </c>
      <c r="T668" s="48">
        <v>43497</v>
      </c>
      <c r="U668" s="69"/>
      <c r="V668" s="69"/>
      <c r="W668" s="69"/>
      <c r="X668" s="69"/>
      <c r="Y668" s="69" t="s">
        <v>4126</v>
      </c>
      <c r="Z668" s="52">
        <v>16500</v>
      </c>
      <c r="AA668" s="43" t="s">
        <v>52</v>
      </c>
      <c r="AB668" s="43" t="s">
        <v>53</v>
      </c>
      <c r="AC668" s="85">
        <v>1825</v>
      </c>
      <c r="AD668" s="141">
        <v>5</v>
      </c>
      <c r="AE668" s="142">
        <v>0</v>
      </c>
      <c r="AF668" s="69" t="str">
        <f t="shared" si="107"/>
        <v>5 years 0 days</v>
      </c>
      <c r="AG668" s="69">
        <v>5</v>
      </c>
      <c r="AH668" s="69">
        <v>0</v>
      </c>
      <c r="AI668" s="69">
        <v>16500</v>
      </c>
      <c r="AJ668" s="67">
        <v>16500</v>
      </c>
      <c r="AK668" s="69">
        <v>2025</v>
      </c>
      <c r="AL668" s="61">
        <v>0</v>
      </c>
      <c r="AM668" s="143"/>
    </row>
    <row r="669" spans="1:39" x14ac:dyDescent="0.35">
      <c r="A669" s="69" t="s">
        <v>4124</v>
      </c>
      <c r="B669" s="41">
        <v>1151402920</v>
      </c>
      <c r="C669" s="41"/>
      <c r="D669" s="69"/>
      <c r="E669" s="41">
        <v>0</v>
      </c>
      <c r="F669" s="41" t="s">
        <v>1961</v>
      </c>
      <c r="G669" s="69" t="s">
        <v>1960</v>
      </c>
      <c r="H669" s="41">
        <v>9010000023</v>
      </c>
      <c r="I669" s="41" t="s">
        <v>47</v>
      </c>
      <c r="J669" s="41">
        <v>1202010202</v>
      </c>
      <c r="K669" s="41"/>
      <c r="L669" s="52" t="s">
        <v>2142</v>
      </c>
      <c r="M669" s="69" t="s">
        <v>2143</v>
      </c>
      <c r="N669" s="69"/>
      <c r="O669" s="69">
        <v>1</v>
      </c>
      <c r="P669" s="69" t="s">
        <v>50</v>
      </c>
      <c r="Q669" s="69" t="s">
        <v>51</v>
      </c>
      <c r="R669" s="69"/>
      <c r="S669" s="48">
        <v>43555</v>
      </c>
      <c r="T669" s="48">
        <v>43555</v>
      </c>
      <c r="U669" s="69"/>
      <c r="V669" s="69"/>
      <c r="W669" s="69"/>
      <c r="X669" s="69"/>
      <c r="Y669" s="69" t="s">
        <v>4126</v>
      </c>
      <c r="Z669" s="52">
        <v>8820</v>
      </c>
      <c r="AA669" s="43" t="s">
        <v>52</v>
      </c>
      <c r="AB669" s="43" t="s">
        <v>53</v>
      </c>
      <c r="AC669" s="85">
        <v>1825</v>
      </c>
      <c r="AD669" s="141">
        <v>5</v>
      </c>
      <c r="AE669" s="142">
        <v>0</v>
      </c>
      <c r="AF669" s="69" t="str">
        <f t="shared" si="107"/>
        <v>5 years 0 days</v>
      </c>
      <c r="AG669" s="69">
        <v>5</v>
      </c>
      <c r="AH669" s="69">
        <v>0</v>
      </c>
      <c r="AI669" s="69">
        <v>8820</v>
      </c>
      <c r="AJ669" s="67">
        <v>8820</v>
      </c>
      <c r="AK669" s="69">
        <v>2025</v>
      </c>
      <c r="AL669" s="61">
        <v>0</v>
      </c>
      <c r="AM669" s="143"/>
    </row>
    <row r="670" spans="1:39" x14ac:dyDescent="0.35">
      <c r="A670" s="69" t="s">
        <v>4124</v>
      </c>
      <c r="B670" s="41">
        <v>1151402921</v>
      </c>
      <c r="C670" s="41"/>
      <c r="D670" s="69"/>
      <c r="E670" s="41">
        <v>0</v>
      </c>
      <c r="F670" s="41" t="s">
        <v>1961</v>
      </c>
      <c r="G670" s="69" t="s">
        <v>1960</v>
      </c>
      <c r="H670" s="41">
        <v>9010000024</v>
      </c>
      <c r="I670" s="41" t="s">
        <v>47</v>
      </c>
      <c r="J670" s="41">
        <v>1202010202</v>
      </c>
      <c r="K670" s="41"/>
      <c r="L670" s="52" t="s">
        <v>2145</v>
      </c>
      <c r="M670" s="69" t="s">
        <v>2146</v>
      </c>
      <c r="N670" s="69"/>
      <c r="O670" s="69">
        <v>1</v>
      </c>
      <c r="P670" s="69" t="s">
        <v>50</v>
      </c>
      <c r="Q670" s="69" t="s">
        <v>51</v>
      </c>
      <c r="R670" s="69"/>
      <c r="S670" s="48">
        <v>43555</v>
      </c>
      <c r="T670" s="48">
        <v>43555</v>
      </c>
      <c r="U670" s="69"/>
      <c r="V670" s="69"/>
      <c r="W670" s="69"/>
      <c r="X670" s="69"/>
      <c r="Y670" s="69" t="s">
        <v>4126</v>
      </c>
      <c r="Z670" s="52">
        <v>47000</v>
      </c>
      <c r="AA670" s="43" t="s">
        <v>52</v>
      </c>
      <c r="AB670" s="43" t="s">
        <v>53</v>
      </c>
      <c r="AC670" s="85">
        <v>1825</v>
      </c>
      <c r="AD670" s="141">
        <v>5</v>
      </c>
      <c r="AE670" s="142">
        <v>0</v>
      </c>
      <c r="AF670" s="69" t="str">
        <f t="shared" si="107"/>
        <v>5 years 0 days</v>
      </c>
      <c r="AG670" s="69">
        <v>5</v>
      </c>
      <c r="AH670" s="69">
        <v>0</v>
      </c>
      <c r="AI670" s="69">
        <v>47000</v>
      </c>
      <c r="AJ670" s="67">
        <v>47000</v>
      </c>
      <c r="AK670" s="69">
        <v>2025</v>
      </c>
      <c r="AL670" s="61">
        <v>0</v>
      </c>
      <c r="AM670" s="143"/>
    </row>
    <row r="671" spans="1:39" x14ac:dyDescent="0.35">
      <c r="A671" s="69" t="s">
        <v>4124</v>
      </c>
      <c r="B671" s="41">
        <v>1151402922</v>
      </c>
      <c r="C671" s="41"/>
      <c r="D671" s="69"/>
      <c r="E671" s="41">
        <v>0</v>
      </c>
      <c r="F671" s="41" t="s">
        <v>1961</v>
      </c>
      <c r="G671" s="69" t="s">
        <v>1960</v>
      </c>
      <c r="H671" s="41">
        <v>9010000025</v>
      </c>
      <c r="I671" s="41" t="s">
        <v>47</v>
      </c>
      <c r="J671" s="41">
        <v>1202010202</v>
      </c>
      <c r="K671" s="41"/>
      <c r="L671" s="52" t="s">
        <v>2148</v>
      </c>
      <c r="M671" s="69" t="s">
        <v>2149</v>
      </c>
      <c r="N671" s="69"/>
      <c r="O671" s="69">
        <v>1</v>
      </c>
      <c r="P671" s="69" t="s">
        <v>50</v>
      </c>
      <c r="Q671" s="69" t="s">
        <v>51</v>
      </c>
      <c r="R671" s="69"/>
      <c r="S671" s="48">
        <v>43555</v>
      </c>
      <c r="T671" s="48">
        <v>43555</v>
      </c>
      <c r="U671" s="69"/>
      <c r="V671" s="69"/>
      <c r="W671" s="69"/>
      <c r="X671" s="69"/>
      <c r="Y671" s="69" t="s">
        <v>4126</v>
      </c>
      <c r="Z671" s="52">
        <v>2100</v>
      </c>
      <c r="AA671" s="43" t="s">
        <v>52</v>
      </c>
      <c r="AB671" s="43" t="s">
        <v>53</v>
      </c>
      <c r="AC671" s="85">
        <v>1825</v>
      </c>
      <c r="AD671" s="141">
        <v>5</v>
      </c>
      <c r="AE671" s="142">
        <v>0</v>
      </c>
      <c r="AF671" s="69" t="str">
        <f t="shared" si="107"/>
        <v>5 years 0 days</v>
      </c>
      <c r="AG671" s="69">
        <v>5</v>
      </c>
      <c r="AH671" s="69">
        <v>0</v>
      </c>
      <c r="AI671" s="69">
        <v>2100</v>
      </c>
      <c r="AJ671" s="67">
        <v>2100</v>
      </c>
      <c r="AK671" s="69">
        <v>2025</v>
      </c>
      <c r="AL671" s="61">
        <v>0</v>
      </c>
      <c r="AM671" s="143"/>
    </row>
    <row r="672" spans="1:39" x14ac:dyDescent="0.35">
      <c r="A672" s="69" t="s">
        <v>4124</v>
      </c>
      <c r="B672" s="41">
        <v>1101403789</v>
      </c>
      <c r="C672" s="41"/>
      <c r="D672" s="69"/>
      <c r="E672" s="41">
        <v>0</v>
      </c>
      <c r="F672" s="41" t="s">
        <v>1961</v>
      </c>
      <c r="G672" s="69" t="s">
        <v>1960</v>
      </c>
      <c r="H672" s="41">
        <v>9010000025</v>
      </c>
      <c r="I672" s="41" t="s">
        <v>47</v>
      </c>
      <c r="J672" s="41">
        <v>1202010202</v>
      </c>
      <c r="K672" s="41"/>
      <c r="L672" s="52" t="s">
        <v>2151</v>
      </c>
      <c r="M672" s="69" t="s">
        <v>2152</v>
      </c>
      <c r="N672" s="69"/>
      <c r="O672" s="69">
        <v>1</v>
      </c>
      <c r="P672" s="69" t="s">
        <v>50</v>
      </c>
      <c r="Q672" s="69" t="s">
        <v>51</v>
      </c>
      <c r="R672" s="69"/>
      <c r="S672" s="48">
        <v>44409</v>
      </c>
      <c r="T672" s="48">
        <v>44409</v>
      </c>
      <c r="U672" s="69"/>
      <c r="V672" s="69"/>
      <c r="W672" s="69"/>
      <c r="X672" s="69"/>
      <c r="Y672" s="69" t="s">
        <v>4128</v>
      </c>
      <c r="Z672" s="52">
        <v>8042</v>
      </c>
      <c r="AA672" s="43" t="s">
        <v>52</v>
      </c>
      <c r="AB672" s="43" t="s">
        <v>53</v>
      </c>
      <c r="AC672" s="85">
        <v>3650</v>
      </c>
      <c r="AD672" s="141">
        <v>10</v>
      </c>
      <c r="AE672" s="142">
        <v>0</v>
      </c>
      <c r="AF672" s="69" t="str">
        <f t="shared" si="107"/>
        <v>3 years 154 days</v>
      </c>
      <c r="AG672" s="69">
        <v>3</v>
      </c>
      <c r="AH672" s="69">
        <v>154</v>
      </c>
      <c r="AI672" s="69">
        <v>8042</v>
      </c>
      <c r="AJ672" s="67">
        <v>2752</v>
      </c>
      <c r="AK672" s="69">
        <v>2025</v>
      </c>
      <c r="AL672" s="61">
        <v>398.7013698630135</v>
      </c>
      <c r="AM672" s="143"/>
    </row>
    <row r="673" spans="1:39" x14ac:dyDescent="0.35">
      <c r="A673" s="69" t="s">
        <v>4124</v>
      </c>
      <c r="B673" s="41">
        <v>1151402985</v>
      </c>
      <c r="C673" s="41"/>
      <c r="D673" s="69"/>
      <c r="E673" s="41">
        <v>0</v>
      </c>
      <c r="F673" s="41" t="s">
        <v>1961</v>
      </c>
      <c r="G673" s="69" t="s">
        <v>1960</v>
      </c>
      <c r="H673" s="41">
        <v>9010000026</v>
      </c>
      <c r="I673" s="41" t="s">
        <v>47</v>
      </c>
      <c r="J673" s="41">
        <v>1202010202</v>
      </c>
      <c r="K673" s="41"/>
      <c r="L673" s="52" t="s">
        <v>2154</v>
      </c>
      <c r="M673" s="69" t="s">
        <v>2155</v>
      </c>
      <c r="N673" s="69"/>
      <c r="O673" s="69">
        <v>1</v>
      </c>
      <c r="P673" s="69" t="s">
        <v>50</v>
      </c>
      <c r="Q673" s="69" t="s">
        <v>51</v>
      </c>
      <c r="R673" s="69"/>
      <c r="S673" s="48">
        <v>43642</v>
      </c>
      <c r="T673" s="48">
        <v>43642</v>
      </c>
      <c r="U673" s="69"/>
      <c r="V673" s="69"/>
      <c r="W673" s="69"/>
      <c r="X673" s="69"/>
      <c r="Y673" s="69" t="s">
        <v>4126</v>
      </c>
      <c r="Z673" s="52">
        <v>7000</v>
      </c>
      <c r="AA673" s="43" t="s">
        <v>52</v>
      </c>
      <c r="AB673" s="43" t="s">
        <v>53</v>
      </c>
      <c r="AC673" s="85">
        <v>1825</v>
      </c>
      <c r="AD673" s="141">
        <v>5</v>
      </c>
      <c r="AE673" s="142">
        <v>0</v>
      </c>
      <c r="AF673" s="69" t="str">
        <f t="shared" si="107"/>
        <v>5 years 0 days</v>
      </c>
      <c r="AG673" s="69">
        <v>5</v>
      </c>
      <c r="AH673" s="69">
        <v>0</v>
      </c>
      <c r="AI673" s="69">
        <v>7000</v>
      </c>
      <c r="AJ673" s="67">
        <v>7000</v>
      </c>
      <c r="AK673" s="69">
        <v>2025</v>
      </c>
      <c r="AL673" s="61">
        <v>0</v>
      </c>
      <c r="AM673" s="143"/>
    </row>
    <row r="674" spans="1:39" x14ac:dyDescent="0.35">
      <c r="A674" s="69" t="s">
        <v>4124</v>
      </c>
      <c r="B674" s="41">
        <v>1101403054</v>
      </c>
      <c r="C674" s="41"/>
      <c r="D674" s="69"/>
      <c r="E674" s="41">
        <v>0</v>
      </c>
      <c r="F674" s="41" t="s">
        <v>1961</v>
      </c>
      <c r="G674" s="69" t="s">
        <v>1960</v>
      </c>
      <c r="H674" s="41">
        <v>9010000027</v>
      </c>
      <c r="I674" s="41" t="s">
        <v>47</v>
      </c>
      <c r="J674" s="41">
        <v>1202010202</v>
      </c>
      <c r="K674" s="41"/>
      <c r="L674" s="52" t="s">
        <v>2157</v>
      </c>
      <c r="M674" s="69" t="s">
        <v>2158</v>
      </c>
      <c r="N674" s="69"/>
      <c r="O674" s="69">
        <v>1</v>
      </c>
      <c r="P674" s="69" t="s">
        <v>50</v>
      </c>
      <c r="Q674" s="69" t="s">
        <v>51</v>
      </c>
      <c r="R674" s="69"/>
      <c r="S674" s="48">
        <v>43723</v>
      </c>
      <c r="T674" s="48">
        <v>43723</v>
      </c>
      <c r="U674" s="69"/>
      <c r="V674" s="69"/>
      <c r="W674" s="69"/>
      <c r="X674" s="69"/>
      <c r="Y674" s="69" t="s">
        <v>4126</v>
      </c>
      <c r="Z674" s="52">
        <v>49500</v>
      </c>
      <c r="AA674" s="43" t="s">
        <v>52</v>
      </c>
      <c r="AB674" s="43" t="s">
        <v>53</v>
      </c>
      <c r="AC674" s="85">
        <v>3650</v>
      </c>
      <c r="AD674" s="141">
        <v>10</v>
      </c>
      <c r="AE674" s="142">
        <v>0</v>
      </c>
      <c r="AF674" s="69" t="str">
        <f t="shared" ref="AF674:AF737" si="108">_xlfn.CONCAT(AG674," years ",AH674," days")</f>
        <v>5 years 110 days</v>
      </c>
      <c r="AG674" s="69">
        <v>5</v>
      </c>
      <c r="AH674" s="69">
        <v>110</v>
      </c>
      <c r="AI674" s="69">
        <v>49500</v>
      </c>
      <c r="AJ674" s="67">
        <v>26242</v>
      </c>
      <c r="AK674" s="69">
        <v>2025</v>
      </c>
      <c r="AL674" s="61">
        <v>2454.4383561643808</v>
      </c>
      <c r="AM674" s="143"/>
    </row>
    <row r="675" spans="1:39" x14ac:dyDescent="0.35">
      <c r="A675" s="69" t="s">
        <v>4124</v>
      </c>
      <c r="B675" s="41">
        <v>1101403046</v>
      </c>
      <c r="C675" s="41"/>
      <c r="D675" s="69"/>
      <c r="E675" s="41">
        <v>0</v>
      </c>
      <c r="F675" s="41" t="s">
        <v>1961</v>
      </c>
      <c r="G675" s="69" t="s">
        <v>1960</v>
      </c>
      <c r="H675" s="41">
        <v>9010000028</v>
      </c>
      <c r="I675" s="41" t="s">
        <v>47</v>
      </c>
      <c r="J675" s="41">
        <v>1202010202</v>
      </c>
      <c r="K675" s="41"/>
      <c r="L675" s="52" t="s">
        <v>2160</v>
      </c>
      <c r="M675" s="69" t="s">
        <v>2161</v>
      </c>
      <c r="N675" s="69"/>
      <c r="O675" s="69">
        <v>1</v>
      </c>
      <c r="P675" s="69" t="s">
        <v>50</v>
      </c>
      <c r="Q675" s="69" t="s">
        <v>51</v>
      </c>
      <c r="R675" s="69"/>
      <c r="S675" s="48">
        <v>43709</v>
      </c>
      <c r="T675" s="48">
        <v>43709</v>
      </c>
      <c r="U675" s="69"/>
      <c r="V675" s="69"/>
      <c r="W675" s="69"/>
      <c r="X675" s="69"/>
      <c r="Y675" s="69" t="s">
        <v>4126</v>
      </c>
      <c r="Z675" s="52">
        <v>33035</v>
      </c>
      <c r="AA675" s="43" t="s">
        <v>52</v>
      </c>
      <c r="AB675" s="43" t="s">
        <v>53</v>
      </c>
      <c r="AC675" s="85">
        <v>1825</v>
      </c>
      <c r="AD675" s="141">
        <v>5</v>
      </c>
      <c r="AE675" s="142">
        <v>0</v>
      </c>
      <c r="AF675" s="69" t="str">
        <f t="shared" si="108"/>
        <v>5 years 0 days</v>
      </c>
      <c r="AG675" s="69">
        <v>5</v>
      </c>
      <c r="AH675" s="69">
        <v>0</v>
      </c>
      <c r="AI675" s="69">
        <v>33035</v>
      </c>
      <c r="AJ675" s="67">
        <v>33035</v>
      </c>
      <c r="AK675" s="69">
        <v>2025</v>
      </c>
      <c r="AL675" s="61">
        <v>0</v>
      </c>
      <c r="AM675" s="143"/>
    </row>
    <row r="676" spans="1:39" x14ac:dyDescent="0.35">
      <c r="A676" s="69" t="s">
        <v>4124</v>
      </c>
      <c r="B676" s="41">
        <v>1101403047</v>
      </c>
      <c r="C676" s="41"/>
      <c r="D676" s="69"/>
      <c r="E676" s="41">
        <v>0</v>
      </c>
      <c r="F676" s="41" t="s">
        <v>1961</v>
      </c>
      <c r="G676" s="69" t="s">
        <v>1960</v>
      </c>
      <c r="H676" s="41">
        <v>9010000029</v>
      </c>
      <c r="I676" s="41" t="s">
        <v>47</v>
      </c>
      <c r="J676" s="41">
        <v>1202010202</v>
      </c>
      <c r="K676" s="41"/>
      <c r="L676" s="52" t="s">
        <v>2163</v>
      </c>
      <c r="M676" s="69" t="s">
        <v>2164</v>
      </c>
      <c r="N676" s="69"/>
      <c r="O676" s="69">
        <v>1</v>
      </c>
      <c r="P676" s="69" t="s">
        <v>50</v>
      </c>
      <c r="Q676" s="69" t="s">
        <v>51</v>
      </c>
      <c r="R676" s="69"/>
      <c r="S676" s="48">
        <v>43709</v>
      </c>
      <c r="T676" s="48">
        <v>43709</v>
      </c>
      <c r="U676" s="69"/>
      <c r="V676" s="69"/>
      <c r="W676" s="69"/>
      <c r="X676" s="69"/>
      <c r="Y676" s="69" t="s">
        <v>4126</v>
      </c>
      <c r="Z676" s="52">
        <v>26275</v>
      </c>
      <c r="AA676" s="43" t="s">
        <v>52</v>
      </c>
      <c r="AB676" s="43" t="s">
        <v>53</v>
      </c>
      <c r="AC676" s="85">
        <v>1825</v>
      </c>
      <c r="AD676" s="141">
        <v>5</v>
      </c>
      <c r="AE676" s="142">
        <v>0</v>
      </c>
      <c r="AF676" s="69" t="str">
        <f t="shared" si="108"/>
        <v>5 years 0 days</v>
      </c>
      <c r="AG676" s="69">
        <v>5</v>
      </c>
      <c r="AH676" s="69">
        <v>0</v>
      </c>
      <c r="AI676" s="69">
        <v>26275</v>
      </c>
      <c r="AJ676" s="67">
        <v>26275</v>
      </c>
      <c r="AK676" s="69">
        <v>2025</v>
      </c>
      <c r="AL676" s="61">
        <v>0</v>
      </c>
      <c r="AM676" s="143"/>
    </row>
    <row r="677" spans="1:39" x14ac:dyDescent="0.35">
      <c r="A677" s="69" t="s">
        <v>4124</v>
      </c>
      <c r="B677" s="41">
        <v>1151403085</v>
      </c>
      <c r="C677" s="41"/>
      <c r="D677" s="69"/>
      <c r="E677" s="41">
        <v>0</v>
      </c>
      <c r="F677" s="41" t="s">
        <v>1961</v>
      </c>
      <c r="G677" s="69" t="s">
        <v>1960</v>
      </c>
      <c r="H677" s="41">
        <v>9010000030</v>
      </c>
      <c r="I677" s="41" t="s">
        <v>47</v>
      </c>
      <c r="J677" s="41">
        <v>1202010202</v>
      </c>
      <c r="K677" s="41"/>
      <c r="L677" s="52" t="s">
        <v>2166</v>
      </c>
      <c r="M677" s="69" t="s">
        <v>2167</v>
      </c>
      <c r="N677" s="69"/>
      <c r="O677" s="69">
        <v>1</v>
      </c>
      <c r="P677" s="69" t="s">
        <v>50</v>
      </c>
      <c r="Q677" s="69" t="s">
        <v>51</v>
      </c>
      <c r="R677" s="69"/>
      <c r="S677" s="48">
        <v>43770</v>
      </c>
      <c r="T677" s="48">
        <v>43770</v>
      </c>
      <c r="U677" s="69"/>
      <c r="V677" s="69"/>
      <c r="W677" s="69"/>
      <c r="X677" s="69"/>
      <c r="Y677" s="69" t="s">
        <v>4126</v>
      </c>
      <c r="Z677" s="52">
        <v>31000</v>
      </c>
      <c r="AA677" s="43" t="s">
        <v>52</v>
      </c>
      <c r="AB677" s="43" t="s">
        <v>53</v>
      </c>
      <c r="AC677" s="85">
        <v>1825</v>
      </c>
      <c r="AD677" s="141">
        <v>5</v>
      </c>
      <c r="AE677" s="142">
        <v>0</v>
      </c>
      <c r="AF677" s="69" t="str">
        <f t="shared" si="108"/>
        <v>5 years 0 days</v>
      </c>
      <c r="AG677" s="69">
        <v>5</v>
      </c>
      <c r="AH677" s="69">
        <v>0</v>
      </c>
      <c r="AI677" s="69">
        <v>31000</v>
      </c>
      <c r="AJ677" s="67">
        <v>31000</v>
      </c>
      <c r="AK677" s="69">
        <v>2025</v>
      </c>
      <c r="AL677" s="61">
        <v>0</v>
      </c>
      <c r="AM677" s="143"/>
    </row>
    <row r="678" spans="1:39" x14ac:dyDescent="0.35">
      <c r="A678" s="69" t="s">
        <v>4124</v>
      </c>
      <c r="B678" s="41">
        <v>1101403190</v>
      </c>
      <c r="C678" s="41"/>
      <c r="D678" s="69"/>
      <c r="E678" s="41">
        <v>0</v>
      </c>
      <c r="F678" s="41" t="s">
        <v>1961</v>
      </c>
      <c r="G678" s="69" t="s">
        <v>1960</v>
      </c>
      <c r="H678" s="41">
        <v>9010000031</v>
      </c>
      <c r="I678" s="41" t="s">
        <v>47</v>
      </c>
      <c r="J678" s="41">
        <v>1202010202</v>
      </c>
      <c r="K678" s="41"/>
      <c r="L678" s="52" t="s">
        <v>2169</v>
      </c>
      <c r="M678" s="69" t="s">
        <v>49</v>
      </c>
      <c r="N678" s="69"/>
      <c r="O678" s="69">
        <v>1</v>
      </c>
      <c r="P678" s="69" t="s">
        <v>50</v>
      </c>
      <c r="Q678" s="69" t="s">
        <v>51</v>
      </c>
      <c r="R678" s="69"/>
      <c r="S678" s="48">
        <v>43824</v>
      </c>
      <c r="T678" s="48">
        <v>43824</v>
      </c>
      <c r="U678" s="69"/>
      <c r="V678" s="69"/>
      <c r="W678" s="69"/>
      <c r="X678" s="69"/>
      <c r="Y678" s="69" t="s">
        <v>4126</v>
      </c>
      <c r="Z678" s="52">
        <v>81146</v>
      </c>
      <c r="AA678" s="43" t="s">
        <v>52</v>
      </c>
      <c r="AB678" s="43" t="s">
        <v>53</v>
      </c>
      <c r="AC678" s="85">
        <v>3650</v>
      </c>
      <c r="AD678" s="141">
        <v>10</v>
      </c>
      <c r="AE678" s="142">
        <v>0</v>
      </c>
      <c r="AF678" s="69" t="str">
        <f t="shared" si="108"/>
        <v>5 years 9 days</v>
      </c>
      <c r="AG678" s="69">
        <v>5</v>
      </c>
      <c r="AH678" s="69">
        <v>9</v>
      </c>
      <c r="AI678" s="69">
        <v>81146</v>
      </c>
      <c r="AJ678" s="67">
        <v>40773</v>
      </c>
      <c r="AK678" s="69">
        <v>2025</v>
      </c>
      <c r="AL678" s="61">
        <v>4024.038356164383</v>
      </c>
      <c r="AM678" s="143"/>
    </row>
    <row r="679" spans="1:39" x14ac:dyDescent="0.35">
      <c r="A679" s="69" t="s">
        <v>4124</v>
      </c>
      <c r="B679" s="41">
        <v>1151403263</v>
      </c>
      <c r="C679" s="41"/>
      <c r="D679" s="69"/>
      <c r="E679" s="41">
        <v>0</v>
      </c>
      <c r="F679" s="41" t="s">
        <v>1961</v>
      </c>
      <c r="G679" s="69" t="s">
        <v>1960</v>
      </c>
      <c r="H679" s="41">
        <v>9010000032</v>
      </c>
      <c r="I679" s="41" t="s">
        <v>47</v>
      </c>
      <c r="J679" s="41">
        <v>1202010202</v>
      </c>
      <c r="K679" s="41"/>
      <c r="L679" s="52" t="s">
        <v>2171</v>
      </c>
      <c r="M679" s="69" t="s">
        <v>2172</v>
      </c>
      <c r="N679" s="69"/>
      <c r="O679" s="69">
        <v>1</v>
      </c>
      <c r="P679" s="69" t="s">
        <v>50</v>
      </c>
      <c r="Q679" s="69" t="s">
        <v>51</v>
      </c>
      <c r="R679" s="69"/>
      <c r="S679" s="48">
        <v>43889</v>
      </c>
      <c r="T679" s="48">
        <v>43889</v>
      </c>
      <c r="U679" s="69"/>
      <c r="V679" s="69"/>
      <c r="W679" s="69"/>
      <c r="X679" s="69"/>
      <c r="Y679" s="69" t="s">
        <v>4127</v>
      </c>
      <c r="Z679" s="52">
        <v>24700</v>
      </c>
      <c r="AA679" s="43" t="s">
        <v>52</v>
      </c>
      <c r="AB679" s="43" t="s">
        <v>53</v>
      </c>
      <c r="AC679" s="85">
        <v>1825</v>
      </c>
      <c r="AD679" s="141">
        <v>5</v>
      </c>
      <c r="AE679" s="142">
        <v>0</v>
      </c>
      <c r="AF679" s="69" t="str">
        <f t="shared" si="108"/>
        <v>4 years 309 days</v>
      </c>
      <c r="AG679" s="69">
        <v>4</v>
      </c>
      <c r="AH679" s="69">
        <v>309</v>
      </c>
      <c r="AI679" s="69">
        <v>24700</v>
      </c>
      <c r="AJ679" s="67">
        <v>23942</v>
      </c>
      <c r="AK679" s="69">
        <v>2025</v>
      </c>
      <c r="AL679" s="61">
        <v>758</v>
      </c>
      <c r="AM679" s="143"/>
    </row>
    <row r="680" spans="1:39" x14ac:dyDescent="0.35">
      <c r="A680" s="69" t="s">
        <v>4124</v>
      </c>
      <c r="B680" s="41">
        <v>1101403277</v>
      </c>
      <c r="C680" s="41"/>
      <c r="D680" s="69"/>
      <c r="E680" s="41">
        <v>0</v>
      </c>
      <c r="F680" s="41" t="s">
        <v>1961</v>
      </c>
      <c r="G680" s="69" t="s">
        <v>1960</v>
      </c>
      <c r="H680" s="41">
        <v>9010000033</v>
      </c>
      <c r="I680" s="41" t="s">
        <v>47</v>
      </c>
      <c r="J680" s="41">
        <v>1202010202</v>
      </c>
      <c r="K680" s="41"/>
      <c r="L680" s="52" t="s">
        <v>2174</v>
      </c>
      <c r="M680" s="69" t="s">
        <v>2175</v>
      </c>
      <c r="N680" s="69"/>
      <c r="O680" s="69">
        <v>1</v>
      </c>
      <c r="P680" s="69" t="s">
        <v>50</v>
      </c>
      <c r="Q680" s="69" t="s">
        <v>51</v>
      </c>
      <c r="R680" s="69"/>
      <c r="S680" s="48">
        <v>43905</v>
      </c>
      <c r="T680" s="48">
        <v>43905</v>
      </c>
      <c r="U680" s="69"/>
      <c r="V680" s="69"/>
      <c r="W680" s="69"/>
      <c r="X680" s="69"/>
      <c r="Y680" s="69" t="s">
        <v>4127</v>
      </c>
      <c r="Z680" s="52">
        <v>90775</v>
      </c>
      <c r="AA680" s="43" t="s">
        <v>52</v>
      </c>
      <c r="AB680" s="43" t="s">
        <v>53</v>
      </c>
      <c r="AC680" s="85">
        <v>3650</v>
      </c>
      <c r="AD680" s="141">
        <v>10</v>
      </c>
      <c r="AE680" s="142">
        <v>0</v>
      </c>
      <c r="AF680" s="69" t="str">
        <f t="shared" si="108"/>
        <v>4 years 293 days</v>
      </c>
      <c r="AG680" s="69">
        <v>4</v>
      </c>
      <c r="AH680" s="69">
        <v>293</v>
      </c>
      <c r="AI680" s="69">
        <v>90775</v>
      </c>
      <c r="AJ680" s="67">
        <v>43597</v>
      </c>
      <c r="AK680" s="69">
        <v>2025</v>
      </c>
      <c r="AL680" s="61">
        <v>4501.3150684931461</v>
      </c>
      <c r="AM680" s="143"/>
    </row>
    <row r="681" spans="1:39" x14ac:dyDescent="0.35">
      <c r="A681" s="69" t="s">
        <v>4124</v>
      </c>
      <c r="B681" s="41">
        <v>1151403308</v>
      </c>
      <c r="C681" s="41"/>
      <c r="D681" s="69"/>
      <c r="E681" s="41">
        <v>0</v>
      </c>
      <c r="F681" s="41" t="s">
        <v>1961</v>
      </c>
      <c r="G681" s="69" t="s">
        <v>1960</v>
      </c>
      <c r="H681" s="41">
        <v>9010000034</v>
      </c>
      <c r="I681" s="41" t="s">
        <v>47</v>
      </c>
      <c r="J681" s="41">
        <v>1202010202</v>
      </c>
      <c r="K681" s="41"/>
      <c r="L681" s="52" t="s">
        <v>2177</v>
      </c>
      <c r="M681" s="69" t="s">
        <v>2178</v>
      </c>
      <c r="N681" s="69"/>
      <c r="O681" s="69">
        <v>1</v>
      </c>
      <c r="P681" s="69" t="s">
        <v>50</v>
      </c>
      <c r="Q681" s="69" t="s">
        <v>51</v>
      </c>
      <c r="R681" s="69"/>
      <c r="S681" s="48">
        <v>43985</v>
      </c>
      <c r="T681" s="48">
        <v>43985</v>
      </c>
      <c r="U681" s="69"/>
      <c r="V681" s="69"/>
      <c r="W681" s="69"/>
      <c r="X681" s="69"/>
      <c r="Y681" s="69" t="s">
        <v>4127</v>
      </c>
      <c r="Z681" s="52">
        <v>107650</v>
      </c>
      <c r="AA681" s="43" t="s">
        <v>52</v>
      </c>
      <c r="AB681" s="43" t="s">
        <v>53</v>
      </c>
      <c r="AC681" s="85">
        <v>1825</v>
      </c>
      <c r="AD681" s="141">
        <v>5</v>
      </c>
      <c r="AE681" s="142">
        <v>0</v>
      </c>
      <c r="AF681" s="69" t="str">
        <f t="shared" si="108"/>
        <v>4 years 213 days</v>
      </c>
      <c r="AG681" s="69">
        <v>4</v>
      </c>
      <c r="AH681" s="69">
        <v>213</v>
      </c>
      <c r="AI681" s="69">
        <v>107650</v>
      </c>
      <c r="AJ681" s="67">
        <v>98684</v>
      </c>
      <c r="AK681" s="69">
        <v>2025</v>
      </c>
      <c r="AL681" s="61">
        <v>8966</v>
      </c>
      <c r="AM681" s="143"/>
    </row>
    <row r="682" spans="1:39" x14ac:dyDescent="0.35">
      <c r="A682" s="69" t="s">
        <v>4124</v>
      </c>
      <c r="B682" s="41">
        <v>1151403346</v>
      </c>
      <c r="C682" s="41"/>
      <c r="D682" s="69"/>
      <c r="E682" s="41">
        <v>0</v>
      </c>
      <c r="F682" s="41" t="s">
        <v>1961</v>
      </c>
      <c r="G682" s="69" t="s">
        <v>1960</v>
      </c>
      <c r="H682" s="41">
        <v>9010000035</v>
      </c>
      <c r="I682" s="41" t="s">
        <v>47</v>
      </c>
      <c r="J682" s="41">
        <v>1202010202</v>
      </c>
      <c r="K682" s="41"/>
      <c r="L682" s="52" t="s">
        <v>2180</v>
      </c>
      <c r="M682" s="69" t="s">
        <v>2181</v>
      </c>
      <c r="N682" s="69"/>
      <c r="O682" s="69">
        <v>1</v>
      </c>
      <c r="P682" s="69" t="s">
        <v>50</v>
      </c>
      <c r="Q682" s="69" t="s">
        <v>51</v>
      </c>
      <c r="R682" s="69"/>
      <c r="S682" s="48">
        <v>44034</v>
      </c>
      <c r="T682" s="48">
        <v>44034</v>
      </c>
      <c r="U682" s="69"/>
      <c r="V682" s="69"/>
      <c r="W682" s="69"/>
      <c r="X682" s="69"/>
      <c r="Y682" s="69" t="s">
        <v>4127</v>
      </c>
      <c r="Z682" s="52">
        <v>2298</v>
      </c>
      <c r="AA682" s="43" t="s">
        <v>52</v>
      </c>
      <c r="AB682" s="43" t="s">
        <v>53</v>
      </c>
      <c r="AC682" s="85">
        <v>1825</v>
      </c>
      <c r="AD682" s="141">
        <v>5</v>
      </c>
      <c r="AE682" s="142">
        <v>0</v>
      </c>
      <c r="AF682" s="69" t="str">
        <f t="shared" si="108"/>
        <v>4 years 164 days</v>
      </c>
      <c r="AG682" s="69">
        <v>4</v>
      </c>
      <c r="AH682" s="69">
        <v>164</v>
      </c>
      <c r="AI682" s="69">
        <v>2298</v>
      </c>
      <c r="AJ682" s="67">
        <v>2298</v>
      </c>
      <c r="AK682" s="69">
        <v>2025</v>
      </c>
      <c r="AL682" s="61">
        <v>0</v>
      </c>
      <c r="AM682" s="143"/>
    </row>
    <row r="683" spans="1:39" x14ac:dyDescent="0.35">
      <c r="A683" s="69" t="s">
        <v>4124</v>
      </c>
      <c r="B683" s="41">
        <v>1151403379</v>
      </c>
      <c r="C683" s="41"/>
      <c r="D683" s="69"/>
      <c r="E683" s="41">
        <v>0</v>
      </c>
      <c r="F683" s="41" t="s">
        <v>1961</v>
      </c>
      <c r="G683" s="69" t="s">
        <v>1960</v>
      </c>
      <c r="H683" s="41">
        <v>9010000036</v>
      </c>
      <c r="I683" s="41" t="s">
        <v>47</v>
      </c>
      <c r="J683" s="41">
        <v>1202010202</v>
      </c>
      <c r="K683" s="41"/>
      <c r="L683" s="52" t="s">
        <v>2183</v>
      </c>
      <c r="M683" s="69" t="s">
        <v>2184</v>
      </c>
      <c r="N683" s="69"/>
      <c r="O683" s="69">
        <v>1</v>
      </c>
      <c r="P683" s="69" t="s">
        <v>50</v>
      </c>
      <c r="Q683" s="69" t="s">
        <v>51</v>
      </c>
      <c r="R683" s="69"/>
      <c r="S683" s="48">
        <v>44076</v>
      </c>
      <c r="T683" s="48">
        <v>44076</v>
      </c>
      <c r="U683" s="69"/>
      <c r="V683" s="69"/>
      <c r="W683" s="69"/>
      <c r="X683" s="69"/>
      <c r="Y683" s="69" t="s">
        <v>4127</v>
      </c>
      <c r="Z683" s="52">
        <v>59000</v>
      </c>
      <c r="AA683" s="43" t="s">
        <v>52</v>
      </c>
      <c r="AB683" s="43" t="s">
        <v>53</v>
      </c>
      <c r="AC683" s="85">
        <v>1825</v>
      </c>
      <c r="AD683" s="141">
        <v>5</v>
      </c>
      <c r="AE683" s="142">
        <v>0</v>
      </c>
      <c r="AF683" s="69" t="str">
        <f t="shared" si="108"/>
        <v>4 years 122 days</v>
      </c>
      <c r="AG683" s="69">
        <v>4</v>
      </c>
      <c r="AH683" s="69">
        <v>122</v>
      </c>
      <c r="AI683" s="69">
        <v>59000</v>
      </c>
      <c r="AJ683" s="67">
        <v>51144</v>
      </c>
      <c r="AK683" s="69">
        <v>2025</v>
      </c>
      <c r="AL683" s="61">
        <v>5851.61643835617</v>
      </c>
      <c r="AM683" s="143"/>
    </row>
    <row r="684" spans="1:39" x14ac:dyDescent="0.35">
      <c r="A684" s="69" t="s">
        <v>4124</v>
      </c>
      <c r="B684" s="41">
        <v>1101403652</v>
      </c>
      <c r="C684" s="41"/>
      <c r="D684" s="69"/>
      <c r="E684" s="41">
        <v>0</v>
      </c>
      <c r="F684" s="41" t="s">
        <v>1961</v>
      </c>
      <c r="G684" s="69" t="s">
        <v>1960</v>
      </c>
      <c r="H684" s="41">
        <v>9010000037</v>
      </c>
      <c r="I684" s="41" t="s">
        <v>47</v>
      </c>
      <c r="J684" s="41">
        <v>1202010202</v>
      </c>
      <c r="K684" s="41"/>
      <c r="L684" s="52" t="s">
        <v>2186</v>
      </c>
      <c r="M684" s="69" t="s">
        <v>2187</v>
      </c>
      <c r="N684" s="69"/>
      <c r="O684" s="69">
        <v>1</v>
      </c>
      <c r="P684" s="69" t="s">
        <v>50</v>
      </c>
      <c r="Q684" s="69" t="s">
        <v>51</v>
      </c>
      <c r="R684" s="69"/>
      <c r="S684" s="48">
        <v>44311</v>
      </c>
      <c r="T684" s="48">
        <v>44311</v>
      </c>
      <c r="U684" s="69"/>
      <c r="V684" s="69"/>
      <c r="W684" s="69"/>
      <c r="X684" s="69"/>
      <c r="Y684" s="69" t="s">
        <v>4128</v>
      </c>
      <c r="Z684" s="52">
        <v>30200</v>
      </c>
      <c r="AA684" s="43" t="s">
        <v>52</v>
      </c>
      <c r="AB684" s="43" t="s">
        <v>53</v>
      </c>
      <c r="AC684" s="85">
        <v>3650</v>
      </c>
      <c r="AD684" s="141">
        <v>10</v>
      </c>
      <c r="AE684" s="142">
        <v>0</v>
      </c>
      <c r="AF684" s="69" t="str">
        <f t="shared" si="108"/>
        <v>3 years 252 days</v>
      </c>
      <c r="AG684" s="69">
        <v>3</v>
      </c>
      <c r="AH684" s="69">
        <v>252</v>
      </c>
      <c r="AI684" s="69">
        <v>30200</v>
      </c>
      <c r="AJ684" s="67">
        <v>11145</v>
      </c>
      <c r="AK684" s="69">
        <v>2025</v>
      </c>
      <c r="AL684" s="61">
        <v>1497.6301369863013</v>
      </c>
      <c r="AM684" s="143"/>
    </row>
    <row r="685" spans="1:39" x14ac:dyDescent="0.35">
      <c r="A685" s="69" t="s">
        <v>4124</v>
      </c>
      <c r="B685" s="41">
        <v>1151404024</v>
      </c>
      <c r="C685" s="41"/>
      <c r="D685" s="69"/>
      <c r="E685" s="41">
        <v>0</v>
      </c>
      <c r="F685" s="41" t="s">
        <v>1961</v>
      </c>
      <c r="G685" s="69" t="s">
        <v>1960</v>
      </c>
      <c r="H685" s="41">
        <v>9010000038</v>
      </c>
      <c r="I685" s="41" t="s">
        <v>47</v>
      </c>
      <c r="J685" s="41">
        <v>1202010202</v>
      </c>
      <c r="K685" s="41"/>
      <c r="L685" s="52" t="s">
        <v>2189</v>
      </c>
      <c r="M685" s="69" t="s">
        <v>2190</v>
      </c>
      <c r="N685" s="69"/>
      <c r="O685" s="69">
        <v>1</v>
      </c>
      <c r="P685" s="69" t="s">
        <v>50</v>
      </c>
      <c r="Q685" s="69" t="s">
        <v>51</v>
      </c>
      <c r="R685" s="69"/>
      <c r="S685" s="48">
        <v>44621</v>
      </c>
      <c r="T685" s="48">
        <v>44621</v>
      </c>
      <c r="U685" s="69"/>
      <c r="V685" s="69"/>
      <c r="W685" s="69"/>
      <c r="X685" s="69"/>
      <c r="Y685" s="69" t="s">
        <v>4131</v>
      </c>
      <c r="Z685" s="52">
        <v>10600</v>
      </c>
      <c r="AA685" s="43" t="s">
        <v>52</v>
      </c>
      <c r="AB685" s="43" t="s">
        <v>53</v>
      </c>
      <c r="AC685" s="85">
        <v>1825</v>
      </c>
      <c r="AD685" s="141">
        <v>5</v>
      </c>
      <c r="AE685" s="142">
        <v>0</v>
      </c>
      <c r="AF685" s="69" t="str">
        <f t="shared" si="108"/>
        <v>2 years 307 days</v>
      </c>
      <c r="AG685" s="69">
        <v>2</v>
      </c>
      <c r="AH685" s="69">
        <v>307</v>
      </c>
      <c r="AI685" s="69">
        <v>10600</v>
      </c>
      <c r="AJ685" s="67">
        <v>5933</v>
      </c>
      <c r="AK685" s="69">
        <v>2025</v>
      </c>
      <c r="AL685" s="61">
        <v>1051.3835616438364</v>
      </c>
      <c r="AM685" s="143"/>
    </row>
    <row r="686" spans="1:39" x14ac:dyDescent="0.35">
      <c r="A686" s="69" t="s">
        <v>4124</v>
      </c>
      <c r="B686" s="41">
        <v>1101404538</v>
      </c>
      <c r="C686" s="41"/>
      <c r="D686" s="69"/>
      <c r="E686" s="41">
        <v>0</v>
      </c>
      <c r="F686" s="41" t="s">
        <v>1961</v>
      </c>
      <c r="G686" s="69" t="s">
        <v>1960</v>
      </c>
      <c r="H686" s="41">
        <v>9010000039</v>
      </c>
      <c r="I686" s="41" t="s">
        <v>47</v>
      </c>
      <c r="J686" s="41">
        <v>1202010202</v>
      </c>
      <c r="K686" s="41"/>
      <c r="L686" s="52" t="s">
        <v>2192</v>
      </c>
      <c r="M686" s="69" t="s">
        <v>2193</v>
      </c>
      <c r="N686" s="69"/>
      <c r="O686" s="69">
        <v>1</v>
      </c>
      <c r="P686" s="69" t="s">
        <v>50</v>
      </c>
      <c r="Q686" s="69" t="s">
        <v>51</v>
      </c>
      <c r="R686" s="69"/>
      <c r="S686" s="48">
        <v>44910</v>
      </c>
      <c r="T686" s="48">
        <v>44910</v>
      </c>
      <c r="U686" s="69"/>
      <c r="V686" s="69"/>
      <c r="W686" s="69"/>
      <c r="X686" s="69"/>
      <c r="Y686" s="69" t="s">
        <v>4131</v>
      </c>
      <c r="Z686" s="52">
        <v>157500</v>
      </c>
      <c r="AA686" s="43" t="s">
        <v>52</v>
      </c>
      <c r="AB686" s="43" t="s">
        <v>53</v>
      </c>
      <c r="AC686" s="85">
        <v>3650</v>
      </c>
      <c r="AD686" s="141">
        <v>10</v>
      </c>
      <c r="AE686" s="142">
        <v>0</v>
      </c>
      <c r="AF686" s="69" t="str">
        <f t="shared" si="108"/>
        <v>2 years 18 days</v>
      </c>
      <c r="AG686" s="69">
        <v>2</v>
      </c>
      <c r="AH686" s="69">
        <v>18</v>
      </c>
      <c r="AI686" s="69">
        <v>157500</v>
      </c>
      <c r="AJ686" s="67">
        <v>32277</v>
      </c>
      <c r="AK686" s="69">
        <v>2025</v>
      </c>
      <c r="AL686" s="61">
        <v>7809.9863013698559</v>
      </c>
      <c r="AM686" s="143"/>
    </row>
    <row r="687" spans="1:39" x14ac:dyDescent="0.35">
      <c r="A687" s="69" t="s">
        <v>4124</v>
      </c>
      <c r="B687" s="41">
        <v>1151404539</v>
      </c>
      <c r="C687" s="41"/>
      <c r="D687" s="69"/>
      <c r="E687" s="41">
        <v>0</v>
      </c>
      <c r="F687" s="41" t="s">
        <v>1961</v>
      </c>
      <c r="G687" s="69" t="s">
        <v>1960</v>
      </c>
      <c r="H687" s="41">
        <v>9010000040</v>
      </c>
      <c r="I687" s="41" t="s">
        <v>47</v>
      </c>
      <c r="J687" s="41">
        <v>1202010202</v>
      </c>
      <c r="K687" s="41"/>
      <c r="L687" s="52" t="s">
        <v>2195</v>
      </c>
      <c r="M687" s="69" t="s">
        <v>2196</v>
      </c>
      <c r="N687" s="69"/>
      <c r="O687" s="69">
        <v>2668</v>
      </c>
      <c r="P687" s="69" t="s">
        <v>50</v>
      </c>
      <c r="Q687" s="69" t="s">
        <v>51</v>
      </c>
      <c r="R687" s="69"/>
      <c r="S687" s="48">
        <v>44910</v>
      </c>
      <c r="T687" s="48">
        <v>44910</v>
      </c>
      <c r="U687" s="69"/>
      <c r="V687" s="69"/>
      <c r="W687" s="69"/>
      <c r="X687" s="69"/>
      <c r="Y687" s="69" t="s">
        <v>4131</v>
      </c>
      <c r="Z687" s="52">
        <v>133483</v>
      </c>
      <c r="AA687" s="43" t="s">
        <v>52</v>
      </c>
      <c r="AB687" s="43" t="s">
        <v>53</v>
      </c>
      <c r="AC687" s="85">
        <v>1825</v>
      </c>
      <c r="AD687" s="141">
        <v>5</v>
      </c>
      <c r="AE687" s="142">
        <v>0</v>
      </c>
      <c r="AF687" s="69" t="str">
        <f t="shared" si="108"/>
        <v>2 years 18 days</v>
      </c>
      <c r="AG687" s="69">
        <v>2</v>
      </c>
      <c r="AH687" s="69">
        <v>18</v>
      </c>
      <c r="AI687" s="69">
        <v>133483</v>
      </c>
      <c r="AJ687" s="67">
        <v>54710</v>
      </c>
      <c r="AK687" s="69">
        <v>2025</v>
      </c>
      <c r="AL687" s="61">
        <v>13238.332602739727</v>
      </c>
      <c r="AM687" s="143"/>
    </row>
    <row r="688" spans="1:39" x14ac:dyDescent="0.35">
      <c r="A688" s="69" t="s">
        <v>4124</v>
      </c>
      <c r="B688" s="41">
        <v>1151404491</v>
      </c>
      <c r="C688" s="41"/>
      <c r="D688" s="69"/>
      <c r="E688" s="41">
        <v>0</v>
      </c>
      <c r="F688" s="41" t="s">
        <v>1961</v>
      </c>
      <c r="G688" s="69" t="s">
        <v>1960</v>
      </c>
      <c r="H688" s="41">
        <v>9010000041</v>
      </c>
      <c r="I688" s="41" t="s">
        <v>47</v>
      </c>
      <c r="J688" s="41">
        <v>1202010202</v>
      </c>
      <c r="K688" s="41"/>
      <c r="L688" s="52" t="s">
        <v>2198</v>
      </c>
      <c r="M688" s="69" t="s">
        <v>2199</v>
      </c>
      <c r="N688" s="69"/>
      <c r="O688" s="69">
        <v>1</v>
      </c>
      <c r="P688" s="69" t="s">
        <v>50</v>
      </c>
      <c r="Q688" s="69" t="s">
        <v>51</v>
      </c>
      <c r="R688" s="69"/>
      <c r="S688" s="48">
        <v>44896</v>
      </c>
      <c r="T688" s="48">
        <v>44896</v>
      </c>
      <c r="U688" s="69"/>
      <c r="V688" s="69"/>
      <c r="W688" s="69"/>
      <c r="X688" s="69"/>
      <c r="Y688" s="69" t="s">
        <v>4131</v>
      </c>
      <c r="Z688" s="52">
        <v>39999</v>
      </c>
      <c r="AA688" s="43" t="s">
        <v>52</v>
      </c>
      <c r="AB688" s="43" t="s">
        <v>53</v>
      </c>
      <c r="AC688" s="85">
        <v>1825</v>
      </c>
      <c r="AD688" s="141">
        <v>5</v>
      </c>
      <c r="AE688" s="142">
        <v>0</v>
      </c>
      <c r="AF688" s="69" t="str">
        <f t="shared" si="108"/>
        <v>2 years 32 days</v>
      </c>
      <c r="AG688" s="69">
        <v>2</v>
      </c>
      <c r="AH688" s="69">
        <v>32</v>
      </c>
      <c r="AI688" s="69">
        <v>39999</v>
      </c>
      <c r="AJ688" s="67">
        <v>16701</v>
      </c>
      <c r="AK688" s="69">
        <v>2025</v>
      </c>
      <c r="AL688" s="61">
        <v>3966.9764383561669</v>
      </c>
      <c r="AM688" s="143"/>
    </row>
    <row r="689" spans="1:39" x14ac:dyDescent="0.35">
      <c r="A689" s="69" t="s">
        <v>4124</v>
      </c>
      <c r="B689" s="41">
        <v>1101404543</v>
      </c>
      <c r="C689" s="41"/>
      <c r="D689" s="69"/>
      <c r="E689" s="41">
        <v>0</v>
      </c>
      <c r="F689" s="41" t="s">
        <v>1961</v>
      </c>
      <c r="G689" s="69" t="s">
        <v>1960</v>
      </c>
      <c r="H689" s="41">
        <v>9010000042</v>
      </c>
      <c r="I689" s="41" t="s">
        <v>47</v>
      </c>
      <c r="J689" s="41">
        <v>1202010202</v>
      </c>
      <c r="K689" s="41"/>
      <c r="L689" s="52" t="s">
        <v>2201</v>
      </c>
      <c r="M689" s="69" t="s">
        <v>2202</v>
      </c>
      <c r="N689" s="69"/>
      <c r="O689" s="69">
        <v>1</v>
      </c>
      <c r="P689" s="69" t="s">
        <v>50</v>
      </c>
      <c r="Q689" s="69" t="s">
        <v>51</v>
      </c>
      <c r="R689" s="69"/>
      <c r="S689" s="48">
        <v>44910</v>
      </c>
      <c r="T689" s="48">
        <v>44910</v>
      </c>
      <c r="U689" s="69"/>
      <c r="V689" s="69"/>
      <c r="W689" s="69"/>
      <c r="X689" s="69"/>
      <c r="Y689" s="69" t="s">
        <v>4131</v>
      </c>
      <c r="Z689" s="52">
        <v>59103.5</v>
      </c>
      <c r="AA689" s="43" t="s">
        <v>52</v>
      </c>
      <c r="AB689" s="43" t="s">
        <v>53</v>
      </c>
      <c r="AC689" s="85">
        <v>3650</v>
      </c>
      <c r="AD689" s="141">
        <v>10</v>
      </c>
      <c r="AE689" s="142">
        <v>0</v>
      </c>
      <c r="AF689" s="69" t="str">
        <f t="shared" si="108"/>
        <v>2 years 18 days</v>
      </c>
      <c r="AG689" s="69">
        <v>2</v>
      </c>
      <c r="AH689" s="69">
        <v>18</v>
      </c>
      <c r="AI689" s="69">
        <v>59103.5</v>
      </c>
      <c r="AJ689" s="67">
        <v>12112</v>
      </c>
      <c r="AK689" s="69">
        <v>2025</v>
      </c>
      <c r="AL689" s="61">
        <v>2931.0698630136976</v>
      </c>
      <c r="AM689" s="143"/>
    </row>
    <row r="690" spans="1:39" x14ac:dyDescent="0.35">
      <c r="A690" s="69" t="s">
        <v>4124</v>
      </c>
      <c r="B690" s="41">
        <v>1101404545</v>
      </c>
      <c r="C690" s="41"/>
      <c r="D690" s="69"/>
      <c r="E690" s="41">
        <v>0</v>
      </c>
      <c r="F690" s="41" t="s">
        <v>1961</v>
      </c>
      <c r="G690" s="69" t="s">
        <v>1960</v>
      </c>
      <c r="H690" s="41">
        <v>9010000043</v>
      </c>
      <c r="I690" s="41" t="s">
        <v>47</v>
      </c>
      <c r="J690" s="41">
        <v>1202010202</v>
      </c>
      <c r="K690" s="41"/>
      <c r="L690" s="52" t="s">
        <v>2204</v>
      </c>
      <c r="M690" s="69" t="s">
        <v>2205</v>
      </c>
      <c r="N690" s="69"/>
      <c r="O690" s="69">
        <v>1</v>
      </c>
      <c r="P690" s="69" t="s">
        <v>50</v>
      </c>
      <c r="Q690" s="69" t="s">
        <v>51</v>
      </c>
      <c r="R690" s="69"/>
      <c r="S690" s="48">
        <v>44910</v>
      </c>
      <c r="T690" s="48">
        <v>44910</v>
      </c>
      <c r="U690" s="69"/>
      <c r="V690" s="69"/>
      <c r="W690" s="69"/>
      <c r="X690" s="69"/>
      <c r="Y690" s="69" t="s">
        <v>4131</v>
      </c>
      <c r="Z690" s="52">
        <v>539803.4</v>
      </c>
      <c r="AA690" s="43" t="s">
        <v>52</v>
      </c>
      <c r="AB690" s="43" t="s">
        <v>53</v>
      </c>
      <c r="AC690" s="85">
        <v>3650</v>
      </c>
      <c r="AD690" s="141">
        <v>10</v>
      </c>
      <c r="AE690" s="142">
        <v>0</v>
      </c>
      <c r="AF690" s="69" t="str">
        <f t="shared" si="108"/>
        <v>2 years 18 days</v>
      </c>
      <c r="AG690" s="69">
        <v>2</v>
      </c>
      <c r="AH690" s="69">
        <v>18</v>
      </c>
      <c r="AI690" s="69">
        <v>539803.4</v>
      </c>
      <c r="AJ690" s="67">
        <v>110623</v>
      </c>
      <c r="AK690" s="69">
        <v>2025</v>
      </c>
      <c r="AL690" s="61">
        <v>26768.045424657525</v>
      </c>
      <c r="AM690" s="143"/>
    </row>
    <row r="691" spans="1:39" x14ac:dyDescent="0.35">
      <c r="A691" s="69" t="s">
        <v>4124</v>
      </c>
      <c r="B691" s="41">
        <v>1101404547</v>
      </c>
      <c r="C691" s="41"/>
      <c r="D691" s="69"/>
      <c r="E691" s="41">
        <v>0</v>
      </c>
      <c r="F691" s="41" t="s">
        <v>1961</v>
      </c>
      <c r="G691" s="69" t="s">
        <v>1960</v>
      </c>
      <c r="H691" s="41">
        <v>9010000044</v>
      </c>
      <c r="I691" s="41" t="s">
        <v>47</v>
      </c>
      <c r="J691" s="41">
        <v>1202010202</v>
      </c>
      <c r="K691" s="41"/>
      <c r="L691" s="52" t="s">
        <v>2207</v>
      </c>
      <c r="M691" s="69" t="s">
        <v>2208</v>
      </c>
      <c r="N691" s="69"/>
      <c r="O691" s="69">
        <v>1</v>
      </c>
      <c r="P691" s="69" t="s">
        <v>50</v>
      </c>
      <c r="Q691" s="69" t="s">
        <v>51</v>
      </c>
      <c r="R691" s="69"/>
      <c r="S691" s="48">
        <v>44910</v>
      </c>
      <c r="T691" s="48">
        <v>44910</v>
      </c>
      <c r="U691" s="69"/>
      <c r="V691" s="69"/>
      <c r="W691" s="69"/>
      <c r="X691" s="69"/>
      <c r="Y691" s="69" t="s">
        <v>4131</v>
      </c>
      <c r="Z691" s="52">
        <v>2356838.48</v>
      </c>
      <c r="AA691" s="43" t="s">
        <v>52</v>
      </c>
      <c r="AB691" s="43" t="s">
        <v>53</v>
      </c>
      <c r="AC691" s="85">
        <v>3650</v>
      </c>
      <c r="AD691" s="141">
        <v>10</v>
      </c>
      <c r="AE691" s="142">
        <v>0</v>
      </c>
      <c r="AF691" s="69" t="str">
        <f t="shared" si="108"/>
        <v>2 years 18 days</v>
      </c>
      <c r="AG691" s="69">
        <v>2</v>
      </c>
      <c r="AH691" s="69">
        <v>18</v>
      </c>
      <c r="AI691" s="69">
        <v>2356838.48</v>
      </c>
      <c r="AJ691" s="67">
        <v>482990</v>
      </c>
      <c r="AK691" s="69">
        <v>2025</v>
      </c>
      <c r="AL691" s="61">
        <v>116873.80727671226</v>
      </c>
      <c r="AM691" s="143"/>
    </row>
    <row r="692" spans="1:39" x14ac:dyDescent="0.35">
      <c r="A692" s="69" t="s">
        <v>4124</v>
      </c>
      <c r="B692" s="41">
        <v>1151404691</v>
      </c>
      <c r="C692" s="41"/>
      <c r="D692" s="69"/>
      <c r="E692" s="41">
        <v>0</v>
      </c>
      <c r="F692" s="41" t="s">
        <v>1961</v>
      </c>
      <c r="G692" s="69" t="s">
        <v>1960</v>
      </c>
      <c r="H692" s="41">
        <v>9010000045</v>
      </c>
      <c r="I692" s="41" t="s">
        <v>47</v>
      </c>
      <c r="J692" s="41">
        <v>1202010202</v>
      </c>
      <c r="K692" s="41"/>
      <c r="L692" s="52" t="s">
        <v>2210</v>
      </c>
      <c r="M692" s="69" t="s">
        <v>2211</v>
      </c>
      <c r="N692" s="69"/>
      <c r="O692" s="69">
        <v>1</v>
      </c>
      <c r="P692" s="69" t="s">
        <v>50</v>
      </c>
      <c r="Q692" s="69" t="s">
        <v>51</v>
      </c>
      <c r="R692" s="69"/>
      <c r="S692" s="48">
        <v>45010</v>
      </c>
      <c r="T692" s="48">
        <v>45010</v>
      </c>
      <c r="U692" s="69"/>
      <c r="V692" s="69"/>
      <c r="W692" s="69"/>
      <c r="X692" s="69"/>
      <c r="Y692" s="69" t="s">
        <v>4129</v>
      </c>
      <c r="Z692" s="52">
        <v>893909</v>
      </c>
      <c r="AA692" s="43" t="s">
        <v>52</v>
      </c>
      <c r="AB692" s="43" t="s">
        <v>53</v>
      </c>
      <c r="AC692" s="85">
        <v>1825</v>
      </c>
      <c r="AD692" s="141">
        <v>5</v>
      </c>
      <c r="AE692" s="142">
        <v>0</v>
      </c>
      <c r="AF692" s="69" t="str">
        <f t="shared" si="108"/>
        <v>1 years 283 days</v>
      </c>
      <c r="AG692" s="69">
        <v>1</v>
      </c>
      <c r="AH692" s="69">
        <v>283</v>
      </c>
      <c r="AI692" s="69">
        <v>893909</v>
      </c>
      <c r="AJ692" s="67">
        <v>317399</v>
      </c>
      <c r="AK692" s="69">
        <v>2025</v>
      </c>
      <c r="AL692" s="61">
        <v>88656.101917808177</v>
      </c>
      <c r="AM692" s="143"/>
    </row>
    <row r="693" spans="1:39" x14ac:dyDescent="0.35">
      <c r="A693" s="69" t="s">
        <v>4124</v>
      </c>
      <c r="B693" s="41">
        <v>1101404649</v>
      </c>
      <c r="C693" s="41"/>
      <c r="D693" s="69"/>
      <c r="E693" s="41">
        <v>0</v>
      </c>
      <c r="F693" s="41" t="s">
        <v>1961</v>
      </c>
      <c r="G693" s="69" t="s">
        <v>1960</v>
      </c>
      <c r="H693" s="41">
        <v>9010000046</v>
      </c>
      <c r="I693" s="41" t="s">
        <v>47</v>
      </c>
      <c r="J693" s="41">
        <v>1202010202</v>
      </c>
      <c r="K693" s="41"/>
      <c r="L693" s="52" t="s">
        <v>2213</v>
      </c>
      <c r="M693" s="69" t="s">
        <v>2214</v>
      </c>
      <c r="N693" s="69"/>
      <c r="O693" s="69">
        <v>1</v>
      </c>
      <c r="P693" s="69" t="s">
        <v>50</v>
      </c>
      <c r="Q693" s="69" t="s">
        <v>51</v>
      </c>
      <c r="R693" s="69"/>
      <c r="S693" s="48">
        <v>44986</v>
      </c>
      <c r="T693" s="48">
        <v>44986</v>
      </c>
      <c r="U693" s="69"/>
      <c r="V693" s="69"/>
      <c r="W693" s="69"/>
      <c r="X693" s="69"/>
      <c r="Y693" s="69" t="s">
        <v>4129</v>
      </c>
      <c r="Z693" s="52">
        <v>26891</v>
      </c>
      <c r="AA693" s="43" t="s">
        <v>52</v>
      </c>
      <c r="AB693" s="43" t="s">
        <v>53</v>
      </c>
      <c r="AC693" s="85">
        <v>3650</v>
      </c>
      <c r="AD693" s="141">
        <v>10</v>
      </c>
      <c r="AE693" s="142">
        <v>0</v>
      </c>
      <c r="AF693" s="69" t="str">
        <f t="shared" si="108"/>
        <v>1 years 307 days</v>
      </c>
      <c r="AG693" s="69">
        <v>1</v>
      </c>
      <c r="AH693" s="69">
        <v>307</v>
      </c>
      <c r="AI693" s="69">
        <v>26891</v>
      </c>
      <c r="AJ693" s="67">
        <v>4951</v>
      </c>
      <c r="AK693" s="69">
        <v>2025</v>
      </c>
      <c r="AL693" s="61">
        <v>1333.3898630136982</v>
      </c>
      <c r="AM693" s="143"/>
    </row>
    <row r="694" spans="1:39" x14ac:dyDescent="0.35">
      <c r="A694" s="69" t="s">
        <v>4124</v>
      </c>
      <c r="B694" s="41">
        <v>1101404650</v>
      </c>
      <c r="C694" s="41"/>
      <c r="D694" s="69"/>
      <c r="E694" s="41">
        <v>0</v>
      </c>
      <c r="F694" s="41" t="s">
        <v>1961</v>
      </c>
      <c r="G694" s="69" t="s">
        <v>1960</v>
      </c>
      <c r="H694" s="41">
        <v>9010000047</v>
      </c>
      <c r="I694" s="41" t="s">
        <v>47</v>
      </c>
      <c r="J694" s="41">
        <v>1202010202</v>
      </c>
      <c r="K694" s="41"/>
      <c r="L694" s="52" t="s">
        <v>2216</v>
      </c>
      <c r="M694" s="69" t="s">
        <v>932</v>
      </c>
      <c r="N694" s="69"/>
      <c r="O694" s="69">
        <v>1</v>
      </c>
      <c r="P694" s="69" t="s">
        <v>50</v>
      </c>
      <c r="Q694" s="69" t="s">
        <v>51</v>
      </c>
      <c r="R694" s="69"/>
      <c r="S694" s="48">
        <v>44986</v>
      </c>
      <c r="T694" s="48">
        <v>44986</v>
      </c>
      <c r="U694" s="69"/>
      <c r="V694" s="69"/>
      <c r="W694" s="69"/>
      <c r="X694" s="69"/>
      <c r="Y694" s="69" t="s">
        <v>4129</v>
      </c>
      <c r="Z694" s="52">
        <v>29234</v>
      </c>
      <c r="AA694" s="43" t="s">
        <v>52</v>
      </c>
      <c r="AB694" s="43" t="s">
        <v>53</v>
      </c>
      <c r="AC694" s="85">
        <v>3650</v>
      </c>
      <c r="AD694" s="141">
        <v>10</v>
      </c>
      <c r="AE694" s="142">
        <v>0</v>
      </c>
      <c r="AF694" s="69" t="str">
        <f t="shared" si="108"/>
        <v>1 years 307 days</v>
      </c>
      <c r="AG694" s="69">
        <v>1</v>
      </c>
      <c r="AH694" s="69">
        <v>307</v>
      </c>
      <c r="AI694" s="69">
        <v>29234</v>
      </c>
      <c r="AJ694" s="67">
        <v>5382</v>
      </c>
      <c r="AK694" s="69">
        <v>2025</v>
      </c>
      <c r="AL694" s="61">
        <v>1449.9457534246567</v>
      </c>
      <c r="AM694" s="143"/>
    </row>
    <row r="695" spans="1:39" x14ac:dyDescent="0.35">
      <c r="A695" s="69" t="s">
        <v>4124</v>
      </c>
      <c r="B695" s="41">
        <v>1101404758</v>
      </c>
      <c r="C695" s="41"/>
      <c r="D695" s="69"/>
      <c r="E695" s="41">
        <v>0</v>
      </c>
      <c r="F695" s="41" t="s">
        <v>1961</v>
      </c>
      <c r="G695" s="69" t="s">
        <v>1960</v>
      </c>
      <c r="H695" s="41">
        <v>9010000048</v>
      </c>
      <c r="I695" s="41" t="s">
        <v>47</v>
      </c>
      <c r="J695" s="41">
        <v>1202010202</v>
      </c>
      <c r="K695" s="41"/>
      <c r="L695" s="52" t="s">
        <v>2218</v>
      </c>
      <c r="M695" s="69" t="s">
        <v>2219</v>
      </c>
      <c r="N695" s="69"/>
      <c r="O695" s="69">
        <v>1</v>
      </c>
      <c r="P695" s="69" t="s">
        <v>50</v>
      </c>
      <c r="Q695" s="69" t="s">
        <v>51</v>
      </c>
      <c r="R695" s="69"/>
      <c r="S695" s="48">
        <v>45066</v>
      </c>
      <c r="T695" s="48">
        <v>45066</v>
      </c>
      <c r="U695" s="69"/>
      <c r="V695" s="69"/>
      <c r="W695" s="69"/>
      <c r="X695" s="69"/>
      <c r="Y695" s="69" t="s">
        <v>4129</v>
      </c>
      <c r="Z695" s="52">
        <v>66093.75</v>
      </c>
      <c r="AA695" s="43" t="s">
        <v>52</v>
      </c>
      <c r="AB695" s="43" t="s">
        <v>53</v>
      </c>
      <c r="AC695" s="85">
        <v>1825</v>
      </c>
      <c r="AD695" s="141">
        <v>5</v>
      </c>
      <c r="AE695" s="142">
        <v>0</v>
      </c>
      <c r="AF695" s="69" t="str">
        <f t="shared" si="108"/>
        <v>1 years 227 days</v>
      </c>
      <c r="AG695" s="69">
        <v>1</v>
      </c>
      <c r="AH695" s="69">
        <v>227</v>
      </c>
      <c r="AI695" s="69">
        <v>66093.75</v>
      </c>
      <c r="AJ695" s="67">
        <v>21440</v>
      </c>
      <c r="AK695" s="69">
        <v>2025</v>
      </c>
      <c r="AL695" s="61">
        <v>6554.7773972602736</v>
      </c>
      <c r="AM695" s="143"/>
    </row>
    <row r="696" spans="1:39" x14ac:dyDescent="0.35">
      <c r="A696" s="69" t="s">
        <v>4124</v>
      </c>
      <c r="B696" s="41">
        <v>1151404733</v>
      </c>
      <c r="C696" s="41"/>
      <c r="D696" s="69"/>
      <c r="E696" s="41">
        <v>0</v>
      </c>
      <c r="F696" s="41" t="s">
        <v>1961</v>
      </c>
      <c r="G696" s="69" t="s">
        <v>1960</v>
      </c>
      <c r="H696" s="41">
        <v>9010000049</v>
      </c>
      <c r="I696" s="41" t="s">
        <v>47</v>
      </c>
      <c r="J696" s="41">
        <v>1202010202</v>
      </c>
      <c r="K696" s="41"/>
      <c r="L696" s="52" t="s">
        <v>2221</v>
      </c>
      <c r="M696" s="69" t="s">
        <v>2222</v>
      </c>
      <c r="N696" s="69"/>
      <c r="O696" s="69">
        <v>1</v>
      </c>
      <c r="P696" s="69" t="s">
        <v>50</v>
      </c>
      <c r="Q696" s="69" t="s">
        <v>51</v>
      </c>
      <c r="R696" s="69"/>
      <c r="S696" s="48">
        <v>45047</v>
      </c>
      <c r="T696" s="48">
        <v>45047</v>
      </c>
      <c r="U696" s="69"/>
      <c r="V696" s="69"/>
      <c r="W696" s="69"/>
      <c r="X696" s="69"/>
      <c r="Y696" s="69" t="s">
        <v>4129</v>
      </c>
      <c r="Z696" s="52">
        <v>57950</v>
      </c>
      <c r="AA696" s="43" t="s">
        <v>52</v>
      </c>
      <c r="AB696" s="43" t="s">
        <v>53</v>
      </c>
      <c r="AC696" s="85">
        <v>1825</v>
      </c>
      <c r="AD696" s="141">
        <v>5</v>
      </c>
      <c r="AE696" s="142">
        <v>0</v>
      </c>
      <c r="AF696" s="69" t="str">
        <f t="shared" si="108"/>
        <v>1 years 246 days</v>
      </c>
      <c r="AG696" s="69">
        <v>1</v>
      </c>
      <c r="AH696" s="69">
        <v>246</v>
      </c>
      <c r="AI696" s="69">
        <v>57950</v>
      </c>
      <c r="AJ696" s="67">
        <v>19401</v>
      </c>
      <c r="AK696" s="69">
        <v>2025</v>
      </c>
      <c r="AL696" s="61">
        <v>5747.7123287671202</v>
      </c>
      <c r="AM696" s="143"/>
    </row>
    <row r="697" spans="1:39" x14ac:dyDescent="0.35">
      <c r="A697" s="69" t="s">
        <v>4124</v>
      </c>
      <c r="B697" s="41">
        <v>1151404734</v>
      </c>
      <c r="C697" s="41"/>
      <c r="D697" s="69"/>
      <c r="E697" s="41">
        <v>0</v>
      </c>
      <c r="F697" s="41" t="s">
        <v>1961</v>
      </c>
      <c r="G697" s="69" t="s">
        <v>1960</v>
      </c>
      <c r="H697" s="41">
        <v>9010000050</v>
      </c>
      <c r="I697" s="41" t="s">
        <v>47</v>
      </c>
      <c r="J697" s="41">
        <v>1202010202</v>
      </c>
      <c r="K697" s="41"/>
      <c r="L697" s="52" t="s">
        <v>2224</v>
      </c>
      <c r="M697" s="69" t="s">
        <v>2225</v>
      </c>
      <c r="N697" s="69"/>
      <c r="O697" s="69">
        <v>1</v>
      </c>
      <c r="P697" s="69" t="s">
        <v>50</v>
      </c>
      <c r="Q697" s="69" t="s">
        <v>51</v>
      </c>
      <c r="R697" s="69"/>
      <c r="S697" s="48">
        <v>45047</v>
      </c>
      <c r="T697" s="48">
        <v>45047</v>
      </c>
      <c r="U697" s="69"/>
      <c r="V697" s="69"/>
      <c r="W697" s="69"/>
      <c r="X697" s="69"/>
      <c r="Y697" s="69" t="s">
        <v>4129</v>
      </c>
      <c r="Z697" s="52">
        <v>41966</v>
      </c>
      <c r="AA697" s="43" t="s">
        <v>52</v>
      </c>
      <c r="AB697" s="43" t="s">
        <v>53</v>
      </c>
      <c r="AC697" s="85">
        <v>1825</v>
      </c>
      <c r="AD697" s="141">
        <v>5</v>
      </c>
      <c r="AE697" s="142">
        <v>0</v>
      </c>
      <c r="AF697" s="69" t="str">
        <f t="shared" si="108"/>
        <v>1 years 246 days</v>
      </c>
      <c r="AG697" s="69">
        <v>1</v>
      </c>
      <c r="AH697" s="69">
        <v>246</v>
      </c>
      <c r="AI697" s="69">
        <v>41966</v>
      </c>
      <c r="AJ697" s="67">
        <v>14050</v>
      </c>
      <c r="AK697" s="69">
        <v>2025</v>
      </c>
      <c r="AL697" s="61">
        <v>4162.0942465753433</v>
      </c>
      <c r="AM697" s="143"/>
    </row>
    <row r="698" spans="1:39" x14ac:dyDescent="0.35">
      <c r="A698" s="69" t="s">
        <v>4124</v>
      </c>
      <c r="B698" s="41">
        <v>1101404735</v>
      </c>
      <c r="C698" s="41"/>
      <c r="D698" s="69"/>
      <c r="E698" s="41">
        <v>0</v>
      </c>
      <c r="F698" s="41" t="s">
        <v>1961</v>
      </c>
      <c r="G698" s="69" t="s">
        <v>1960</v>
      </c>
      <c r="H698" s="41">
        <v>9010000051</v>
      </c>
      <c r="I698" s="41" t="s">
        <v>47</v>
      </c>
      <c r="J698" s="41">
        <v>1202010202</v>
      </c>
      <c r="K698" s="41"/>
      <c r="L698" s="52" t="s">
        <v>2227</v>
      </c>
      <c r="M698" s="69" t="s">
        <v>49</v>
      </c>
      <c r="N698" s="69"/>
      <c r="O698" s="69">
        <v>1</v>
      </c>
      <c r="P698" s="69" t="s">
        <v>50</v>
      </c>
      <c r="Q698" s="69" t="s">
        <v>51</v>
      </c>
      <c r="R698" s="69"/>
      <c r="S698" s="48">
        <v>45047</v>
      </c>
      <c r="T698" s="48">
        <v>45047</v>
      </c>
      <c r="U698" s="69"/>
      <c r="V698" s="69"/>
      <c r="W698" s="69"/>
      <c r="X698" s="69"/>
      <c r="Y698" s="69" t="s">
        <v>4129</v>
      </c>
      <c r="Z698" s="52">
        <v>1115419.2</v>
      </c>
      <c r="AA698" s="43" t="s">
        <v>52</v>
      </c>
      <c r="AB698" s="43" t="s">
        <v>53</v>
      </c>
      <c r="AC698" s="85">
        <v>3650</v>
      </c>
      <c r="AD698" s="141">
        <v>10</v>
      </c>
      <c r="AE698" s="142">
        <v>0</v>
      </c>
      <c r="AF698" s="69" t="str">
        <f t="shared" si="108"/>
        <v>1 years 246 days</v>
      </c>
      <c r="AG698" s="69">
        <v>1</v>
      </c>
      <c r="AH698" s="69">
        <v>246</v>
      </c>
      <c r="AI698" s="69">
        <v>1115419.2</v>
      </c>
      <c r="AJ698" s="67">
        <v>186718</v>
      </c>
      <c r="AK698" s="69">
        <v>2025</v>
      </c>
      <c r="AL698" s="61">
        <v>55312.686684931512</v>
      </c>
      <c r="AM698" s="143"/>
    </row>
    <row r="699" spans="1:39" x14ac:dyDescent="0.35">
      <c r="A699" s="69" t="s">
        <v>4124</v>
      </c>
      <c r="B699" s="41">
        <v>1101404817</v>
      </c>
      <c r="C699" s="41"/>
      <c r="D699" s="69"/>
      <c r="E699" s="41">
        <v>0</v>
      </c>
      <c r="F699" s="41" t="s">
        <v>1961</v>
      </c>
      <c r="G699" s="69" t="s">
        <v>1960</v>
      </c>
      <c r="H699" s="41">
        <v>9010000052</v>
      </c>
      <c r="I699" s="41" t="s">
        <v>47</v>
      </c>
      <c r="J699" s="41">
        <v>1202010202</v>
      </c>
      <c r="K699" s="41"/>
      <c r="L699" s="52" t="s">
        <v>2229</v>
      </c>
      <c r="M699" s="69" t="s">
        <v>2230</v>
      </c>
      <c r="N699" s="69"/>
      <c r="O699" s="69">
        <v>75</v>
      </c>
      <c r="P699" s="69" t="s">
        <v>50</v>
      </c>
      <c r="Q699" s="69" t="s">
        <v>51</v>
      </c>
      <c r="R699" s="69"/>
      <c r="S699" s="48">
        <v>45122</v>
      </c>
      <c r="T699" s="48">
        <v>45122</v>
      </c>
      <c r="U699" s="69"/>
      <c r="V699" s="69"/>
      <c r="W699" s="69"/>
      <c r="X699" s="69"/>
      <c r="Y699" s="69" t="s">
        <v>4129</v>
      </c>
      <c r="Z699" s="52">
        <v>34200</v>
      </c>
      <c r="AA699" s="43" t="s">
        <v>52</v>
      </c>
      <c r="AB699" s="43" t="s">
        <v>53</v>
      </c>
      <c r="AC699" s="85">
        <v>3650</v>
      </c>
      <c r="AD699" s="141">
        <v>10</v>
      </c>
      <c r="AE699" s="142">
        <v>0</v>
      </c>
      <c r="AF699" s="69" t="str">
        <f t="shared" si="108"/>
        <v>1 years 171 days</v>
      </c>
      <c r="AG699" s="69">
        <v>1</v>
      </c>
      <c r="AH699" s="69">
        <v>171</v>
      </c>
      <c r="AI699" s="69">
        <v>34200</v>
      </c>
      <c r="AJ699" s="67">
        <v>5022</v>
      </c>
      <c r="AK699" s="69">
        <v>2025</v>
      </c>
      <c r="AL699" s="61">
        <v>1696.1917808219168</v>
      </c>
      <c r="AM699" s="143"/>
    </row>
    <row r="700" spans="1:39" x14ac:dyDescent="0.35">
      <c r="A700" s="69" t="s">
        <v>4124</v>
      </c>
      <c r="B700" s="41">
        <v>1151404802</v>
      </c>
      <c r="C700" s="41"/>
      <c r="D700" s="69"/>
      <c r="E700" s="41">
        <v>0</v>
      </c>
      <c r="F700" s="41" t="s">
        <v>1961</v>
      </c>
      <c r="G700" s="69" t="s">
        <v>1960</v>
      </c>
      <c r="H700" s="41">
        <v>9010000053</v>
      </c>
      <c r="I700" s="41" t="s">
        <v>47</v>
      </c>
      <c r="J700" s="41">
        <v>1202010202</v>
      </c>
      <c r="K700" s="41"/>
      <c r="L700" s="52" t="s">
        <v>2232</v>
      </c>
      <c r="M700" s="69" t="s">
        <v>2233</v>
      </c>
      <c r="N700" s="69"/>
      <c r="O700" s="69">
        <v>4</v>
      </c>
      <c r="P700" s="69" t="s">
        <v>50</v>
      </c>
      <c r="Q700" s="69" t="s">
        <v>51</v>
      </c>
      <c r="R700" s="69"/>
      <c r="S700" s="48">
        <v>45108</v>
      </c>
      <c r="T700" s="48">
        <v>45108</v>
      </c>
      <c r="U700" s="69"/>
      <c r="V700" s="69"/>
      <c r="W700" s="69"/>
      <c r="X700" s="69"/>
      <c r="Y700" s="69" t="s">
        <v>4129</v>
      </c>
      <c r="Z700" s="52">
        <v>35000</v>
      </c>
      <c r="AA700" s="43" t="s">
        <v>52</v>
      </c>
      <c r="AB700" s="43" t="s">
        <v>53</v>
      </c>
      <c r="AC700" s="85">
        <v>1825</v>
      </c>
      <c r="AD700" s="141">
        <v>5</v>
      </c>
      <c r="AE700" s="142">
        <v>0</v>
      </c>
      <c r="AF700" s="69" t="str">
        <f t="shared" si="108"/>
        <v>1 years 185 days</v>
      </c>
      <c r="AG700" s="69">
        <v>1</v>
      </c>
      <c r="AH700" s="69">
        <v>185</v>
      </c>
      <c r="AI700" s="69">
        <v>35000</v>
      </c>
      <c r="AJ700" s="67">
        <v>10548</v>
      </c>
      <c r="AK700" s="69">
        <v>2025</v>
      </c>
      <c r="AL700" s="61">
        <v>3471.1780821917819</v>
      </c>
      <c r="AM700" s="143"/>
    </row>
    <row r="701" spans="1:39" x14ac:dyDescent="0.35">
      <c r="A701" s="69" t="s">
        <v>4124</v>
      </c>
      <c r="B701" s="41">
        <v>1151404810</v>
      </c>
      <c r="C701" s="41"/>
      <c r="D701" s="69"/>
      <c r="E701" s="41">
        <v>0</v>
      </c>
      <c r="F701" s="41" t="s">
        <v>1961</v>
      </c>
      <c r="G701" s="69" t="s">
        <v>1960</v>
      </c>
      <c r="H701" s="41">
        <v>9010000054</v>
      </c>
      <c r="I701" s="41" t="s">
        <v>47</v>
      </c>
      <c r="J701" s="41">
        <v>1202010202</v>
      </c>
      <c r="K701" s="41"/>
      <c r="L701" s="52" t="s">
        <v>2235</v>
      </c>
      <c r="M701" s="69" t="s">
        <v>2236</v>
      </c>
      <c r="N701" s="69"/>
      <c r="O701" s="69">
        <v>4</v>
      </c>
      <c r="P701" s="69" t="s">
        <v>50</v>
      </c>
      <c r="Q701" s="69" t="s">
        <v>51</v>
      </c>
      <c r="R701" s="69"/>
      <c r="S701" s="48">
        <v>45112</v>
      </c>
      <c r="T701" s="48">
        <v>45112</v>
      </c>
      <c r="U701" s="69"/>
      <c r="V701" s="69"/>
      <c r="W701" s="69"/>
      <c r="X701" s="69"/>
      <c r="Y701" s="69" t="s">
        <v>4129</v>
      </c>
      <c r="Z701" s="52">
        <v>14147</v>
      </c>
      <c r="AA701" s="43" t="s">
        <v>52</v>
      </c>
      <c r="AB701" s="43" t="s">
        <v>53</v>
      </c>
      <c r="AC701" s="85">
        <v>1825</v>
      </c>
      <c r="AD701" s="141">
        <v>5</v>
      </c>
      <c r="AE701" s="142">
        <v>0</v>
      </c>
      <c r="AF701" s="69" t="str">
        <f t="shared" si="108"/>
        <v>1 years 181 days</v>
      </c>
      <c r="AG701" s="69">
        <v>1</v>
      </c>
      <c r="AH701" s="69">
        <v>181</v>
      </c>
      <c r="AI701" s="69">
        <v>14147</v>
      </c>
      <c r="AJ701" s="67">
        <v>4232</v>
      </c>
      <c r="AK701" s="69">
        <v>2025</v>
      </c>
      <c r="AL701" s="61">
        <v>1403.5446575342467</v>
      </c>
      <c r="AM701" s="143"/>
    </row>
    <row r="702" spans="1:39" x14ac:dyDescent="0.35">
      <c r="A702" s="69" t="s">
        <v>4124</v>
      </c>
      <c r="B702" s="41">
        <v>1151404811</v>
      </c>
      <c r="C702" s="41"/>
      <c r="D702" s="69"/>
      <c r="E702" s="41">
        <v>0</v>
      </c>
      <c r="F702" s="41" t="s">
        <v>1961</v>
      </c>
      <c r="G702" s="69" t="s">
        <v>1960</v>
      </c>
      <c r="H702" s="41">
        <v>9010000055</v>
      </c>
      <c r="I702" s="41" t="s">
        <v>47</v>
      </c>
      <c r="J702" s="41">
        <v>1202010202</v>
      </c>
      <c r="K702" s="41"/>
      <c r="L702" s="52" t="s">
        <v>2238</v>
      </c>
      <c r="M702" s="69" t="s">
        <v>2239</v>
      </c>
      <c r="N702" s="69"/>
      <c r="O702" s="69">
        <v>50</v>
      </c>
      <c r="P702" s="69" t="s">
        <v>50</v>
      </c>
      <c r="Q702" s="69" t="s">
        <v>51</v>
      </c>
      <c r="R702" s="69"/>
      <c r="S702" s="48">
        <v>45112</v>
      </c>
      <c r="T702" s="48">
        <v>45112</v>
      </c>
      <c r="U702" s="69"/>
      <c r="V702" s="69"/>
      <c r="W702" s="69"/>
      <c r="X702" s="69"/>
      <c r="Y702" s="69" t="s">
        <v>4129</v>
      </c>
      <c r="Z702" s="52">
        <v>107500</v>
      </c>
      <c r="AA702" s="43" t="s">
        <v>52</v>
      </c>
      <c r="AB702" s="43" t="s">
        <v>53</v>
      </c>
      <c r="AC702" s="85">
        <v>1825</v>
      </c>
      <c r="AD702" s="141">
        <v>5</v>
      </c>
      <c r="AE702" s="142">
        <v>0</v>
      </c>
      <c r="AF702" s="69" t="str">
        <f t="shared" si="108"/>
        <v>1 years 181 days</v>
      </c>
      <c r="AG702" s="69">
        <v>1</v>
      </c>
      <c r="AH702" s="69">
        <v>181</v>
      </c>
      <c r="AI702" s="69">
        <v>107500</v>
      </c>
      <c r="AJ702" s="67">
        <v>32162</v>
      </c>
      <c r="AK702" s="69">
        <v>2025</v>
      </c>
      <c r="AL702" s="61">
        <v>10661.287671232873</v>
      </c>
      <c r="AM702" s="143"/>
    </row>
    <row r="703" spans="1:39" x14ac:dyDescent="0.35">
      <c r="A703" s="69" t="s">
        <v>4124</v>
      </c>
      <c r="B703" s="41">
        <v>1151404843</v>
      </c>
      <c r="C703" s="41"/>
      <c r="D703" s="69"/>
      <c r="E703" s="41">
        <v>0</v>
      </c>
      <c r="F703" s="41" t="s">
        <v>1961</v>
      </c>
      <c r="G703" s="69" t="s">
        <v>1960</v>
      </c>
      <c r="H703" s="41">
        <v>9010000056</v>
      </c>
      <c r="I703" s="41" t="s">
        <v>47</v>
      </c>
      <c r="J703" s="41">
        <v>1202010202</v>
      </c>
      <c r="K703" s="41"/>
      <c r="L703" s="52" t="s">
        <v>2241</v>
      </c>
      <c r="M703" s="69" t="s">
        <v>2242</v>
      </c>
      <c r="N703" s="69"/>
      <c r="O703" s="69">
        <v>2</v>
      </c>
      <c r="P703" s="69" t="s">
        <v>50</v>
      </c>
      <c r="Q703" s="69" t="s">
        <v>51</v>
      </c>
      <c r="R703" s="69"/>
      <c r="S703" s="48">
        <v>45139</v>
      </c>
      <c r="T703" s="48">
        <v>45139</v>
      </c>
      <c r="U703" s="69"/>
      <c r="V703" s="69"/>
      <c r="W703" s="69"/>
      <c r="X703" s="69"/>
      <c r="Y703" s="69" t="s">
        <v>4129</v>
      </c>
      <c r="Z703" s="52">
        <v>66406</v>
      </c>
      <c r="AA703" s="43" t="s">
        <v>52</v>
      </c>
      <c r="AB703" s="43" t="s">
        <v>53</v>
      </c>
      <c r="AC703" s="85">
        <v>1825</v>
      </c>
      <c r="AD703" s="141">
        <v>5</v>
      </c>
      <c r="AE703" s="142">
        <v>0</v>
      </c>
      <c r="AF703" s="69" t="str">
        <f t="shared" si="108"/>
        <v>1 years 154 days</v>
      </c>
      <c r="AG703" s="69">
        <v>1</v>
      </c>
      <c r="AH703" s="69">
        <v>154</v>
      </c>
      <c r="AI703" s="69">
        <v>66406</v>
      </c>
      <c r="AJ703" s="67">
        <v>18885</v>
      </c>
      <c r="AK703" s="69">
        <v>2025</v>
      </c>
      <c r="AL703" s="61">
        <v>6585.7945205479482</v>
      </c>
      <c r="AM703" s="143"/>
    </row>
    <row r="704" spans="1:39" x14ac:dyDescent="0.35">
      <c r="A704" s="69" t="s">
        <v>4124</v>
      </c>
      <c r="B704" s="41">
        <v>1151404892</v>
      </c>
      <c r="C704" s="41"/>
      <c r="D704" s="69"/>
      <c r="E704" s="41">
        <v>0</v>
      </c>
      <c r="F704" s="41" t="s">
        <v>1961</v>
      </c>
      <c r="G704" s="69" t="s">
        <v>1960</v>
      </c>
      <c r="H704" s="41">
        <v>9010000057</v>
      </c>
      <c r="I704" s="41" t="s">
        <v>47</v>
      </c>
      <c r="J704" s="41">
        <v>1202010202</v>
      </c>
      <c r="K704" s="41"/>
      <c r="L704" s="52" t="s">
        <v>2244</v>
      </c>
      <c r="M704" s="69" t="s">
        <v>2245</v>
      </c>
      <c r="N704" s="69"/>
      <c r="O704" s="69">
        <v>1</v>
      </c>
      <c r="P704" s="69" t="s">
        <v>50</v>
      </c>
      <c r="Q704" s="69" t="s">
        <v>51</v>
      </c>
      <c r="R704" s="69"/>
      <c r="S704" s="48">
        <v>45176</v>
      </c>
      <c r="T704" s="48">
        <v>45176</v>
      </c>
      <c r="U704" s="69"/>
      <c r="V704" s="69"/>
      <c r="W704" s="69"/>
      <c r="X704" s="69"/>
      <c r="Y704" s="69" t="s">
        <v>4129</v>
      </c>
      <c r="Z704" s="52">
        <v>68194</v>
      </c>
      <c r="AA704" s="43" t="s">
        <v>52</v>
      </c>
      <c r="AB704" s="43" t="s">
        <v>53</v>
      </c>
      <c r="AC704" s="85">
        <v>1825</v>
      </c>
      <c r="AD704" s="141">
        <v>5</v>
      </c>
      <c r="AE704" s="142">
        <v>0</v>
      </c>
      <c r="AF704" s="69" t="str">
        <f t="shared" si="108"/>
        <v>1 years 117 days</v>
      </c>
      <c r="AG704" s="69">
        <v>1</v>
      </c>
      <c r="AH704" s="69">
        <v>117</v>
      </c>
      <c r="AI704" s="69">
        <v>68194</v>
      </c>
      <c r="AJ704" s="67">
        <v>18011</v>
      </c>
      <c r="AK704" s="69">
        <v>2025</v>
      </c>
      <c r="AL704" s="61">
        <v>6763.0394520547925</v>
      </c>
      <c r="AM704" s="143"/>
    </row>
    <row r="705" spans="1:39" x14ac:dyDescent="0.35">
      <c r="A705" s="69" t="s">
        <v>4124</v>
      </c>
      <c r="B705" s="41" t="s">
        <v>2246</v>
      </c>
      <c r="C705" s="41"/>
      <c r="D705" s="69"/>
      <c r="E705" s="41">
        <v>0</v>
      </c>
      <c r="F705" s="41" t="s">
        <v>1961</v>
      </c>
      <c r="G705" s="69" t="s">
        <v>1960</v>
      </c>
      <c r="H705" s="41">
        <v>9010000058</v>
      </c>
      <c r="I705" s="41" t="s">
        <v>261</v>
      </c>
      <c r="J705" s="41">
        <v>1202010217</v>
      </c>
      <c r="K705" s="41" t="s">
        <v>2247</v>
      </c>
      <c r="L705" s="52" t="s">
        <v>2248</v>
      </c>
      <c r="M705" s="69" t="s">
        <v>2249</v>
      </c>
      <c r="N705" s="69"/>
      <c r="O705" s="69">
        <v>1</v>
      </c>
      <c r="P705" s="69" t="s">
        <v>50</v>
      </c>
      <c r="Q705" s="69" t="s">
        <v>51</v>
      </c>
      <c r="R705" s="69"/>
      <c r="S705" s="48">
        <v>45176</v>
      </c>
      <c r="T705" s="48">
        <v>45176</v>
      </c>
      <c r="U705" s="69"/>
      <c r="V705" s="69"/>
      <c r="W705" s="69"/>
      <c r="X705" s="69"/>
      <c r="Y705" s="69" t="s">
        <v>4129</v>
      </c>
      <c r="Z705" s="52">
        <v>403285</v>
      </c>
      <c r="AA705" s="43" t="s">
        <v>52</v>
      </c>
      <c r="AB705" s="43" t="s">
        <v>53</v>
      </c>
      <c r="AC705" s="85">
        <v>1825</v>
      </c>
      <c r="AD705" s="141">
        <v>5</v>
      </c>
      <c r="AE705" s="142">
        <v>0</v>
      </c>
      <c r="AF705" s="69" t="str">
        <f t="shared" si="108"/>
        <v>1 years 117 days</v>
      </c>
      <c r="AG705" s="69">
        <v>1</v>
      </c>
      <c r="AH705" s="69">
        <v>117</v>
      </c>
      <c r="AI705" s="69">
        <v>403285</v>
      </c>
      <c r="AJ705" s="67">
        <v>106511</v>
      </c>
      <c r="AK705" s="69">
        <v>2025</v>
      </c>
      <c r="AL705" s="61">
        <v>39997.468493150693</v>
      </c>
      <c r="AM705" s="143"/>
    </row>
    <row r="706" spans="1:39" x14ac:dyDescent="0.35">
      <c r="A706" s="69" t="s">
        <v>4124</v>
      </c>
      <c r="B706" s="41">
        <v>1101404889</v>
      </c>
      <c r="C706" s="41"/>
      <c r="D706" s="69"/>
      <c r="E706" s="41">
        <v>0</v>
      </c>
      <c r="F706" s="41" t="s">
        <v>1961</v>
      </c>
      <c r="G706" s="69" t="s">
        <v>1960</v>
      </c>
      <c r="H706" s="41">
        <v>9010000059</v>
      </c>
      <c r="I706" s="41" t="s">
        <v>47</v>
      </c>
      <c r="J706" s="41">
        <v>1202010202</v>
      </c>
      <c r="K706" s="41"/>
      <c r="L706" s="52" t="s">
        <v>2251</v>
      </c>
      <c r="M706" s="69" t="s">
        <v>2252</v>
      </c>
      <c r="N706" s="69"/>
      <c r="O706" s="69">
        <v>1</v>
      </c>
      <c r="P706" s="69" t="s">
        <v>50</v>
      </c>
      <c r="Q706" s="69" t="s">
        <v>51</v>
      </c>
      <c r="R706" s="69"/>
      <c r="S706" s="48">
        <v>45174</v>
      </c>
      <c r="T706" s="48">
        <v>45174</v>
      </c>
      <c r="U706" s="69"/>
      <c r="V706" s="69"/>
      <c r="W706" s="69"/>
      <c r="X706" s="69"/>
      <c r="Y706" s="69" t="s">
        <v>4129</v>
      </c>
      <c r="Z706" s="52">
        <v>145000</v>
      </c>
      <c r="AA706" s="43" t="s">
        <v>52</v>
      </c>
      <c r="AB706" s="43" t="s">
        <v>53</v>
      </c>
      <c r="AC706" s="85">
        <v>3650</v>
      </c>
      <c r="AD706" s="141">
        <v>10</v>
      </c>
      <c r="AE706" s="142">
        <v>0</v>
      </c>
      <c r="AF706" s="69" t="str">
        <f t="shared" si="108"/>
        <v>1 years 119 days</v>
      </c>
      <c r="AG706" s="69">
        <v>1</v>
      </c>
      <c r="AH706" s="69">
        <v>119</v>
      </c>
      <c r="AI706" s="69">
        <v>145000</v>
      </c>
      <c r="AJ706" s="67">
        <v>19227</v>
      </c>
      <c r="AK706" s="69">
        <v>2025</v>
      </c>
      <c r="AL706" s="61">
        <v>7190.8082191780813</v>
      </c>
      <c r="AM706" s="143"/>
    </row>
    <row r="707" spans="1:39" x14ac:dyDescent="0.35">
      <c r="A707" s="69" t="s">
        <v>4124</v>
      </c>
      <c r="B707" s="41">
        <v>1101404887</v>
      </c>
      <c r="C707" s="41"/>
      <c r="D707" s="69"/>
      <c r="E707" s="41">
        <v>0</v>
      </c>
      <c r="F707" s="41" t="s">
        <v>1961</v>
      </c>
      <c r="G707" s="69" t="s">
        <v>1960</v>
      </c>
      <c r="H707" s="41">
        <v>9010000060</v>
      </c>
      <c r="I707" s="41" t="s">
        <v>47</v>
      </c>
      <c r="J707" s="41">
        <v>1202010202</v>
      </c>
      <c r="K707" s="41"/>
      <c r="L707" s="52" t="s">
        <v>2254</v>
      </c>
      <c r="M707" s="69" t="s">
        <v>2255</v>
      </c>
      <c r="N707" s="69"/>
      <c r="O707" s="69">
        <v>1</v>
      </c>
      <c r="P707" s="69" t="s">
        <v>50</v>
      </c>
      <c r="Q707" s="69" t="s">
        <v>51</v>
      </c>
      <c r="R707" s="69"/>
      <c r="S707" s="48">
        <v>45170</v>
      </c>
      <c r="T707" s="48">
        <v>45170</v>
      </c>
      <c r="U707" s="69"/>
      <c r="V707" s="69"/>
      <c r="W707" s="69"/>
      <c r="X707" s="69"/>
      <c r="Y707" s="69" t="s">
        <v>4129</v>
      </c>
      <c r="Z707" s="52">
        <v>138846</v>
      </c>
      <c r="AA707" s="43" t="s">
        <v>52</v>
      </c>
      <c r="AB707" s="43" t="s">
        <v>53</v>
      </c>
      <c r="AC707" s="85">
        <v>3650</v>
      </c>
      <c r="AD707" s="141">
        <v>10</v>
      </c>
      <c r="AE707" s="142">
        <v>0</v>
      </c>
      <c r="AF707" s="69" t="str">
        <f t="shared" si="108"/>
        <v>1 years 123 days</v>
      </c>
      <c r="AG707" s="69">
        <v>1</v>
      </c>
      <c r="AH707" s="69">
        <v>123</v>
      </c>
      <c r="AI707" s="69">
        <v>138846</v>
      </c>
      <c r="AJ707" s="67">
        <v>18564</v>
      </c>
      <c r="AK707" s="69">
        <v>2025</v>
      </c>
      <c r="AL707" s="61">
        <v>6884.760000000002</v>
      </c>
      <c r="AM707" s="143"/>
    </row>
    <row r="708" spans="1:39" x14ac:dyDescent="0.35">
      <c r="A708" s="69" t="s">
        <v>4124</v>
      </c>
      <c r="B708" s="41">
        <v>1101404888</v>
      </c>
      <c r="C708" s="41"/>
      <c r="D708" s="69"/>
      <c r="E708" s="41">
        <v>0</v>
      </c>
      <c r="F708" s="41" t="s">
        <v>1961</v>
      </c>
      <c r="G708" s="69" t="s">
        <v>1960</v>
      </c>
      <c r="H708" s="41">
        <v>9010000061</v>
      </c>
      <c r="I708" s="41" t="s">
        <v>47</v>
      </c>
      <c r="J708" s="41">
        <v>1202010202</v>
      </c>
      <c r="K708" s="41"/>
      <c r="L708" s="52" t="s">
        <v>2257</v>
      </c>
      <c r="M708" s="69" t="s">
        <v>2258</v>
      </c>
      <c r="N708" s="69"/>
      <c r="O708" s="69">
        <v>1</v>
      </c>
      <c r="P708" s="69" t="s">
        <v>50</v>
      </c>
      <c r="Q708" s="69" t="s">
        <v>51</v>
      </c>
      <c r="R708" s="69"/>
      <c r="S708" s="48">
        <v>45170</v>
      </c>
      <c r="T708" s="48">
        <v>45170</v>
      </c>
      <c r="U708" s="69"/>
      <c r="V708" s="69"/>
      <c r="W708" s="69"/>
      <c r="X708" s="69"/>
      <c r="Y708" s="69" t="s">
        <v>4129</v>
      </c>
      <c r="Z708" s="52">
        <v>14430</v>
      </c>
      <c r="AA708" s="43" t="s">
        <v>52</v>
      </c>
      <c r="AB708" s="43" t="s">
        <v>53</v>
      </c>
      <c r="AC708" s="85">
        <v>3650</v>
      </c>
      <c r="AD708" s="141">
        <v>10</v>
      </c>
      <c r="AE708" s="142">
        <v>0</v>
      </c>
      <c r="AF708" s="69" t="str">
        <f t="shared" si="108"/>
        <v>1 years 123 days</v>
      </c>
      <c r="AG708" s="69">
        <v>1</v>
      </c>
      <c r="AH708" s="69">
        <v>123</v>
      </c>
      <c r="AI708" s="69">
        <v>14430</v>
      </c>
      <c r="AJ708" s="67">
        <v>1929</v>
      </c>
      <c r="AK708" s="69">
        <v>2025</v>
      </c>
      <c r="AL708" s="61">
        <v>715.84109589041054</v>
      </c>
      <c r="AM708" s="143"/>
    </row>
    <row r="709" spans="1:39" x14ac:dyDescent="0.35">
      <c r="A709" s="69" t="s">
        <v>4124</v>
      </c>
      <c r="B709" s="41">
        <v>1101404964</v>
      </c>
      <c r="C709" s="41"/>
      <c r="D709" s="69"/>
      <c r="E709" s="41">
        <v>0</v>
      </c>
      <c r="F709" s="41" t="s">
        <v>1961</v>
      </c>
      <c r="G709" s="69" t="s">
        <v>1960</v>
      </c>
      <c r="H709" s="41">
        <v>9010000062</v>
      </c>
      <c r="I709" s="41" t="s">
        <v>47</v>
      </c>
      <c r="J709" s="41">
        <v>1202010202</v>
      </c>
      <c r="K709" s="41"/>
      <c r="L709" s="52" t="s">
        <v>2260</v>
      </c>
      <c r="M709" s="69" t="s">
        <v>2261</v>
      </c>
      <c r="N709" s="69"/>
      <c r="O709" s="69">
        <v>200</v>
      </c>
      <c r="P709" s="69" t="s">
        <v>50</v>
      </c>
      <c r="Q709" s="69" t="s">
        <v>51</v>
      </c>
      <c r="R709" s="69"/>
      <c r="S709" s="48">
        <v>45231</v>
      </c>
      <c r="T709" s="48">
        <v>45231</v>
      </c>
      <c r="U709" s="69"/>
      <c r="V709" s="69"/>
      <c r="W709" s="69"/>
      <c r="X709" s="69"/>
      <c r="Y709" s="69" t="s">
        <v>4129</v>
      </c>
      <c r="Z709" s="52">
        <v>69820</v>
      </c>
      <c r="AA709" s="43" t="s">
        <v>52</v>
      </c>
      <c r="AB709" s="43" t="s">
        <v>53</v>
      </c>
      <c r="AC709" s="85">
        <v>3650</v>
      </c>
      <c r="AD709" s="141">
        <v>10</v>
      </c>
      <c r="AE709" s="142">
        <v>0</v>
      </c>
      <c r="AF709" s="69" t="str">
        <f t="shared" si="108"/>
        <v>1 years 62 days</v>
      </c>
      <c r="AG709" s="69">
        <v>1</v>
      </c>
      <c r="AH709" s="69">
        <v>62</v>
      </c>
      <c r="AI709" s="69">
        <v>69820</v>
      </c>
      <c r="AJ709" s="67">
        <v>8168</v>
      </c>
      <c r="AK709" s="69">
        <v>2025</v>
      </c>
      <c r="AL709" s="61">
        <v>3462.2904109589035</v>
      </c>
      <c r="AM709" s="143"/>
    </row>
    <row r="710" spans="1:39" x14ac:dyDescent="0.35">
      <c r="A710" s="69" t="s">
        <v>4124</v>
      </c>
      <c r="B710" s="41">
        <v>1101404965</v>
      </c>
      <c r="C710" s="41"/>
      <c r="D710" s="69"/>
      <c r="E710" s="41">
        <v>0</v>
      </c>
      <c r="F710" s="41" t="s">
        <v>1961</v>
      </c>
      <c r="G710" s="69" t="s">
        <v>1960</v>
      </c>
      <c r="H710" s="41">
        <v>9010000063</v>
      </c>
      <c r="I710" s="41" t="s">
        <v>47</v>
      </c>
      <c r="J710" s="41">
        <v>1202010202</v>
      </c>
      <c r="K710" s="41"/>
      <c r="L710" s="52" t="s">
        <v>2263</v>
      </c>
      <c r="M710" s="69" t="s">
        <v>2264</v>
      </c>
      <c r="N710" s="69"/>
      <c r="O710" s="69">
        <v>1</v>
      </c>
      <c r="P710" s="69" t="s">
        <v>50</v>
      </c>
      <c r="Q710" s="69" t="s">
        <v>51</v>
      </c>
      <c r="R710" s="69"/>
      <c r="S710" s="48">
        <v>45231</v>
      </c>
      <c r="T710" s="48">
        <v>45231</v>
      </c>
      <c r="U710" s="69"/>
      <c r="V710" s="69"/>
      <c r="W710" s="69"/>
      <c r="X710" s="69"/>
      <c r="Y710" s="69" t="s">
        <v>4129</v>
      </c>
      <c r="Z710" s="52">
        <v>42100</v>
      </c>
      <c r="AA710" s="43" t="s">
        <v>52</v>
      </c>
      <c r="AB710" s="43" t="s">
        <v>53</v>
      </c>
      <c r="AC710" s="85">
        <v>3650</v>
      </c>
      <c r="AD710" s="141">
        <v>10</v>
      </c>
      <c r="AE710" s="142">
        <v>0</v>
      </c>
      <c r="AF710" s="69" t="str">
        <f t="shared" si="108"/>
        <v>1 years 62 days</v>
      </c>
      <c r="AG710" s="69">
        <v>1</v>
      </c>
      <c r="AH710" s="69">
        <v>62</v>
      </c>
      <c r="AI710" s="69">
        <v>42100</v>
      </c>
      <c r="AJ710" s="67">
        <v>4925</v>
      </c>
      <c r="AK710" s="69">
        <v>2025</v>
      </c>
      <c r="AL710" s="61">
        <v>2087.821917808219</v>
      </c>
      <c r="AM710" s="143"/>
    </row>
    <row r="711" spans="1:39" x14ac:dyDescent="0.35">
      <c r="A711" s="69" t="s">
        <v>4124</v>
      </c>
      <c r="B711" s="41">
        <v>1151405001</v>
      </c>
      <c r="C711" s="41"/>
      <c r="D711" s="69"/>
      <c r="E711" s="41">
        <v>0</v>
      </c>
      <c r="F711" s="41" t="s">
        <v>1961</v>
      </c>
      <c r="G711" s="69" t="s">
        <v>1960</v>
      </c>
      <c r="H711" s="41">
        <v>9010000064</v>
      </c>
      <c r="I711" s="41" t="s">
        <v>47</v>
      </c>
      <c r="J711" s="41">
        <v>1202010202</v>
      </c>
      <c r="K711" s="41"/>
      <c r="L711" s="52" t="s">
        <v>2266</v>
      </c>
      <c r="M711" s="69" t="s">
        <v>2267</v>
      </c>
      <c r="N711" s="69"/>
      <c r="O711" s="69">
        <v>16</v>
      </c>
      <c r="P711" s="69" t="s">
        <v>50</v>
      </c>
      <c r="Q711" s="69" t="s">
        <v>51</v>
      </c>
      <c r="R711" s="69"/>
      <c r="S711" s="48">
        <v>45250</v>
      </c>
      <c r="T711" s="48">
        <v>45250</v>
      </c>
      <c r="U711" s="69"/>
      <c r="V711" s="69"/>
      <c r="W711" s="69"/>
      <c r="X711" s="69"/>
      <c r="Y711" s="69" t="s">
        <v>4129</v>
      </c>
      <c r="Z711" s="52">
        <v>65000</v>
      </c>
      <c r="AA711" s="43" t="s">
        <v>52</v>
      </c>
      <c r="AB711" s="43" t="s">
        <v>53</v>
      </c>
      <c r="AC711" s="85">
        <v>1825</v>
      </c>
      <c r="AD711" s="141">
        <v>5</v>
      </c>
      <c r="AE711" s="142">
        <v>0</v>
      </c>
      <c r="AF711" s="69" t="str">
        <f t="shared" si="108"/>
        <v>1 years 43 days</v>
      </c>
      <c r="AG711" s="69">
        <v>1</v>
      </c>
      <c r="AH711" s="69">
        <v>43</v>
      </c>
      <c r="AI711" s="69">
        <v>65000</v>
      </c>
      <c r="AJ711" s="67">
        <v>14532</v>
      </c>
      <c r="AK711" s="69">
        <v>2025</v>
      </c>
      <c r="AL711" s="61">
        <v>6446.0821917808207</v>
      </c>
      <c r="AM711" s="143"/>
    </row>
    <row r="712" spans="1:39" x14ac:dyDescent="0.35">
      <c r="A712" s="69" t="s">
        <v>4124</v>
      </c>
      <c r="B712" s="41">
        <v>1101405055</v>
      </c>
      <c r="C712" s="41"/>
      <c r="D712" s="69"/>
      <c r="E712" s="41">
        <v>0</v>
      </c>
      <c r="F712" s="41" t="s">
        <v>1961</v>
      </c>
      <c r="G712" s="69" t="s">
        <v>1960</v>
      </c>
      <c r="H712" s="41">
        <v>9010000065</v>
      </c>
      <c r="I712" s="41" t="s">
        <v>47</v>
      </c>
      <c r="J712" s="41">
        <v>1202010202</v>
      </c>
      <c r="K712" s="41"/>
      <c r="L712" s="52" t="s">
        <v>2269</v>
      </c>
      <c r="M712" s="69" t="s">
        <v>2270</v>
      </c>
      <c r="N712" s="69"/>
      <c r="O712" s="69">
        <v>18</v>
      </c>
      <c r="P712" s="69" t="s">
        <v>50</v>
      </c>
      <c r="Q712" s="69" t="s">
        <v>51</v>
      </c>
      <c r="R712" s="69"/>
      <c r="S712" s="48">
        <v>45288</v>
      </c>
      <c r="T712" s="48">
        <v>45288</v>
      </c>
      <c r="U712" s="69"/>
      <c r="V712" s="69"/>
      <c r="W712" s="69"/>
      <c r="X712" s="69"/>
      <c r="Y712" s="69" t="s">
        <v>4129</v>
      </c>
      <c r="Z712" s="52">
        <v>66834</v>
      </c>
      <c r="AA712" s="43" t="s">
        <v>52</v>
      </c>
      <c r="AB712" s="43" t="s">
        <v>53</v>
      </c>
      <c r="AC712" s="85">
        <v>3650</v>
      </c>
      <c r="AD712" s="141">
        <v>10</v>
      </c>
      <c r="AE712" s="142">
        <v>0</v>
      </c>
      <c r="AF712" s="69" t="str">
        <f t="shared" si="108"/>
        <v>1 years 5 days</v>
      </c>
      <c r="AG712" s="69">
        <v>1</v>
      </c>
      <c r="AH712" s="69">
        <v>5</v>
      </c>
      <c r="AI712" s="69">
        <v>66834</v>
      </c>
      <c r="AJ712" s="67">
        <v>6775</v>
      </c>
      <c r="AK712" s="69">
        <v>2025</v>
      </c>
      <c r="AL712" s="61">
        <v>3314.1873972602734</v>
      </c>
      <c r="AM712" s="143"/>
    </row>
    <row r="713" spans="1:39" x14ac:dyDescent="0.35">
      <c r="A713" s="69" t="s">
        <v>4124</v>
      </c>
      <c r="B713" s="41">
        <v>1151405076</v>
      </c>
      <c r="C713" s="41"/>
      <c r="D713" s="69"/>
      <c r="E713" s="41">
        <v>0</v>
      </c>
      <c r="F713" s="41" t="s">
        <v>1961</v>
      </c>
      <c r="G713" s="69" t="s">
        <v>1960</v>
      </c>
      <c r="H713" s="41">
        <v>9010000066</v>
      </c>
      <c r="I713" s="41" t="s">
        <v>47</v>
      </c>
      <c r="J713" s="41">
        <v>1202010202</v>
      </c>
      <c r="K713" s="41"/>
      <c r="L713" s="52" t="s">
        <v>2272</v>
      </c>
      <c r="M713" s="69" t="s">
        <v>2273</v>
      </c>
      <c r="N713" s="69"/>
      <c r="O713" s="69">
        <v>2</v>
      </c>
      <c r="P713" s="69" t="s">
        <v>50</v>
      </c>
      <c r="Q713" s="69" t="s">
        <v>51</v>
      </c>
      <c r="R713" s="69"/>
      <c r="S713" s="48">
        <v>45314</v>
      </c>
      <c r="T713" s="48">
        <v>45314</v>
      </c>
      <c r="U713" s="69"/>
      <c r="V713" s="69"/>
      <c r="W713" s="69"/>
      <c r="X713" s="69"/>
      <c r="Y713" s="69" t="s">
        <v>4130</v>
      </c>
      <c r="Z713" s="52">
        <v>103305</v>
      </c>
      <c r="AA713" s="43" t="s">
        <v>52</v>
      </c>
      <c r="AB713" s="43" t="s">
        <v>53</v>
      </c>
      <c r="AC713" s="85">
        <v>1825</v>
      </c>
      <c r="AD713" s="141">
        <v>5</v>
      </c>
      <c r="AE713" s="142">
        <v>0</v>
      </c>
      <c r="AF713" s="69" t="str">
        <f t="shared" si="108"/>
        <v>0 years 344 days</v>
      </c>
      <c r="AG713" s="69">
        <v>0</v>
      </c>
      <c r="AH713" s="69">
        <v>344</v>
      </c>
      <c r="AI713" s="69">
        <v>103305</v>
      </c>
      <c r="AJ713" s="67">
        <v>19472</v>
      </c>
      <c r="AK713" s="69">
        <v>2025</v>
      </c>
      <c r="AL713" s="61">
        <v>10245.876712328769</v>
      </c>
      <c r="AM713" s="143"/>
    </row>
    <row r="714" spans="1:39" x14ac:dyDescent="0.35">
      <c r="A714" s="69" t="s">
        <v>4124</v>
      </c>
      <c r="B714" s="41">
        <v>1151405088</v>
      </c>
      <c r="C714" s="41"/>
      <c r="D714" s="69"/>
      <c r="E714" s="41">
        <v>0</v>
      </c>
      <c r="F714" s="41" t="s">
        <v>1961</v>
      </c>
      <c r="G714" s="69" t="s">
        <v>1960</v>
      </c>
      <c r="H714" s="41">
        <v>9010000067</v>
      </c>
      <c r="I714" s="41" t="s">
        <v>47</v>
      </c>
      <c r="J714" s="41">
        <v>1202010202</v>
      </c>
      <c r="K714" s="41"/>
      <c r="L714" s="52" t="s">
        <v>2275</v>
      </c>
      <c r="M714" s="69" t="s">
        <v>2276</v>
      </c>
      <c r="N714" s="69"/>
      <c r="O714" s="69">
        <v>1</v>
      </c>
      <c r="P714" s="69" t="s">
        <v>50</v>
      </c>
      <c r="Q714" s="69" t="s">
        <v>51</v>
      </c>
      <c r="R714" s="69"/>
      <c r="S714" s="48">
        <v>45323</v>
      </c>
      <c r="T714" s="48">
        <v>45323</v>
      </c>
      <c r="U714" s="69"/>
      <c r="V714" s="69"/>
      <c r="W714" s="69"/>
      <c r="X714" s="69"/>
      <c r="Y714" s="69" t="s">
        <v>4130</v>
      </c>
      <c r="Z714" s="52">
        <v>45856</v>
      </c>
      <c r="AA714" s="43" t="s">
        <v>52</v>
      </c>
      <c r="AB714" s="43" t="s">
        <v>53</v>
      </c>
      <c r="AC714" s="85">
        <v>1825</v>
      </c>
      <c r="AD714" s="141">
        <v>5</v>
      </c>
      <c r="AE714" s="142">
        <v>0</v>
      </c>
      <c r="AF714" s="69" t="str">
        <f t="shared" si="108"/>
        <v>0 years 335 days</v>
      </c>
      <c r="AG714" s="69">
        <v>0</v>
      </c>
      <c r="AH714" s="69">
        <v>335</v>
      </c>
      <c r="AI714" s="69">
        <v>45856</v>
      </c>
      <c r="AJ714" s="67">
        <v>8417</v>
      </c>
      <c r="AK714" s="69">
        <v>2025</v>
      </c>
      <c r="AL714" s="61">
        <v>4548.3128767123308</v>
      </c>
      <c r="AM714" s="143"/>
    </row>
    <row r="715" spans="1:39" x14ac:dyDescent="0.35">
      <c r="A715" s="69" t="s">
        <v>4124</v>
      </c>
      <c r="B715" s="41">
        <v>1151405089</v>
      </c>
      <c r="C715" s="41"/>
      <c r="D715" s="69"/>
      <c r="E715" s="41">
        <v>0</v>
      </c>
      <c r="F715" s="41" t="s">
        <v>1961</v>
      </c>
      <c r="G715" s="69" t="s">
        <v>1960</v>
      </c>
      <c r="H715" s="41">
        <v>9010000068</v>
      </c>
      <c r="I715" s="41" t="s">
        <v>47</v>
      </c>
      <c r="J715" s="41">
        <v>1202010202</v>
      </c>
      <c r="K715" s="41"/>
      <c r="L715" s="52" t="s">
        <v>2278</v>
      </c>
      <c r="M715" s="69" t="s">
        <v>2279</v>
      </c>
      <c r="N715" s="69"/>
      <c r="O715" s="69">
        <v>1</v>
      </c>
      <c r="P715" s="69" t="s">
        <v>50</v>
      </c>
      <c r="Q715" s="69" t="s">
        <v>51</v>
      </c>
      <c r="R715" s="69"/>
      <c r="S715" s="48">
        <v>45323</v>
      </c>
      <c r="T715" s="48">
        <v>45323</v>
      </c>
      <c r="U715" s="69"/>
      <c r="V715" s="69"/>
      <c r="W715" s="69"/>
      <c r="X715" s="69"/>
      <c r="Y715" s="69" t="s">
        <v>4130</v>
      </c>
      <c r="Z715" s="52">
        <v>25735</v>
      </c>
      <c r="AA715" s="43" t="s">
        <v>52</v>
      </c>
      <c r="AB715" s="43" t="s">
        <v>53</v>
      </c>
      <c r="AC715" s="85">
        <v>1825</v>
      </c>
      <c r="AD715" s="141">
        <v>5</v>
      </c>
      <c r="AE715" s="142">
        <v>0</v>
      </c>
      <c r="AF715" s="69" t="str">
        <f t="shared" si="108"/>
        <v>0 years 335 days</v>
      </c>
      <c r="AG715" s="69">
        <v>0</v>
      </c>
      <c r="AH715" s="69">
        <v>335</v>
      </c>
      <c r="AI715" s="69">
        <v>25735</v>
      </c>
      <c r="AJ715" s="67">
        <v>4724</v>
      </c>
      <c r="AK715" s="69">
        <v>2025</v>
      </c>
      <c r="AL715" s="61">
        <v>2552.3068493150677</v>
      </c>
      <c r="AM715" s="143"/>
    </row>
    <row r="716" spans="1:39" x14ac:dyDescent="0.35">
      <c r="A716" s="69" t="s">
        <v>4124</v>
      </c>
      <c r="B716" s="41">
        <v>1101405104</v>
      </c>
      <c r="C716" s="41"/>
      <c r="D716" s="69"/>
      <c r="E716" s="41">
        <v>0</v>
      </c>
      <c r="F716" s="41" t="s">
        <v>1961</v>
      </c>
      <c r="G716" s="69" t="s">
        <v>1960</v>
      </c>
      <c r="H716" s="41">
        <v>9010000069</v>
      </c>
      <c r="I716" s="41" t="s">
        <v>47</v>
      </c>
      <c r="J716" s="41">
        <v>1202010202</v>
      </c>
      <c r="K716" s="41"/>
      <c r="L716" s="52" t="s">
        <v>2281</v>
      </c>
      <c r="M716" s="69" t="s">
        <v>2282</v>
      </c>
      <c r="N716" s="69"/>
      <c r="O716" s="69">
        <v>60</v>
      </c>
      <c r="P716" s="69" t="s">
        <v>50</v>
      </c>
      <c r="Q716" s="69" t="s">
        <v>51</v>
      </c>
      <c r="R716" s="69"/>
      <c r="S716" s="48">
        <v>45338</v>
      </c>
      <c r="T716" s="48">
        <v>45338</v>
      </c>
      <c r="U716" s="69"/>
      <c r="V716" s="69"/>
      <c r="W716" s="69"/>
      <c r="X716" s="69"/>
      <c r="Y716" s="69" t="s">
        <v>4130</v>
      </c>
      <c r="Z716" s="52">
        <v>33600</v>
      </c>
      <c r="AA716" s="43" t="s">
        <v>52</v>
      </c>
      <c r="AB716" s="43" t="s">
        <v>53</v>
      </c>
      <c r="AC716" s="85">
        <v>3650</v>
      </c>
      <c r="AD716" s="141">
        <v>10</v>
      </c>
      <c r="AE716" s="142">
        <v>0</v>
      </c>
      <c r="AF716" s="69" t="str">
        <f t="shared" si="108"/>
        <v>0 years 320 days</v>
      </c>
      <c r="AG716" s="69">
        <v>0</v>
      </c>
      <c r="AH716" s="69">
        <v>320</v>
      </c>
      <c r="AI716" s="69">
        <v>33600</v>
      </c>
      <c r="AJ716" s="67">
        <v>2946</v>
      </c>
      <c r="AK716" s="69">
        <v>2025</v>
      </c>
      <c r="AL716" s="61">
        <v>1665.9452054794519</v>
      </c>
      <c r="AM716" s="143"/>
    </row>
    <row r="717" spans="1:39" x14ac:dyDescent="0.35">
      <c r="A717" s="69" t="s">
        <v>4124</v>
      </c>
      <c r="B717" s="41">
        <v>1101405105</v>
      </c>
      <c r="C717" s="41"/>
      <c r="D717" s="69"/>
      <c r="E717" s="41">
        <v>0</v>
      </c>
      <c r="F717" s="41" t="s">
        <v>1961</v>
      </c>
      <c r="G717" s="69" t="s">
        <v>1960</v>
      </c>
      <c r="H717" s="41">
        <v>9010000070</v>
      </c>
      <c r="I717" s="41" t="s">
        <v>47</v>
      </c>
      <c r="J717" s="41">
        <v>1202010202</v>
      </c>
      <c r="K717" s="41"/>
      <c r="L717" s="52" t="s">
        <v>2284</v>
      </c>
      <c r="M717" s="69" t="s">
        <v>2285</v>
      </c>
      <c r="N717" s="69"/>
      <c r="O717" s="69">
        <v>1000</v>
      </c>
      <c r="P717" s="69" t="s">
        <v>50</v>
      </c>
      <c r="Q717" s="69" t="s">
        <v>51</v>
      </c>
      <c r="R717" s="69"/>
      <c r="S717" s="48">
        <v>45339</v>
      </c>
      <c r="T717" s="48">
        <v>45339</v>
      </c>
      <c r="U717" s="69"/>
      <c r="V717" s="69"/>
      <c r="W717" s="69"/>
      <c r="X717" s="69"/>
      <c r="Y717" s="69" t="s">
        <v>4130</v>
      </c>
      <c r="Z717" s="52">
        <v>147416</v>
      </c>
      <c r="AA717" s="43" t="s">
        <v>52</v>
      </c>
      <c r="AB717" s="43" t="s">
        <v>53</v>
      </c>
      <c r="AC717" s="85">
        <v>3650</v>
      </c>
      <c r="AD717" s="141">
        <v>10</v>
      </c>
      <c r="AE717" s="142">
        <v>0</v>
      </c>
      <c r="AF717" s="69" t="str">
        <f t="shared" si="108"/>
        <v>0 years 319 days</v>
      </c>
      <c r="AG717" s="69">
        <v>0</v>
      </c>
      <c r="AH717" s="69">
        <v>319</v>
      </c>
      <c r="AI717" s="69">
        <v>147416</v>
      </c>
      <c r="AJ717" s="67">
        <v>12884</v>
      </c>
      <c r="AK717" s="69">
        <v>2025</v>
      </c>
      <c r="AL717" s="61">
        <v>7309.9726027397264</v>
      </c>
      <c r="AM717" s="143"/>
    </row>
    <row r="718" spans="1:39" x14ac:dyDescent="0.35">
      <c r="A718" s="69" t="s">
        <v>4124</v>
      </c>
      <c r="B718" s="41">
        <v>1101405108</v>
      </c>
      <c r="C718" s="41"/>
      <c r="D718" s="69"/>
      <c r="E718" s="41">
        <v>0</v>
      </c>
      <c r="F718" s="41" t="s">
        <v>1961</v>
      </c>
      <c r="G718" s="69" t="s">
        <v>1960</v>
      </c>
      <c r="H718" s="41">
        <v>9010000071</v>
      </c>
      <c r="I718" s="41" t="s">
        <v>47</v>
      </c>
      <c r="J718" s="41">
        <v>1202010202</v>
      </c>
      <c r="K718" s="41"/>
      <c r="L718" s="52" t="s">
        <v>2287</v>
      </c>
      <c r="M718" s="69" t="s">
        <v>2288</v>
      </c>
      <c r="N718" s="69"/>
      <c r="O718" s="69">
        <v>100</v>
      </c>
      <c r="P718" s="69" t="s">
        <v>50</v>
      </c>
      <c r="Q718" s="69" t="s">
        <v>51</v>
      </c>
      <c r="R718" s="69"/>
      <c r="S718" s="48">
        <v>45356</v>
      </c>
      <c r="T718" s="48">
        <v>45356</v>
      </c>
      <c r="U718" s="69"/>
      <c r="V718" s="69"/>
      <c r="W718" s="69"/>
      <c r="X718" s="69"/>
      <c r="Y718" s="69" t="s">
        <v>4130</v>
      </c>
      <c r="Z718" s="52">
        <v>35409</v>
      </c>
      <c r="AA718" s="43" t="s">
        <v>52</v>
      </c>
      <c r="AB718" s="43" t="s">
        <v>53</v>
      </c>
      <c r="AC718" s="85">
        <v>3650</v>
      </c>
      <c r="AD718" s="141">
        <v>10</v>
      </c>
      <c r="AE718" s="142">
        <v>0</v>
      </c>
      <c r="AF718" s="69" t="str">
        <f t="shared" si="108"/>
        <v>0 years 302 days</v>
      </c>
      <c r="AG718" s="69">
        <v>0</v>
      </c>
      <c r="AH718" s="69">
        <v>302</v>
      </c>
      <c r="AI718" s="69">
        <v>35409</v>
      </c>
      <c r="AJ718" s="67">
        <v>2930</v>
      </c>
      <c r="AK718" s="69">
        <v>2025</v>
      </c>
      <c r="AL718" s="61">
        <v>1755.6293150684933</v>
      </c>
      <c r="AM718" s="143"/>
    </row>
    <row r="719" spans="1:39" x14ac:dyDescent="0.35">
      <c r="A719" s="69" t="s">
        <v>4124</v>
      </c>
      <c r="B719" s="41">
        <v>1101405109</v>
      </c>
      <c r="C719" s="41"/>
      <c r="D719" s="69"/>
      <c r="E719" s="41">
        <v>0</v>
      </c>
      <c r="F719" s="41" t="s">
        <v>1961</v>
      </c>
      <c r="G719" s="69" t="s">
        <v>1960</v>
      </c>
      <c r="H719" s="41">
        <v>9010000072</v>
      </c>
      <c r="I719" s="41" t="s">
        <v>47</v>
      </c>
      <c r="J719" s="41">
        <v>1202010202</v>
      </c>
      <c r="K719" s="41"/>
      <c r="L719" s="52" t="s">
        <v>2290</v>
      </c>
      <c r="M719" s="69" t="s">
        <v>2291</v>
      </c>
      <c r="N719" s="69"/>
      <c r="O719" s="69">
        <v>48</v>
      </c>
      <c r="P719" s="69" t="s">
        <v>50</v>
      </c>
      <c r="Q719" s="69" t="s">
        <v>51</v>
      </c>
      <c r="R719" s="69"/>
      <c r="S719" s="48">
        <v>45356</v>
      </c>
      <c r="T719" s="48">
        <v>45356</v>
      </c>
      <c r="U719" s="69"/>
      <c r="V719" s="69"/>
      <c r="W719" s="69"/>
      <c r="X719" s="69"/>
      <c r="Y719" s="69" t="s">
        <v>4130</v>
      </c>
      <c r="Z719" s="52">
        <v>15765</v>
      </c>
      <c r="AA719" s="43" t="s">
        <v>52</v>
      </c>
      <c r="AB719" s="43" t="s">
        <v>53</v>
      </c>
      <c r="AC719" s="85">
        <v>3650</v>
      </c>
      <c r="AD719" s="141">
        <v>10</v>
      </c>
      <c r="AE719" s="142">
        <v>0</v>
      </c>
      <c r="AF719" s="69" t="str">
        <f t="shared" si="108"/>
        <v>0 years 302 days</v>
      </c>
      <c r="AG719" s="69">
        <v>0</v>
      </c>
      <c r="AH719" s="69">
        <v>302</v>
      </c>
      <c r="AI719" s="69">
        <v>15765</v>
      </c>
      <c r="AJ719" s="67">
        <v>1304</v>
      </c>
      <c r="AK719" s="69">
        <v>2025</v>
      </c>
      <c r="AL719" s="61">
        <v>782.16301369863049</v>
      </c>
      <c r="AM719" s="143"/>
    </row>
    <row r="720" spans="1:39" x14ac:dyDescent="0.35">
      <c r="A720" s="69" t="s">
        <v>4124</v>
      </c>
      <c r="B720" s="41">
        <v>1101405133</v>
      </c>
      <c r="C720" s="41"/>
      <c r="D720" s="69"/>
      <c r="E720" s="41">
        <v>0</v>
      </c>
      <c r="F720" s="41" t="s">
        <v>1961</v>
      </c>
      <c r="G720" s="69" t="s">
        <v>1960</v>
      </c>
      <c r="H720" s="41">
        <v>9010000073</v>
      </c>
      <c r="I720" s="41" t="s">
        <v>47</v>
      </c>
      <c r="J720" s="41">
        <v>1202010202</v>
      </c>
      <c r="K720" s="41"/>
      <c r="L720" s="52" t="s">
        <v>2293</v>
      </c>
      <c r="M720" s="69" t="s">
        <v>2294</v>
      </c>
      <c r="N720" s="69"/>
      <c r="O720" s="69">
        <v>872</v>
      </c>
      <c r="P720" s="69" t="s">
        <v>50</v>
      </c>
      <c r="Q720" s="69" t="s">
        <v>51</v>
      </c>
      <c r="R720" s="69"/>
      <c r="S720" s="48">
        <v>45382</v>
      </c>
      <c r="T720" s="48">
        <v>45382</v>
      </c>
      <c r="U720" s="69"/>
      <c r="V720" s="69"/>
      <c r="W720" s="69"/>
      <c r="X720" s="69"/>
      <c r="Y720" s="69" t="s">
        <v>4130</v>
      </c>
      <c r="Z720" s="52">
        <v>134376</v>
      </c>
      <c r="AA720" s="43" t="s">
        <v>52</v>
      </c>
      <c r="AB720" s="43" t="s">
        <v>53</v>
      </c>
      <c r="AC720" s="85">
        <v>3650</v>
      </c>
      <c r="AD720" s="141">
        <v>10</v>
      </c>
      <c r="AE720" s="142">
        <v>0</v>
      </c>
      <c r="AF720" s="69" t="str">
        <f t="shared" si="108"/>
        <v>0 years 276 days</v>
      </c>
      <c r="AG720" s="69">
        <v>0</v>
      </c>
      <c r="AH720" s="69">
        <v>276</v>
      </c>
      <c r="AI720" s="69">
        <v>134376</v>
      </c>
      <c r="AJ720" s="67">
        <v>10198</v>
      </c>
      <c r="AK720" s="69">
        <v>2025</v>
      </c>
      <c r="AL720" s="61">
        <v>6663.4268493150703</v>
      </c>
      <c r="AM720" s="143"/>
    </row>
    <row r="721" spans="1:39" x14ac:dyDescent="0.35">
      <c r="A721" s="69" t="s">
        <v>4124</v>
      </c>
      <c r="B721" s="41">
        <v>1101405134</v>
      </c>
      <c r="C721" s="41"/>
      <c r="D721" s="69"/>
      <c r="E721" s="41">
        <v>0</v>
      </c>
      <c r="F721" s="41" t="s">
        <v>1961</v>
      </c>
      <c r="G721" s="69" t="s">
        <v>1960</v>
      </c>
      <c r="H721" s="41">
        <v>9010000074</v>
      </c>
      <c r="I721" s="41" t="s">
        <v>47</v>
      </c>
      <c r="J721" s="41">
        <v>1202010202</v>
      </c>
      <c r="K721" s="41"/>
      <c r="L721" s="52" t="s">
        <v>2296</v>
      </c>
      <c r="M721" s="69" t="s">
        <v>2297</v>
      </c>
      <c r="N721" s="69"/>
      <c r="O721" s="69">
        <v>11</v>
      </c>
      <c r="P721" s="69" t="s">
        <v>50</v>
      </c>
      <c r="Q721" s="69" t="s">
        <v>51</v>
      </c>
      <c r="R721" s="69"/>
      <c r="S721" s="48">
        <v>45382</v>
      </c>
      <c r="T721" s="48">
        <v>45382</v>
      </c>
      <c r="U721" s="69"/>
      <c r="V721" s="69"/>
      <c r="W721" s="69"/>
      <c r="X721" s="69"/>
      <c r="Y721" s="69" t="s">
        <v>4130</v>
      </c>
      <c r="Z721" s="52">
        <v>37477.4</v>
      </c>
      <c r="AA721" s="43" t="s">
        <v>52</v>
      </c>
      <c r="AB721" s="43" t="s">
        <v>53</v>
      </c>
      <c r="AC721" s="85">
        <v>3650</v>
      </c>
      <c r="AD721" s="141">
        <v>10</v>
      </c>
      <c r="AE721" s="142">
        <v>0</v>
      </c>
      <c r="AF721" s="69" t="str">
        <f t="shared" si="108"/>
        <v>0 years 276 days</v>
      </c>
      <c r="AG721" s="69">
        <v>0</v>
      </c>
      <c r="AH721" s="69">
        <v>276</v>
      </c>
      <c r="AI721" s="69">
        <v>37477.4</v>
      </c>
      <c r="AJ721" s="67">
        <v>2844</v>
      </c>
      <c r="AK721" s="69">
        <v>2025</v>
      </c>
      <c r="AL721" s="61">
        <v>1858.6436164383558</v>
      </c>
      <c r="AM721" s="143"/>
    </row>
    <row r="722" spans="1:39" x14ac:dyDescent="0.35">
      <c r="A722" s="69" t="s">
        <v>4124</v>
      </c>
      <c r="B722" s="41">
        <v>1151405142</v>
      </c>
      <c r="C722" s="41"/>
      <c r="D722" s="69"/>
      <c r="E722" s="41">
        <v>0</v>
      </c>
      <c r="F722" s="41" t="s">
        <v>1961</v>
      </c>
      <c r="G722" s="69" t="s">
        <v>1960</v>
      </c>
      <c r="H722" s="41">
        <v>9010000075</v>
      </c>
      <c r="I722" s="41" t="s">
        <v>47</v>
      </c>
      <c r="J722" s="41">
        <v>1202010202</v>
      </c>
      <c r="K722" s="41"/>
      <c r="L722" s="52" t="s">
        <v>2299</v>
      </c>
      <c r="M722" s="69" t="s">
        <v>2300</v>
      </c>
      <c r="N722" s="69"/>
      <c r="O722" s="69">
        <v>2</v>
      </c>
      <c r="P722" s="69" t="s">
        <v>50</v>
      </c>
      <c r="Q722" s="69" t="s">
        <v>51</v>
      </c>
      <c r="R722" s="69"/>
      <c r="S722" s="48">
        <v>45382</v>
      </c>
      <c r="T722" s="48">
        <v>45382</v>
      </c>
      <c r="U722" s="69"/>
      <c r="V722" s="69"/>
      <c r="W722" s="69"/>
      <c r="X722" s="69"/>
      <c r="Y722" s="69" t="s">
        <v>4130</v>
      </c>
      <c r="Z722" s="52">
        <v>81704</v>
      </c>
      <c r="AA722" s="43" t="s">
        <v>52</v>
      </c>
      <c r="AB722" s="43" t="s">
        <v>53</v>
      </c>
      <c r="AC722" s="85">
        <v>1825</v>
      </c>
      <c r="AD722" s="141">
        <v>5</v>
      </c>
      <c r="AE722" s="142">
        <v>0</v>
      </c>
      <c r="AF722" s="69" t="str">
        <f t="shared" si="108"/>
        <v>0 years 276 days</v>
      </c>
      <c r="AG722" s="69">
        <v>0</v>
      </c>
      <c r="AH722" s="69">
        <v>276</v>
      </c>
      <c r="AI722" s="69">
        <v>81704</v>
      </c>
      <c r="AJ722" s="67">
        <v>12401</v>
      </c>
      <c r="AK722" s="69">
        <v>2025</v>
      </c>
      <c r="AL722" s="61">
        <v>8103.3463013698638</v>
      </c>
      <c r="AM722" s="143"/>
    </row>
    <row r="723" spans="1:39" x14ac:dyDescent="0.35">
      <c r="A723" s="69" t="s">
        <v>4124</v>
      </c>
      <c r="B723" s="41">
        <v>1151405144</v>
      </c>
      <c r="C723" s="41"/>
      <c r="D723" s="69"/>
      <c r="E723" s="41">
        <v>0</v>
      </c>
      <c r="F723" s="41" t="s">
        <v>1961</v>
      </c>
      <c r="G723" s="69" t="s">
        <v>1960</v>
      </c>
      <c r="H723" s="41">
        <v>9010000076</v>
      </c>
      <c r="I723" s="41" t="s">
        <v>47</v>
      </c>
      <c r="J723" s="41">
        <v>1202010202</v>
      </c>
      <c r="K723" s="41"/>
      <c r="L723" s="52" t="s">
        <v>2302</v>
      </c>
      <c r="M723" s="69" t="s">
        <v>2303</v>
      </c>
      <c r="N723" s="69"/>
      <c r="O723" s="69">
        <v>1</v>
      </c>
      <c r="P723" s="69" t="s">
        <v>50</v>
      </c>
      <c r="Q723" s="69" t="s">
        <v>51</v>
      </c>
      <c r="R723" s="69"/>
      <c r="S723" s="48">
        <v>45382</v>
      </c>
      <c r="T723" s="48">
        <v>45382</v>
      </c>
      <c r="U723" s="69"/>
      <c r="V723" s="69"/>
      <c r="W723" s="69"/>
      <c r="X723" s="69"/>
      <c r="Y723" s="69" t="s">
        <v>4130</v>
      </c>
      <c r="Z723" s="52">
        <v>45425.1</v>
      </c>
      <c r="AA723" s="43" t="s">
        <v>52</v>
      </c>
      <c r="AB723" s="43" t="s">
        <v>53</v>
      </c>
      <c r="AC723" s="85">
        <v>1825</v>
      </c>
      <c r="AD723" s="141">
        <v>5</v>
      </c>
      <c r="AE723" s="142">
        <v>0</v>
      </c>
      <c r="AF723" s="69" t="str">
        <f t="shared" si="108"/>
        <v>0 years 276 days</v>
      </c>
      <c r="AG723" s="69">
        <v>0</v>
      </c>
      <c r="AH723" s="69">
        <v>276</v>
      </c>
      <c r="AI723" s="69">
        <v>45425.1</v>
      </c>
      <c r="AJ723" s="67">
        <v>6895</v>
      </c>
      <c r="AK723" s="69">
        <v>2025</v>
      </c>
      <c r="AL723" s="61">
        <v>4504.8333150684921</v>
      </c>
      <c r="AM723" s="143"/>
    </row>
    <row r="724" spans="1:39" x14ac:dyDescent="0.35">
      <c r="A724" s="69" t="s">
        <v>4124</v>
      </c>
      <c r="B724" s="41">
        <v>1151405145</v>
      </c>
      <c r="C724" s="41"/>
      <c r="D724" s="69"/>
      <c r="E724" s="41">
        <v>0</v>
      </c>
      <c r="F724" s="41" t="s">
        <v>1961</v>
      </c>
      <c r="G724" s="69" t="s">
        <v>1960</v>
      </c>
      <c r="H724" s="41">
        <v>9010000077</v>
      </c>
      <c r="I724" s="41" t="s">
        <v>47</v>
      </c>
      <c r="J724" s="41">
        <v>1202010202</v>
      </c>
      <c r="K724" s="41"/>
      <c r="L724" s="52" t="s">
        <v>2305</v>
      </c>
      <c r="M724" s="69" t="s">
        <v>2306</v>
      </c>
      <c r="N724" s="69"/>
      <c r="O724" s="69">
        <v>25</v>
      </c>
      <c r="P724" s="69" t="s">
        <v>50</v>
      </c>
      <c r="Q724" s="69" t="s">
        <v>51</v>
      </c>
      <c r="R724" s="69"/>
      <c r="S724" s="48">
        <v>45382</v>
      </c>
      <c r="T724" s="48">
        <v>45382</v>
      </c>
      <c r="U724" s="69"/>
      <c r="V724" s="69"/>
      <c r="W724" s="69"/>
      <c r="X724" s="69"/>
      <c r="Y724" s="69" t="s">
        <v>4130</v>
      </c>
      <c r="Z724" s="52">
        <v>16344.5</v>
      </c>
      <c r="AA724" s="43" t="s">
        <v>52</v>
      </c>
      <c r="AB724" s="43" t="s">
        <v>53</v>
      </c>
      <c r="AC724" s="85">
        <v>1825</v>
      </c>
      <c r="AD724" s="141">
        <v>5</v>
      </c>
      <c r="AE724" s="142">
        <v>0</v>
      </c>
      <c r="AF724" s="69" t="str">
        <f t="shared" si="108"/>
        <v>0 years 276 days</v>
      </c>
      <c r="AG724" s="69">
        <v>0</v>
      </c>
      <c r="AH724" s="69">
        <v>276</v>
      </c>
      <c r="AI724" s="69">
        <v>16344.5</v>
      </c>
      <c r="AJ724" s="67">
        <v>2481</v>
      </c>
      <c r="AK724" s="69">
        <v>2025</v>
      </c>
      <c r="AL724" s="61">
        <v>1620.7978082191785</v>
      </c>
      <c r="AM724" s="143"/>
    </row>
    <row r="725" spans="1:39" x14ac:dyDescent="0.35">
      <c r="A725" s="69" t="s">
        <v>4124</v>
      </c>
      <c r="B725" s="41">
        <v>1151405146</v>
      </c>
      <c r="C725" s="41"/>
      <c r="D725" s="69"/>
      <c r="E725" s="41">
        <v>0</v>
      </c>
      <c r="F725" s="41" t="s">
        <v>1961</v>
      </c>
      <c r="G725" s="69" t="s">
        <v>1960</v>
      </c>
      <c r="H725" s="41">
        <v>9010000078</v>
      </c>
      <c r="I725" s="41" t="s">
        <v>47</v>
      </c>
      <c r="J725" s="41">
        <v>1202010202</v>
      </c>
      <c r="K725" s="41"/>
      <c r="L725" s="52" t="s">
        <v>2308</v>
      </c>
      <c r="M725" s="69" t="s">
        <v>2309</v>
      </c>
      <c r="N725" s="69"/>
      <c r="O725" s="69">
        <v>3</v>
      </c>
      <c r="P725" s="69" t="s">
        <v>50</v>
      </c>
      <c r="Q725" s="69" t="s">
        <v>51</v>
      </c>
      <c r="R725" s="69"/>
      <c r="S725" s="48">
        <v>45382</v>
      </c>
      <c r="T725" s="48">
        <v>45382</v>
      </c>
      <c r="U725" s="69"/>
      <c r="V725" s="69"/>
      <c r="W725" s="69"/>
      <c r="X725" s="69"/>
      <c r="Y725" s="69" t="s">
        <v>4130</v>
      </c>
      <c r="Z725" s="52">
        <v>56163</v>
      </c>
      <c r="AA725" s="43" t="s">
        <v>52</v>
      </c>
      <c r="AB725" s="43" t="s">
        <v>53</v>
      </c>
      <c r="AC725" s="85">
        <v>1825</v>
      </c>
      <c r="AD725" s="141">
        <v>5</v>
      </c>
      <c r="AE725" s="142">
        <v>0</v>
      </c>
      <c r="AF725" s="69" t="str">
        <f t="shared" si="108"/>
        <v>0 years 276 days</v>
      </c>
      <c r="AG725" s="69">
        <v>0</v>
      </c>
      <c r="AH725" s="69">
        <v>276</v>
      </c>
      <c r="AI725" s="69">
        <v>56163</v>
      </c>
      <c r="AJ725" s="67">
        <v>8524</v>
      </c>
      <c r="AK725" s="69">
        <v>2025</v>
      </c>
      <c r="AL725" s="61">
        <v>5570.6049315068485</v>
      </c>
      <c r="AM725" s="143"/>
    </row>
    <row r="726" spans="1:39" x14ac:dyDescent="0.35">
      <c r="A726" s="69" t="s">
        <v>4124</v>
      </c>
      <c r="B726" s="41">
        <v>1151405147</v>
      </c>
      <c r="C726" s="41"/>
      <c r="D726" s="69"/>
      <c r="E726" s="41">
        <v>0</v>
      </c>
      <c r="F726" s="41" t="s">
        <v>1961</v>
      </c>
      <c r="G726" s="69" t="s">
        <v>1960</v>
      </c>
      <c r="H726" s="41">
        <v>9010000079</v>
      </c>
      <c r="I726" s="41" t="s">
        <v>47</v>
      </c>
      <c r="J726" s="41">
        <v>1202010202</v>
      </c>
      <c r="K726" s="41"/>
      <c r="L726" s="52" t="s">
        <v>2311</v>
      </c>
      <c r="M726" s="69" t="s">
        <v>2312</v>
      </c>
      <c r="N726" s="69"/>
      <c r="O726" s="69">
        <v>5</v>
      </c>
      <c r="P726" s="69" t="s">
        <v>50</v>
      </c>
      <c r="Q726" s="69" t="s">
        <v>51</v>
      </c>
      <c r="R726" s="69"/>
      <c r="S726" s="48">
        <v>45382</v>
      </c>
      <c r="T726" s="48">
        <v>45382</v>
      </c>
      <c r="U726" s="69"/>
      <c r="V726" s="69"/>
      <c r="W726" s="69"/>
      <c r="X726" s="69"/>
      <c r="Y726" s="69" t="s">
        <v>4130</v>
      </c>
      <c r="Z726" s="52">
        <v>1100000</v>
      </c>
      <c r="AA726" s="43" t="s">
        <v>52</v>
      </c>
      <c r="AB726" s="43" t="s">
        <v>53</v>
      </c>
      <c r="AC726" s="85">
        <v>1825</v>
      </c>
      <c r="AD726" s="141">
        <v>5</v>
      </c>
      <c r="AE726" s="142">
        <v>0</v>
      </c>
      <c r="AF726" s="69" t="str">
        <f t="shared" si="108"/>
        <v>0 years 276 days</v>
      </c>
      <c r="AG726" s="69">
        <v>0</v>
      </c>
      <c r="AH726" s="69">
        <v>276</v>
      </c>
      <c r="AI726" s="69">
        <v>1100000</v>
      </c>
      <c r="AJ726" s="67">
        <v>166959</v>
      </c>
      <c r="AK726" s="69">
        <v>2025</v>
      </c>
      <c r="AL726" s="61">
        <v>109095.7945205479</v>
      </c>
      <c r="AM726" s="143"/>
    </row>
    <row r="727" spans="1:39" x14ac:dyDescent="0.35">
      <c r="A727" s="69" t="s">
        <v>4124</v>
      </c>
      <c r="B727" s="41">
        <v>1151405157</v>
      </c>
      <c r="C727" s="41"/>
      <c r="D727" s="69"/>
      <c r="E727" s="41">
        <v>0</v>
      </c>
      <c r="F727" s="41" t="s">
        <v>1961</v>
      </c>
      <c r="G727" s="69" t="s">
        <v>1960</v>
      </c>
      <c r="H727" s="41">
        <v>9010000080</v>
      </c>
      <c r="I727" s="41" t="s">
        <v>47</v>
      </c>
      <c r="J727" s="41">
        <v>1202010202</v>
      </c>
      <c r="K727" s="41"/>
      <c r="L727" s="52" t="s">
        <v>2314</v>
      </c>
      <c r="M727" s="69" t="s">
        <v>2315</v>
      </c>
      <c r="N727" s="69"/>
      <c r="O727" s="69">
        <v>1</v>
      </c>
      <c r="P727" s="69" t="s">
        <v>50</v>
      </c>
      <c r="Q727" s="69" t="s">
        <v>51</v>
      </c>
      <c r="R727" s="69"/>
      <c r="S727" s="48">
        <v>45399</v>
      </c>
      <c r="T727" s="48">
        <v>45399</v>
      </c>
      <c r="U727" s="69"/>
      <c r="V727" s="69"/>
      <c r="W727" s="69"/>
      <c r="X727" s="69"/>
      <c r="Y727" s="69" t="s">
        <v>4130</v>
      </c>
      <c r="Z727" s="83">
        <v>67740</v>
      </c>
      <c r="AA727" s="43" t="s">
        <v>52</v>
      </c>
      <c r="AB727" s="43" t="s">
        <v>53</v>
      </c>
      <c r="AC727" s="85">
        <v>1825</v>
      </c>
      <c r="AD727" s="141">
        <v>5</v>
      </c>
      <c r="AE727" s="142">
        <v>0</v>
      </c>
      <c r="AF727" s="69" t="str">
        <f t="shared" si="108"/>
        <v>0 years 259 days</v>
      </c>
      <c r="AG727" s="69">
        <v>0</v>
      </c>
      <c r="AH727" s="69">
        <v>259</v>
      </c>
      <c r="AI727" s="69">
        <v>67740</v>
      </c>
      <c r="AJ727" s="67">
        <v>9614</v>
      </c>
      <c r="AK727" s="69">
        <v>2025</v>
      </c>
      <c r="AL727" s="61">
        <v>6717.8356164383567</v>
      </c>
      <c r="AM727" s="143"/>
    </row>
    <row r="728" spans="1:39" x14ac:dyDescent="0.35">
      <c r="A728" s="69" t="s">
        <v>4124</v>
      </c>
      <c r="B728" s="41">
        <v>1151405158</v>
      </c>
      <c r="C728" s="41"/>
      <c r="D728" s="69"/>
      <c r="E728" s="41">
        <v>0</v>
      </c>
      <c r="F728" s="41" t="s">
        <v>1961</v>
      </c>
      <c r="G728" s="69" t="s">
        <v>1960</v>
      </c>
      <c r="H728" s="41">
        <v>9010000081</v>
      </c>
      <c r="I728" s="41" t="s">
        <v>47</v>
      </c>
      <c r="J728" s="41">
        <v>1202010202</v>
      </c>
      <c r="K728" s="41"/>
      <c r="L728" s="52" t="s">
        <v>2317</v>
      </c>
      <c r="M728" s="69" t="s">
        <v>2318</v>
      </c>
      <c r="N728" s="69"/>
      <c r="O728" s="69">
        <v>15</v>
      </c>
      <c r="P728" s="69" t="s">
        <v>50</v>
      </c>
      <c r="Q728" s="69" t="s">
        <v>51</v>
      </c>
      <c r="R728" s="69"/>
      <c r="S728" s="48">
        <v>45412</v>
      </c>
      <c r="T728" s="48">
        <v>45412</v>
      </c>
      <c r="U728" s="69"/>
      <c r="V728" s="69"/>
      <c r="W728" s="69"/>
      <c r="X728" s="69"/>
      <c r="Y728" s="69" t="s">
        <v>4130</v>
      </c>
      <c r="Z728" s="83">
        <v>40132.800000000003</v>
      </c>
      <c r="AA728" s="43" t="s">
        <v>52</v>
      </c>
      <c r="AB728" s="43" t="s">
        <v>53</v>
      </c>
      <c r="AC728" s="85">
        <v>1825</v>
      </c>
      <c r="AD728" s="141">
        <v>5</v>
      </c>
      <c r="AE728" s="142">
        <v>0</v>
      </c>
      <c r="AF728" s="69" t="str">
        <f t="shared" si="108"/>
        <v>0 years 246 days</v>
      </c>
      <c r="AG728" s="69">
        <v>0</v>
      </c>
      <c r="AH728" s="69">
        <v>246</v>
      </c>
      <c r="AI728" s="69">
        <v>40132.800000000003</v>
      </c>
      <c r="AJ728" s="67">
        <v>5410</v>
      </c>
      <c r="AK728" s="69">
        <v>2025</v>
      </c>
      <c r="AL728" s="61">
        <v>3979.9756712328781</v>
      </c>
      <c r="AM728" s="143"/>
    </row>
    <row r="729" spans="1:39" x14ac:dyDescent="0.35">
      <c r="A729" s="69" t="s">
        <v>4124</v>
      </c>
      <c r="B729" s="41">
        <v>1151405159</v>
      </c>
      <c r="C729" s="41"/>
      <c r="D729" s="69"/>
      <c r="E729" s="41">
        <v>0</v>
      </c>
      <c r="F729" s="41" t="s">
        <v>1961</v>
      </c>
      <c r="G729" s="69" t="s">
        <v>1960</v>
      </c>
      <c r="H729" s="41">
        <v>9010000082</v>
      </c>
      <c r="I729" s="41" t="s">
        <v>47</v>
      </c>
      <c r="J729" s="41">
        <v>1202010202</v>
      </c>
      <c r="K729" s="41"/>
      <c r="L729" s="52" t="s">
        <v>2320</v>
      </c>
      <c r="M729" s="69" t="s">
        <v>2321</v>
      </c>
      <c r="N729" s="69"/>
      <c r="O729" s="69">
        <v>1</v>
      </c>
      <c r="P729" s="69" t="s">
        <v>50</v>
      </c>
      <c r="Q729" s="69" t="s">
        <v>51</v>
      </c>
      <c r="R729" s="69"/>
      <c r="S729" s="48">
        <v>45390</v>
      </c>
      <c r="T729" s="48">
        <v>45390</v>
      </c>
      <c r="U729" s="69"/>
      <c r="V729" s="69"/>
      <c r="W729" s="69"/>
      <c r="X729" s="69"/>
      <c r="Y729" s="69" t="s">
        <v>4130</v>
      </c>
      <c r="Z729" s="83">
        <v>21800</v>
      </c>
      <c r="AA729" s="43" t="s">
        <v>52</v>
      </c>
      <c r="AB729" s="43" t="s">
        <v>53</v>
      </c>
      <c r="AC729" s="85">
        <v>1825</v>
      </c>
      <c r="AD729" s="141">
        <v>5</v>
      </c>
      <c r="AE729" s="142">
        <v>0</v>
      </c>
      <c r="AF729" s="69" t="str">
        <f t="shared" si="108"/>
        <v>0 years 268 days</v>
      </c>
      <c r="AG729" s="69">
        <v>0</v>
      </c>
      <c r="AH729" s="69">
        <v>268</v>
      </c>
      <c r="AI729" s="69">
        <v>21800</v>
      </c>
      <c r="AJ729" s="67">
        <v>3201</v>
      </c>
      <c r="AK729" s="69">
        <v>2025</v>
      </c>
      <c r="AL729" s="61">
        <v>2162.3972602739723</v>
      </c>
      <c r="AM729" s="143"/>
    </row>
    <row r="730" spans="1:39" x14ac:dyDescent="0.35">
      <c r="A730" s="69" t="s">
        <v>4124</v>
      </c>
      <c r="B730" s="41">
        <v>1101405197</v>
      </c>
      <c r="C730" s="41"/>
      <c r="D730" s="69"/>
      <c r="E730" s="41">
        <v>0</v>
      </c>
      <c r="F730" s="41" t="s">
        <v>1961</v>
      </c>
      <c r="G730" s="69" t="s">
        <v>1960</v>
      </c>
      <c r="H730" s="41">
        <v>9010000083</v>
      </c>
      <c r="I730" s="41" t="s">
        <v>47</v>
      </c>
      <c r="J730" s="41">
        <v>1202010202</v>
      </c>
      <c r="K730" s="41"/>
      <c r="L730" s="52" t="s">
        <v>2323</v>
      </c>
      <c r="M730" s="69" t="s">
        <v>2324</v>
      </c>
      <c r="N730" s="69"/>
      <c r="O730" s="69">
        <v>1</v>
      </c>
      <c r="P730" s="69" t="s">
        <v>50</v>
      </c>
      <c r="Q730" s="69" t="s">
        <v>51</v>
      </c>
      <c r="R730" s="69"/>
      <c r="S730" s="48">
        <v>45423</v>
      </c>
      <c r="T730" s="48">
        <v>45423</v>
      </c>
      <c r="U730" s="69"/>
      <c r="V730" s="69"/>
      <c r="W730" s="69"/>
      <c r="X730" s="69"/>
      <c r="Y730" s="69" t="s">
        <v>4130</v>
      </c>
      <c r="Z730" s="83">
        <v>103824.42</v>
      </c>
      <c r="AA730" s="43" t="s">
        <v>52</v>
      </c>
      <c r="AB730" s="43" t="s">
        <v>53</v>
      </c>
      <c r="AC730" s="85">
        <v>3650</v>
      </c>
      <c r="AD730" s="141">
        <v>10</v>
      </c>
      <c r="AE730" s="142">
        <v>0</v>
      </c>
      <c r="AF730" s="69" t="str">
        <f t="shared" si="108"/>
        <v>0 years 235 days</v>
      </c>
      <c r="AG730" s="69">
        <v>0</v>
      </c>
      <c r="AH730" s="69">
        <v>235</v>
      </c>
      <c r="AI730" s="69">
        <v>103824.42</v>
      </c>
      <c r="AJ730" s="67">
        <v>6685</v>
      </c>
      <c r="AK730" s="69">
        <v>2025</v>
      </c>
      <c r="AL730" s="61">
        <v>5148.1393753424654</v>
      </c>
      <c r="AM730" s="143"/>
    </row>
    <row r="731" spans="1:39" x14ac:dyDescent="0.35">
      <c r="A731" s="69" t="s">
        <v>4124</v>
      </c>
      <c r="B731" s="41">
        <v>1151405219</v>
      </c>
      <c r="C731" s="41"/>
      <c r="D731" s="69"/>
      <c r="E731" s="41">
        <v>0</v>
      </c>
      <c r="F731" s="41" t="s">
        <v>1961</v>
      </c>
      <c r="G731" s="69" t="s">
        <v>1960</v>
      </c>
      <c r="H731" s="41">
        <v>9010000084</v>
      </c>
      <c r="I731" s="41" t="s">
        <v>47</v>
      </c>
      <c r="J731" s="41">
        <v>1202010202</v>
      </c>
      <c r="K731" s="41"/>
      <c r="L731" s="52" t="s">
        <v>2326</v>
      </c>
      <c r="M731" s="69" t="s">
        <v>2327</v>
      </c>
      <c r="N731" s="69"/>
      <c r="O731" s="69">
        <v>4</v>
      </c>
      <c r="P731" s="69" t="s">
        <v>50</v>
      </c>
      <c r="Q731" s="69" t="s">
        <v>51</v>
      </c>
      <c r="R731" s="69"/>
      <c r="S731" s="48">
        <v>45454</v>
      </c>
      <c r="T731" s="48">
        <v>45454</v>
      </c>
      <c r="U731" s="69"/>
      <c r="V731" s="69"/>
      <c r="W731" s="69"/>
      <c r="X731" s="69"/>
      <c r="Y731" s="69" t="s">
        <v>4130</v>
      </c>
      <c r="Z731" s="83">
        <v>60945</v>
      </c>
      <c r="AA731" s="43" t="s">
        <v>52</v>
      </c>
      <c r="AB731" s="43" t="s">
        <v>53</v>
      </c>
      <c r="AC731" s="85">
        <v>1825</v>
      </c>
      <c r="AD731" s="141">
        <v>5</v>
      </c>
      <c r="AE731" s="142">
        <v>0</v>
      </c>
      <c r="AF731" s="69" t="str">
        <f t="shared" si="108"/>
        <v>0 years 204 days</v>
      </c>
      <c r="AG731" s="69">
        <v>0</v>
      </c>
      <c r="AH731" s="69">
        <v>204</v>
      </c>
      <c r="AI731" s="69">
        <v>60945</v>
      </c>
      <c r="AJ731" s="67">
        <v>6812</v>
      </c>
      <c r="AK731" s="69">
        <v>2025</v>
      </c>
      <c r="AL731" s="61">
        <v>6044.8904109589039</v>
      </c>
      <c r="AM731" s="143"/>
    </row>
    <row r="732" spans="1:39" x14ac:dyDescent="0.35">
      <c r="A732" s="69" t="s">
        <v>4124</v>
      </c>
      <c r="B732" s="41">
        <v>1151405247</v>
      </c>
      <c r="C732" s="41"/>
      <c r="D732" s="69"/>
      <c r="E732" s="41">
        <v>0</v>
      </c>
      <c r="F732" s="41" t="s">
        <v>1961</v>
      </c>
      <c r="G732" s="69" t="s">
        <v>1960</v>
      </c>
      <c r="H732" s="41">
        <v>9010000085</v>
      </c>
      <c r="I732" s="41" t="s">
        <v>47</v>
      </c>
      <c r="J732" s="41">
        <v>1202010202</v>
      </c>
      <c r="K732" s="41"/>
      <c r="L732" s="52" t="s">
        <v>2329</v>
      </c>
      <c r="M732" s="69" t="s">
        <v>2330</v>
      </c>
      <c r="N732" s="69"/>
      <c r="O732" s="69">
        <v>1</v>
      </c>
      <c r="P732" s="69" t="s">
        <v>50</v>
      </c>
      <c r="Q732" s="69" t="s">
        <v>51</v>
      </c>
      <c r="R732" s="69"/>
      <c r="S732" s="48">
        <v>45474</v>
      </c>
      <c r="T732" s="48">
        <v>45474</v>
      </c>
      <c r="U732" s="69"/>
      <c r="V732" s="69"/>
      <c r="W732" s="69"/>
      <c r="X732" s="69"/>
      <c r="Y732" s="69" t="s">
        <v>4130</v>
      </c>
      <c r="Z732" s="83">
        <v>104750</v>
      </c>
      <c r="AA732" s="43" t="s">
        <v>52</v>
      </c>
      <c r="AB732" s="43" t="s">
        <v>53</v>
      </c>
      <c r="AC732" s="85">
        <v>1825</v>
      </c>
      <c r="AD732" s="141">
        <v>5</v>
      </c>
      <c r="AE732" s="142">
        <v>0</v>
      </c>
      <c r="AF732" s="69" t="str">
        <f t="shared" si="108"/>
        <v>0 years 184 days</v>
      </c>
      <c r="AG732" s="69">
        <v>0</v>
      </c>
      <c r="AH732" s="69">
        <v>184</v>
      </c>
      <c r="AI732" s="69">
        <v>104750</v>
      </c>
      <c r="AJ732" s="67">
        <v>10561</v>
      </c>
      <c r="AK732" s="69">
        <v>2025</v>
      </c>
      <c r="AL732" s="61">
        <v>10389</v>
      </c>
      <c r="AM732" s="143"/>
    </row>
    <row r="733" spans="1:39" x14ac:dyDescent="0.35">
      <c r="A733" s="69" t="s">
        <v>4124</v>
      </c>
      <c r="B733" s="41">
        <v>1151405366</v>
      </c>
      <c r="C733" s="41"/>
      <c r="D733" s="69"/>
      <c r="E733" s="41">
        <v>0</v>
      </c>
      <c r="F733" s="41" t="s">
        <v>1961</v>
      </c>
      <c r="G733" s="69" t="s">
        <v>1960</v>
      </c>
      <c r="H733" s="41">
        <v>9010000086</v>
      </c>
      <c r="I733" s="41" t="s">
        <v>47</v>
      </c>
      <c r="J733" s="41">
        <v>1202010202</v>
      </c>
      <c r="K733" s="41"/>
      <c r="L733" s="52" t="s">
        <v>2332</v>
      </c>
      <c r="M733" s="69" t="s">
        <v>49</v>
      </c>
      <c r="N733" s="69"/>
      <c r="O733" s="69">
        <v>1</v>
      </c>
      <c r="P733" s="69" t="s">
        <v>50</v>
      </c>
      <c r="Q733" s="69" t="s">
        <v>51</v>
      </c>
      <c r="R733" s="69"/>
      <c r="S733" s="48">
        <v>45688</v>
      </c>
      <c r="T733" s="48">
        <v>45688</v>
      </c>
      <c r="U733" s="69"/>
      <c r="V733" s="69"/>
      <c r="W733" s="69"/>
      <c r="X733" s="69"/>
      <c r="Y733" s="69" t="s">
        <v>4132</v>
      </c>
      <c r="Z733" s="83">
        <v>353893.5</v>
      </c>
      <c r="AA733" s="43" t="s">
        <v>52</v>
      </c>
      <c r="AB733" s="43" t="s">
        <v>53</v>
      </c>
      <c r="AC733" s="85">
        <v>1825</v>
      </c>
      <c r="AD733" s="141">
        <v>5</v>
      </c>
      <c r="AE733" s="142">
        <v>0</v>
      </c>
      <c r="AF733" s="69" t="str">
        <f t="shared" si="108"/>
        <v>0 years 0 days</v>
      </c>
      <c r="AG733" s="69">
        <v>0</v>
      </c>
      <c r="AH733" s="69">
        <v>0</v>
      </c>
      <c r="AI733" s="69">
        <v>353893.5</v>
      </c>
      <c r="AJ733" s="67">
        <v>0</v>
      </c>
      <c r="AK733" s="69">
        <v>2025</v>
      </c>
      <c r="AL733" s="61">
        <v>29281.051232876714</v>
      </c>
      <c r="AM733" s="143"/>
    </row>
    <row r="734" spans="1:39" x14ac:dyDescent="0.35">
      <c r="A734" s="69" t="s">
        <v>4124</v>
      </c>
      <c r="B734" s="41">
        <v>1151405367</v>
      </c>
      <c r="C734" s="41"/>
      <c r="D734" s="69"/>
      <c r="E734" s="41">
        <v>0</v>
      </c>
      <c r="F734" s="41" t="s">
        <v>1961</v>
      </c>
      <c r="G734" s="69" t="s">
        <v>1960</v>
      </c>
      <c r="H734" s="41">
        <v>9010000087</v>
      </c>
      <c r="I734" s="41" t="s">
        <v>47</v>
      </c>
      <c r="J734" s="41">
        <v>1202010202</v>
      </c>
      <c r="K734" s="41"/>
      <c r="L734" s="52" t="s">
        <v>2334</v>
      </c>
      <c r="M734" s="69" t="s">
        <v>2335</v>
      </c>
      <c r="N734" s="69"/>
      <c r="O734" s="69">
        <v>2</v>
      </c>
      <c r="P734" s="69" t="s">
        <v>50</v>
      </c>
      <c r="Q734" s="69" t="s">
        <v>51</v>
      </c>
      <c r="R734" s="69"/>
      <c r="S734" s="48">
        <v>45825</v>
      </c>
      <c r="T734" s="48">
        <v>45825</v>
      </c>
      <c r="U734" s="69"/>
      <c r="V734" s="69"/>
      <c r="W734" s="69"/>
      <c r="X734" s="69"/>
      <c r="Y734" s="69" t="s">
        <v>4132</v>
      </c>
      <c r="Z734" s="83">
        <v>0</v>
      </c>
      <c r="AA734" s="43" t="s">
        <v>52</v>
      </c>
      <c r="AB734" s="43" t="s">
        <v>53</v>
      </c>
      <c r="AC734" s="85">
        <v>1825</v>
      </c>
      <c r="AD734" s="141">
        <v>5</v>
      </c>
      <c r="AE734" s="142">
        <v>0</v>
      </c>
      <c r="AF734" s="69" t="str">
        <f t="shared" si="108"/>
        <v>0 years 0 days</v>
      </c>
      <c r="AG734" s="69">
        <v>0</v>
      </c>
      <c r="AH734" s="69">
        <v>0</v>
      </c>
      <c r="AI734" s="69">
        <v>57400</v>
      </c>
      <c r="AJ734" s="67">
        <v>0</v>
      </c>
      <c r="AK734" s="69">
        <v>2025</v>
      </c>
      <c r="AL734" s="61">
        <v>440.32876712328766</v>
      </c>
      <c r="AM734" s="143"/>
    </row>
    <row r="735" spans="1:39" x14ac:dyDescent="0.35">
      <c r="A735" s="69" t="s">
        <v>4124</v>
      </c>
      <c r="B735" s="41">
        <v>1101100057</v>
      </c>
      <c r="C735" s="41"/>
      <c r="D735" s="69"/>
      <c r="E735" s="41">
        <v>0</v>
      </c>
      <c r="F735" s="41" t="s">
        <v>1961</v>
      </c>
      <c r="G735" s="69" t="s">
        <v>1960</v>
      </c>
      <c r="H735" s="41">
        <v>9010000088</v>
      </c>
      <c r="I735" s="41" t="s">
        <v>47</v>
      </c>
      <c r="J735" s="41">
        <v>1202010202</v>
      </c>
      <c r="K735" s="41"/>
      <c r="L735" s="52" t="s">
        <v>2337</v>
      </c>
      <c r="M735" s="69" t="s">
        <v>49</v>
      </c>
      <c r="N735" s="69"/>
      <c r="O735" s="69">
        <v>1</v>
      </c>
      <c r="P735" s="69" t="s">
        <v>50</v>
      </c>
      <c r="Q735" s="69" t="s">
        <v>51</v>
      </c>
      <c r="R735" s="69"/>
      <c r="S735" s="48">
        <v>37950</v>
      </c>
      <c r="T735" s="48">
        <v>43340</v>
      </c>
      <c r="U735" s="69"/>
      <c r="V735" s="69"/>
      <c r="W735" s="69"/>
      <c r="X735" s="69"/>
      <c r="Y735" s="69" t="s">
        <v>4125</v>
      </c>
      <c r="Z735" s="52">
        <v>4400</v>
      </c>
      <c r="AA735" s="43" t="s">
        <v>52</v>
      </c>
      <c r="AB735" s="43" t="s">
        <v>53</v>
      </c>
      <c r="AC735" s="85">
        <v>183</v>
      </c>
      <c r="AD735" s="141">
        <v>0</v>
      </c>
      <c r="AE735" s="142">
        <v>6</v>
      </c>
      <c r="AF735" s="69" t="str">
        <f t="shared" si="108"/>
        <v>0 years 183 days</v>
      </c>
      <c r="AG735" s="69">
        <v>0</v>
      </c>
      <c r="AH735" s="69">
        <v>183</v>
      </c>
      <c r="AI735" s="69">
        <v>4400</v>
      </c>
      <c r="AJ735" s="67">
        <v>4400</v>
      </c>
      <c r="AK735" s="69">
        <v>2025</v>
      </c>
      <c r="AL735" s="61">
        <v>0</v>
      </c>
      <c r="AM735" s="143"/>
    </row>
    <row r="736" spans="1:39" x14ac:dyDescent="0.35">
      <c r="A736" s="69" t="s">
        <v>4124</v>
      </c>
      <c r="B736" s="41">
        <v>1101100073</v>
      </c>
      <c r="C736" s="41"/>
      <c r="D736" s="69"/>
      <c r="E736" s="41">
        <v>0</v>
      </c>
      <c r="F736" s="41" t="s">
        <v>1961</v>
      </c>
      <c r="G736" s="69" t="s">
        <v>1960</v>
      </c>
      <c r="H736" s="41">
        <v>9010000089</v>
      </c>
      <c r="I736" s="41" t="s">
        <v>47</v>
      </c>
      <c r="J736" s="41">
        <v>1202010202</v>
      </c>
      <c r="K736" s="41"/>
      <c r="L736" s="52" t="s">
        <v>2339</v>
      </c>
      <c r="M736" s="69" t="s">
        <v>49</v>
      </c>
      <c r="N736" s="69"/>
      <c r="O736" s="69">
        <v>1</v>
      </c>
      <c r="P736" s="69" t="s">
        <v>50</v>
      </c>
      <c r="Q736" s="69" t="s">
        <v>51</v>
      </c>
      <c r="R736" s="69"/>
      <c r="S736" s="48">
        <v>38074</v>
      </c>
      <c r="T736" s="48">
        <v>43340</v>
      </c>
      <c r="U736" s="69"/>
      <c r="V736" s="69"/>
      <c r="W736" s="69"/>
      <c r="X736" s="69"/>
      <c r="Y736" s="69" t="s">
        <v>4125</v>
      </c>
      <c r="Z736" s="52">
        <v>3000</v>
      </c>
      <c r="AA736" s="43" t="s">
        <v>52</v>
      </c>
      <c r="AB736" s="43" t="s">
        <v>53</v>
      </c>
      <c r="AC736" s="85">
        <v>183</v>
      </c>
      <c r="AD736" s="141">
        <v>0</v>
      </c>
      <c r="AE736" s="142">
        <v>6</v>
      </c>
      <c r="AF736" s="69" t="str">
        <f t="shared" si="108"/>
        <v>0 years 183 days</v>
      </c>
      <c r="AG736" s="69">
        <v>0</v>
      </c>
      <c r="AH736" s="69">
        <v>183</v>
      </c>
      <c r="AI736" s="69">
        <v>3000</v>
      </c>
      <c r="AJ736" s="67">
        <v>3000</v>
      </c>
      <c r="AK736" s="69">
        <v>2025</v>
      </c>
      <c r="AL736" s="61">
        <v>0</v>
      </c>
      <c r="AM736" s="143"/>
    </row>
    <row r="737" spans="1:39" x14ac:dyDescent="0.35">
      <c r="A737" s="69" t="s">
        <v>4124</v>
      </c>
      <c r="B737" s="41">
        <v>1101102566</v>
      </c>
      <c r="C737" s="41"/>
      <c r="D737" s="69"/>
      <c r="E737" s="41">
        <v>0</v>
      </c>
      <c r="F737" s="41" t="s">
        <v>1961</v>
      </c>
      <c r="G737" s="69" t="s">
        <v>1960</v>
      </c>
      <c r="H737" s="41">
        <v>9010000090</v>
      </c>
      <c r="I737" s="41" t="s">
        <v>47</v>
      </c>
      <c r="J737" s="41">
        <v>1202010202</v>
      </c>
      <c r="K737" s="41"/>
      <c r="L737" s="52" t="s">
        <v>2341</v>
      </c>
      <c r="M737" s="69" t="s">
        <v>2342</v>
      </c>
      <c r="N737" s="69"/>
      <c r="O737" s="69">
        <v>25</v>
      </c>
      <c r="P737" s="69" t="s">
        <v>50</v>
      </c>
      <c r="Q737" s="69" t="s">
        <v>51</v>
      </c>
      <c r="R737" s="69"/>
      <c r="S737" s="48">
        <v>43246</v>
      </c>
      <c r="T737" s="48">
        <v>43340</v>
      </c>
      <c r="U737" s="69"/>
      <c r="V737" s="69"/>
      <c r="W737" s="69"/>
      <c r="X737" s="69"/>
      <c r="Y737" s="69" t="s">
        <v>4125</v>
      </c>
      <c r="Z737" s="52">
        <v>38000</v>
      </c>
      <c r="AA737" s="43" t="s">
        <v>52</v>
      </c>
      <c r="AB737" s="43" t="s">
        <v>53</v>
      </c>
      <c r="AC737" s="85">
        <v>2811</v>
      </c>
      <c r="AD737" s="141">
        <v>7</v>
      </c>
      <c r="AE737" s="142">
        <v>9</v>
      </c>
      <c r="AF737" s="69" t="str">
        <f t="shared" si="108"/>
        <v>6 years 128 days</v>
      </c>
      <c r="AG737" s="69">
        <v>6</v>
      </c>
      <c r="AH737" s="69">
        <v>128</v>
      </c>
      <c r="AI737" s="69">
        <v>38000</v>
      </c>
      <c r="AJ737" s="67">
        <v>31322</v>
      </c>
      <c r="AK737" s="69">
        <v>2025</v>
      </c>
      <c r="AL737" s="61">
        <v>2446.7655638562865</v>
      </c>
      <c r="AM737" s="143"/>
    </row>
    <row r="738" spans="1:39" x14ac:dyDescent="0.35">
      <c r="A738" s="69" t="s">
        <v>4124</v>
      </c>
      <c r="B738" s="41">
        <v>1101102567</v>
      </c>
      <c r="C738" s="41"/>
      <c r="D738" s="69"/>
      <c r="E738" s="41">
        <v>0</v>
      </c>
      <c r="F738" s="41" t="s">
        <v>1961</v>
      </c>
      <c r="G738" s="69" t="s">
        <v>1960</v>
      </c>
      <c r="H738" s="41">
        <v>9010000091</v>
      </c>
      <c r="I738" s="41" t="s">
        <v>47</v>
      </c>
      <c r="J738" s="41">
        <v>1202010202</v>
      </c>
      <c r="K738" s="41"/>
      <c r="L738" s="52" t="s">
        <v>2344</v>
      </c>
      <c r="M738" s="69" t="s">
        <v>49</v>
      </c>
      <c r="N738" s="69"/>
      <c r="O738" s="69">
        <v>4</v>
      </c>
      <c r="P738" s="69" t="s">
        <v>50</v>
      </c>
      <c r="Q738" s="69" t="s">
        <v>51</v>
      </c>
      <c r="R738" s="69"/>
      <c r="S738" s="48">
        <v>43246</v>
      </c>
      <c r="T738" s="48">
        <v>43340</v>
      </c>
      <c r="U738" s="69"/>
      <c r="V738" s="69"/>
      <c r="W738" s="69"/>
      <c r="X738" s="69"/>
      <c r="Y738" s="69" t="s">
        <v>4125</v>
      </c>
      <c r="Z738" s="52">
        <v>21000</v>
      </c>
      <c r="AA738" s="43" t="s">
        <v>52</v>
      </c>
      <c r="AB738" s="43" t="s">
        <v>53</v>
      </c>
      <c r="AC738" s="85">
        <v>3541</v>
      </c>
      <c r="AD738" s="141">
        <v>9</v>
      </c>
      <c r="AE738" s="142">
        <v>9</v>
      </c>
      <c r="AF738" s="69" t="str">
        <f t="shared" ref="AF738:AF777" si="109">_xlfn.CONCAT(AG738," years ",AH738," days")</f>
        <v>6 years 128 days</v>
      </c>
      <c r="AG738" s="69">
        <v>6</v>
      </c>
      <c r="AH738" s="69">
        <v>128</v>
      </c>
      <c r="AI738" s="69">
        <v>21000</v>
      </c>
      <c r="AJ738" s="67">
        <v>13741</v>
      </c>
      <c r="AK738" s="69">
        <v>2025</v>
      </c>
      <c r="AL738" s="61">
        <v>1073.4591923185544</v>
      </c>
      <c r="AM738" s="143"/>
    </row>
    <row r="739" spans="1:39" x14ac:dyDescent="0.35">
      <c r="A739" s="69" t="s">
        <v>4124</v>
      </c>
      <c r="B739" s="41">
        <v>1101102666</v>
      </c>
      <c r="C739" s="41"/>
      <c r="D739" s="69"/>
      <c r="E739" s="41">
        <v>0</v>
      </c>
      <c r="F739" s="41" t="s">
        <v>1961</v>
      </c>
      <c r="G739" s="69" t="s">
        <v>1960</v>
      </c>
      <c r="H739" s="41">
        <v>9010000092</v>
      </c>
      <c r="I739" s="41" t="s">
        <v>47</v>
      </c>
      <c r="J739" s="41">
        <v>1202010202</v>
      </c>
      <c r="K739" s="41"/>
      <c r="L739" s="52" t="s">
        <v>2346</v>
      </c>
      <c r="M739" s="69" t="s">
        <v>49</v>
      </c>
      <c r="N739" s="69"/>
      <c r="O739" s="69">
        <v>6</v>
      </c>
      <c r="P739" s="69" t="s">
        <v>50</v>
      </c>
      <c r="Q739" s="69" t="s">
        <v>51</v>
      </c>
      <c r="R739" s="69"/>
      <c r="S739" s="48">
        <v>43343</v>
      </c>
      <c r="T739" s="48">
        <v>43343</v>
      </c>
      <c r="U739" s="69"/>
      <c r="V739" s="69"/>
      <c r="W739" s="69"/>
      <c r="X739" s="69"/>
      <c r="Y739" s="69" t="s">
        <v>4125</v>
      </c>
      <c r="Z739" s="52">
        <v>22649</v>
      </c>
      <c r="AA739" s="43" t="s">
        <v>52</v>
      </c>
      <c r="AB739" s="43" t="s">
        <v>53</v>
      </c>
      <c r="AC739" s="85">
        <v>3650</v>
      </c>
      <c r="AD739" s="141">
        <v>10</v>
      </c>
      <c r="AE739" s="142">
        <v>0</v>
      </c>
      <c r="AF739" s="69" t="str">
        <f t="shared" si="109"/>
        <v>6 years 125 days</v>
      </c>
      <c r="AG739" s="69">
        <v>6</v>
      </c>
      <c r="AH739" s="69">
        <v>125</v>
      </c>
      <c r="AI739" s="69">
        <v>22649</v>
      </c>
      <c r="AJ739" s="67">
        <v>14359</v>
      </c>
      <c r="AK739" s="69">
        <v>2025</v>
      </c>
      <c r="AL739" s="61">
        <v>1122.9876712328769</v>
      </c>
      <c r="AM739" s="143"/>
    </row>
    <row r="740" spans="1:39" x14ac:dyDescent="0.35">
      <c r="A740" s="69" t="s">
        <v>4124</v>
      </c>
      <c r="B740" s="41">
        <v>1151103220</v>
      </c>
      <c r="C740" s="41"/>
      <c r="D740" s="69"/>
      <c r="E740" s="41">
        <v>0</v>
      </c>
      <c r="F740" s="41" t="s">
        <v>1961</v>
      </c>
      <c r="G740" s="69" t="s">
        <v>1960</v>
      </c>
      <c r="H740" s="41">
        <v>9010000093</v>
      </c>
      <c r="I740" s="41" t="s">
        <v>47</v>
      </c>
      <c r="J740" s="41">
        <v>1202010202</v>
      </c>
      <c r="K740" s="41"/>
      <c r="L740" s="52" t="s">
        <v>2348</v>
      </c>
      <c r="M740" s="69" t="s">
        <v>2349</v>
      </c>
      <c r="N740" s="69"/>
      <c r="O740" s="69">
        <v>16</v>
      </c>
      <c r="P740" s="69" t="s">
        <v>50</v>
      </c>
      <c r="Q740" s="69" t="s">
        <v>51</v>
      </c>
      <c r="R740" s="69"/>
      <c r="S740" s="48">
        <v>43855</v>
      </c>
      <c r="T740" s="48">
        <v>43855</v>
      </c>
      <c r="U740" s="69"/>
      <c r="V740" s="69"/>
      <c r="W740" s="69"/>
      <c r="X740" s="69"/>
      <c r="Y740" s="69" t="s">
        <v>4127</v>
      </c>
      <c r="Z740" s="52">
        <v>23560</v>
      </c>
      <c r="AA740" s="43" t="s">
        <v>52</v>
      </c>
      <c r="AB740" s="43" t="s">
        <v>53</v>
      </c>
      <c r="AC740" s="85">
        <v>1825</v>
      </c>
      <c r="AD740" s="141">
        <v>5</v>
      </c>
      <c r="AE740" s="142">
        <v>0</v>
      </c>
      <c r="AF740" s="69" t="str">
        <f t="shared" si="109"/>
        <v>4 years 343 days</v>
      </c>
      <c r="AG740" s="69">
        <v>4</v>
      </c>
      <c r="AH740" s="69">
        <v>343</v>
      </c>
      <c r="AI740" s="69">
        <v>23560</v>
      </c>
      <c r="AJ740" s="67">
        <v>23276</v>
      </c>
      <c r="AK740" s="69">
        <v>2025</v>
      </c>
      <c r="AL740" s="61">
        <v>284.00000000000364</v>
      </c>
      <c r="AM740" s="143"/>
    </row>
    <row r="741" spans="1:39" x14ac:dyDescent="0.35">
      <c r="A741" s="69" t="s">
        <v>4124</v>
      </c>
      <c r="B741" s="41">
        <v>1101401506</v>
      </c>
      <c r="C741" s="41"/>
      <c r="D741" s="69"/>
      <c r="E741" s="41">
        <v>0</v>
      </c>
      <c r="F741" s="41" t="s">
        <v>1961</v>
      </c>
      <c r="G741" s="69" t="s">
        <v>1960</v>
      </c>
      <c r="H741" s="41">
        <v>9010000094</v>
      </c>
      <c r="I741" s="41" t="s">
        <v>47</v>
      </c>
      <c r="J741" s="41">
        <v>1202010202</v>
      </c>
      <c r="K741" s="41"/>
      <c r="L741" s="52" t="s">
        <v>2351</v>
      </c>
      <c r="M741" s="69" t="s">
        <v>2352</v>
      </c>
      <c r="N741" s="69"/>
      <c r="O741" s="69">
        <v>1</v>
      </c>
      <c r="P741" s="69" t="s">
        <v>50</v>
      </c>
      <c r="Q741" s="69" t="s">
        <v>51</v>
      </c>
      <c r="R741" s="69"/>
      <c r="S741" s="48">
        <v>41912</v>
      </c>
      <c r="T741" s="48">
        <v>43340</v>
      </c>
      <c r="U741" s="69"/>
      <c r="V741" s="69"/>
      <c r="W741" s="69"/>
      <c r="X741" s="69"/>
      <c r="Y741" s="69" t="s">
        <v>4125</v>
      </c>
      <c r="Z741" s="52">
        <v>230000</v>
      </c>
      <c r="AA741" s="43" t="s">
        <v>52</v>
      </c>
      <c r="AB741" s="43" t="s">
        <v>53</v>
      </c>
      <c r="AC741" s="85">
        <v>2190</v>
      </c>
      <c r="AD741" s="141">
        <v>6</v>
      </c>
      <c r="AE741" s="142">
        <v>0</v>
      </c>
      <c r="AF741" s="69" t="str">
        <f t="shared" si="109"/>
        <v>6 years 0 days</v>
      </c>
      <c r="AG741" s="69">
        <v>6</v>
      </c>
      <c r="AH741" s="69">
        <v>0</v>
      </c>
      <c r="AI741" s="69">
        <v>230000</v>
      </c>
      <c r="AJ741" s="67">
        <v>230000</v>
      </c>
      <c r="AK741" s="69">
        <v>2025</v>
      </c>
      <c r="AL741" s="61">
        <v>0</v>
      </c>
      <c r="AM741" s="143"/>
    </row>
    <row r="742" spans="1:39" x14ac:dyDescent="0.35">
      <c r="A742" s="69" t="s">
        <v>4124</v>
      </c>
      <c r="B742" s="41">
        <v>1101103514</v>
      </c>
      <c r="C742" s="41"/>
      <c r="D742" s="69"/>
      <c r="E742" s="41">
        <v>0</v>
      </c>
      <c r="F742" s="41" t="s">
        <v>1961</v>
      </c>
      <c r="G742" s="69" t="s">
        <v>1960</v>
      </c>
      <c r="H742" s="41">
        <v>9010000094</v>
      </c>
      <c r="I742" s="41" t="s">
        <v>47</v>
      </c>
      <c r="J742" s="41">
        <v>1202010202</v>
      </c>
      <c r="K742" s="41"/>
      <c r="L742" s="52" t="s">
        <v>2354</v>
      </c>
      <c r="M742" s="69" t="s">
        <v>2355</v>
      </c>
      <c r="N742" s="69"/>
      <c r="O742" s="69">
        <v>1</v>
      </c>
      <c r="P742" s="69" t="s">
        <v>50</v>
      </c>
      <c r="Q742" s="69" t="s">
        <v>51</v>
      </c>
      <c r="R742" s="69"/>
      <c r="S742" s="48">
        <v>44201</v>
      </c>
      <c r="T742" s="48">
        <v>44201</v>
      </c>
      <c r="U742" s="69"/>
      <c r="V742" s="69"/>
      <c r="W742" s="69"/>
      <c r="X742" s="69"/>
      <c r="Y742" s="69" t="s">
        <v>4128</v>
      </c>
      <c r="Z742" s="52">
        <v>89671</v>
      </c>
      <c r="AA742" s="43" t="s">
        <v>52</v>
      </c>
      <c r="AB742" s="43" t="s">
        <v>53</v>
      </c>
      <c r="AC742" s="85">
        <v>3650</v>
      </c>
      <c r="AD742" s="141">
        <v>10</v>
      </c>
      <c r="AE742" s="142">
        <v>0</v>
      </c>
      <c r="AF742" s="69" t="str">
        <f t="shared" si="109"/>
        <v>3 years 362 days</v>
      </c>
      <c r="AG742" s="69">
        <v>3</v>
      </c>
      <c r="AH742" s="69">
        <v>362</v>
      </c>
      <c r="AI742" s="69">
        <v>89671</v>
      </c>
      <c r="AJ742" s="67">
        <v>35795</v>
      </c>
      <c r="AK742" s="69">
        <v>2025</v>
      </c>
      <c r="AL742" s="61">
        <v>4446.3967123287657</v>
      </c>
      <c r="AM742" s="143"/>
    </row>
    <row r="743" spans="1:39" x14ac:dyDescent="0.35">
      <c r="A743" s="69" t="s">
        <v>4124</v>
      </c>
      <c r="B743" s="41">
        <v>1101401507</v>
      </c>
      <c r="C743" s="41"/>
      <c r="D743" s="69"/>
      <c r="E743" s="41">
        <v>0</v>
      </c>
      <c r="F743" s="41" t="s">
        <v>1961</v>
      </c>
      <c r="G743" s="69" t="s">
        <v>1960</v>
      </c>
      <c r="H743" s="41">
        <v>9010000095</v>
      </c>
      <c r="I743" s="41" t="s">
        <v>47</v>
      </c>
      <c r="J743" s="41">
        <v>1202010202</v>
      </c>
      <c r="K743" s="41"/>
      <c r="L743" s="52" t="s">
        <v>2357</v>
      </c>
      <c r="M743" s="69" t="s">
        <v>2358</v>
      </c>
      <c r="N743" s="69"/>
      <c r="O743" s="69">
        <v>6</v>
      </c>
      <c r="P743" s="69" t="s">
        <v>50</v>
      </c>
      <c r="Q743" s="69" t="s">
        <v>51</v>
      </c>
      <c r="R743" s="69"/>
      <c r="S743" s="48">
        <v>41912</v>
      </c>
      <c r="T743" s="48">
        <v>43340</v>
      </c>
      <c r="U743" s="69"/>
      <c r="V743" s="69"/>
      <c r="W743" s="69"/>
      <c r="X743" s="69"/>
      <c r="Y743" s="69" t="s">
        <v>4125</v>
      </c>
      <c r="Z743" s="52">
        <v>105000</v>
      </c>
      <c r="AA743" s="43" t="s">
        <v>52</v>
      </c>
      <c r="AB743" s="43" t="s">
        <v>53</v>
      </c>
      <c r="AC743" s="85">
        <v>2190</v>
      </c>
      <c r="AD743" s="141">
        <v>6</v>
      </c>
      <c r="AE743" s="142">
        <v>0</v>
      </c>
      <c r="AF743" s="69" t="str">
        <f t="shared" si="109"/>
        <v>6 years 0 days</v>
      </c>
      <c r="AG743" s="69">
        <v>6</v>
      </c>
      <c r="AH743" s="69">
        <v>0</v>
      </c>
      <c r="AI743" s="69">
        <v>105000</v>
      </c>
      <c r="AJ743" s="67">
        <v>105000</v>
      </c>
      <c r="AK743" s="69">
        <v>2025</v>
      </c>
      <c r="AL743" s="61">
        <v>0</v>
      </c>
      <c r="AM743" s="143"/>
    </row>
    <row r="744" spans="1:39" x14ac:dyDescent="0.35">
      <c r="A744" s="69" t="s">
        <v>4124</v>
      </c>
      <c r="B744" s="41">
        <v>1101103761</v>
      </c>
      <c r="C744" s="41"/>
      <c r="D744" s="69"/>
      <c r="E744" s="41">
        <v>0</v>
      </c>
      <c r="F744" s="41" t="s">
        <v>1961</v>
      </c>
      <c r="G744" s="69" t="s">
        <v>1960</v>
      </c>
      <c r="H744" s="41">
        <v>9010000095</v>
      </c>
      <c r="I744" s="41" t="s">
        <v>47</v>
      </c>
      <c r="J744" s="41">
        <v>1202010202</v>
      </c>
      <c r="K744" s="41"/>
      <c r="L744" s="52" t="s">
        <v>2360</v>
      </c>
      <c r="M744" s="69" t="s">
        <v>2361</v>
      </c>
      <c r="N744" s="69"/>
      <c r="O744" s="69">
        <v>1</v>
      </c>
      <c r="P744" s="69" t="s">
        <v>50</v>
      </c>
      <c r="Q744" s="69" t="s">
        <v>51</v>
      </c>
      <c r="R744" s="69"/>
      <c r="S744" s="48">
        <v>44387</v>
      </c>
      <c r="T744" s="48">
        <v>44387</v>
      </c>
      <c r="U744" s="69"/>
      <c r="V744" s="69"/>
      <c r="W744" s="69"/>
      <c r="X744" s="69"/>
      <c r="Y744" s="69" t="s">
        <v>4128</v>
      </c>
      <c r="Z744" s="52">
        <v>94452</v>
      </c>
      <c r="AA744" s="43" t="s">
        <v>52</v>
      </c>
      <c r="AB744" s="43" t="s">
        <v>53</v>
      </c>
      <c r="AC744" s="85">
        <v>3650</v>
      </c>
      <c r="AD744" s="141">
        <v>10</v>
      </c>
      <c r="AE744" s="142">
        <v>0</v>
      </c>
      <c r="AF744" s="69" t="str">
        <f t="shared" si="109"/>
        <v>3 years 176 days</v>
      </c>
      <c r="AG744" s="69">
        <v>3</v>
      </c>
      <c r="AH744" s="69">
        <v>176</v>
      </c>
      <c r="AI744" s="69">
        <v>94452</v>
      </c>
      <c r="AJ744" s="67">
        <v>32890</v>
      </c>
      <c r="AK744" s="69">
        <v>2025</v>
      </c>
      <c r="AL744" s="61">
        <v>4683.7819178082209</v>
      </c>
      <c r="AM744" s="143"/>
    </row>
    <row r="745" spans="1:39" x14ac:dyDescent="0.35">
      <c r="A745" s="69" t="s">
        <v>4124</v>
      </c>
      <c r="B745" s="41">
        <v>1101401795</v>
      </c>
      <c r="C745" s="41"/>
      <c r="D745" s="69"/>
      <c r="E745" s="41">
        <v>0</v>
      </c>
      <c r="F745" s="41" t="s">
        <v>1961</v>
      </c>
      <c r="G745" s="69" t="s">
        <v>1960</v>
      </c>
      <c r="H745" s="41">
        <v>9010000096</v>
      </c>
      <c r="I745" s="41" t="s">
        <v>47</v>
      </c>
      <c r="J745" s="41">
        <v>1202010202</v>
      </c>
      <c r="K745" s="41"/>
      <c r="L745" s="52" t="s">
        <v>2363</v>
      </c>
      <c r="M745" s="69" t="s">
        <v>2364</v>
      </c>
      <c r="N745" s="69"/>
      <c r="O745" s="69">
        <v>1</v>
      </c>
      <c r="P745" s="69" t="s">
        <v>50</v>
      </c>
      <c r="Q745" s="69" t="s">
        <v>51</v>
      </c>
      <c r="R745" s="69"/>
      <c r="S745" s="48">
        <v>42364</v>
      </c>
      <c r="T745" s="48">
        <v>43340</v>
      </c>
      <c r="U745" s="69"/>
      <c r="V745" s="69"/>
      <c r="W745" s="69"/>
      <c r="X745" s="69"/>
      <c r="Y745" s="69" t="s">
        <v>4125</v>
      </c>
      <c r="Z745" s="52">
        <v>500000</v>
      </c>
      <c r="AA745" s="43" t="s">
        <v>52</v>
      </c>
      <c r="AB745" s="43" t="s">
        <v>53</v>
      </c>
      <c r="AC745" s="85">
        <v>1862</v>
      </c>
      <c r="AD745" s="141">
        <v>5</v>
      </c>
      <c r="AE745" s="142">
        <v>1</v>
      </c>
      <c r="AF745" s="69" t="str">
        <f t="shared" si="109"/>
        <v>5 years 37 days</v>
      </c>
      <c r="AG745" s="69">
        <v>5</v>
      </c>
      <c r="AH745" s="69">
        <v>37</v>
      </c>
      <c r="AI745" s="69">
        <v>500000</v>
      </c>
      <c r="AJ745" s="67">
        <v>500000</v>
      </c>
      <c r="AK745" s="69">
        <v>2025</v>
      </c>
      <c r="AL745" s="61">
        <v>0</v>
      </c>
      <c r="AM745" s="143"/>
    </row>
    <row r="746" spans="1:39" x14ac:dyDescent="0.35">
      <c r="A746" s="69" t="s">
        <v>4124</v>
      </c>
      <c r="B746" s="41">
        <v>1101103834</v>
      </c>
      <c r="C746" s="41"/>
      <c r="D746" s="69"/>
      <c r="E746" s="41">
        <v>0</v>
      </c>
      <c r="F746" s="41" t="s">
        <v>1961</v>
      </c>
      <c r="G746" s="69" t="s">
        <v>1960</v>
      </c>
      <c r="H746" s="41">
        <v>9010000096</v>
      </c>
      <c r="I746" s="41" t="s">
        <v>47</v>
      </c>
      <c r="J746" s="41">
        <v>1202010202</v>
      </c>
      <c r="K746" s="41"/>
      <c r="L746" s="52" t="s">
        <v>2366</v>
      </c>
      <c r="M746" s="69" t="s">
        <v>2367</v>
      </c>
      <c r="N746" s="69"/>
      <c r="O746" s="69">
        <v>5</v>
      </c>
      <c r="P746" s="69" t="s">
        <v>50</v>
      </c>
      <c r="Q746" s="69" t="s">
        <v>51</v>
      </c>
      <c r="R746" s="69"/>
      <c r="S746" s="48">
        <v>44449</v>
      </c>
      <c r="T746" s="48">
        <v>44449</v>
      </c>
      <c r="U746" s="69"/>
      <c r="V746" s="69"/>
      <c r="W746" s="69"/>
      <c r="X746" s="69"/>
      <c r="Y746" s="69" t="s">
        <v>4128</v>
      </c>
      <c r="Z746" s="52">
        <v>13166</v>
      </c>
      <c r="AA746" s="43" t="s">
        <v>52</v>
      </c>
      <c r="AB746" s="43" t="s">
        <v>53</v>
      </c>
      <c r="AC746" s="85">
        <v>3650</v>
      </c>
      <c r="AD746" s="141">
        <v>10</v>
      </c>
      <c r="AE746" s="142">
        <v>0</v>
      </c>
      <c r="AF746" s="69" t="str">
        <f t="shared" si="109"/>
        <v>3 years 114 days</v>
      </c>
      <c r="AG746" s="69">
        <v>3</v>
      </c>
      <c r="AH746" s="69">
        <v>114</v>
      </c>
      <c r="AI746" s="69">
        <v>13166</v>
      </c>
      <c r="AJ746" s="67">
        <v>4361</v>
      </c>
      <c r="AK746" s="69">
        <v>2025</v>
      </c>
      <c r="AL746" s="61">
        <v>652.90136986301331</v>
      </c>
      <c r="AM746" s="143"/>
    </row>
    <row r="747" spans="1:39" x14ac:dyDescent="0.35">
      <c r="A747" s="69" t="s">
        <v>4124</v>
      </c>
      <c r="B747" s="41">
        <v>1101401796</v>
      </c>
      <c r="C747" s="41"/>
      <c r="D747" s="69"/>
      <c r="E747" s="41">
        <v>0</v>
      </c>
      <c r="F747" s="41" t="s">
        <v>1961</v>
      </c>
      <c r="G747" s="69" t="s">
        <v>1960</v>
      </c>
      <c r="H747" s="41">
        <v>9010000097</v>
      </c>
      <c r="I747" s="41" t="s">
        <v>47</v>
      </c>
      <c r="J747" s="41">
        <v>1202010202</v>
      </c>
      <c r="K747" s="41"/>
      <c r="L747" s="52" t="s">
        <v>2369</v>
      </c>
      <c r="M747" s="69" t="s">
        <v>2370</v>
      </c>
      <c r="N747" s="69"/>
      <c r="O747" s="69">
        <v>1</v>
      </c>
      <c r="P747" s="69" t="s">
        <v>50</v>
      </c>
      <c r="Q747" s="69" t="s">
        <v>51</v>
      </c>
      <c r="R747" s="69"/>
      <c r="S747" s="48">
        <v>42364</v>
      </c>
      <c r="T747" s="48">
        <v>43340</v>
      </c>
      <c r="U747" s="69"/>
      <c r="V747" s="69"/>
      <c r="W747" s="69"/>
      <c r="X747" s="69"/>
      <c r="Y747" s="69" t="s">
        <v>4125</v>
      </c>
      <c r="Z747" s="52">
        <v>210000</v>
      </c>
      <c r="AA747" s="43" t="s">
        <v>52</v>
      </c>
      <c r="AB747" s="43" t="s">
        <v>53</v>
      </c>
      <c r="AC747" s="85">
        <v>2592</v>
      </c>
      <c r="AD747" s="141">
        <v>7</v>
      </c>
      <c r="AE747" s="142">
        <v>1</v>
      </c>
      <c r="AF747" s="69" t="str">
        <f t="shared" si="109"/>
        <v>6 years 128 days</v>
      </c>
      <c r="AG747" s="69">
        <v>6</v>
      </c>
      <c r="AH747" s="69">
        <v>128</v>
      </c>
      <c r="AI747" s="69">
        <v>210000</v>
      </c>
      <c r="AJ747" s="67">
        <v>187720</v>
      </c>
      <c r="AK747" s="69">
        <v>2025</v>
      </c>
      <c r="AL747" s="61">
        <v>14664.25925925927</v>
      </c>
      <c r="AM747" s="143"/>
    </row>
    <row r="748" spans="1:39" x14ac:dyDescent="0.35">
      <c r="A748" s="69" t="s">
        <v>4124</v>
      </c>
      <c r="B748" s="41">
        <v>1151103915</v>
      </c>
      <c r="C748" s="41"/>
      <c r="D748" s="69"/>
      <c r="E748" s="41">
        <v>0</v>
      </c>
      <c r="F748" s="41" t="s">
        <v>1961</v>
      </c>
      <c r="G748" s="69" t="s">
        <v>1960</v>
      </c>
      <c r="H748" s="41">
        <v>9010000097</v>
      </c>
      <c r="I748" s="41" t="s">
        <v>47</v>
      </c>
      <c r="J748" s="41">
        <v>1202010202</v>
      </c>
      <c r="K748" s="41"/>
      <c r="L748" s="52" t="s">
        <v>2372</v>
      </c>
      <c r="M748" s="69" t="s">
        <v>2373</v>
      </c>
      <c r="N748" s="69"/>
      <c r="O748" s="69">
        <v>1</v>
      </c>
      <c r="P748" s="69" t="s">
        <v>50</v>
      </c>
      <c r="Q748" s="69" t="s">
        <v>51</v>
      </c>
      <c r="R748" s="69"/>
      <c r="S748" s="48">
        <v>44531</v>
      </c>
      <c r="T748" s="48">
        <v>44531</v>
      </c>
      <c r="U748" s="69"/>
      <c r="V748" s="69"/>
      <c r="W748" s="69"/>
      <c r="X748" s="69"/>
      <c r="Y748" s="69" t="s">
        <v>4128</v>
      </c>
      <c r="Z748" s="52">
        <v>4950</v>
      </c>
      <c r="AA748" s="43" t="s">
        <v>52</v>
      </c>
      <c r="AB748" s="43" t="s">
        <v>53</v>
      </c>
      <c r="AC748" s="85">
        <v>1825</v>
      </c>
      <c r="AD748" s="141">
        <v>5</v>
      </c>
      <c r="AE748" s="142">
        <v>0</v>
      </c>
      <c r="AF748" s="69" t="str">
        <f t="shared" si="109"/>
        <v>3 years 32 days</v>
      </c>
      <c r="AG748" s="69">
        <v>3</v>
      </c>
      <c r="AH748" s="69">
        <v>32</v>
      </c>
      <c r="AI748" s="69">
        <v>4950</v>
      </c>
      <c r="AJ748" s="67">
        <v>3057</v>
      </c>
      <c r="AK748" s="69">
        <v>2025</v>
      </c>
      <c r="AL748" s="61">
        <v>490.72602739726017</v>
      </c>
      <c r="AM748" s="143"/>
    </row>
    <row r="749" spans="1:39" x14ac:dyDescent="0.35">
      <c r="A749" s="69" t="s">
        <v>4124</v>
      </c>
      <c r="B749" s="41">
        <v>1101401797</v>
      </c>
      <c r="C749" s="41"/>
      <c r="D749" s="69"/>
      <c r="E749" s="41">
        <v>0</v>
      </c>
      <c r="F749" s="41" t="s">
        <v>1961</v>
      </c>
      <c r="G749" s="69" t="s">
        <v>1960</v>
      </c>
      <c r="H749" s="41">
        <v>9010000098</v>
      </c>
      <c r="I749" s="41" t="s">
        <v>47</v>
      </c>
      <c r="J749" s="41">
        <v>1202010202</v>
      </c>
      <c r="K749" s="41"/>
      <c r="L749" s="52" t="s">
        <v>2375</v>
      </c>
      <c r="M749" s="69" t="s">
        <v>2376</v>
      </c>
      <c r="N749" s="69"/>
      <c r="O749" s="69">
        <v>1</v>
      </c>
      <c r="P749" s="69" t="s">
        <v>50</v>
      </c>
      <c r="Q749" s="69" t="s">
        <v>51</v>
      </c>
      <c r="R749" s="69"/>
      <c r="S749" s="48">
        <v>42364</v>
      </c>
      <c r="T749" s="48">
        <v>43340</v>
      </c>
      <c r="U749" s="69"/>
      <c r="V749" s="69"/>
      <c r="W749" s="69"/>
      <c r="X749" s="69"/>
      <c r="Y749" s="69" t="s">
        <v>4125</v>
      </c>
      <c r="Z749" s="52">
        <v>145000</v>
      </c>
      <c r="AA749" s="43" t="s">
        <v>52</v>
      </c>
      <c r="AB749" s="43" t="s">
        <v>53</v>
      </c>
      <c r="AC749" s="85">
        <v>2592</v>
      </c>
      <c r="AD749" s="141">
        <v>7</v>
      </c>
      <c r="AE749" s="142">
        <v>1</v>
      </c>
      <c r="AF749" s="69" t="str">
        <f t="shared" si="109"/>
        <v>6 years 128 days</v>
      </c>
      <c r="AG749" s="69">
        <v>6</v>
      </c>
      <c r="AH749" s="69">
        <v>128</v>
      </c>
      <c r="AI749" s="69">
        <v>145000</v>
      </c>
      <c r="AJ749" s="67">
        <v>129616</v>
      </c>
      <c r="AK749" s="69">
        <v>2025</v>
      </c>
      <c r="AL749" s="61">
        <v>10125.512345678988</v>
      </c>
      <c r="AM749" s="143"/>
    </row>
    <row r="750" spans="1:39" x14ac:dyDescent="0.35">
      <c r="A750" s="69" t="s">
        <v>4124</v>
      </c>
      <c r="B750" s="41">
        <v>1101104006</v>
      </c>
      <c r="C750" s="41"/>
      <c r="D750" s="69"/>
      <c r="E750" s="41">
        <v>0</v>
      </c>
      <c r="F750" s="41" t="s">
        <v>1961</v>
      </c>
      <c r="G750" s="69" t="s">
        <v>1960</v>
      </c>
      <c r="H750" s="41">
        <v>9010000098</v>
      </c>
      <c r="I750" s="41" t="s">
        <v>47</v>
      </c>
      <c r="J750" s="41">
        <v>1202010202</v>
      </c>
      <c r="K750" s="41"/>
      <c r="L750" s="52" t="s">
        <v>2378</v>
      </c>
      <c r="M750" s="69" t="s">
        <v>2379</v>
      </c>
      <c r="N750" s="69"/>
      <c r="O750" s="69">
        <v>2</v>
      </c>
      <c r="P750" s="69" t="s">
        <v>50</v>
      </c>
      <c r="Q750" s="69" t="s">
        <v>51</v>
      </c>
      <c r="R750" s="69"/>
      <c r="S750" s="48">
        <v>44612</v>
      </c>
      <c r="T750" s="48">
        <v>44612</v>
      </c>
      <c r="U750" s="69"/>
      <c r="V750" s="69"/>
      <c r="W750" s="69"/>
      <c r="X750" s="69"/>
      <c r="Y750" s="69" t="s">
        <v>4131</v>
      </c>
      <c r="Z750" s="52">
        <v>45417</v>
      </c>
      <c r="AA750" s="43" t="s">
        <v>52</v>
      </c>
      <c r="AB750" s="43" t="s">
        <v>53</v>
      </c>
      <c r="AC750" s="85">
        <v>3650</v>
      </c>
      <c r="AD750" s="141">
        <v>10</v>
      </c>
      <c r="AE750" s="142">
        <v>0</v>
      </c>
      <c r="AF750" s="69" t="str">
        <f t="shared" si="109"/>
        <v>2 years 316 days</v>
      </c>
      <c r="AG750" s="69">
        <v>2</v>
      </c>
      <c r="AH750" s="69">
        <v>316</v>
      </c>
      <c r="AI750" s="69">
        <v>45417</v>
      </c>
      <c r="AJ750" s="67">
        <v>13015</v>
      </c>
      <c r="AK750" s="69">
        <v>2025</v>
      </c>
      <c r="AL750" s="61">
        <v>2252.5778082191773</v>
      </c>
      <c r="AM750" s="143"/>
    </row>
    <row r="751" spans="1:39" x14ac:dyDescent="0.35">
      <c r="A751" s="69" t="s">
        <v>4124</v>
      </c>
      <c r="B751" s="41">
        <v>1101401798</v>
      </c>
      <c r="C751" s="41"/>
      <c r="D751" s="69"/>
      <c r="E751" s="41">
        <v>0</v>
      </c>
      <c r="F751" s="41" t="s">
        <v>1961</v>
      </c>
      <c r="G751" s="69" t="s">
        <v>1960</v>
      </c>
      <c r="H751" s="41">
        <v>9010000099</v>
      </c>
      <c r="I751" s="41" t="s">
        <v>47</v>
      </c>
      <c r="J751" s="41">
        <v>1202010202</v>
      </c>
      <c r="K751" s="41"/>
      <c r="L751" s="52" t="s">
        <v>2381</v>
      </c>
      <c r="M751" s="69" t="s">
        <v>49</v>
      </c>
      <c r="N751" s="69"/>
      <c r="O751" s="69">
        <v>1</v>
      </c>
      <c r="P751" s="69" t="s">
        <v>50</v>
      </c>
      <c r="Q751" s="69" t="s">
        <v>51</v>
      </c>
      <c r="R751" s="69"/>
      <c r="S751" s="48">
        <v>42364</v>
      </c>
      <c r="T751" s="48">
        <v>43340</v>
      </c>
      <c r="U751" s="69"/>
      <c r="V751" s="69"/>
      <c r="W751" s="69"/>
      <c r="X751" s="69"/>
      <c r="Y751" s="69" t="s">
        <v>4125</v>
      </c>
      <c r="Z751" s="52">
        <v>175000</v>
      </c>
      <c r="AA751" s="43" t="s">
        <v>52</v>
      </c>
      <c r="AB751" s="43" t="s">
        <v>53</v>
      </c>
      <c r="AC751" s="85">
        <v>4453</v>
      </c>
      <c r="AD751" s="141">
        <v>12</v>
      </c>
      <c r="AE751" s="142">
        <v>2</v>
      </c>
      <c r="AF751" s="69" t="str">
        <f t="shared" si="109"/>
        <v>6 years 128 days</v>
      </c>
      <c r="AG751" s="69">
        <v>6</v>
      </c>
      <c r="AH751" s="69">
        <v>128</v>
      </c>
      <c r="AI751" s="69">
        <v>175000</v>
      </c>
      <c r="AJ751" s="67">
        <v>91057</v>
      </c>
      <c r="AK751" s="69">
        <v>2025</v>
      </c>
      <c r="AL751" s="61">
        <v>7112.7731866157701</v>
      </c>
      <c r="AM751" s="143"/>
    </row>
    <row r="752" spans="1:39" x14ac:dyDescent="0.35">
      <c r="A752" s="69" t="s">
        <v>4124</v>
      </c>
      <c r="B752" s="41">
        <v>1101103989</v>
      </c>
      <c r="C752" s="41"/>
      <c r="D752" s="69"/>
      <c r="E752" s="41">
        <v>0</v>
      </c>
      <c r="F752" s="41" t="s">
        <v>1961</v>
      </c>
      <c r="G752" s="69" t="s">
        <v>1960</v>
      </c>
      <c r="H752" s="41">
        <v>9010000099</v>
      </c>
      <c r="I752" s="41" t="s">
        <v>47</v>
      </c>
      <c r="J752" s="41">
        <v>1202010202</v>
      </c>
      <c r="K752" s="41"/>
      <c r="L752" s="52" t="s">
        <v>2383</v>
      </c>
      <c r="M752" s="69" t="s">
        <v>2384</v>
      </c>
      <c r="N752" s="69"/>
      <c r="O752" s="69">
        <v>2</v>
      </c>
      <c r="P752" s="69" t="s">
        <v>50</v>
      </c>
      <c r="Q752" s="69" t="s">
        <v>51</v>
      </c>
      <c r="R752" s="69"/>
      <c r="S752" s="48">
        <v>44597</v>
      </c>
      <c r="T752" s="48">
        <v>44597</v>
      </c>
      <c r="U752" s="69"/>
      <c r="V752" s="69"/>
      <c r="W752" s="69"/>
      <c r="X752" s="69"/>
      <c r="Y752" s="69" t="s">
        <v>4131</v>
      </c>
      <c r="Z752" s="52">
        <v>89831</v>
      </c>
      <c r="AA752" s="43" t="s">
        <v>52</v>
      </c>
      <c r="AB752" s="43" t="s">
        <v>53</v>
      </c>
      <c r="AC752" s="85">
        <v>1825</v>
      </c>
      <c r="AD752" s="141">
        <v>5</v>
      </c>
      <c r="AE752" s="142">
        <v>0</v>
      </c>
      <c r="AF752" s="69" t="str">
        <f t="shared" si="109"/>
        <v>2 years 331 days</v>
      </c>
      <c r="AG752" s="69">
        <v>2</v>
      </c>
      <c r="AH752" s="69">
        <v>331</v>
      </c>
      <c r="AI752" s="69">
        <v>89831</v>
      </c>
      <c r="AJ752" s="67">
        <v>50871</v>
      </c>
      <c r="AK752" s="69">
        <v>2025</v>
      </c>
      <c r="AL752" s="61">
        <v>8909.6846575342497</v>
      </c>
      <c r="AM752" s="143"/>
    </row>
    <row r="753" spans="1:39" x14ac:dyDescent="0.35">
      <c r="A753" s="69" t="s">
        <v>4124</v>
      </c>
      <c r="B753" s="41">
        <v>1101401799</v>
      </c>
      <c r="C753" s="41"/>
      <c r="D753" s="69"/>
      <c r="E753" s="41">
        <v>0</v>
      </c>
      <c r="F753" s="41" t="s">
        <v>1961</v>
      </c>
      <c r="G753" s="69" t="s">
        <v>1960</v>
      </c>
      <c r="H753" s="41">
        <v>9010000100</v>
      </c>
      <c r="I753" s="41" t="s">
        <v>47</v>
      </c>
      <c r="J753" s="41">
        <v>1202010202</v>
      </c>
      <c r="K753" s="41"/>
      <c r="L753" s="52" t="s">
        <v>2386</v>
      </c>
      <c r="M753" s="69" t="s">
        <v>2387</v>
      </c>
      <c r="N753" s="69"/>
      <c r="O753" s="69">
        <v>1</v>
      </c>
      <c r="P753" s="69" t="s">
        <v>50</v>
      </c>
      <c r="Q753" s="69" t="s">
        <v>51</v>
      </c>
      <c r="R753" s="69"/>
      <c r="S753" s="48">
        <v>42364</v>
      </c>
      <c r="T753" s="48">
        <v>43340</v>
      </c>
      <c r="U753" s="69"/>
      <c r="V753" s="69"/>
      <c r="W753" s="69"/>
      <c r="X753" s="69"/>
      <c r="Y753" s="69" t="s">
        <v>4125</v>
      </c>
      <c r="Z753" s="52">
        <v>205000</v>
      </c>
      <c r="AA753" s="43" t="s">
        <v>52</v>
      </c>
      <c r="AB753" s="43" t="s">
        <v>53</v>
      </c>
      <c r="AC753" s="85">
        <v>1898</v>
      </c>
      <c r="AD753" s="141">
        <v>5</v>
      </c>
      <c r="AE753" s="142">
        <v>2</v>
      </c>
      <c r="AF753" s="69" t="str">
        <f t="shared" si="109"/>
        <v>5 years 73 days</v>
      </c>
      <c r="AG753" s="69">
        <v>5</v>
      </c>
      <c r="AH753" s="69">
        <v>73</v>
      </c>
      <c r="AI753" s="69">
        <v>205000</v>
      </c>
      <c r="AJ753" s="67">
        <v>205000</v>
      </c>
      <c r="AK753" s="69">
        <v>2025</v>
      </c>
      <c r="AL753" s="61">
        <v>0</v>
      </c>
      <c r="AM753" s="143"/>
    </row>
    <row r="754" spans="1:39" x14ac:dyDescent="0.35">
      <c r="A754" s="69" t="s">
        <v>4124</v>
      </c>
      <c r="B754" s="41">
        <v>1101103997</v>
      </c>
      <c r="C754" s="41"/>
      <c r="D754" s="69"/>
      <c r="E754" s="41">
        <v>0</v>
      </c>
      <c r="F754" s="41" t="s">
        <v>1961</v>
      </c>
      <c r="G754" s="69" t="s">
        <v>1960</v>
      </c>
      <c r="H754" s="41">
        <v>9010000100</v>
      </c>
      <c r="I754" s="41" t="s">
        <v>47</v>
      </c>
      <c r="J754" s="41">
        <v>1202010202</v>
      </c>
      <c r="K754" s="41"/>
      <c r="L754" s="52" t="s">
        <v>2389</v>
      </c>
      <c r="M754" s="69" t="s">
        <v>2390</v>
      </c>
      <c r="N754" s="69"/>
      <c r="O754" s="69">
        <v>1</v>
      </c>
      <c r="P754" s="69" t="s">
        <v>50</v>
      </c>
      <c r="Q754" s="69" t="s">
        <v>51</v>
      </c>
      <c r="R754" s="69"/>
      <c r="S754" s="48">
        <v>44602</v>
      </c>
      <c r="T754" s="48">
        <v>44602</v>
      </c>
      <c r="U754" s="69"/>
      <c r="V754" s="69"/>
      <c r="W754" s="69"/>
      <c r="X754" s="69"/>
      <c r="Y754" s="69" t="s">
        <v>4131</v>
      </c>
      <c r="Z754" s="52">
        <v>44915</v>
      </c>
      <c r="AA754" s="43" t="s">
        <v>52</v>
      </c>
      <c r="AB754" s="43" t="s">
        <v>53</v>
      </c>
      <c r="AC754" s="85">
        <v>1825</v>
      </c>
      <c r="AD754" s="141">
        <v>5</v>
      </c>
      <c r="AE754" s="142">
        <v>0</v>
      </c>
      <c r="AF754" s="69" t="str">
        <f t="shared" si="109"/>
        <v>2 years 326 days</v>
      </c>
      <c r="AG754" s="69">
        <v>2</v>
      </c>
      <c r="AH754" s="69">
        <v>326</v>
      </c>
      <c r="AI754" s="69">
        <v>44915</v>
      </c>
      <c r="AJ754" s="67">
        <v>25374</v>
      </c>
      <c r="AK754" s="69">
        <v>2025</v>
      </c>
      <c r="AL754" s="61">
        <v>4454.4821917808222</v>
      </c>
      <c r="AM754" s="143"/>
    </row>
    <row r="755" spans="1:39" x14ac:dyDescent="0.35">
      <c r="A755" s="69" t="s">
        <v>4124</v>
      </c>
      <c r="B755" s="41">
        <v>1101401800</v>
      </c>
      <c r="C755" s="41"/>
      <c r="D755" s="69"/>
      <c r="E755" s="41">
        <v>0</v>
      </c>
      <c r="F755" s="41" t="s">
        <v>1961</v>
      </c>
      <c r="G755" s="69" t="s">
        <v>1960</v>
      </c>
      <c r="H755" s="41">
        <v>9010000101</v>
      </c>
      <c r="I755" s="41" t="s">
        <v>47</v>
      </c>
      <c r="J755" s="41">
        <v>1202010202</v>
      </c>
      <c r="K755" s="41"/>
      <c r="L755" s="52" t="s">
        <v>2392</v>
      </c>
      <c r="M755" s="69" t="s">
        <v>2393</v>
      </c>
      <c r="N755" s="69"/>
      <c r="O755" s="69">
        <v>6</v>
      </c>
      <c r="P755" s="69" t="s">
        <v>50</v>
      </c>
      <c r="Q755" s="69" t="s">
        <v>51</v>
      </c>
      <c r="R755" s="69"/>
      <c r="S755" s="48">
        <v>42364</v>
      </c>
      <c r="T755" s="48">
        <v>43340</v>
      </c>
      <c r="U755" s="69"/>
      <c r="V755" s="69"/>
      <c r="W755" s="69"/>
      <c r="X755" s="69"/>
      <c r="Y755" s="69" t="s">
        <v>4125</v>
      </c>
      <c r="Z755" s="52">
        <v>1600</v>
      </c>
      <c r="AA755" s="43" t="s">
        <v>52</v>
      </c>
      <c r="AB755" s="43" t="s">
        <v>53</v>
      </c>
      <c r="AC755" s="85">
        <v>4453</v>
      </c>
      <c r="AD755" s="141">
        <v>12</v>
      </c>
      <c r="AE755" s="142">
        <v>2</v>
      </c>
      <c r="AF755" s="69" t="str">
        <f t="shared" si="109"/>
        <v>6 years 128 days</v>
      </c>
      <c r="AG755" s="69">
        <v>6</v>
      </c>
      <c r="AH755" s="69">
        <v>128</v>
      </c>
      <c r="AI755" s="69">
        <v>1600</v>
      </c>
      <c r="AJ755" s="67">
        <v>1600</v>
      </c>
      <c r="AK755" s="69">
        <v>2025</v>
      </c>
      <c r="AL755" s="61">
        <v>0</v>
      </c>
      <c r="AM755" s="143"/>
    </row>
    <row r="756" spans="1:39" x14ac:dyDescent="0.35">
      <c r="A756" s="69" t="s">
        <v>4124</v>
      </c>
      <c r="B756" s="41">
        <v>1101104048</v>
      </c>
      <c r="C756" s="41"/>
      <c r="D756" s="69"/>
      <c r="E756" s="41">
        <v>0</v>
      </c>
      <c r="F756" s="41" t="s">
        <v>1961</v>
      </c>
      <c r="G756" s="69" t="s">
        <v>1960</v>
      </c>
      <c r="H756" s="41">
        <v>9010000101</v>
      </c>
      <c r="I756" s="41" t="s">
        <v>47</v>
      </c>
      <c r="J756" s="41">
        <v>1202010202</v>
      </c>
      <c r="K756" s="41"/>
      <c r="L756" s="52" t="s">
        <v>2395</v>
      </c>
      <c r="M756" s="69" t="s">
        <v>2396</v>
      </c>
      <c r="N756" s="69"/>
      <c r="O756" s="69">
        <v>339</v>
      </c>
      <c r="P756" s="69" t="s">
        <v>50</v>
      </c>
      <c r="Q756" s="69" t="s">
        <v>51</v>
      </c>
      <c r="R756" s="69"/>
      <c r="S756" s="48">
        <v>44636</v>
      </c>
      <c r="T756" s="48">
        <v>44636</v>
      </c>
      <c r="U756" s="69"/>
      <c r="V756" s="69"/>
      <c r="W756" s="69"/>
      <c r="X756" s="69"/>
      <c r="Y756" s="69" t="s">
        <v>4131</v>
      </c>
      <c r="Z756" s="52">
        <v>53780</v>
      </c>
      <c r="AA756" s="43" t="s">
        <v>52</v>
      </c>
      <c r="AB756" s="43" t="s">
        <v>53</v>
      </c>
      <c r="AC756" s="85">
        <v>3650</v>
      </c>
      <c r="AD756" s="141">
        <v>10</v>
      </c>
      <c r="AE756" s="142">
        <v>0</v>
      </c>
      <c r="AF756" s="69" t="str">
        <f t="shared" si="109"/>
        <v>2 years 292 days</v>
      </c>
      <c r="AG756" s="69">
        <v>2</v>
      </c>
      <c r="AH756" s="69">
        <v>292</v>
      </c>
      <c r="AI756" s="69">
        <v>53780</v>
      </c>
      <c r="AJ756" s="67">
        <v>15058</v>
      </c>
      <c r="AK756" s="69">
        <v>2025</v>
      </c>
      <c r="AL756" s="61">
        <v>2667.2986301369856</v>
      </c>
      <c r="AM756" s="143"/>
    </row>
    <row r="757" spans="1:39" x14ac:dyDescent="0.35">
      <c r="A757" s="69" t="s">
        <v>4124</v>
      </c>
      <c r="B757" s="41">
        <v>1101401801</v>
      </c>
      <c r="C757" s="41"/>
      <c r="D757" s="69"/>
      <c r="E757" s="41">
        <v>0</v>
      </c>
      <c r="F757" s="41" t="s">
        <v>1961</v>
      </c>
      <c r="G757" s="69" t="s">
        <v>1960</v>
      </c>
      <c r="H757" s="41">
        <v>9010000102</v>
      </c>
      <c r="I757" s="41" t="s">
        <v>47</v>
      </c>
      <c r="J757" s="41">
        <v>1202010202</v>
      </c>
      <c r="K757" s="41"/>
      <c r="L757" s="52" t="s">
        <v>2398</v>
      </c>
      <c r="M757" s="69" t="s">
        <v>2393</v>
      </c>
      <c r="N757" s="69"/>
      <c r="O757" s="69">
        <v>10</v>
      </c>
      <c r="P757" s="69" t="s">
        <v>50</v>
      </c>
      <c r="Q757" s="69" t="s">
        <v>51</v>
      </c>
      <c r="R757" s="69"/>
      <c r="S757" s="48">
        <v>42364</v>
      </c>
      <c r="T757" s="48">
        <v>43340</v>
      </c>
      <c r="U757" s="69"/>
      <c r="V757" s="69"/>
      <c r="W757" s="69"/>
      <c r="X757" s="69"/>
      <c r="Y757" s="69" t="s">
        <v>4125</v>
      </c>
      <c r="Z757" s="52">
        <v>2600</v>
      </c>
      <c r="AA757" s="43" t="s">
        <v>52</v>
      </c>
      <c r="AB757" s="43" t="s">
        <v>53</v>
      </c>
      <c r="AC757" s="85">
        <v>4453</v>
      </c>
      <c r="AD757" s="141">
        <v>12</v>
      </c>
      <c r="AE757" s="142">
        <v>2</v>
      </c>
      <c r="AF757" s="69" t="str">
        <f t="shared" si="109"/>
        <v>6 years 128 days</v>
      </c>
      <c r="AG757" s="69">
        <v>6</v>
      </c>
      <c r="AH757" s="69">
        <v>128</v>
      </c>
      <c r="AI757" s="69">
        <v>2600</v>
      </c>
      <c r="AJ757" s="67">
        <v>2600</v>
      </c>
      <c r="AK757" s="69">
        <v>2025</v>
      </c>
      <c r="AL757" s="61">
        <v>0</v>
      </c>
      <c r="AM757" s="143"/>
    </row>
    <row r="758" spans="1:39" x14ac:dyDescent="0.35">
      <c r="A758" s="69" t="s">
        <v>4124</v>
      </c>
      <c r="B758" s="41">
        <v>1151504399</v>
      </c>
      <c r="C758" s="41"/>
      <c r="D758" s="69"/>
      <c r="E758" s="41">
        <v>0</v>
      </c>
      <c r="F758" s="41" t="s">
        <v>1961</v>
      </c>
      <c r="G758" s="69" t="s">
        <v>1960</v>
      </c>
      <c r="H758" s="41">
        <v>9010000102</v>
      </c>
      <c r="I758" s="41" t="s">
        <v>47</v>
      </c>
      <c r="J758" s="41">
        <v>1202010202</v>
      </c>
      <c r="K758" s="41"/>
      <c r="L758" s="52" t="s">
        <v>2400</v>
      </c>
      <c r="M758" s="69" t="s">
        <v>2401</v>
      </c>
      <c r="N758" s="69"/>
      <c r="O758" s="69">
        <v>1</v>
      </c>
      <c r="P758" s="69" t="s">
        <v>50</v>
      </c>
      <c r="Q758" s="69" t="s">
        <v>51</v>
      </c>
      <c r="R758" s="69"/>
      <c r="S758" s="48">
        <v>44204</v>
      </c>
      <c r="T758" s="48">
        <v>44204</v>
      </c>
      <c r="U758" s="69"/>
      <c r="V758" s="69"/>
      <c r="W758" s="69"/>
      <c r="X758" s="69"/>
      <c r="Y758" s="69" t="s">
        <v>4128</v>
      </c>
      <c r="Z758" s="52">
        <v>11343</v>
      </c>
      <c r="AA758" s="43" t="s">
        <v>52</v>
      </c>
      <c r="AB758" s="43" t="s">
        <v>53</v>
      </c>
      <c r="AC758" s="85">
        <v>1825</v>
      </c>
      <c r="AD758" s="141">
        <v>5</v>
      </c>
      <c r="AE758" s="142">
        <v>0</v>
      </c>
      <c r="AF758" s="69" t="str">
        <f t="shared" si="109"/>
        <v>3 years 359 days</v>
      </c>
      <c r="AG758" s="69">
        <v>3</v>
      </c>
      <c r="AH758" s="69">
        <v>359</v>
      </c>
      <c r="AI758" s="69">
        <v>11343</v>
      </c>
      <c r="AJ758" s="67">
        <v>9037</v>
      </c>
      <c r="AK758" s="69">
        <v>2025</v>
      </c>
      <c r="AL758" s="61">
        <v>1125.0849315068499</v>
      </c>
      <c r="AM758" s="143"/>
    </row>
    <row r="759" spans="1:39" x14ac:dyDescent="0.35">
      <c r="A759" s="69" t="s">
        <v>4124</v>
      </c>
      <c r="B759" s="41">
        <v>1101401802</v>
      </c>
      <c r="C759" s="41"/>
      <c r="D759" s="69"/>
      <c r="E759" s="41">
        <v>0</v>
      </c>
      <c r="F759" s="41" t="s">
        <v>1961</v>
      </c>
      <c r="G759" s="69" t="s">
        <v>1960</v>
      </c>
      <c r="H759" s="41">
        <v>9010000103</v>
      </c>
      <c r="I759" s="41" t="s">
        <v>47</v>
      </c>
      <c r="J759" s="41">
        <v>1202010202</v>
      </c>
      <c r="K759" s="41"/>
      <c r="L759" s="52" t="s">
        <v>2403</v>
      </c>
      <c r="M759" s="69" t="s">
        <v>2404</v>
      </c>
      <c r="N759" s="69"/>
      <c r="O759" s="69">
        <v>1</v>
      </c>
      <c r="P759" s="69" t="s">
        <v>50</v>
      </c>
      <c r="Q759" s="69" t="s">
        <v>51</v>
      </c>
      <c r="R759" s="69"/>
      <c r="S759" s="48">
        <v>42364</v>
      </c>
      <c r="T759" s="48">
        <v>43340</v>
      </c>
      <c r="U759" s="69"/>
      <c r="V759" s="69"/>
      <c r="W759" s="69"/>
      <c r="X759" s="69"/>
      <c r="Y759" s="69" t="s">
        <v>4125</v>
      </c>
      <c r="Z759" s="52">
        <v>410000</v>
      </c>
      <c r="AA759" s="43" t="s">
        <v>52</v>
      </c>
      <c r="AB759" s="43" t="s">
        <v>53</v>
      </c>
      <c r="AC759" s="85">
        <v>2628</v>
      </c>
      <c r="AD759" s="141">
        <v>7</v>
      </c>
      <c r="AE759" s="142">
        <v>2</v>
      </c>
      <c r="AF759" s="69" t="str">
        <f t="shared" si="109"/>
        <v>6 years 128 days</v>
      </c>
      <c r="AG759" s="69">
        <v>6</v>
      </c>
      <c r="AH759" s="69">
        <v>128</v>
      </c>
      <c r="AI759" s="69">
        <v>410000</v>
      </c>
      <c r="AJ759" s="67">
        <v>361480</v>
      </c>
      <c r="AK759" s="69">
        <v>2025</v>
      </c>
      <c r="AL759" s="61">
        <v>28238.417047184135</v>
      </c>
      <c r="AM759" s="143"/>
    </row>
    <row r="760" spans="1:39" x14ac:dyDescent="0.35">
      <c r="A760" s="69" t="s">
        <v>4124</v>
      </c>
      <c r="B760" s="41">
        <v>1151504447</v>
      </c>
      <c r="C760" s="41"/>
      <c r="D760" s="69"/>
      <c r="E760" s="41">
        <v>0</v>
      </c>
      <c r="F760" s="41" t="s">
        <v>1961</v>
      </c>
      <c r="G760" s="69" t="s">
        <v>1960</v>
      </c>
      <c r="H760" s="41">
        <v>9010000103</v>
      </c>
      <c r="I760" s="41" t="s">
        <v>47</v>
      </c>
      <c r="J760" s="41">
        <v>1202010202</v>
      </c>
      <c r="K760" s="41"/>
      <c r="L760" s="52" t="s">
        <v>2406</v>
      </c>
      <c r="M760" s="69" t="s">
        <v>2407</v>
      </c>
      <c r="N760" s="69"/>
      <c r="O760" s="69">
        <v>1</v>
      </c>
      <c r="P760" s="69" t="s">
        <v>50</v>
      </c>
      <c r="Q760" s="69" t="s">
        <v>51</v>
      </c>
      <c r="R760" s="69"/>
      <c r="S760" s="48">
        <v>44219</v>
      </c>
      <c r="T760" s="48">
        <v>44219</v>
      </c>
      <c r="U760" s="69"/>
      <c r="V760" s="69"/>
      <c r="W760" s="69"/>
      <c r="X760" s="69"/>
      <c r="Y760" s="69" t="s">
        <v>4128</v>
      </c>
      <c r="Z760" s="52">
        <v>6450</v>
      </c>
      <c r="AA760" s="43" t="s">
        <v>52</v>
      </c>
      <c r="AB760" s="43" t="s">
        <v>53</v>
      </c>
      <c r="AC760" s="85">
        <v>1825</v>
      </c>
      <c r="AD760" s="141">
        <v>5</v>
      </c>
      <c r="AE760" s="142">
        <v>0</v>
      </c>
      <c r="AF760" s="69" t="str">
        <f t="shared" si="109"/>
        <v>3 years 344 days</v>
      </c>
      <c r="AG760" s="69">
        <v>3</v>
      </c>
      <c r="AH760" s="69">
        <v>344</v>
      </c>
      <c r="AI760" s="69">
        <v>6450</v>
      </c>
      <c r="AJ760" s="67">
        <v>5086</v>
      </c>
      <c r="AK760" s="69">
        <v>2025</v>
      </c>
      <c r="AL760" s="61">
        <v>639.47945205479482</v>
      </c>
      <c r="AM760" s="143"/>
    </row>
    <row r="761" spans="1:39" x14ac:dyDescent="0.35">
      <c r="A761" s="69" t="s">
        <v>4124</v>
      </c>
      <c r="B761" s="41">
        <v>1151504449</v>
      </c>
      <c r="C761" s="41"/>
      <c r="D761" s="69"/>
      <c r="E761" s="41">
        <v>0</v>
      </c>
      <c r="F761" s="41" t="s">
        <v>1961</v>
      </c>
      <c r="G761" s="69" t="s">
        <v>1960</v>
      </c>
      <c r="H761" s="41">
        <v>9010000104</v>
      </c>
      <c r="I761" s="41" t="s">
        <v>47</v>
      </c>
      <c r="J761" s="41">
        <v>1202010202</v>
      </c>
      <c r="K761" s="41"/>
      <c r="L761" s="52" t="s">
        <v>2411</v>
      </c>
      <c r="M761" s="69" t="s">
        <v>49</v>
      </c>
      <c r="N761" s="69"/>
      <c r="O761" s="69">
        <v>1</v>
      </c>
      <c r="P761" s="69" t="s">
        <v>50</v>
      </c>
      <c r="Q761" s="69" t="s">
        <v>51</v>
      </c>
      <c r="R761" s="69"/>
      <c r="S761" s="48">
        <v>42425</v>
      </c>
      <c r="T761" s="48">
        <v>43340</v>
      </c>
      <c r="U761" s="69"/>
      <c r="V761" s="69"/>
      <c r="W761" s="69"/>
      <c r="X761" s="69"/>
      <c r="Y761" s="69" t="s">
        <v>4125</v>
      </c>
      <c r="Z761" s="52">
        <v>7750</v>
      </c>
      <c r="AA761" s="43" t="s">
        <v>52</v>
      </c>
      <c r="AB761" s="43" t="s">
        <v>53</v>
      </c>
      <c r="AC761" s="85">
        <v>913</v>
      </c>
      <c r="AD761" s="141">
        <v>2</v>
      </c>
      <c r="AE761" s="142">
        <v>6</v>
      </c>
      <c r="AF761" s="69" t="str">
        <f t="shared" si="109"/>
        <v>2 years 183 days</v>
      </c>
      <c r="AG761" s="69">
        <v>2</v>
      </c>
      <c r="AH761" s="69">
        <v>183</v>
      </c>
      <c r="AI761" s="69">
        <v>7750</v>
      </c>
      <c r="AJ761" s="67">
        <v>7750</v>
      </c>
      <c r="AK761" s="69">
        <v>2025</v>
      </c>
      <c r="AL761" s="61">
        <v>0</v>
      </c>
      <c r="AM761" s="143"/>
    </row>
    <row r="762" spans="1:39" x14ac:dyDescent="0.35">
      <c r="A762" s="69" t="s">
        <v>4124</v>
      </c>
      <c r="B762" s="41">
        <v>1101401621</v>
      </c>
      <c r="C762" s="41"/>
      <c r="D762" s="69"/>
      <c r="E762" s="41">
        <v>0</v>
      </c>
      <c r="F762" s="41" t="s">
        <v>1961</v>
      </c>
      <c r="G762" s="69" t="s">
        <v>1960</v>
      </c>
      <c r="H762" s="41">
        <v>9010000104</v>
      </c>
      <c r="I762" s="41" t="s">
        <v>47</v>
      </c>
      <c r="J762" s="41">
        <v>1202010202</v>
      </c>
      <c r="K762" s="41"/>
      <c r="L762" s="52" t="s">
        <v>2409</v>
      </c>
      <c r="M762" s="69" t="s">
        <v>49</v>
      </c>
      <c r="N762" s="69"/>
      <c r="O762" s="69">
        <v>1</v>
      </c>
      <c r="P762" s="69" t="s">
        <v>50</v>
      </c>
      <c r="Q762" s="69" t="s">
        <v>51</v>
      </c>
      <c r="R762" s="69"/>
      <c r="S762" s="48">
        <v>42094</v>
      </c>
      <c r="T762" s="48">
        <v>43340</v>
      </c>
      <c r="U762" s="69"/>
      <c r="V762" s="69"/>
      <c r="W762" s="69"/>
      <c r="X762" s="69"/>
      <c r="Y762" s="69" t="s">
        <v>4125</v>
      </c>
      <c r="Z762" s="52">
        <v>15500</v>
      </c>
      <c r="AA762" s="43" t="s">
        <v>52</v>
      </c>
      <c r="AB762" s="43" t="s">
        <v>53</v>
      </c>
      <c r="AC762" s="85">
        <v>2409</v>
      </c>
      <c r="AD762" s="141">
        <v>6</v>
      </c>
      <c r="AE762" s="142">
        <v>7</v>
      </c>
      <c r="AF762" s="69" t="str">
        <f t="shared" si="109"/>
        <v>6 years 128 days</v>
      </c>
      <c r="AG762" s="69">
        <v>6</v>
      </c>
      <c r="AH762" s="69">
        <v>128</v>
      </c>
      <c r="AI762" s="69">
        <v>15500</v>
      </c>
      <c r="AJ762" s="67">
        <v>15500</v>
      </c>
      <c r="AK762" s="69">
        <v>2025</v>
      </c>
      <c r="AL762" s="61">
        <v>0</v>
      </c>
      <c r="AM762" s="143"/>
    </row>
    <row r="763" spans="1:39" x14ac:dyDescent="0.35">
      <c r="A763" s="69" t="s">
        <v>4124</v>
      </c>
      <c r="B763" s="41">
        <v>1151504450</v>
      </c>
      <c r="C763" s="41"/>
      <c r="D763" s="69"/>
      <c r="E763" s="41">
        <v>0</v>
      </c>
      <c r="F763" s="41" t="s">
        <v>1961</v>
      </c>
      <c r="G763" s="69" t="s">
        <v>1960</v>
      </c>
      <c r="H763" s="41">
        <v>9010000105</v>
      </c>
      <c r="I763" s="41" t="s">
        <v>261</v>
      </c>
      <c r="J763" s="41">
        <v>1202010217</v>
      </c>
      <c r="K763" s="41"/>
      <c r="L763" s="52" t="s">
        <v>2415</v>
      </c>
      <c r="M763" s="69" t="s">
        <v>2416</v>
      </c>
      <c r="N763" s="69"/>
      <c r="O763" s="69">
        <v>1</v>
      </c>
      <c r="P763" s="69" t="s">
        <v>50</v>
      </c>
      <c r="Q763" s="69" t="s">
        <v>51</v>
      </c>
      <c r="R763" s="69"/>
      <c r="S763" s="48">
        <v>42914</v>
      </c>
      <c r="T763" s="48">
        <v>43340</v>
      </c>
      <c r="U763" s="69"/>
      <c r="V763" s="69"/>
      <c r="W763" s="69"/>
      <c r="X763" s="69"/>
      <c r="Y763" s="69" t="s">
        <v>4125</v>
      </c>
      <c r="Z763" s="52">
        <v>5750</v>
      </c>
      <c r="AA763" s="43" t="s">
        <v>52</v>
      </c>
      <c r="AB763" s="43" t="s">
        <v>53</v>
      </c>
      <c r="AC763" s="85">
        <v>1387</v>
      </c>
      <c r="AD763" s="141">
        <v>3</v>
      </c>
      <c r="AE763" s="142">
        <v>10</v>
      </c>
      <c r="AF763" s="69" t="str">
        <f t="shared" si="109"/>
        <v>3 years 292 days</v>
      </c>
      <c r="AG763" s="69">
        <v>3</v>
      </c>
      <c r="AH763" s="69">
        <v>292</v>
      </c>
      <c r="AI763" s="69">
        <v>5750</v>
      </c>
      <c r="AJ763" s="67">
        <v>5750</v>
      </c>
      <c r="AK763" s="69">
        <v>2025</v>
      </c>
      <c r="AL763" s="61">
        <v>0</v>
      </c>
      <c r="AM763" s="143"/>
    </row>
    <row r="764" spans="1:39" x14ac:dyDescent="0.35">
      <c r="A764" s="69" t="s">
        <v>4124</v>
      </c>
      <c r="B764" s="41">
        <v>1101402623</v>
      </c>
      <c r="C764" s="41"/>
      <c r="D764" s="69"/>
      <c r="E764" s="41">
        <v>0</v>
      </c>
      <c r="F764" s="41" t="s">
        <v>1961</v>
      </c>
      <c r="G764" s="69" t="s">
        <v>1960</v>
      </c>
      <c r="H764" s="41">
        <v>9010000105</v>
      </c>
      <c r="I764" s="41" t="s">
        <v>261</v>
      </c>
      <c r="J764" s="41">
        <v>1202010217</v>
      </c>
      <c r="K764" s="41"/>
      <c r="L764" s="52" t="s">
        <v>2413</v>
      </c>
      <c r="M764" s="69" t="s">
        <v>49</v>
      </c>
      <c r="N764" s="69"/>
      <c r="O764" s="69">
        <v>1</v>
      </c>
      <c r="P764" s="69" t="s">
        <v>50</v>
      </c>
      <c r="Q764" s="69" t="s">
        <v>51</v>
      </c>
      <c r="R764" s="69"/>
      <c r="S764" s="48">
        <v>43249</v>
      </c>
      <c r="T764" s="48">
        <v>43340</v>
      </c>
      <c r="U764" s="69"/>
      <c r="V764" s="69"/>
      <c r="W764" s="69"/>
      <c r="X764" s="69"/>
      <c r="Y764" s="69" t="s">
        <v>4125</v>
      </c>
      <c r="Z764" s="52">
        <v>70000</v>
      </c>
      <c r="AA764" s="43" t="s">
        <v>52</v>
      </c>
      <c r="AB764" s="43" t="s">
        <v>53</v>
      </c>
      <c r="AC764" s="85">
        <v>1752</v>
      </c>
      <c r="AD764" s="141">
        <v>4</v>
      </c>
      <c r="AE764" s="142">
        <v>10</v>
      </c>
      <c r="AF764" s="69" t="str">
        <f t="shared" si="109"/>
        <v>4 years 292 days</v>
      </c>
      <c r="AG764" s="69">
        <v>4</v>
      </c>
      <c r="AH764" s="69">
        <v>292</v>
      </c>
      <c r="AI764" s="69">
        <v>70000</v>
      </c>
      <c r="AJ764" s="67">
        <v>70000</v>
      </c>
      <c r="AK764" s="69">
        <v>2025</v>
      </c>
      <c r="AL764" s="61">
        <v>0</v>
      </c>
      <c r="AM764" s="143"/>
    </row>
    <row r="765" spans="1:39" x14ac:dyDescent="0.35">
      <c r="A765" s="69" t="s">
        <v>4124</v>
      </c>
      <c r="B765" s="41">
        <v>1151504451</v>
      </c>
      <c r="C765" s="41"/>
      <c r="D765" s="69"/>
      <c r="E765" s="41">
        <v>0</v>
      </c>
      <c r="F765" s="41" t="s">
        <v>1961</v>
      </c>
      <c r="G765" s="69" t="s">
        <v>1960</v>
      </c>
      <c r="H765" s="41">
        <v>9010000106</v>
      </c>
      <c r="I765" s="41" t="s">
        <v>47</v>
      </c>
      <c r="J765" s="41">
        <v>1202010202</v>
      </c>
      <c r="K765" s="41"/>
      <c r="L765" s="52" t="s">
        <v>2420</v>
      </c>
      <c r="M765" s="69" t="s">
        <v>2421</v>
      </c>
      <c r="N765" s="69"/>
      <c r="O765" s="69">
        <v>1</v>
      </c>
      <c r="P765" s="69" t="s">
        <v>50</v>
      </c>
      <c r="Q765" s="69" t="s">
        <v>51</v>
      </c>
      <c r="R765" s="69"/>
      <c r="S765" s="48">
        <v>43069</v>
      </c>
      <c r="T765" s="48">
        <v>43340</v>
      </c>
      <c r="U765" s="69"/>
      <c r="V765" s="69"/>
      <c r="W765" s="69"/>
      <c r="X765" s="69"/>
      <c r="Y765" s="69" t="s">
        <v>4125</v>
      </c>
      <c r="Z765" s="52">
        <v>5250</v>
      </c>
      <c r="AA765" s="43" t="s">
        <v>52</v>
      </c>
      <c r="AB765" s="43" t="s">
        <v>53</v>
      </c>
      <c r="AC765" s="85">
        <v>1533</v>
      </c>
      <c r="AD765" s="141">
        <v>4</v>
      </c>
      <c r="AE765" s="142">
        <v>2</v>
      </c>
      <c r="AF765" s="69" t="str">
        <f t="shared" si="109"/>
        <v>4 years 73 days</v>
      </c>
      <c r="AG765" s="69">
        <v>4</v>
      </c>
      <c r="AH765" s="69">
        <v>73</v>
      </c>
      <c r="AI765" s="69">
        <v>5250</v>
      </c>
      <c r="AJ765" s="67">
        <v>5250</v>
      </c>
      <c r="AK765" s="69">
        <v>2025</v>
      </c>
      <c r="AL765" s="61">
        <v>0</v>
      </c>
      <c r="AM765" s="143"/>
    </row>
    <row r="766" spans="1:39" x14ac:dyDescent="0.35">
      <c r="A766" s="69" t="s">
        <v>4124</v>
      </c>
      <c r="B766" s="41">
        <v>1101402624</v>
      </c>
      <c r="C766" s="41"/>
      <c r="D766" s="69"/>
      <c r="E766" s="41">
        <v>0</v>
      </c>
      <c r="F766" s="41" t="s">
        <v>1961</v>
      </c>
      <c r="G766" s="69" t="s">
        <v>1960</v>
      </c>
      <c r="H766" s="41">
        <v>9010000106</v>
      </c>
      <c r="I766" s="41" t="s">
        <v>47</v>
      </c>
      <c r="J766" s="41">
        <v>1202010202</v>
      </c>
      <c r="K766" s="41"/>
      <c r="L766" s="52" t="s">
        <v>2418</v>
      </c>
      <c r="M766" s="69" t="s">
        <v>49</v>
      </c>
      <c r="N766" s="69"/>
      <c r="O766" s="69">
        <v>16</v>
      </c>
      <c r="P766" s="69" t="s">
        <v>50</v>
      </c>
      <c r="Q766" s="69" t="s">
        <v>51</v>
      </c>
      <c r="R766" s="69"/>
      <c r="S766" s="48">
        <v>43249</v>
      </c>
      <c r="T766" s="48">
        <v>43340</v>
      </c>
      <c r="U766" s="69"/>
      <c r="V766" s="69"/>
      <c r="W766" s="69"/>
      <c r="X766" s="69"/>
      <c r="Y766" s="69" t="s">
        <v>4125</v>
      </c>
      <c r="Z766" s="52">
        <v>75000</v>
      </c>
      <c r="AA766" s="43" t="s">
        <v>52</v>
      </c>
      <c r="AB766" s="43" t="s">
        <v>53</v>
      </c>
      <c r="AC766" s="85">
        <v>1752</v>
      </c>
      <c r="AD766" s="141">
        <v>4</v>
      </c>
      <c r="AE766" s="142">
        <v>10</v>
      </c>
      <c r="AF766" s="69" t="str">
        <f t="shared" si="109"/>
        <v>4 years 292 days</v>
      </c>
      <c r="AG766" s="69">
        <v>4</v>
      </c>
      <c r="AH766" s="69">
        <v>292</v>
      </c>
      <c r="AI766" s="69">
        <v>75000</v>
      </c>
      <c r="AJ766" s="67">
        <v>75000</v>
      </c>
      <c r="AK766" s="69">
        <v>2025</v>
      </c>
      <c r="AL766" s="61">
        <v>0</v>
      </c>
      <c r="AM766" s="143"/>
    </row>
    <row r="767" spans="1:39" x14ac:dyDescent="0.35">
      <c r="A767" s="69" t="s">
        <v>4124</v>
      </c>
      <c r="B767" s="41">
        <v>1101402625</v>
      </c>
      <c r="C767" s="41"/>
      <c r="D767" s="69"/>
      <c r="E767" s="41">
        <v>0</v>
      </c>
      <c r="F767" s="41" t="s">
        <v>1961</v>
      </c>
      <c r="G767" s="69" t="s">
        <v>1960</v>
      </c>
      <c r="H767" s="41">
        <v>9010000107</v>
      </c>
      <c r="I767" s="41" t="s">
        <v>47</v>
      </c>
      <c r="J767" s="41">
        <v>1202010202</v>
      </c>
      <c r="K767" s="41"/>
      <c r="L767" s="52" t="s">
        <v>2423</v>
      </c>
      <c r="M767" s="69" t="s">
        <v>49</v>
      </c>
      <c r="N767" s="69"/>
      <c r="O767" s="69">
        <v>4</v>
      </c>
      <c r="P767" s="69" t="s">
        <v>50</v>
      </c>
      <c r="Q767" s="69" t="s">
        <v>51</v>
      </c>
      <c r="R767" s="69"/>
      <c r="S767" s="48">
        <v>43294</v>
      </c>
      <c r="T767" s="48">
        <v>43340</v>
      </c>
      <c r="U767" s="69"/>
      <c r="V767" s="69"/>
      <c r="W767" s="69"/>
      <c r="X767" s="69"/>
      <c r="Y767" s="69" t="s">
        <v>4125</v>
      </c>
      <c r="Z767" s="52">
        <v>16500</v>
      </c>
      <c r="AA767" s="43" t="s">
        <v>52</v>
      </c>
      <c r="AB767" s="43" t="s">
        <v>53</v>
      </c>
      <c r="AC767" s="85">
        <v>1789</v>
      </c>
      <c r="AD767" s="141">
        <v>4</v>
      </c>
      <c r="AE767" s="142">
        <v>11</v>
      </c>
      <c r="AF767" s="69" t="str">
        <f t="shared" si="109"/>
        <v>4 years 329 days</v>
      </c>
      <c r="AG767" s="69">
        <v>4</v>
      </c>
      <c r="AH767" s="69">
        <v>329</v>
      </c>
      <c r="AI767" s="69">
        <v>16500</v>
      </c>
      <c r="AJ767" s="67">
        <v>16500</v>
      </c>
      <c r="AK767" s="69">
        <v>2025</v>
      </c>
      <c r="AL767" s="61">
        <v>0</v>
      </c>
      <c r="AM767" s="143"/>
    </row>
    <row r="768" spans="1:39" x14ac:dyDescent="0.35">
      <c r="A768" s="69" t="s">
        <v>4124</v>
      </c>
      <c r="B768" s="41">
        <v>1101402626</v>
      </c>
      <c r="C768" s="41"/>
      <c r="D768" s="69"/>
      <c r="E768" s="41">
        <v>0</v>
      </c>
      <c r="F768" s="41" t="s">
        <v>1961</v>
      </c>
      <c r="G768" s="69" t="s">
        <v>1960</v>
      </c>
      <c r="H768" s="41">
        <v>9010000108</v>
      </c>
      <c r="I768" s="41" t="s">
        <v>47</v>
      </c>
      <c r="J768" s="41">
        <v>1202010202</v>
      </c>
      <c r="K768" s="41"/>
      <c r="L768" s="52" t="s">
        <v>2425</v>
      </c>
      <c r="M768" s="69" t="s">
        <v>49</v>
      </c>
      <c r="N768" s="69"/>
      <c r="O768" s="69">
        <v>200</v>
      </c>
      <c r="P768" s="69" t="s">
        <v>50</v>
      </c>
      <c r="Q768" s="69" t="s">
        <v>51</v>
      </c>
      <c r="R768" s="69"/>
      <c r="S768" s="48">
        <v>43279</v>
      </c>
      <c r="T768" s="48">
        <v>43340</v>
      </c>
      <c r="U768" s="69"/>
      <c r="V768" s="69"/>
      <c r="W768" s="69"/>
      <c r="X768" s="69"/>
      <c r="Y768" s="69" t="s">
        <v>4125</v>
      </c>
      <c r="Z768" s="52">
        <v>40000</v>
      </c>
      <c r="AA768" s="43" t="s">
        <v>52</v>
      </c>
      <c r="AB768" s="43" t="s">
        <v>53</v>
      </c>
      <c r="AC768" s="85">
        <v>2847</v>
      </c>
      <c r="AD768" s="141">
        <v>7</v>
      </c>
      <c r="AE768" s="142">
        <v>10</v>
      </c>
      <c r="AF768" s="69" t="str">
        <f t="shared" si="109"/>
        <v>6 years 128 days</v>
      </c>
      <c r="AG768" s="69">
        <v>6</v>
      </c>
      <c r="AH768" s="69">
        <v>128</v>
      </c>
      <c r="AI768" s="69">
        <v>40000</v>
      </c>
      <c r="AJ768" s="67">
        <v>32554</v>
      </c>
      <c r="AK768" s="69">
        <v>2025</v>
      </c>
      <c r="AL768" s="61">
        <v>2542.5929048120815</v>
      </c>
      <c r="AM768" s="143"/>
    </row>
    <row r="769" spans="1:39" x14ac:dyDescent="0.35">
      <c r="A769" s="69" t="s">
        <v>4124</v>
      </c>
      <c r="B769" s="41">
        <v>1101504568</v>
      </c>
      <c r="C769" s="41"/>
      <c r="D769" s="69"/>
      <c r="E769" s="41">
        <v>0</v>
      </c>
      <c r="F769" s="41" t="s">
        <v>1961</v>
      </c>
      <c r="G769" s="69" t="s">
        <v>1960</v>
      </c>
      <c r="H769" s="41">
        <v>9010000109</v>
      </c>
      <c r="I769" s="41" t="s">
        <v>47</v>
      </c>
      <c r="J769" s="41">
        <v>1202010202</v>
      </c>
      <c r="K769" s="41"/>
      <c r="L769" s="52" t="s">
        <v>2439</v>
      </c>
      <c r="M769" s="69" t="s">
        <v>49</v>
      </c>
      <c r="N769" s="69"/>
      <c r="O769" s="69">
        <v>1</v>
      </c>
      <c r="P769" s="69" t="s">
        <v>50</v>
      </c>
      <c r="Q769" s="69" t="s">
        <v>51</v>
      </c>
      <c r="R769" s="69"/>
      <c r="S769" s="48">
        <v>42021</v>
      </c>
      <c r="T769" s="48">
        <v>43340</v>
      </c>
      <c r="U769" s="69"/>
      <c r="V769" s="69"/>
      <c r="W769" s="69"/>
      <c r="X769" s="69"/>
      <c r="Y769" s="69" t="s">
        <v>4125</v>
      </c>
      <c r="Z769" s="52">
        <v>160000</v>
      </c>
      <c r="AA769" s="43" t="s">
        <v>52</v>
      </c>
      <c r="AB769" s="43" t="s">
        <v>53</v>
      </c>
      <c r="AC769" s="85">
        <v>4125</v>
      </c>
      <c r="AD769" s="141">
        <v>11</v>
      </c>
      <c r="AE769" s="142">
        <v>4</v>
      </c>
      <c r="AF769" s="69" t="str">
        <f t="shared" si="109"/>
        <v>6 years 128 days</v>
      </c>
      <c r="AG769" s="69">
        <v>6</v>
      </c>
      <c r="AH769" s="69">
        <v>128</v>
      </c>
      <c r="AI769" s="69">
        <v>160000</v>
      </c>
      <c r="AJ769" s="67">
        <v>89872</v>
      </c>
      <c r="AK769" s="69">
        <v>2025</v>
      </c>
      <c r="AL769" s="61">
        <v>7020.1212121212302</v>
      </c>
      <c r="AM769" s="143"/>
    </row>
    <row r="770" spans="1:39" x14ac:dyDescent="0.35">
      <c r="A770" s="69" t="s">
        <v>4124</v>
      </c>
      <c r="B770" s="41">
        <v>1101504447</v>
      </c>
      <c r="C770" s="41"/>
      <c r="D770" s="69"/>
      <c r="E770" s="41">
        <v>0</v>
      </c>
      <c r="F770" s="41" t="s">
        <v>1961</v>
      </c>
      <c r="G770" s="69" t="s">
        <v>1960</v>
      </c>
      <c r="H770" s="41">
        <v>9010000109</v>
      </c>
      <c r="I770" s="41" t="s">
        <v>47</v>
      </c>
      <c r="J770" s="41">
        <v>1202010202</v>
      </c>
      <c r="K770" s="41"/>
      <c r="L770" s="52" t="s">
        <v>2436</v>
      </c>
      <c r="M770" s="69" t="s">
        <v>2437</v>
      </c>
      <c r="N770" s="69"/>
      <c r="O770" s="69">
        <v>1</v>
      </c>
      <c r="P770" s="69" t="s">
        <v>50</v>
      </c>
      <c r="Q770" s="69" t="s">
        <v>51</v>
      </c>
      <c r="R770" s="69"/>
      <c r="S770" s="48">
        <v>43866</v>
      </c>
      <c r="T770" s="48">
        <v>43866</v>
      </c>
      <c r="U770" s="69"/>
      <c r="V770" s="69"/>
      <c r="W770" s="69"/>
      <c r="X770" s="69"/>
      <c r="Y770" s="69" t="s">
        <v>4127</v>
      </c>
      <c r="Z770" s="52">
        <v>48313</v>
      </c>
      <c r="AA770" s="43" t="s">
        <v>52</v>
      </c>
      <c r="AB770" s="43" t="s">
        <v>53</v>
      </c>
      <c r="AC770" s="85">
        <v>3650</v>
      </c>
      <c r="AD770" s="141">
        <v>10</v>
      </c>
      <c r="AE770" s="142">
        <v>0</v>
      </c>
      <c r="AF770" s="69" t="str">
        <f t="shared" si="109"/>
        <v>4 years 332 days</v>
      </c>
      <c r="AG770" s="69">
        <v>4</v>
      </c>
      <c r="AH770" s="69">
        <v>332</v>
      </c>
      <c r="AI770" s="69">
        <v>48313</v>
      </c>
      <c r="AJ770" s="67">
        <v>23720</v>
      </c>
      <c r="AK770" s="69">
        <v>2025</v>
      </c>
      <c r="AL770" s="61">
        <v>2395.4928767123274</v>
      </c>
      <c r="AM770" s="143"/>
    </row>
    <row r="771" spans="1:39" x14ac:dyDescent="0.35">
      <c r="A771" s="69" t="s">
        <v>4124</v>
      </c>
      <c r="B771" s="41">
        <v>1101504408</v>
      </c>
      <c r="C771" s="41"/>
      <c r="D771" s="69"/>
      <c r="E771" s="41">
        <v>0</v>
      </c>
      <c r="F771" s="41" t="s">
        <v>1961</v>
      </c>
      <c r="G771" s="69" t="s">
        <v>1960</v>
      </c>
      <c r="H771" s="41">
        <v>9010000109</v>
      </c>
      <c r="I771" s="41" t="s">
        <v>47</v>
      </c>
      <c r="J771" s="41">
        <v>1202010202</v>
      </c>
      <c r="K771" s="41"/>
      <c r="L771" s="52" t="s">
        <v>2433</v>
      </c>
      <c r="M771" s="69" t="s">
        <v>2434</v>
      </c>
      <c r="N771" s="69"/>
      <c r="O771" s="69">
        <v>1</v>
      </c>
      <c r="P771" s="69" t="s">
        <v>50</v>
      </c>
      <c r="Q771" s="69" t="s">
        <v>51</v>
      </c>
      <c r="R771" s="69"/>
      <c r="S771" s="48">
        <v>44045</v>
      </c>
      <c r="T771" s="48">
        <v>44045</v>
      </c>
      <c r="U771" s="69"/>
      <c r="V771" s="69"/>
      <c r="W771" s="69"/>
      <c r="X771" s="69"/>
      <c r="Y771" s="69" t="s">
        <v>4127</v>
      </c>
      <c r="Z771" s="52">
        <v>20703</v>
      </c>
      <c r="AA771" s="43" t="s">
        <v>52</v>
      </c>
      <c r="AB771" s="43" t="s">
        <v>53</v>
      </c>
      <c r="AC771" s="85">
        <v>1825</v>
      </c>
      <c r="AD771" s="141">
        <v>5</v>
      </c>
      <c r="AE771" s="142">
        <v>0</v>
      </c>
      <c r="AF771" s="69" t="str">
        <f t="shared" si="109"/>
        <v>4 years 153 days</v>
      </c>
      <c r="AG771" s="69">
        <v>4</v>
      </c>
      <c r="AH771" s="69">
        <v>153</v>
      </c>
      <c r="AI771" s="69">
        <v>20703</v>
      </c>
      <c r="AJ771" s="67">
        <v>18298</v>
      </c>
      <c r="AK771" s="69">
        <v>2025</v>
      </c>
      <c r="AL771" s="61">
        <v>2053.332602739727</v>
      </c>
      <c r="AM771" s="143"/>
    </row>
    <row r="772" spans="1:39" x14ac:dyDescent="0.35">
      <c r="A772" s="69" t="s">
        <v>4124</v>
      </c>
      <c r="B772" s="41">
        <v>1101403539</v>
      </c>
      <c r="C772" s="41"/>
      <c r="D772" s="69"/>
      <c r="E772" s="41">
        <v>0</v>
      </c>
      <c r="F772" s="41" t="s">
        <v>1961</v>
      </c>
      <c r="G772" s="69" t="s">
        <v>1960</v>
      </c>
      <c r="H772" s="41">
        <v>9010000109</v>
      </c>
      <c r="I772" s="41" t="s">
        <v>47</v>
      </c>
      <c r="J772" s="41">
        <v>1202010202</v>
      </c>
      <c r="K772" s="41"/>
      <c r="L772" s="52" t="s">
        <v>2427</v>
      </c>
      <c r="M772" s="69" t="s">
        <v>2428</v>
      </c>
      <c r="N772" s="69"/>
      <c r="O772" s="69">
        <v>1</v>
      </c>
      <c r="P772" s="69" t="s">
        <v>50</v>
      </c>
      <c r="Q772" s="69" t="s">
        <v>51</v>
      </c>
      <c r="R772" s="69"/>
      <c r="S772" s="48">
        <v>44214</v>
      </c>
      <c r="T772" s="48">
        <v>44214</v>
      </c>
      <c r="U772" s="69"/>
      <c r="V772" s="69"/>
      <c r="W772" s="69"/>
      <c r="X772" s="69"/>
      <c r="Y772" s="69" t="s">
        <v>4128</v>
      </c>
      <c r="Z772" s="52">
        <v>159030</v>
      </c>
      <c r="AA772" s="43" t="s">
        <v>52</v>
      </c>
      <c r="AB772" s="43" t="s">
        <v>53</v>
      </c>
      <c r="AC772" s="85">
        <v>3650</v>
      </c>
      <c r="AD772" s="141">
        <v>10</v>
      </c>
      <c r="AE772" s="142">
        <v>0</v>
      </c>
      <c r="AF772" s="69" t="str">
        <f t="shared" si="109"/>
        <v>3 years 349 days</v>
      </c>
      <c r="AG772" s="69">
        <v>3</v>
      </c>
      <c r="AH772" s="69">
        <v>349</v>
      </c>
      <c r="AI772" s="69">
        <v>159030</v>
      </c>
      <c r="AJ772" s="67">
        <v>62915</v>
      </c>
      <c r="AK772" s="69">
        <v>2025</v>
      </c>
      <c r="AL772" s="61">
        <v>7886.0273972602736</v>
      </c>
      <c r="AM772" s="143"/>
    </row>
    <row r="773" spans="1:39" x14ac:dyDescent="0.35">
      <c r="A773" s="69" t="s">
        <v>4124</v>
      </c>
      <c r="B773" s="41">
        <v>1101504409</v>
      </c>
      <c r="C773" s="41"/>
      <c r="D773" s="69"/>
      <c r="E773" s="41">
        <v>0</v>
      </c>
      <c r="F773" s="41" t="s">
        <v>1961</v>
      </c>
      <c r="G773" s="69" t="s">
        <v>1960</v>
      </c>
      <c r="H773" s="41">
        <v>9010000109</v>
      </c>
      <c r="I773" s="41" t="s">
        <v>47</v>
      </c>
      <c r="J773" s="41">
        <v>1202010202</v>
      </c>
      <c r="K773" s="41"/>
      <c r="L773" s="52" t="s">
        <v>2430</v>
      </c>
      <c r="M773" s="69" t="s">
        <v>2431</v>
      </c>
      <c r="N773" s="69"/>
      <c r="O773" s="69">
        <v>1</v>
      </c>
      <c r="P773" s="69" t="s">
        <v>50</v>
      </c>
      <c r="Q773" s="69" t="s">
        <v>51</v>
      </c>
      <c r="R773" s="69"/>
      <c r="S773" s="48">
        <v>44273</v>
      </c>
      <c r="T773" s="48">
        <v>44273</v>
      </c>
      <c r="U773" s="69"/>
      <c r="V773" s="69"/>
      <c r="W773" s="69"/>
      <c r="X773" s="69"/>
      <c r="Y773" s="69" t="s">
        <v>4128</v>
      </c>
      <c r="Z773" s="52">
        <v>24484</v>
      </c>
      <c r="AA773" s="43" t="s">
        <v>52</v>
      </c>
      <c r="AB773" s="43" t="s">
        <v>53</v>
      </c>
      <c r="AC773" s="85">
        <v>1825</v>
      </c>
      <c r="AD773" s="141">
        <v>5</v>
      </c>
      <c r="AE773" s="142">
        <v>0</v>
      </c>
      <c r="AF773" s="69" t="str">
        <f t="shared" si="109"/>
        <v>3 years 290 days</v>
      </c>
      <c r="AG773" s="69">
        <v>3</v>
      </c>
      <c r="AH773" s="69">
        <v>290</v>
      </c>
      <c r="AI773" s="69">
        <v>24484</v>
      </c>
      <c r="AJ773" s="67">
        <v>18581</v>
      </c>
      <c r="AK773" s="69">
        <v>2025</v>
      </c>
      <c r="AL773" s="61">
        <v>2428.2843835616441</v>
      </c>
      <c r="AM773" s="143"/>
    </row>
    <row r="774" spans="1:39" x14ac:dyDescent="0.35">
      <c r="A774" s="69" t="s">
        <v>4124</v>
      </c>
      <c r="B774" s="41">
        <v>1101102598</v>
      </c>
      <c r="C774" s="41"/>
      <c r="D774" s="69"/>
      <c r="E774" s="41">
        <v>0</v>
      </c>
      <c r="F774" s="41" t="s">
        <v>1961</v>
      </c>
      <c r="G774" s="69" t="s">
        <v>1960</v>
      </c>
      <c r="H774" s="41">
        <v>9010000110</v>
      </c>
      <c r="I774" s="41" t="s">
        <v>261</v>
      </c>
      <c r="J774" s="41">
        <v>1202010217</v>
      </c>
      <c r="K774" s="41"/>
      <c r="L774" s="52" t="s">
        <v>2444</v>
      </c>
      <c r="M774" s="69" t="s">
        <v>2445</v>
      </c>
      <c r="N774" s="69"/>
      <c r="O774" s="69">
        <v>1</v>
      </c>
      <c r="P774" s="69" t="s">
        <v>50</v>
      </c>
      <c r="Q774" s="69" t="s">
        <v>51</v>
      </c>
      <c r="R774" s="69"/>
      <c r="S774" s="48">
        <v>43279</v>
      </c>
      <c r="T774" s="48">
        <v>43340</v>
      </c>
      <c r="U774" s="69"/>
      <c r="V774" s="69"/>
      <c r="W774" s="69"/>
      <c r="X774" s="69"/>
      <c r="Y774" s="69" t="s">
        <v>4125</v>
      </c>
      <c r="Z774" s="52">
        <v>150000</v>
      </c>
      <c r="AA774" s="43" t="s">
        <v>52</v>
      </c>
      <c r="AB774" s="43" t="s">
        <v>53</v>
      </c>
      <c r="AC774" s="85">
        <v>1752</v>
      </c>
      <c r="AD774" s="141">
        <v>4</v>
      </c>
      <c r="AE774" s="142">
        <v>10</v>
      </c>
      <c r="AF774" s="69" t="str">
        <f t="shared" si="109"/>
        <v>4 years 292 days</v>
      </c>
      <c r="AG774" s="69">
        <v>4</v>
      </c>
      <c r="AH774" s="69">
        <v>292</v>
      </c>
      <c r="AI774" s="69">
        <v>150000</v>
      </c>
      <c r="AJ774" s="67">
        <v>150000</v>
      </c>
      <c r="AK774" s="69">
        <v>2025</v>
      </c>
      <c r="AL774" s="61">
        <v>0</v>
      </c>
      <c r="AM774" s="143"/>
    </row>
    <row r="775" spans="1:39" x14ac:dyDescent="0.35">
      <c r="A775" s="69" t="s">
        <v>4124</v>
      </c>
      <c r="B775" s="41">
        <v>1101404981</v>
      </c>
      <c r="C775" s="41"/>
      <c r="D775" s="69"/>
      <c r="E775" s="41">
        <v>0</v>
      </c>
      <c r="F775" s="41" t="s">
        <v>1961</v>
      </c>
      <c r="G775" s="69" t="s">
        <v>1960</v>
      </c>
      <c r="H775" s="41">
        <v>9010000110</v>
      </c>
      <c r="I775" s="41" t="s">
        <v>261</v>
      </c>
      <c r="J775" s="41">
        <v>1202010217</v>
      </c>
      <c r="K775" s="41"/>
      <c r="L775" s="52" t="s">
        <v>2441</v>
      </c>
      <c r="M775" s="69" t="s">
        <v>2442</v>
      </c>
      <c r="N775" s="69"/>
      <c r="O775" s="69">
        <v>14</v>
      </c>
      <c r="P775" s="69" t="s">
        <v>50</v>
      </c>
      <c r="Q775" s="69" t="s">
        <v>51</v>
      </c>
      <c r="R775" s="69"/>
      <c r="S775" s="48">
        <v>45231</v>
      </c>
      <c r="T775" s="48">
        <v>45231</v>
      </c>
      <c r="U775" s="69"/>
      <c r="V775" s="69"/>
      <c r="W775" s="69"/>
      <c r="X775" s="69"/>
      <c r="Y775" s="69" t="s">
        <v>4129</v>
      </c>
      <c r="Z775" s="52">
        <v>39368</v>
      </c>
      <c r="AA775" s="43" t="s">
        <v>52</v>
      </c>
      <c r="AB775" s="43" t="s">
        <v>53</v>
      </c>
      <c r="AC775" s="85">
        <v>3650</v>
      </c>
      <c r="AD775" s="141">
        <v>10</v>
      </c>
      <c r="AE775" s="142">
        <v>0</v>
      </c>
      <c r="AF775" s="69" t="str">
        <f t="shared" si="109"/>
        <v>1 years 62 days</v>
      </c>
      <c r="AG775" s="69">
        <v>1</v>
      </c>
      <c r="AH775" s="69">
        <v>62</v>
      </c>
      <c r="AI775" s="69">
        <v>39368</v>
      </c>
      <c r="AJ775" s="67">
        <v>4606</v>
      </c>
      <c r="AK775" s="69">
        <v>2025</v>
      </c>
      <c r="AL775" s="61">
        <v>1951.7380821917804</v>
      </c>
      <c r="AM775" s="143"/>
    </row>
    <row r="776" spans="1:39" x14ac:dyDescent="0.35">
      <c r="A776" s="69" t="s">
        <v>4124</v>
      </c>
      <c r="B776" s="41">
        <v>1101404982</v>
      </c>
      <c r="C776" s="41"/>
      <c r="D776" s="69"/>
      <c r="E776" s="41">
        <v>0</v>
      </c>
      <c r="F776" s="41" t="s">
        <v>1961</v>
      </c>
      <c r="G776" s="69" t="s">
        <v>1960</v>
      </c>
      <c r="H776" s="41">
        <v>9010000111</v>
      </c>
      <c r="I776" s="41" t="s">
        <v>47</v>
      </c>
      <c r="J776" s="41">
        <v>1202010202</v>
      </c>
      <c r="K776" s="41"/>
      <c r="L776" s="52" t="s">
        <v>2447</v>
      </c>
      <c r="M776" s="69" t="s">
        <v>2448</v>
      </c>
      <c r="N776" s="69"/>
      <c r="O776" s="69">
        <v>2</v>
      </c>
      <c r="P776" s="69" t="s">
        <v>50</v>
      </c>
      <c r="Q776" s="69" t="s">
        <v>51</v>
      </c>
      <c r="R776" s="69"/>
      <c r="S776" s="48">
        <v>45231</v>
      </c>
      <c r="T776" s="48">
        <v>45231</v>
      </c>
      <c r="U776" s="69"/>
      <c r="V776" s="69"/>
      <c r="W776" s="69"/>
      <c r="X776" s="69"/>
      <c r="Y776" s="69" t="s">
        <v>4129</v>
      </c>
      <c r="Z776" s="52">
        <v>28000</v>
      </c>
      <c r="AA776" s="43" t="s">
        <v>52</v>
      </c>
      <c r="AB776" s="43" t="s">
        <v>53</v>
      </c>
      <c r="AC776" s="85">
        <v>3650</v>
      </c>
      <c r="AD776" s="141">
        <v>10</v>
      </c>
      <c r="AE776" s="142">
        <v>0</v>
      </c>
      <c r="AF776" s="69" t="str">
        <f t="shared" si="109"/>
        <v>1 years 62 days</v>
      </c>
      <c r="AG776" s="69">
        <v>1</v>
      </c>
      <c r="AH776" s="69">
        <v>62</v>
      </c>
      <c r="AI776" s="69">
        <v>28000</v>
      </c>
      <c r="AJ776" s="67">
        <v>3276</v>
      </c>
      <c r="AK776" s="69">
        <v>2025</v>
      </c>
      <c r="AL776" s="61">
        <v>1388.1095890410961</v>
      </c>
      <c r="AM776" s="143"/>
    </row>
    <row r="777" spans="1:39" x14ac:dyDescent="0.35">
      <c r="A777" s="69" t="s">
        <v>4124</v>
      </c>
      <c r="B777" s="41">
        <v>1101405198</v>
      </c>
      <c r="C777" s="41"/>
      <c r="D777" s="69"/>
      <c r="E777" s="41">
        <v>0</v>
      </c>
      <c r="F777" s="41" t="s">
        <v>1961</v>
      </c>
      <c r="G777" s="69" t="s">
        <v>1960</v>
      </c>
      <c r="H777" s="41">
        <v>9010000112</v>
      </c>
      <c r="I777" s="41" t="s">
        <v>47</v>
      </c>
      <c r="J777" s="41">
        <v>1202010202</v>
      </c>
      <c r="K777" s="41"/>
      <c r="L777" s="52" t="s">
        <v>2450</v>
      </c>
      <c r="M777" s="69" t="s">
        <v>2451</v>
      </c>
      <c r="N777" s="69"/>
      <c r="O777" s="69">
        <v>1</v>
      </c>
      <c r="P777" s="69" t="s">
        <v>50</v>
      </c>
      <c r="Q777" s="69" t="s">
        <v>51</v>
      </c>
      <c r="R777" s="69"/>
      <c r="S777" s="48">
        <v>45423</v>
      </c>
      <c r="T777" s="48">
        <v>45423</v>
      </c>
      <c r="U777" s="69"/>
      <c r="V777" s="69"/>
      <c r="W777" s="69"/>
      <c r="X777" s="69"/>
      <c r="Y777" s="69" t="s">
        <v>4130</v>
      </c>
      <c r="Z777" s="83">
        <v>43393.5</v>
      </c>
      <c r="AA777" s="43" t="s">
        <v>52</v>
      </c>
      <c r="AB777" s="43" t="s">
        <v>53</v>
      </c>
      <c r="AC777" s="85">
        <v>3650</v>
      </c>
      <c r="AD777" s="141">
        <v>10</v>
      </c>
      <c r="AE777" s="142">
        <v>0</v>
      </c>
      <c r="AF777" s="69" t="str">
        <f t="shared" si="109"/>
        <v>0 years 235 days</v>
      </c>
      <c r="AG777" s="69">
        <v>0</v>
      </c>
      <c r="AH777" s="69">
        <v>235</v>
      </c>
      <c r="AI777" s="69">
        <v>43393.5</v>
      </c>
      <c r="AJ777" s="67">
        <v>2794</v>
      </c>
      <c r="AK777" s="69">
        <v>2025</v>
      </c>
      <c r="AL777" s="61">
        <v>2151.6701369863013</v>
      </c>
      <c r="AM777" s="143"/>
    </row>
    <row r="778" spans="1:39" x14ac:dyDescent="0.35">
      <c r="A778" s="69" t="s">
        <v>4124</v>
      </c>
      <c r="B778" s="41">
        <v>1141504463</v>
      </c>
      <c r="C778" s="41"/>
      <c r="D778" s="69"/>
      <c r="E778" s="41">
        <v>0</v>
      </c>
      <c r="F778" s="41" t="s">
        <v>2454</v>
      </c>
      <c r="G778" s="69" t="s">
        <v>2453</v>
      </c>
      <c r="H778" s="41">
        <v>9011000001</v>
      </c>
      <c r="I778" s="41" t="s">
        <v>47</v>
      </c>
      <c r="J778" s="41">
        <v>1202010202</v>
      </c>
      <c r="K778" s="41"/>
      <c r="L778" s="52" t="s">
        <v>2481</v>
      </c>
      <c r="M778" s="69" t="s">
        <v>49</v>
      </c>
      <c r="N778" s="69"/>
      <c r="O778" s="69">
        <v>1</v>
      </c>
      <c r="P778" s="69" t="s">
        <v>50</v>
      </c>
      <c r="Q778" s="69" t="s">
        <v>51</v>
      </c>
      <c r="R778" s="69"/>
      <c r="S778" s="48">
        <v>37962</v>
      </c>
      <c r="T778" s="48">
        <v>43340</v>
      </c>
      <c r="U778" s="69"/>
      <c r="V778" s="69"/>
      <c r="W778" s="69"/>
      <c r="X778" s="69"/>
      <c r="Y778" s="69" t="s">
        <v>4125</v>
      </c>
      <c r="Z778" s="52">
        <v>1800</v>
      </c>
      <c r="AA778" s="43" t="s">
        <v>52</v>
      </c>
      <c r="AB778" s="43" t="s">
        <v>53</v>
      </c>
      <c r="AC778" s="85">
        <v>292</v>
      </c>
      <c r="AD778" s="141">
        <v>0</v>
      </c>
      <c r="AE778" s="142">
        <v>10</v>
      </c>
      <c r="AF778" s="69" t="str">
        <f t="shared" ref="AF778:AF841" si="110">_xlfn.CONCAT(AG778," years ",AH778," days")</f>
        <v>0 years 292 days</v>
      </c>
      <c r="AG778" s="69">
        <v>0</v>
      </c>
      <c r="AH778" s="69">
        <v>292</v>
      </c>
      <c r="AI778" s="69">
        <v>1800</v>
      </c>
      <c r="AJ778" s="67">
        <v>1800</v>
      </c>
      <c r="AK778" s="69">
        <v>2025</v>
      </c>
      <c r="AL778" s="61">
        <v>0</v>
      </c>
      <c r="AM778" s="143"/>
    </row>
    <row r="779" spans="1:39" x14ac:dyDescent="0.35">
      <c r="A779" s="69" t="s">
        <v>4124</v>
      </c>
      <c r="B779" s="41">
        <v>1141504464</v>
      </c>
      <c r="C779" s="41"/>
      <c r="D779" s="69"/>
      <c r="E779" s="41">
        <v>0</v>
      </c>
      <c r="F779" s="41" t="s">
        <v>2454</v>
      </c>
      <c r="G779" s="69" t="s">
        <v>2453</v>
      </c>
      <c r="H779" s="41">
        <v>9011000001</v>
      </c>
      <c r="I779" s="41" t="s">
        <v>47</v>
      </c>
      <c r="J779" s="41">
        <v>1202010202</v>
      </c>
      <c r="K779" s="41"/>
      <c r="L779" s="52" t="s">
        <v>2483</v>
      </c>
      <c r="M779" s="69" t="s">
        <v>49</v>
      </c>
      <c r="N779" s="69"/>
      <c r="O779" s="69">
        <v>1</v>
      </c>
      <c r="P779" s="69" t="s">
        <v>50</v>
      </c>
      <c r="Q779" s="69" t="s">
        <v>51</v>
      </c>
      <c r="R779" s="69"/>
      <c r="S779" s="48">
        <v>38022</v>
      </c>
      <c r="T779" s="48">
        <v>43340</v>
      </c>
      <c r="U779" s="69"/>
      <c r="V779" s="69"/>
      <c r="W779" s="69"/>
      <c r="X779" s="69"/>
      <c r="Y779" s="69" t="s">
        <v>4125</v>
      </c>
      <c r="Z779" s="52">
        <v>4600</v>
      </c>
      <c r="AA779" s="43" t="s">
        <v>52</v>
      </c>
      <c r="AB779" s="43" t="s">
        <v>53</v>
      </c>
      <c r="AC779" s="85">
        <v>292</v>
      </c>
      <c r="AD779" s="141">
        <v>0</v>
      </c>
      <c r="AE779" s="142">
        <v>10</v>
      </c>
      <c r="AF779" s="69" t="str">
        <f t="shared" si="110"/>
        <v>0 years 292 days</v>
      </c>
      <c r="AG779" s="69">
        <v>0</v>
      </c>
      <c r="AH779" s="69">
        <v>292</v>
      </c>
      <c r="AI779" s="69">
        <v>4600</v>
      </c>
      <c r="AJ779" s="67">
        <v>4600</v>
      </c>
      <c r="AK779" s="69">
        <v>2025</v>
      </c>
      <c r="AL779" s="61">
        <v>0</v>
      </c>
      <c r="AM779" s="143"/>
    </row>
    <row r="780" spans="1:39" x14ac:dyDescent="0.35">
      <c r="A780" s="69" t="s">
        <v>4124</v>
      </c>
      <c r="B780" s="41">
        <v>1141504459</v>
      </c>
      <c r="C780" s="41"/>
      <c r="D780" s="69"/>
      <c r="E780" s="41">
        <v>0</v>
      </c>
      <c r="F780" s="41" t="s">
        <v>2454</v>
      </c>
      <c r="G780" s="69" t="s">
        <v>2453</v>
      </c>
      <c r="H780" s="41">
        <v>9011000001</v>
      </c>
      <c r="I780" s="41" t="s">
        <v>47</v>
      </c>
      <c r="J780" s="41">
        <v>1202010202</v>
      </c>
      <c r="K780" s="41"/>
      <c r="L780" s="52" t="s">
        <v>2477</v>
      </c>
      <c r="M780" s="69" t="s">
        <v>49</v>
      </c>
      <c r="N780" s="69"/>
      <c r="O780" s="69">
        <v>1</v>
      </c>
      <c r="P780" s="69" t="s">
        <v>50</v>
      </c>
      <c r="Q780" s="69" t="s">
        <v>51</v>
      </c>
      <c r="R780" s="69"/>
      <c r="S780" s="48">
        <v>42236</v>
      </c>
      <c r="T780" s="48">
        <v>43340</v>
      </c>
      <c r="U780" s="69"/>
      <c r="V780" s="69"/>
      <c r="W780" s="69"/>
      <c r="X780" s="69"/>
      <c r="Y780" s="69" t="s">
        <v>4125</v>
      </c>
      <c r="Z780" s="52">
        <v>19000</v>
      </c>
      <c r="AA780" s="43" t="s">
        <v>52</v>
      </c>
      <c r="AB780" s="43" t="s">
        <v>53</v>
      </c>
      <c r="AC780" s="85">
        <v>1825</v>
      </c>
      <c r="AD780" s="141">
        <v>5</v>
      </c>
      <c r="AE780" s="142">
        <v>0</v>
      </c>
      <c r="AF780" s="69" t="str">
        <f t="shared" si="110"/>
        <v>5 years 0 days</v>
      </c>
      <c r="AG780" s="69">
        <v>5</v>
      </c>
      <c r="AH780" s="69">
        <v>0</v>
      </c>
      <c r="AI780" s="69">
        <v>19000</v>
      </c>
      <c r="AJ780" s="67">
        <v>19000</v>
      </c>
      <c r="AK780" s="69">
        <v>2025</v>
      </c>
      <c r="AL780" s="61">
        <v>0</v>
      </c>
      <c r="AM780" s="143"/>
    </row>
    <row r="781" spans="1:39" x14ac:dyDescent="0.35">
      <c r="A781" s="69" t="s">
        <v>4124</v>
      </c>
      <c r="B781" s="41">
        <v>1141504460</v>
      </c>
      <c r="C781" s="41"/>
      <c r="D781" s="69"/>
      <c r="E781" s="41">
        <v>0</v>
      </c>
      <c r="F781" s="41" t="s">
        <v>2454</v>
      </c>
      <c r="G781" s="69" t="s">
        <v>2453</v>
      </c>
      <c r="H781" s="41">
        <v>9011000001</v>
      </c>
      <c r="I781" s="41" t="s">
        <v>47</v>
      </c>
      <c r="J781" s="41">
        <v>1202010202</v>
      </c>
      <c r="K781" s="41"/>
      <c r="L781" s="52" t="s">
        <v>2479</v>
      </c>
      <c r="M781" s="69" t="s">
        <v>49</v>
      </c>
      <c r="N781" s="69"/>
      <c r="O781" s="69">
        <v>12</v>
      </c>
      <c r="P781" s="69" t="s">
        <v>50</v>
      </c>
      <c r="Q781" s="69" t="s">
        <v>51</v>
      </c>
      <c r="R781" s="69"/>
      <c r="S781" s="48">
        <v>43271</v>
      </c>
      <c r="T781" s="48">
        <v>43340</v>
      </c>
      <c r="U781" s="69"/>
      <c r="V781" s="69"/>
      <c r="W781" s="69"/>
      <c r="X781" s="69"/>
      <c r="Y781" s="69" t="s">
        <v>4125</v>
      </c>
      <c r="Z781" s="52">
        <v>23000</v>
      </c>
      <c r="AA781" s="43" t="s">
        <v>52</v>
      </c>
      <c r="AB781" s="43" t="s">
        <v>53</v>
      </c>
      <c r="AC781" s="85">
        <v>2847</v>
      </c>
      <c r="AD781" s="141">
        <v>7</v>
      </c>
      <c r="AE781" s="142">
        <v>10</v>
      </c>
      <c r="AF781" s="69" t="str">
        <f t="shared" si="110"/>
        <v>6 years 128 days</v>
      </c>
      <c r="AG781" s="69">
        <v>6</v>
      </c>
      <c r="AH781" s="69">
        <v>128</v>
      </c>
      <c r="AI781" s="69">
        <v>23000</v>
      </c>
      <c r="AJ781" s="67">
        <v>18718</v>
      </c>
      <c r="AK781" s="69">
        <v>2025</v>
      </c>
      <c r="AL781" s="61">
        <v>1462.5409202669507</v>
      </c>
      <c r="AM781" s="143"/>
    </row>
    <row r="782" spans="1:39" x14ac:dyDescent="0.35">
      <c r="A782" s="69" t="s">
        <v>4124</v>
      </c>
      <c r="B782" s="41">
        <v>1141400788</v>
      </c>
      <c r="C782" s="41"/>
      <c r="D782" s="69"/>
      <c r="E782" s="41">
        <v>0</v>
      </c>
      <c r="F782" s="41" t="s">
        <v>2454</v>
      </c>
      <c r="G782" s="69" t="s">
        <v>2453</v>
      </c>
      <c r="H782" s="41">
        <v>9011000001</v>
      </c>
      <c r="I782" s="41" t="s">
        <v>47</v>
      </c>
      <c r="J782" s="41">
        <v>1202010202</v>
      </c>
      <c r="K782" s="41"/>
      <c r="L782" s="52" t="s">
        <v>2455</v>
      </c>
      <c r="M782" s="69" t="s">
        <v>49</v>
      </c>
      <c r="N782" s="69"/>
      <c r="O782" s="69">
        <v>1</v>
      </c>
      <c r="P782" s="69" t="s">
        <v>50</v>
      </c>
      <c r="Q782" s="69" t="s">
        <v>51</v>
      </c>
      <c r="R782" s="69"/>
      <c r="S782" s="48">
        <v>41170</v>
      </c>
      <c r="T782" s="48">
        <v>43340</v>
      </c>
      <c r="U782" s="69"/>
      <c r="V782" s="69"/>
      <c r="W782" s="69"/>
      <c r="X782" s="69"/>
      <c r="Y782" s="69" t="s">
        <v>4125</v>
      </c>
      <c r="Z782" s="52">
        <v>4600</v>
      </c>
      <c r="AA782" s="43" t="s">
        <v>52</v>
      </c>
      <c r="AB782" s="43" t="s">
        <v>53</v>
      </c>
      <c r="AC782" s="85">
        <v>767</v>
      </c>
      <c r="AD782" s="141">
        <v>2</v>
      </c>
      <c r="AE782" s="142">
        <v>1</v>
      </c>
      <c r="AF782" s="69" t="str">
        <f t="shared" si="110"/>
        <v>2 years 37 days</v>
      </c>
      <c r="AG782" s="69">
        <v>2</v>
      </c>
      <c r="AH782" s="69">
        <v>37</v>
      </c>
      <c r="AI782" s="69">
        <v>4600</v>
      </c>
      <c r="AJ782" s="67">
        <v>4600</v>
      </c>
      <c r="AK782" s="69">
        <v>2025</v>
      </c>
      <c r="AL782" s="61">
        <v>0</v>
      </c>
      <c r="AM782" s="143"/>
    </row>
    <row r="783" spans="1:39" x14ac:dyDescent="0.35">
      <c r="A783" s="69" t="s">
        <v>4124</v>
      </c>
      <c r="B783" s="41">
        <v>1141504472</v>
      </c>
      <c r="C783" s="41"/>
      <c r="D783" s="69"/>
      <c r="E783" s="41">
        <v>0</v>
      </c>
      <c r="F783" s="41" t="s">
        <v>2454</v>
      </c>
      <c r="G783" s="69" t="s">
        <v>2453</v>
      </c>
      <c r="H783" s="41">
        <v>9011000001</v>
      </c>
      <c r="I783" s="41" t="s">
        <v>47</v>
      </c>
      <c r="J783" s="41">
        <v>1202010202</v>
      </c>
      <c r="K783" s="41"/>
      <c r="L783" s="52" t="s">
        <v>2485</v>
      </c>
      <c r="M783" s="69" t="s">
        <v>49</v>
      </c>
      <c r="N783" s="69"/>
      <c r="O783" s="69">
        <v>2</v>
      </c>
      <c r="P783" s="69" t="s">
        <v>50</v>
      </c>
      <c r="Q783" s="69" t="s">
        <v>51</v>
      </c>
      <c r="R783" s="69"/>
      <c r="S783" s="48">
        <v>43397</v>
      </c>
      <c r="T783" s="48">
        <v>43397</v>
      </c>
      <c r="U783" s="69"/>
      <c r="V783" s="69"/>
      <c r="W783" s="69"/>
      <c r="X783" s="69"/>
      <c r="Y783" s="69" t="s">
        <v>4125</v>
      </c>
      <c r="Z783" s="52">
        <v>1449</v>
      </c>
      <c r="AA783" s="43" t="s">
        <v>52</v>
      </c>
      <c r="AB783" s="43" t="s">
        <v>53</v>
      </c>
      <c r="AC783" s="85">
        <v>1825</v>
      </c>
      <c r="AD783" s="141">
        <v>5</v>
      </c>
      <c r="AE783" s="142">
        <v>0</v>
      </c>
      <c r="AF783" s="69" t="str">
        <f t="shared" si="110"/>
        <v>5 years 0 days</v>
      </c>
      <c r="AG783" s="69">
        <v>5</v>
      </c>
      <c r="AH783" s="69">
        <v>0</v>
      </c>
      <c r="AI783" s="69">
        <v>1449</v>
      </c>
      <c r="AJ783" s="67">
        <v>1449</v>
      </c>
      <c r="AK783" s="69">
        <v>2025</v>
      </c>
      <c r="AL783" s="61">
        <v>0</v>
      </c>
      <c r="AM783" s="143"/>
    </row>
    <row r="784" spans="1:39" x14ac:dyDescent="0.35">
      <c r="A784" s="69" t="s">
        <v>4124</v>
      </c>
      <c r="B784" s="41">
        <v>1141402706</v>
      </c>
      <c r="C784" s="41"/>
      <c r="D784" s="69"/>
      <c r="E784" s="41">
        <v>0</v>
      </c>
      <c r="F784" s="41" t="s">
        <v>2454</v>
      </c>
      <c r="G784" s="69" t="s">
        <v>2453</v>
      </c>
      <c r="H784" s="41">
        <v>9011000001</v>
      </c>
      <c r="I784" s="41" t="s">
        <v>47</v>
      </c>
      <c r="J784" s="41">
        <v>1202010202</v>
      </c>
      <c r="K784" s="41"/>
      <c r="L784" s="52" t="s">
        <v>2457</v>
      </c>
      <c r="M784" s="69" t="s">
        <v>49</v>
      </c>
      <c r="N784" s="69"/>
      <c r="O784" s="69">
        <v>1</v>
      </c>
      <c r="P784" s="69" t="s">
        <v>50</v>
      </c>
      <c r="Q784" s="69" t="s">
        <v>51</v>
      </c>
      <c r="R784" s="69"/>
      <c r="S784" s="48">
        <v>43386</v>
      </c>
      <c r="T784" s="48">
        <v>43386</v>
      </c>
      <c r="U784" s="69"/>
      <c r="V784" s="69"/>
      <c r="W784" s="69"/>
      <c r="X784" s="69"/>
      <c r="Y784" s="69" t="s">
        <v>4125</v>
      </c>
      <c r="Z784" s="52">
        <v>4200</v>
      </c>
      <c r="AA784" s="43" t="s">
        <v>52</v>
      </c>
      <c r="AB784" s="43" t="s">
        <v>53</v>
      </c>
      <c r="AC784" s="85">
        <v>1825</v>
      </c>
      <c r="AD784" s="141">
        <v>5</v>
      </c>
      <c r="AE784" s="142">
        <v>0</v>
      </c>
      <c r="AF784" s="69" t="str">
        <f t="shared" si="110"/>
        <v>5 years 0 days</v>
      </c>
      <c r="AG784" s="69">
        <v>5</v>
      </c>
      <c r="AH784" s="69">
        <v>0</v>
      </c>
      <c r="AI784" s="69">
        <v>4200</v>
      </c>
      <c r="AJ784" s="67">
        <v>4200</v>
      </c>
      <c r="AK784" s="69">
        <v>2025</v>
      </c>
      <c r="AL784" s="61">
        <v>0</v>
      </c>
      <c r="AM784" s="143"/>
    </row>
    <row r="785" spans="1:39" x14ac:dyDescent="0.35">
      <c r="A785" s="69" t="s">
        <v>4124</v>
      </c>
      <c r="B785" s="41">
        <v>1141504458</v>
      </c>
      <c r="C785" s="41"/>
      <c r="D785" s="69"/>
      <c r="E785" s="41">
        <v>0</v>
      </c>
      <c r="F785" s="41" t="s">
        <v>2454</v>
      </c>
      <c r="G785" s="69" t="s">
        <v>2453</v>
      </c>
      <c r="H785" s="41">
        <v>9011000001</v>
      </c>
      <c r="I785" s="41" t="s">
        <v>47</v>
      </c>
      <c r="J785" s="41">
        <v>1202010202</v>
      </c>
      <c r="K785" s="41"/>
      <c r="L785" s="52" t="s">
        <v>2474</v>
      </c>
      <c r="M785" s="69" t="s">
        <v>2475</v>
      </c>
      <c r="N785" s="69"/>
      <c r="O785" s="69">
        <v>12</v>
      </c>
      <c r="P785" s="69" t="s">
        <v>50</v>
      </c>
      <c r="Q785" s="69" t="s">
        <v>51</v>
      </c>
      <c r="R785" s="69"/>
      <c r="S785" s="48">
        <v>43731</v>
      </c>
      <c r="T785" s="48">
        <v>43731</v>
      </c>
      <c r="U785" s="69"/>
      <c r="V785" s="69"/>
      <c r="W785" s="69"/>
      <c r="X785" s="69"/>
      <c r="Y785" s="69" t="s">
        <v>4126</v>
      </c>
      <c r="Z785" s="52">
        <v>24700</v>
      </c>
      <c r="AA785" s="43" t="s">
        <v>52</v>
      </c>
      <c r="AB785" s="43" t="s">
        <v>53</v>
      </c>
      <c r="AC785" s="85">
        <v>1825</v>
      </c>
      <c r="AD785" s="141">
        <v>5</v>
      </c>
      <c r="AE785" s="142">
        <v>0</v>
      </c>
      <c r="AF785" s="69" t="str">
        <f t="shared" si="110"/>
        <v>5 years 0 days</v>
      </c>
      <c r="AG785" s="69">
        <v>5</v>
      </c>
      <c r="AH785" s="69">
        <v>0</v>
      </c>
      <c r="AI785" s="69">
        <v>24700</v>
      </c>
      <c r="AJ785" s="67">
        <v>24700</v>
      </c>
      <c r="AK785" s="69">
        <v>2025</v>
      </c>
      <c r="AL785" s="61">
        <v>0</v>
      </c>
      <c r="AM785" s="143"/>
    </row>
    <row r="786" spans="1:39" x14ac:dyDescent="0.35">
      <c r="A786" s="69" t="s">
        <v>4124</v>
      </c>
      <c r="B786" s="41">
        <v>1141403052</v>
      </c>
      <c r="C786" s="41"/>
      <c r="D786" s="69"/>
      <c r="E786" s="41">
        <v>0</v>
      </c>
      <c r="F786" s="41" t="s">
        <v>2454</v>
      </c>
      <c r="G786" s="69" t="s">
        <v>2453</v>
      </c>
      <c r="H786" s="41">
        <v>9011000001</v>
      </c>
      <c r="I786" s="41" t="s">
        <v>47</v>
      </c>
      <c r="J786" s="41">
        <v>1202010202</v>
      </c>
      <c r="K786" s="41"/>
      <c r="L786" s="52" t="s">
        <v>2459</v>
      </c>
      <c r="M786" s="69" t="s">
        <v>2460</v>
      </c>
      <c r="N786" s="69"/>
      <c r="O786" s="69">
        <v>6</v>
      </c>
      <c r="P786" s="69" t="s">
        <v>50</v>
      </c>
      <c r="Q786" s="69" t="s">
        <v>51</v>
      </c>
      <c r="R786" s="69"/>
      <c r="S786" s="48">
        <v>43722</v>
      </c>
      <c r="T786" s="48">
        <v>43722</v>
      </c>
      <c r="U786" s="69"/>
      <c r="V786" s="69"/>
      <c r="W786" s="69"/>
      <c r="X786" s="69"/>
      <c r="Y786" s="69" t="s">
        <v>4126</v>
      </c>
      <c r="Z786" s="52">
        <v>39420</v>
      </c>
      <c r="AA786" s="43" t="s">
        <v>52</v>
      </c>
      <c r="AB786" s="43" t="s">
        <v>53</v>
      </c>
      <c r="AC786" s="85">
        <v>1825</v>
      </c>
      <c r="AD786" s="141">
        <v>5</v>
      </c>
      <c r="AE786" s="142">
        <v>0</v>
      </c>
      <c r="AF786" s="69" t="str">
        <f t="shared" si="110"/>
        <v>5 years 0 days</v>
      </c>
      <c r="AG786" s="69">
        <v>5</v>
      </c>
      <c r="AH786" s="69">
        <v>0</v>
      </c>
      <c r="AI786" s="69">
        <v>39420</v>
      </c>
      <c r="AJ786" s="67">
        <v>39420</v>
      </c>
      <c r="AK786" s="69">
        <v>2025</v>
      </c>
      <c r="AL786" s="61">
        <v>0</v>
      </c>
      <c r="AM786" s="143"/>
    </row>
    <row r="787" spans="1:39" x14ac:dyDescent="0.35">
      <c r="A787" s="69" t="s">
        <v>4124</v>
      </c>
      <c r="B787" s="41">
        <v>1141403556</v>
      </c>
      <c r="C787" s="41"/>
      <c r="D787" s="69"/>
      <c r="E787" s="41">
        <v>0</v>
      </c>
      <c r="F787" s="41" t="s">
        <v>2454</v>
      </c>
      <c r="G787" s="69" t="s">
        <v>2453</v>
      </c>
      <c r="H787" s="41">
        <v>9011000001</v>
      </c>
      <c r="I787" s="41" t="s">
        <v>47</v>
      </c>
      <c r="J787" s="41">
        <v>1202010202</v>
      </c>
      <c r="K787" s="41"/>
      <c r="L787" s="52" t="s">
        <v>2462</v>
      </c>
      <c r="M787" s="69" t="s">
        <v>2463</v>
      </c>
      <c r="N787" s="69"/>
      <c r="O787" s="69">
        <v>1</v>
      </c>
      <c r="P787" s="69" t="s">
        <v>50</v>
      </c>
      <c r="Q787" s="69" t="s">
        <v>51</v>
      </c>
      <c r="R787" s="69"/>
      <c r="S787" s="48">
        <v>44226</v>
      </c>
      <c r="T787" s="48">
        <v>44226</v>
      </c>
      <c r="U787" s="69"/>
      <c r="V787" s="69"/>
      <c r="W787" s="69"/>
      <c r="X787" s="69"/>
      <c r="Y787" s="69" t="s">
        <v>4128</v>
      </c>
      <c r="Z787" s="52">
        <v>7070</v>
      </c>
      <c r="AA787" s="43" t="s">
        <v>52</v>
      </c>
      <c r="AB787" s="43" t="s">
        <v>53</v>
      </c>
      <c r="AC787" s="85">
        <v>1825</v>
      </c>
      <c r="AD787" s="141">
        <v>5</v>
      </c>
      <c r="AE787" s="142">
        <v>0</v>
      </c>
      <c r="AF787" s="69" t="str">
        <f t="shared" si="110"/>
        <v>3 years 337 days</v>
      </c>
      <c r="AG787" s="69">
        <v>3</v>
      </c>
      <c r="AH787" s="69">
        <v>337</v>
      </c>
      <c r="AI787" s="69">
        <v>7070</v>
      </c>
      <c r="AJ787" s="67">
        <v>5548</v>
      </c>
      <c r="AK787" s="69">
        <v>2025</v>
      </c>
      <c r="AL787" s="61">
        <v>700.71780821917855</v>
      </c>
      <c r="AM787" s="143"/>
    </row>
    <row r="788" spans="1:39" x14ac:dyDescent="0.35">
      <c r="A788" s="69" t="s">
        <v>4124</v>
      </c>
      <c r="B788" s="41">
        <v>1141403956</v>
      </c>
      <c r="C788" s="41"/>
      <c r="D788" s="69"/>
      <c r="E788" s="41">
        <v>0</v>
      </c>
      <c r="F788" s="41" t="s">
        <v>2454</v>
      </c>
      <c r="G788" s="69" t="s">
        <v>2453</v>
      </c>
      <c r="H788" s="41">
        <v>9011000001</v>
      </c>
      <c r="I788" s="41" t="s">
        <v>47</v>
      </c>
      <c r="J788" s="41">
        <v>1202010202</v>
      </c>
      <c r="K788" s="41"/>
      <c r="L788" s="52" t="s">
        <v>2465</v>
      </c>
      <c r="M788" s="69" t="s">
        <v>2466</v>
      </c>
      <c r="N788" s="69"/>
      <c r="O788" s="69">
        <v>1</v>
      </c>
      <c r="P788" s="69" t="s">
        <v>50</v>
      </c>
      <c r="Q788" s="69" t="s">
        <v>51</v>
      </c>
      <c r="R788" s="69"/>
      <c r="S788" s="48">
        <v>44555</v>
      </c>
      <c r="T788" s="48">
        <v>44555</v>
      </c>
      <c r="U788" s="69"/>
      <c r="V788" s="69"/>
      <c r="W788" s="69"/>
      <c r="X788" s="69"/>
      <c r="Y788" s="69" t="s">
        <v>4128</v>
      </c>
      <c r="Z788" s="52">
        <v>49080</v>
      </c>
      <c r="AA788" s="43" t="s">
        <v>52</v>
      </c>
      <c r="AB788" s="43" t="s">
        <v>53</v>
      </c>
      <c r="AC788" s="85">
        <v>1825</v>
      </c>
      <c r="AD788" s="141">
        <v>5</v>
      </c>
      <c r="AE788" s="142">
        <v>0</v>
      </c>
      <c r="AF788" s="69" t="str">
        <f t="shared" si="110"/>
        <v>3 years 8 days</v>
      </c>
      <c r="AG788" s="69">
        <v>3</v>
      </c>
      <c r="AH788" s="69">
        <v>8</v>
      </c>
      <c r="AI788" s="69">
        <v>49080</v>
      </c>
      <c r="AJ788" s="67">
        <v>29663</v>
      </c>
      <c r="AK788" s="69">
        <v>2025</v>
      </c>
      <c r="AL788" s="61">
        <v>4867.8054794520576</v>
      </c>
      <c r="AM788" s="143"/>
    </row>
    <row r="789" spans="1:39" x14ac:dyDescent="0.35">
      <c r="A789" s="69" t="s">
        <v>4124</v>
      </c>
      <c r="B789" s="41">
        <v>1141404702</v>
      </c>
      <c r="C789" s="41"/>
      <c r="D789" s="69"/>
      <c r="E789" s="41">
        <v>0</v>
      </c>
      <c r="F789" s="41" t="s">
        <v>2454</v>
      </c>
      <c r="G789" s="69" t="s">
        <v>2453</v>
      </c>
      <c r="H789" s="41">
        <v>9011000001</v>
      </c>
      <c r="I789" s="41" t="s">
        <v>47</v>
      </c>
      <c r="J789" s="41">
        <v>1202010202</v>
      </c>
      <c r="K789" s="41"/>
      <c r="L789" s="52" t="s">
        <v>2468</v>
      </c>
      <c r="M789" s="69" t="s">
        <v>2469</v>
      </c>
      <c r="N789" s="69"/>
      <c r="O789" s="69">
        <v>1</v>
      </c>
      <c r="P789" s="69" t="s">
        <v>50</v>
      </c>
      <c r="Q789" s="69" t="s">
        <v>51</v>
      </c>
      <c r="R789" s="69"/>
      <c r="S789" s="48">
        <v>45016</v>
      </c>
      <c r="T789" s="48">
        <v>45016</v>
      </c>
      <c r="U789" s="69"/>
      <c r="V789" s="69"/>
      <c r="W789" s="69"/>
      <c r="X789" s="69"/>
      <c r="Y789" s="69" t="s">
        <v>4129</v>
      </c>
      <c r="Z789" s="52">
        <v>149760</v>
      </c>
      <c r="AA789" s="43" t="s">
        <v>52</v>
      </c>
      <c r="AB789" s="43" t="s">
        <v>53</v>
      </c>
      <c r="AC789" s="85">
        <v>1825</v>
      </c>
      <c r="AD789" s="141">
        <v>5</v>
      </c>
      <c r="AE789" s="142">
        <v>0</v>
      </c>
      <c r="AF789" s="69" t="str">
        <f t="shared" si="110"/>
        <v>1 years 277 days</v>
      </c>
      <c r="AG789" s="69">
        <v>1</v>
      </c>
      <c r="AH789" s="69">
        <v>277</v>
      </c>
      <c r="AI789" s="69">
        <v>149760</v>
      </c>
      <c r="AJ789" s="67">
        <v>52765</v>
      </c>
      <c r="AK789" s="69">
        <v>2025</v>
      </c>
      <c r="AL789" s="61">
        <v>14852.665753424662</v>
      </c>
      <c r="AM789" s="143"/>
    </row>
    <row r="790" spans="1:39" x14ac:dyDescent="0.35">
      <c r="A790" s="69" t="s">
        <v>4124</v>
      </c>
      <c r="B790" s="41">
        <v>1141404974</v>
      </c>
      <c r="C790" s="41"/>
      <c r="D790" s="69"/>
      <c r="E790" s="41">
        <v>0</v>
      </c>
      <c r="F790" s="41" t="s">
        <v>2454</v>
      </c>
      <c r="G790" s="69" t="s">
        <v>2453</v>
      </c>
      <c r="H790" s="41">
        <v>9011000001</v>
      </c>
      <c r="I790" s="41" t="s">
        <v>47</v>
      </c>
      <c r="J790" s="41">
        <v>1202010202</v>
      </c>
      <c r="K790" s="41"/>
      <c r="L790" s="52" t="s">
        <v>2471</v>
      </c>
      <c r="M790" s="69" t="s">
        <v>2472</v>
      </c>
      <c r="N790" s="69"/>
      <c r="O790" s="69">
        <v>56</v>
      </c>
      <c r="P790" s="69" t="s">
        <v>50</v>
      </c>
      <c r="Q790" s="69" t="s">
        <v>51</v>
      </c>
      <c r="R790" s="69"/>
      <c r="S790" s="48">
        <v>45231</v>
      </c>
      <c r="T790" s="48">
        <v>45231</v>
      </c>
      <c r="U790" s="69"/>
      <c r="V790" s="69"/>
      <c r="W790" s="69"/>
      <c r="X790" s="69"/>
      <c r="Y790" s="69" t="s">
        <v>4129</v>
      </c>
      <c r="Z790" s="52">
        <v>232212.96</v>
      </c>
      <c r="AA790" s="43" t="s">
        <v>52</v>
      </c>
      <c r="AB790" s="43" t="s">
        <v>53</v>
      </c>
      <c r="AC790" s="85">
        <v>1825</v>
      </c>
      <c r="AD790" s="141">
        <v>5</v>
      </c>
      <c r="AE790" s="142">
        <v>0</v>
      </c>
      <c r="AF790" s="69" t="str">
        <f t="shared" si="110"/>
        <v>1 years 62 days</v>
      </c>
      <c r="AG790" s="69">
        <v>1</v>
      </c>
      <c r="AH790" s="69">
        <v>62</v>
      </c>
      <c r="AI790" s="69">
        <v>232212.96</v>
      </c>
      <c r="AJ790" s="67">
        <v>54331</v>
      </c>
      <c r="AK790" s="69">
        <v>2025</v>
      </c>
      <c r="AL790" s="61">
        <v>23030.906673972611</v>
      </c>
      <c r="AM790" s="143"/>
    </row>
    <row r="791" spans="1:39" x14ac:dyDescent="0.35">
      <c r="A791" s="69" t="s">
        <v>4124</v>
      </c>
      <c r="B791" s="41">
        <v>1141504402</v>
      </c>
      <c r="C791" s="41"/>
      <c r="D791" s="69"/>
      <c r="E791" s="41">
        <v>0</v>
      </c>
      <c r="F791" s="41" t="s">
        <v>2454</v>
      </c>
      <c r="G791" s="69" t="s">
        <v>2453</v>
      </c>
      <c r="H791" s="41">
        <v>9011000002</v>
      </c>
      <c r="I791" s="41" t="s">
        <v>47</v>
      </c>
      <c r="J791" s="41">
        <v>1202010202</v>
      </c>
      <c r="K791" s="41"/>
      <c r="L791" s="52" t="s">
        <v>2558</v>
      </c>
      <c r="M791" s="69" t="s">
        <v>49</v>
      </c>
      <c r="N791" s="69"/>
      <c r="O791" s="69">
        <v>1</v>
      </c>
      <c r="P791" s="69" t="s">
        <v>50</v>
      </c>
      <c r="Q791" s="69" t="s">
        <v>51</v>
      </c>
      <c r="R791" s="69"/>
      <c r="S791" s="48">
        <v>37888</v>
      </c>
      <c r="T791" s="48">
        <v>43340</v>
      </c>
      <c r="U791" s="69"/>
      <c r="V791" s="69"/>
      <c r="W791" s="69"/>
      <c r="X791" s="69"/>
      <c r="Y791" s="69" t="s">
        <v>4125</v>
      </c>
      <c r="Z791" s="52">
        <v>3200</v>
      </c>
      <c r="AA791" s="43" t="s">
        <v>52</v>
      </c>
      <c r="AB791" s="43" t="s">
        <v>53</v>
      </c>
      <c r="AC791" s="85">
        <v>292</v>
      </c>
      <c r="AD791" s="141">
        <v>0</v>
      </c>
      <c r="AE791" s="142">
        <v>10</v>
      </c>
      <c r="AF791" s="69" t="str">
        <f t="shared" si="110"/>
        <v>0 years 292 days</v>
      </c>
      <c r="AG791" s="69">
        <v>0</v>
      </c>
      <c r="AH791" s="69">
        <v>292</v>
      </c>
      <c r="AI791" s="69">
        <v>3200</v>
      </c>
      <c r="AJ791" s="67">
        <v>3200</v>
      </c>
      <c r="AK791" s="69">
        <v>2025</v>
      </c>
      <c r="AL791" s="61">
        <v>0</v>
      </c>
      <c r="AM791" s="143"/>
    </row>
    <row r="792" spans="1:39" x14ac:dyDescent="0.35">
      <c r="A792" s="69" t="s">
        <v>4124</v>
      </c>
      <c r="B792" s="41">
        <v>1141504465</v>
      </c>
      <c r="C792" s="41"/>
      <c r="D792" s="69"/>
      <c r="E792" s="41">
        <v>0</v>
      </c>
      <c r="F792" s="41" t="s">
        <v>2454</v>
      </c>
      <c r="G792" s="69" t="s">
        <v>2453</v>
      </c>
      <c r="H792" s="41">
        <v>9011000002</v>
      </c>
      <c r="I792" s="41" t="s">
        <v>47</v>
      </c>
      <c r="J792" s="41">
        <v>1202010202</v>
      </c>
      <c r="K792" s="41"/>
      <c r="L792" s="52" t="s">
        <v>2569</v>
      </c>
      <c r="M792" s="69" t="s">
        <v>49</v>
      </c>
      <c r="N792" s="69"/>
      <c r="O792" s="69">
        <v>1</v>
      </c>
      <c r="P792" s="69" t="s">
        <v>50</v>
      </c>
      <c r="Q792" s="69" t="s">
        <v>51</v>
      </c>
      <c r="R792" s="69"/>
      <c r="S792" s="48">
        <v>40380</v>
      </c>
      <c r="T792" s="48">
        <v>43340</v>
      </c>
      <c r="U792" s="69"/>
      <c r="V792" s="69"/>
      <c r="W792" s="69"/>
      <c r="X792" s="69"/>
      <c r="Y792" s="69" t="s">
        <v>4125</v>
      </c>
      <c r="Z792" s="52">
        <v>1800</v>
      </c>
      <c r="AA792" s="43" t="s">
        <v>52</v>
      </c>
      <c r="AB792" s="43" t="s">
        <v>53</v>
      </c>
      <c r="AC792" s="85">
        <v>292</v>
      </c>
      <c r="AD792" s="141">
        <v>0</v>
      </c>
      <c r="AE792" s="142">
        <v>10</v>
      </c>
      <c r="AF792" s="69" t="str">
        <f t="shared" si="110"/>
        <v>0 years 292 days</v>
      </c>
      <c r="AG792" s="69">
        <v>0</v>
      </c>
      <c r="AH792" s="69">
        <v>292</v>
      </c>
      <c r="AI792" s="69">
        <v>1800</v>
      </c>
      <c r="AJ792" s="67">
        <v>1800</v>
      </c>
      <c r="AK792" s="69">
        <v>2025</v>
      </c>
      <c r="AL792" s="61">
        <v>0</v>
      </c>
      <c r="AM792" s="143"/>
    </row>
    <row r="793" spans="1:39" x14ac:dyDescent="0.35">
      <c r="A793" s="69" t="s">
        <v>4124</v>
      </c>
      <c r="B793" s="152">
        <v>1141504466</v>
      </c>
      <c r="C793" s="41"/>
      <c r="D793" s="69"/>
      <c r="E793" s="41">
        <v>0</v>
      </c>
      <c r="F793" s="41" t="s">
        <v>2454</v>
      </c>
      <c r="G793" s="69" t="s">
        <v>2453</v>
      </c>
      <c r="H793" s="41">
        <v>9011000002</v>
      </c>
      <c r="I793" s="41" t="s">
        <v>47</v>
      </c>
      <c r="J793" s="41">
        <v>1202010202</v>
      </c>
      <c r="K793" s="41"/>
      <c r="L793" s="52" t="s">
        <v>2571</v>
      </c>
      <c r="M793" s="69" t="s">
        <v>49</v>
      </c>
      <c r="N793" s="69"/>
      <c r="O793" s="69">
        <v>1</v>
      </c>
      <c r="P793" s="69" t="s">
        <v>50</v>
      </c>
      <c r="Q793" s="69" t="s">
        <v>51</v>
      </c>
      <c r="R793" s="69"/>
      <c r="S793" s="48">
        <v>40396</v>
      </c>
      <c r="T793" s="48">
        <v>43340</v>
      </c>
      <c r="U793" s="69"/>
      <c r="V793" s="69"/>
      <c r="W793" s="69"/>
      <c r="X793" s="69"/>
      <c r="Y793" s="69" t="s">
        <v>4125</v>
      </c>
      <c r="Z793" s="52">
        <v>1200</v>
      </c>
      <c r="AA793" s="43" t="s">
        <v>52</v>
      </c>
      <c r="AB793" s="43" t="s">
        <v>53</v>
      </c>
      <c r="AC793" s="85">
        <v>292</v>
      </c>
      <c r="AD793" s="141">
        <v>0</v>
      </c>
      <c r="AE793" s="142">
        <v>10</v>
      </c>
      <c r="AF793" s="69" t="str">
        <f t="shared" si="110"/>
        <v>0 years 292 days</v>
      </c>
      <c r="AG793" s="69">
        <v>0</v>
      </c>
      <c r="AH793" s="69">
        <v>292</v>
      </c>
      <c r="AI793" s="69">
        <v>1200</v>
      </c>
      <c r="AJ793" s="67">
        <v>1200</v>
      </c>
      <c r="AK793" s="69">
        <v>2025</v>
      </c>
      <c r="AL793" s="61">
        <v>0</v>
      </c>
      <c r="AM793" s="143"/>
    </row>
    <row r="794" spans="1:39" x14ac:dyDescent="0.35">
      <c r="A794" s="69" t="s">
        <v>4124</v>
      </c>
      <c r="B794" s="41">
        <v>1141504403</v>
      </c>
      <c r="C794" s="41"/>
      <c r="D794" s="69"/>
      <c r="E794" s="41">
        <v>0</v>
      </c>
      <c r="F794" s="41" t="s">
        <v>2454</v>
      </c>
      <c r="G794" s="69" t="s">
        <v>2453</v>
      </c>
      <c r="H794" s="41">
        <v>9011000002</v>
      </c>
      <c r="I794" s="41" t="s">
        <v>47</v>
      </c>
      <c r="J794" s="41">
        <v>1202010202</v>
      </c>
      <c r="K794" s="41"/>
      <c r="L794" s="52" t="s">
        <v>2560</v>
      </c>
      <c r="M794" s="69" t="s">
        <v>49</v>
      </c>
      <c r="N794" s="69"/>
      <c r="O794" s="69">
        <v>1</v>
      </c>
      <c r="P794" s="69" t="s">
        <v>50</v>
      </c>
      <c r="Q794" s="69" t="s">
        <v>51</v>
      </c>
      <c r="R794" s="69"/>
      <c r="S794" s="48">
        <v>40424</v>
      </c>
      <c r="T794" s="48">
        <v>43340</v>
      </c>
      <c r="U794" s="69"/>
      <c r="V794" s="69"/>
      <c r="W794" s="69"/>
      <c r="X794" s="69"/>
      <c r="Y794" s="69" t="s">
        <v>4125</v>
      </c>
      <c r="Z794" s="52">
        <v>850</v>
      </c>
      <c r="AA794" s="43" t="s">
        <v>52</v>
      </c>
      <c r="AB794" s="43" t="s">
        <v>53</v>
      </c>
      <c r="AC794" s="85">
        <v>292</v>
      </c>
      <c r="AD794" s="141">
        <v>0</v>
      </c>
      <c r="AE794" s="142">
        <v>10</v>
      </c>
      <c r="AF794" s="69" t="str">
        <f t="shared" si="110"/>
        <v>0 years 292 days</v>
      </c>
      <c r="AG794" s="69">
        <v>0</v>
      </c>
      <c r="AH794" s="69">
        <v>292</v>
      </c>
      <c r="AI794" s="69">
        <v>850</v>
      </c>
      <c r="AJ794" s="67">
        <v>850</v>
      </c>
      <c r="AK794" s="69">
        <v>2025</v>
      </c>
      <c r="AL794" s="61">
        <v>0</v>
      </c>
      <c r="AM794" s="143"/>
    </row>
    <row r="795" spans="1:39" x14ac:dyDescent="0.35">
      <c r="A795" s="69" t="s">
        <v>4124</v>
      </c>
      <c r="B795" s="152">
        <v>1141504404</v>
      </c>
      <c r="C795" s="41"/>
      <c r="D795" s="69"/>
      <c r="E795" s="41">
        <v>0</v>
      </c>
      <c r="F795" s="41" t="s">
        <v>2454</v>
      </c>
      <c r="G795" s="69" t="s">
        <v>2453</v>
      </c>
      <c r="H795" s="41">
        <v>9011000002</v>
      </c>
      <c r="I795" s="41" t="s">
        <v>47</v>
      </c>
      <c r="J795" s="41">
        <v>1202010202</v>
      </c>
      <c r="K795" s="41"/>
      <c r="L795" s="52" t="s">
        <v>2562</v>
      </c>
      <c r="M795" s="69" t="s">
        <v>49</v>
      </c>
      <c r="N795" s="69"/>
      <c r="O795" s="69">
        <v>1</v>
      </c>
      <c r="P795" s="69" t="s">
        <v>50</v>
      </c>
      <c r="Q795" s="69" t="s">
        <v>51</v>
      </c>
      <c r="R795" s="69"/>
      <c r="S795" s="48">
        <v>40499</v>
      </c>
      <c r="T795" s="48">
        <v>43340</v>
      </c>
      <c r="U795" s="69"/>
      <c r="V795" s="69"/>
      <c r="W795" s="69"/>
      <c r="X795" s="69"/>
      <c r="Y795" s="69" t="s">
        <v>4125</v>
      </c>
      <c r="Z795" s="52">
        <v>550</v>
      </c>
      <c r="AA795" s="43" t="s">
        <v>52</v>
      </c>
      <c r="AB795" s="43" t="s">
        <v>53</v>
      </c>
      <c r="AC795" s="85">
        <v>292</v>
      </c>
      <c r="AD795" s="141">
        <v>0</v>
      </c>
      <c r="AE795" s="142">
        <v>10</v>
      </c>
      <c r="AF795" s="69" t="str">
        <f t="shared" si="110"/>
        <v>0 years 292 days</v>
      </c>
      <c r="AG795" s="69">
        <v>0</v>
      </c>
      <c r="AH795" s="69">
        <v>292</v>
      </c>
      <c r="AI795" s="69">
        <v>550</v>
      </c>
      <c r="AJ795" s="67">
        <v>550</v>
      </c>
      <c r="AK795" s="69">
        <v>2025</v>
      </c>
      <c r="AL795" s="61">
        <v>0</v>
      </c>
      <c r="AM795" s="143"/>
    </row>
    <row r="796" spans="1:39" x14ac:dyDescent="0.35">
      <c r="A796" s="69" t="s">
        <v>4124</v>
      </c>
      <c r="B796" s="41">
        <v>1141504405</v>
      </c>
      <c r="C796" s="41"/>
      <c r="D796" s="69"/>
      <c r="E796" s="41">
        <v>0</v>
      </c>
      <c r="F796" s="41" t="s">
        <v>2454</v>
      </c>
      <c r="G796" s="69" t="s">
        <v>2453</v>
      </c>
      <c r="H796" s="41">
        <v>9011000002</v>
      </c>
      <c r="I796" s="41" t="s">
        <v>47</v>
      </c>
      <c r="J796" s="41">
        <v>1202010202</v>
      </c>
      <c r="K796" s="41"/>
      <c r="L796" s="52" t="s">
        <v>2564</v>
      </c>
      <c r="M796" s="69" t="s">
        <v>49</v>
      </c>
      <c r="N796" s="69"/>
      <c r="O796" s="69">
        <v>1</v>
      </c>
      <c r="P796" s="69" t="s">
        <v>50</v>
      </c>
      <c r="Q796" s="69" t="s">
        <v>51</v>
      </c>
      <c r="R796" s="69"/>
      <c r="S796" s="48">
        <v>40746</v>
      </c>
      <c r="T796" s="48">
        <v>43340</v>
      </c>
      <c r="U796" s="69"/>
      <c r="V796" s="69"/>
      <c r="W796" s="69"/>
      <c r="X796" s="69"/>
      <c r="Y796" s="69" t="s">
        <v>4125</v>
      </c>
      <c r="Z796" s="52">
        <v>1800</v>
      </c>
      <c r="AA796" s="43" t="s">
        <v>52</v>
      </c>
      <c r="AB796" s="43" t="s">
        <v>53</v>
      </c>
      <c r="AC796" s="85">
        <v>329</v>
      </c>
      <c r="AD796" s="141">
        <v>0</v>
      </c>
      <c r="AE796" s="142">
        <v>11</v>
      </c>
      <c r="AF796" s="69" t="str">
        <f t="shared" si="110"/>
        <v>0 years 329 days</v>
      </c>
      <c r="AG796" s="69">
        <v>0</v>
      </c>
      <c r="AH796" s="69">
        <v>329</v>
      </c>
      <c r="AI796" s="69">
        <v>1800</v>
      </c>
      <c r="AJ796" s="67">
        <v>1800</v>
      </c>
      <c r="AK796" s="69">
        <v>2025</v>
      </c>
      <c r="AL796" s="61">
        <v>0</v>
      </c>
      <c r="AM796" s="143"/>
    </row>
    <row r="797" spans="1:39" x14ac:dyDescent="0.35">
      <c r="A797" s="69" t="s">
        <v>4124</v>
      </c>
      <c r="B797" s="41">
        <v>1141504467</v>
      </c>
      <c r="C797" s="41"/>
      <c r="D797" s="69"/>
      <c r="E797" s="41">
        <v>0</v>
      </c>
      <c r="F797" s="41" t="s">
        <v>2454</v>
      </c>
      <c r="G797" s="69" t="s">
        <v>2453</v>
      </c>
      <c r="H797" s="41">
        <v>9011000002</v>
      </c>
      <c r="I797" s="41" t="s">
        <v>47</v>
      </c>
      <c r="J797" s="41">
        <v>1202010202</v>
      </c>
      <c r="K797" s="41"/>
      <c r="L797" s="52" t="s">
        <v>2573</v>
      </c>
      <c r="M797" s="69" t="s">
        <v>49</v>
      </c>
      <c r="N797" s="69"/>
      <c r="O797" s="69">
        <v>1</v>
      </c>
      <c r="P797" s="69" t="s">
        <v>50</v>
      </c>
      <c r="Q797" s="69" t="s">
        <v>51</v>
      </c>
      <c r="R797" s="69"/>
      <c r="S797" s="48">
        <v>41985</v>
      </c>
      <c r="T797" s="48">
        <v>43340</v>
      </c>
      <c r="U797" s="69"/>
      <c r="V797" s="69"/>
      <c r="W797" s="69"/>
      <c r="X797" s="69"/>
      <c r="Y797" s="69" t="s">
        <v>4125</v>
      </c>
      <c r="Z797" s="52">
        <v>25000</v>
      </c>
      <c r="AA797" s="43" t="s">
        <v>52</v>
      </c>
      <c r="AB797" s="43" t="s">
        <v>53</v>
      </c>
      <c r="AC797" s="85">
        <v>1570</v>
      </c>
      <c r="AD797" s="141">
        <v>4</v>
      </c>
      <c r="AE797" s="142">
        <v>4</v>
      </c>
      <c r="AF797" s="69" t="str">
        <f t="shared" si="110"/>
        <v>4 years 110 days</v>
      </c>
      <c r="AG797" s="69">
        <v>4</v>
      </c>
      <c r="AH797" s="69">
        <v>110</v>
      </c>
      <c r="AI797" s="69">
        <v>25000</v>
      </c>
      <c r="AJ797" s="67">
        <v>25000</v>
      </c>
      <c r="AK797" s="69">
        <v>2025</v>
      </c>
      <c r="AL797" s="61">
        <v>0</v>
      </c>
      <c r="AM797" s="143"/>
    </row>
    <row r="798" spans="1:39" x14ac:dyDescent="0.35">
      <c r="A798" s="69" t="s">
        <v>4124</v>
      </c>
      <c r="B798" s="41">
        <v>1141504461</v>
      </c>
      <c r="C798" s="41"/>
      <c r="D798" s="69"/>
      <c r="E798" s="41">
        <v>0</v>
      </c>
      <c r="F798" s="41" t="s">
        <v>2454</v>
      </c>
      <c r="G798" s="69" t="s">
        <v>2453</v>
      </c>
      <c r="H798" s="41">
        <v>9011000002</v>
      </c>
      <c r="I798" s="41" t="s">
        <v>47</v>
      </c>
      <c r="J798" s="41">
        <v>1202010202</v>
      </c>
      <c r="K798" s="41"/>
      <c r="L798" s="52" t="s">
        <v>2556</v>
      </c>
      <c r="M798" s="69" t="s">
        <v>49</v>
      </c>
      <c r="N798" s="69"/>
      <c r="O798" s="69">
        <v>1</v>
      </c>
      <c r="P798" s="69" t="s">
        <v>50</v>
      </c>
      <c r="Q798" s="69" t="s">
        <v>51</v>
      </c>
      <c r="R798" s="69"/>
      <c r="S798" s="48">
        <v>42394</v>
      </c>
      <c r="T798" s="48">
        <v>43340</v>
      </c>
      <c r="U798" s="69"/>
      <c r="V798" s="69"/>
      <c r="W798" s="69"/>
      <c r="X798" s="69"/>
      <c r="Y798" s="69" t="s">
        <v>4125</v>
      </c>
      <c r="Z798" s="52">
        <v>7500</v>
      </c>
      <c r="AA798" s="43" t="s">
        <v>52</v>
      </c>
      <c r="AB798" s="43" t="s">
        <v>53</v>
      </c>
      <c r="AC798" s="85">
        <v>1971</v>
      </c>
      <c r="AD798" s="141">
        <v>5</v>
      </c>
      <c r="AE798" s="142">
        <v>5</v>
      </c>
      <c r="AF798" s="69" t="str">
        <f t="shared" si="110"/>
        <v>5 years 146 days</v>
      </c>
      <c r="AG798" s="69">
        <v>5</v>
      </c>
      <c r="AH798" s="69">
        <v>146</v>
      </c>
      <c r="AI798" s="69">
        <v>7500</v>
      </c>
      <c r="AJ798" s="67">
        <v>7500</v>
      </c>
      <c r="AK798" s="69">
        <v>2025</v>
      </c>
      <c r="AL798" s="61">
        <v>0</v>
      </c>
      <c r="AM798" s="143"/>
    </row>
    <row r="799" spans="1:39" x14ac:dyDescent="0.35">
      <c r="A799" s="69" t="s">
        <v>4124</v>
      </c>
      <c r="B799" s="41">
        <v>1141504432</v>
      </c>
      <c r="C799" s="41"/>
      <c r="D799" s="69"/>
      <c r="E799" s="41">
        <v>0</v>
      </c>
      <c r="F799" s="41" t="s">
        <v>2454</v>
      </c>
      <c r="G799" s="69" t="s">
        <v>2453</v>
      </c>
      <c r="H799" s="41">
        <v>9011000002</v>
      </c>
      <c r="I799" s="41" t="s">
        <v>47</v>
      </c>
      <c r="J799" s="41">
        <v>1202010202</v>
      </c>
      <c r="K799" s="41"/>
      <c r="L799" s="52" t="s">
        <v>2540</v>
      </c>
      <c r="M799" s="69" t="s">
        <v>49</v>
      </c>
      <c r="N799" s="69"/>
      <c r="O799" s="69">
        <v>10</v>
      </c>
      <c r="P799" s="69" t="s">
        <v>50</v>
      </c>
      <c r="Q799" s="69" t="s">
        <v>51</v>
      </c>
      <c r="R799" s="69"/>
      <c r="S799" s="48">
        <v>42409</v>
      </c>
      <c r="T799" s="48">
        <v>43340</v>
      </c>
      <c r="U799" s="69"/>
      <c r="V799" s="69"/>
      <c r="W799" s="69"/>
      <c r="X799" s="69"/>
      <c r="Y799" s="69" t="s">
        <v>4125</v>
      </c>
      <c r="Z799" s="52">
        <v>25000</v>
      </c>
      <c r="AA799" s="43" t="s">
        <v>52</v>
      </c>
      <c r="AB799" s="43" t="s">
        <v>53</v>
      </c>
      <c r="AC799" s="85">
        <v>1971</v>
      </c>
      <c r="AD799" s="141">
        <v>5</v>
      </c>
      <c r="AE799" s="142">
        <v>5</v>
      </c>
      <c r="AF799" s="69" t="str">
        <f t="shared" si="110"/>
        <v>5 years 146 days</v>
      </c>
      <c r="AG799" s="69">
        <v>5</v>
      </c>
      <c r="AH799" s="69">
        <v>146</v>
      </c>
      <c r="AI799" s="69">
        <v>25000</v>
      </c>
      <c r="AJ799" s="67">
        <v>25000</v>
      </c>
      <c r="AK799" s="69">
        <v>2025</v>
      </c>
      <c r="AL799" s="61">
        <v>0</v>
      </c>
      <c r="AM799" s="143"/>
    </row>
    <row r="800" spans="1:39" x14ac:dyDescent="0.35">
      <c r="A800" s="69" t="s">
        <v>4124</v>
      </c>
      <c r="B800" s="41">
        <v>1141504433</v>
      </c>
      <c r="C800" s="41"/>
      <c r="D800" s="69"/>
      <c r="E800" s="41">
        <v>0</v>
      </c>
      <c r="F800" s="41" t="s">
        <v>2454</v>
      </c>
      <c r="G800" s="69" t="s">
        <v>2453</v>
      </c>
      <c r="H800" s="41">
        <v>9011000002</v>
      </c>
      <c r="I800" s="41" t="s">
        <v>47</v>
      </c>
      <c r="J800" s="41">
        <v>1202010202</v>
      </c>
      <c r="K800" s="41"/>
      <c r="L800" s="52" t="s">
        <v>2542</v>
      </c>
      <c r="M800" s="69" t="s">
        <v>49</v>
      </c>
      <c r="N800" s="69"/>
      <c r="O800" s="69">
        <v>1</v>
      </c>
      <c r="P800" s="69" t="s">
        <v>50</v>
      </c>
      <c r="Q800" s="69" t="s">
        <v>51</v>
      </c>
      <c r="R800" s="69"/>
      <c r="S800" s="48">
        <v>42440</v>
      </c>
      <c r="T800" s="48">
        <v>43340</v>
      </c>
      <c r="U800" s="69"/>
      <c r="V800" s="69"/>
      <c r="W800" s="69"/>
      <c r="X800" s="69"/>
      <c r="Y800" s="69" t="s">
        <v>4125</v>
      </c>
      <c r="Z800" s="52">
        <v>15000</v>
      </c>
      <c r="AA800" s="43" t="s">
        <v>52</v>
      </c>
      <c r="AB800" s="43" t="s">
        <v>53</v>
      </c>
      <c r="AC800" s="85">
        <v>2008</v>
      </c>
      <c r="AD800" s="141">
        <v>5</v>
      </c>
      <c r="AE800" s="142">
        <v>6</v>
      </c>
      <c r="AF800" s="69" t="str">
        <f t="shared" si="110"/>
        <v>5 years 183 days</v>
      </c>
      <c r="AG800" s="69">
        <v>5</v>
      </c>
      <c r="AH800" s="69">
        <v>183</v>
      </c>
      <c r="AI800" s="69">
        <v>15000</v>
      </c>
      <c r="AJ800" s="67">
        <v>15000</v>
      </c>
      <c r="AK800" s="69">
        <v>2025</v>
      </c>
      <c r="AL800" s="61">
        <v>0</v>
      </c>
      <c r="AM800" s="143"/>
    </row>
    <row r="801" spans="1:39" x14ac:dyDescent="0.35">
      <c r="A801" s="69" t="s">
        <v>4124</v>
      </c>
      <c r="B801" s="41">
        <v>1141504468</v>
      </c>
      <c r="C801" s="41"/>
      <c r="D801" s="69"/>
      <c r="E801" s="41">
        <v>0</v>
      </c>
      <c r="F801" s="41" t="s">
        <v>2454</v>
      </c>
      <c r="G801" s="69" t="s">
        <v>2453</v>
      </c>
      <c r="H801" s="41">
        <v>9011000002</v>
      </c>
      <c r="I801" s="41" t="s">
        <v>47</v>
      </c>
      <c r="J801" s="41">
        <v>1202010202</v>
      </c>
      <c r="K801" s="41"/>
      <c r="L801" s="52" t="s">
        <v>2575</v>
      </c>
      <c r="M801" s="69" t="s">
        <v>49</v>
      </c>
      <c r="N801" s="69"/>
      <c r="O801" s="69">
        <v>1</v>
      </c>
      <c r="P801" s="69" t="s">
        <v>50</v>
      </c>
      <c r="Q801" s="69" t="s">
        <v>51</v>
      </c>
      <c r="R801" s="69"/>
      <c r="S801" s="48">
        <v>42460</v>
      </c>
      <c r="T801" s="48">
        <v>43340</v>
      </c>
      <c r="U801" s="69"/>
      <c r="V801" s="69"/>
      <c r="W801" s="69"/>
      <c r="X801" s="69"/>
      <c r="Y801" s="69" t="s">
        <v>4125</v>
      </c>
      <c r="Z801" s="52">
        <v>12000</v>
      </c>
      <c r="AA801" s="43" t="s">
        <v>52</v>
      </c>
      <c r="AB801" s="43" t="s">
        <v>53</v>
      </c>
      <c r="AC801" s="85">
        <v>2044</v>
      </c>
      <c r="AD801" s="141">
        <v>5</v>
      </c>
      <c r="AE801" s="142">
        <v>7</v>
      </c>
      <c r="AF801" s="69" t="str">
        <f t="shared" si="110"/>
        <v>5 years 219 days</v>
      </c>
      <c r="AG801" s="69">
        <v>5</v>
      </c>
      <c r="AH801" s="69">
        <v>219</v>
      </c>
      <c r="AI801" s="69">
        <v>12000</v>
      </c>
      <c r="AJ801" s="67">
        <v>12000</v>
      </c>
      <c r="AK801" s="69">
        <v>2025</v>
      </c>
      <c r="AL801" s="61">
        <v>0</v>
      </c>
      <c r="AM801" s="143"/>
    </row>
    <row r="802" spans="1:39" x14ac:dyDescent="0.35">
      <c r="A802" s="69" t="s">
        <v>4124</v>
      </c>
      <c r="B802" s="41">
        <v>1141504469</v>
      </c>
      <c r="C802" s="41"/>
      <c r="D802" s="69"/>
      <c r="E802" s="41">
        <v>0</v>
      </c>
      <c r="F802" s="41" t="s">
        <v>2454</v>
      </c>
      <c r="G802" s="69" t="s">
        <v>2453</v>
      </c>
      <c r="H802" s="41">
        <v>9011000002</v>
      </c>
      <c r="I802" s="41" t="s">
        <v>47</v>
      </c>
      <c r="J802" s="41">
        <v>1202010202</v>
      </c>
      <c r="K802" s="41"/>
      <c r="L802" s="52" t="s">
        <v>2577</v>
      </c>
      <c r="M802" s="69" t="s">
        <v>49</v>
      </c>
      <c r="N802" s="69"/>
      <c r="O802" s="69">
        <v>1</v>
      </c>
      <c r="P802" s="69" t="s">
        <v>50</v>
      </c>
      <c r="Q802" s="69" t="s">
        <v>51</v>
      </c>
      <c r="R802" s="69"/>
      <c r="S802" s="48">
        <v>43290</v>
      </c>
      <c r="T802" s="48">
        <v>43340</v>
      </c>
      <c r="U802" s="69"/>
      <c r="V802" s="69"/>
      <c r="W802" s="69"/>
      <c r="X802" s="69"/>
      <c r="Y802" s="69" t="s">
        <v>4125</v>
      </c>
      <c r="Z802" s="52">
        <v>3600</v>
      </c>
      <c r="AA802" s="43" t="s">
        <v>52</v>
      </c>
      <c r="AB802" s="43" t="s">
        <v>53</v>
      </c>
      <c r="AC802" s="85">
        <v>2884</v>
      </c>
      <c r="AD802" s="141">
        <v>7</v>
      </c>
      <c r="AE802" s="142">
        <v>11</v>
      </c>
      <c r="AF802" s="69" t="str">
        <f t="shared" si="110"/>
        <v>6 years 128 days</v>
      </c>
      <c r="AG802" s="69">
        <v>6</v>
      </c>
      <c r="AH802" s="69">
        <v>128</v>
      </c>
      <c r="AI802" s="69">
        <v>3600</v>
      </c>
      <c r="AJ802" s="67">
        <v>3600</v>
      </c>
      <c r="AK802" s="69">
        <v>2025</v>
      </c>
      <c r="AL802" s="61">
        <v>0</v>
      </c>
      <c r="AM802" s="143"/>
    </row>
    <row r="803" spans="1:39" x14ac:dyDescent="0.35">
      <c r="A803" s="69" t="s">
        <v>4124</v>
      </c>
      <c r="B803" s="41">
        <v>1141504470</v>
      </c>
      <c r="C803" s="41"/>
      <c r="D803" s="69"/>
      <c r="E803" s="41">
        <v>0</v>
      </c>
      <c r="F803" s="41" t="s">
        <v>2454</v>
      </c>
      <c r="G803" s="69" t="s">
        <v>2453</v>
      </c>
      <c r="H803" s="41">
        <v>9011000002</v>
      </c>
      <c r="I803" s="41" t="s">
        <v>47</v>
      </c>
      <c r="J803" s="41">
        <v>1202010202</v>
      </c>
      <c r="K803" s="41"/>
      <c r="L803" s="52" t="s">
        <v>2579</v>
      </c>
      <c r="M803" s="69" t="s">
        <v>49</v>
      </c>
      <c r="N803" s="69"/>
      <c r="O803" s="69">
        <v>1</v>
      </c>
      <c r="P803" s="69" t="s">
        <v>50</v>
      </c>
      <c r="Q803" s="69" t="s">
        <v>51</v>
      </c>
      <c r="R803" s="69"/>
      <c r="S803" s="48">
        <v>43290</v>
      </c>
      <c r="T803" s="48">
        <v>43340</v>
      </c>
      <c r="U803" s="69"/>
      <c r="V803" s="69"/>
      <c r="W803" s="69"/>
      <c r="X803" s="69"/>
      <c r="Y803" s="69" t="s">
        <v>4125</v>
      </c>
      <c r="Z803" s="52">
        <v>4200</v>
      </c>
      <c r="AA803" s="43" t="s">
        <v>52</v>
      </c>
      <c r="AB803" s="43" t="s">
        <v>53</v>
      </c>
      <c r="AC803" s="85">
        <v>2884</v>
      </c>
      <c r="AD803" s="141">
        <v>7</v>
      </c>
      <c r="AE803" s="142">
        <v>11</v>
      </c>
      <c r="AF803" s="69" t="str">
        <f t="shared" si="110"/>
        <v>6 years 128 days</v>
      </c>
      <c r="AG803" s="69">
        <v>6</v>
      </c>
      <c r="AH803" s="69">
        <v>128</v>
      </c>
      <c r="AI803" s="69">
        <v>4200</v>
      </c>
      <c r="AJ803" s="67">
        <v>4200</v>
      </c>
      <c r="AK803" s="69">
        <v>2025</v>
      </c>
      <c r="AL803" s="61">
        <v>0</v>
      </c>
      <c r="AM803" s="143"/>
    </row>
    <row r="804" spans="1:39" x14ac:dyDescent="0.35">
      <c r="A804" s="69" t="s">
        <v>4124</v>
      </c>
      <c r="B804" s="41">
        <v>1141400789</v>
      </c>
      <c r="C804" s="41"/>
      <c r="D804" s="69"/>
      <c r="E804" s="41">
        <v>0</v>
      </c>
      <c r="F804" s="41" t="s">
        <v>2454</v>
      </c>
      <c r="G804" s="69" t="s">
        <v>2453</v>
      </c>
      <c r="H804" s="41">
        <v>9011000002</v>
      </c>
      <c r="I804" s="41" t="s">
        <v>47</v>
      </c>
      <c r="J804" s="41">
        <v>1202010202</v>
      </c>
      <c r="K804" s="41"/>
      <c r="L804" s="52" t="s">
        <v>2487</v>
      </c>
      <c r="M804" s="69" t="s">
        <v>49</v>
      </c>
      <c r="N804" s="69"/>
      <c r="O804" s="69">
        <v>1</v>
      </c>
      <c r="P804" s="69" t="s">
        <v>50</v>
      </c>
      <c r="Q804" s="69" t="s">
        <v>51</v>
      </c>
      <c r="R804" s="69"/>
      <c r="S804" s="48">
        <v>41170</v>
      </c>
      <c r="T804" s="48">
        <v>43340</v>
      </c>
      <c r="U804" s="69"/>
      <c r="V804" s="69"/>
      <c r="W804" s="69"/>
      <c r="X804" s="69"/>
      <c r="Y804" s="69" t="s">
        <v>4125</v>
      </c>
      <c r="Z804" s="52">
        <v>1000</v>
      </c>
      <c r="AA804" s="43" t="s">
        <v>52</v>
      </c>
      <c r="AB804" s="43" t="s">
        <v>53</v>
      </c>
      <c r="AC804" s="85">
        <v>767</v>
      </c>
      <c r="AD804" s="141">
        <v>2</v>
      </c>
      <c r="AE804" s="142">
        <v>1</v>
      </c>
      <c r="AF804" s="69" t="str">
        <f t="shared" si="110"/>
        <v>2 years 37 days</v>
      </c>
      <c r="AG804" s="69">
        <v>2</v>
      </c>
      <c r="AH804" s="69">
        <v>37</v>
      </c>
      <c r="AI804" s="69">
        <v>1000</v>
      </c>
      <c r="AJ804" s="67">
        <v>1000</v>
      </c>
      <c r="AK804" s="69">
        <v>2025</v>
      </c>
      <c r="AL804" s="61">
        <v>0</v>
      </c>
      <c r="AM804" s="143"/>
    </row>
    <row r="805" spans="1:39" x14ac:dyDescent="0.35">
      <c r="A805" s="69" t="s">
        <v>4124</v>
      </c>
      <c r="B805" s="41">
        <v>1141401501</v>
      </c>
      <c r="C805" s="41"/>
      <c r="D805" s="69"/>
      <c r="E805" s="41">
        <v>0</v>
      </c>
      <c r="F805" s="41" t="s">
        <v>2454</v>
      </c>
      <c r="G805" s="69" t="s">
        <v>2453</v>
      </c>
      <c r="H805" s="41">
        <v>9011000002</v>
      </c>
      <c r="I805" s="41" t="s">
        <v>47</v>
      </c>
      <c r="J805" s="41">
        <v>1202010202</v>
      </c>
      <c r="K805" s="41"/>
      <c r="L805" s="52" t="s">
        <v>2489</v>
      </c>
      <c r="M805" s="69" t="s">
        <v>2490</v>
      </c>
      <c r="N805" s="69"/>
      <c r="O805" s="69">
        <v>1</v>
      </c>
      <c r="P805" s="69" t="s">
        <v>50</v>
      </c>
      <c r="Q805" s="69" t="s">
        <v>51</v>
      </c>
      <c r="R805" s="69"/>
      <c r="S805" s="48">
        <v>41905</v>
      </c>
      <c r="T805" s="48">
        <v>43340</v>
      </c>
      <c r="U805" s="69"/>
      <c r="V805" s="69"/>
      <c r="W805" s="69"/>
      <c r="X805" s="69"/>
      <c r="Y805" s="69" t="s">
        <v>4125</v>
      </c>
      <c r="Z805" s="52">
        <v>60000</v>
      </c>
      <c r="AA805" s="43" t="s">
        <v>52</v>
      </c>
      <c r="AB805" s="43" t="s">
        <v>53</v>
      </c>
      <c r="AC805" s="85">
        <v>1497</v>
      </c>
      <c r="AD805" s="141">
        <v>4</v>
      </c>
      <c r="AE805" s="142">
        <v>1</v>
      </c>
      <c r="AF805" s="69" t="str">
        <f t="shared" si="110"/>
        <v>4 years 37 days</v>
      </c>
      <c r="AG805" s="69">
        <v>4</v>
      </c>
      <c r="AH805" s="69">
        <v>37</v>
      </c>
      <c r="AI805" s="69">
        <v>60000</v>
      </c>
      <c r="AJ805" s="67">
        <v>60000</v>
      </c>
      <c r="AK805" s="69">
        <v>2025</v>
      </c>
      <c r="AL805" s="61">
        <v>0</v>
      </c>
      <c r="AM805" s="143"/>
    </row>
    <row r="806" spans="1:39" x14ac:dyDescent="0.35">
      <c r="A806" s="69" t="s">
        <v>4124</v>
      </c>
      <c r="B806" s="41">
        <v>1141504471</v>
      </c>
      <c r="C806" s="41"/>
      <c r="D806" s="69"/>
      <c r="E806" s="41">
        <v>0</v>
      </c>
      <c r="F806" s="41" t="s">
        <v>2454</v>
      </c>
      <c r="G806" s="69" t="s">
        <v>2453</v>
      </c>
      <c r="H806" s="41">
        <v>9011000002</v>
      </c>
      <c r="I806" s="41" t="s">
        <v>47</v>
      </c>
      <c r="J806" s="41">
        <v>1202010202</v>
      </c>
      <c r="K806" s="41"/>
      <c r="L806" s="52" t="s">
        <v>2581</v>
      </c>
      <c r="M806" s="69" t="s">
        <v>2582</v>
      </c>
      <c r="N806" s="69"/>
      <c r="O806" s="69">
        <v>1</v>
      </c>
      <c r="P806" s="69" t="s">
        <v>50</v>
      </c>
      <c r="Q806" s="69" t="s">
        <v>51</v>
      </c>
      <c r="R806" s="69"/>
      <c r="S806" s="48">
        <v>43373</v>
      </c>
      <c r="T806" s="48">
        <v>43373</v>
      </c>
      <c r="U806" s="69"/>
      <c r="V806" s="69"/>
      <c r="W806" s="69"/>
      <c r="X806" s="69"/>
      <c r="Y806" s="69" t="s">
        <v>4125</v>
      </c>
      <c r="Z806" s="52">
        <v>13500</v>
      </c>
      <c r="AA806" s="43" t="s">
        <v>52</v>
      </c>
      <c r="AB806" s="43" t="s">
        <v>53</v>
      </c>
      <c r="AC806" s="85">
        <v>1825</v>
      </c>
      <c r="AD806" s="141">
        <v>5</v>
      </c>
      <c r="AE806" s="142">
        <v>0</v>
      </c>
      <c r="AF806" s="69" t="str">
        <f t="shared" si="110"/>
        <v>5 years 0 days</v>
      </c>
      <c r="AG806" s="69">
        <v>5</v>
      </c>
      <c r="AH806" s="69">
        <v>0</v>
      </c>
      <c r="AI806" s="69">
        <v>13500</v>
      </c>
      <c r="AJ806" s="67">
        <v>13500</v>
      </c>
      <c r="AK806" s="69">
        <v>2025</v>
      </c>
      <c r="AL806" s="61">
        <v>0</v>
      </c>
      <c r="AM806" s="143"/>
    </row>
    <row r="807" spans="1:39" x14ac:dyDescent="0.35">
      <c r="A807" s="69" t="s">
        <v>4124</v>
      </c>
      <c r="B807" s="41">
        <v>1141402703</v>
      </c>
      <c r="C807" s="41"/>
      <c r="D807" s="69"/>
      <c r="E807" s="41">
        <v>0</v>
      </c>
      <c r="F807" s="41" t="s">
        <v>2454</v>
      </c>
      <c r="G807" s="69" t="s">
        <v>2453</v>
      </c>
      <c r="H807" s="41">
        <v>9011000002</v>
      </c>
      <c r="I807" s="41" t="s">
        <v>47</v>
      </c>
      <c r="J807" s="41">
        <v>1202010202</v>
      </c>
      <c r="K807" s="41"/>
      <c r="L807" s="52" t="s">
        <v>2492</v>
      </c>
      <c r="M807" s="69" t="s">
        <v>2493</v>
      </c>
      <c r="N807" s="69"/>
      <c r="O807" s="69">
        <v>1</v>
      </c>
      <c r="P807" s="69" t="s">
        <v>50</v>
      </c>
      <c r="Q807" s="69" t="s">
        <v>51</v>
      </c>
      <c r="R807" s="69"/>
      <c r="S807" s="48">
        <v>43383</v>
      </c>
      <c r="T807" s="48">
        <v>43383</v>
      </c>
      <c r="U807" s="69"/>
      <c r="V807" s="69"/>
      <c r="W807" s="69"/>
      <c r="X807" s="69"/>
      <c r="Y807" s="69" t="s">
        <v>4125</v>
      </c>
      <c r="Z807" s="52">
        <v>51420</v>
      </c>
      <c r="AA807" s="43" t="s">
        <v>52</v>
      </c>
      <c r="AB807" s="43" t="s">
        <v>53</v>
      </c>
      <c r="AC807" s="85">
        <v>1825</v>
      </c>
      <c r="AD807" s="141">
        <v>5</v>
      </c>
      <c r="AE807" s="142">
        <v>0</v>
      </c>
      <c r="AF807" s="69" t="str">
        <f t="shared" si="110"/>
        <v>5 years 0 days</v>
      </c>
      <c r="AG807" s="69">
        <v>5</v>
      </c>
      <c r="AH807" s="69">
        <v>0</v>
      </c>
      <c r="AI807" s="69">
        <v>51420</v>
      </c>
      <c r="AJ807" s="67">
        <v>51420</v>
      </c>
      <c r="AK807" s="69">
        <v>2025</v>
      </c>
      <c r="AL807" s="61">
        <v>0</v>
      </c>
      <c r="AM807" s="143"/>
    </row>
    <row r="808" spans="1:39" x14ac:dyDescent="0.35">
      <c r="A808" s="69" t="s">
        <v>4124</v>
      </c>
      <c r="B808" s="41">
        <v>1141504396</v>
      </c>
      <c r="C808" s="41"/>
      <c r="D808" s="69"/>
      <c r="E808" s="41">
        <v>0</v>
      </c>
      <c r="F808" s="41" t="s">
        <v>2454</v>
      </c>
      <c r="G808" s="69" t="s">
        <v>2453</v>
      </c>
      <c r="H808" s="41">
        <v>9011000002</v>
      </c>
      <c r="I808" s="41" t="s">
        <v>47</v>
      </c>
      <c r="J808" s="41">
        <v>1202010202</v>
      </c>
      <c r="K808" s="41"/>
      <c r="L808" s="52" t="s">
        <v>2544</v>
      </c>
      <c r="M808" s="69" t="s">
        <v>2545</v>
      </c>
      <c r="N808" s="69"/>
      <c r="O808" s="69">
        <v>1</v>
      </c>
      <c r="P808" s="69" t="s">
        <v>50</v>
      </c>
      <c r="Q808" s="69" t="s">
        <v>51</v>
      </c>
      <c r="R808" s="69"/>
      <c r="S808" s="48">
        <v>43862</v>
      </c>
      <c r="T808" s="48">
        <v>43862</v>
      </c>
      <c r="U808" s="69"/>
      <c r="V808" s="69"/>
      <c r="W808" s="69"/>
      <c r="X808" s="69"/>
      <c r="Y808" s="69" t="s">
        <v>4127</v>
      </c>
      <c r="Z808" s="52">
        <v>13000</v>
      </c>
      <c r="AA808" s="43" t="s">
        <v>52</v>
      </c>
      <c r="AB808" s="43" t="s">
        <v>53</v>
      </c>
      <c r="AC808" s="85">
        <v>1825</v>
      </c>
      <c r="AD808" s="141">
        <v>5</v>
      </c>
      <c r="AE808" s="142">
        <v>0</v>
      </c>
      <c r="AF808" s="69" t="str">
        <f t="shared" si="110"/>
        <v>4 years 336 days</v>
      </c>
      <c r="AG808" s="69">
        <v>4</v>
      </c>
      <c r="AH808" s="69">
        <v>336</v>
      </c>
      <c r="AI808" s="69">
        <v>13000</v>
      </c>
      <c r="AJ808" s="67">
        <v>12793</v>
      </c>
      <c r="AK808" s="69">
        <v>2025</v>
      </c>
      <c r="AL808" s="61">
        <v>207</v>
      </c>
      <c r="AM808" s="143"/>
    </row>
    <row r="809" spans="1:39" x14ac:dyDescent="0.35">
      <c r="A809" s="69" t="s">
        <v>4124</v>
      </c>
      <c r="B809" s="41">
        <v>1141504407</v>
      </c>
      <c r="C809" s="41"/>
      <c r="D809" s="69"/>
      <c r="E809" s="41">
        <v>0</v>
      </c>
      <c r="F809" s="41" t="s">
        <v>2454</v>
      </c>
      <c r="G809" s="69" t="s">
        <v>2453</v>
      </c>
      <c r="H809" s="41">
        <v>9011000002</v>
      </c>
      <c r="I809" s="41" t="s">
        <v>47</v>
      </c>
      <c r="J809" s="41">
        <v>1202010202</v>
      </c>
      <c r="K809" s="41"/>
      <c r="L809" s="52" t="s">
        <v>2566</v>
      </c>
      <c r="M809" s="69" t="s">
        <v>2567</v>
      </c>
      <c r="N809" s="69"/>
      <c r="O809" s="69">
        <v>1</v>
      </c>
      <c r="P809" s="69" t="s">
        <v>50</v>
      </c>
      <c r="Q809" s="69" t="s">
        <v>51</v>
      </c>
      <c r="R809" s="69"/>
      <c r="S809" s="48">
        <v>43973</v>
      </c>
      <c r="T809" s="48">
        <v>43973</v>
      </c>
      <c r="U809" s="69"/>
      <c r="V809" s="69"/>
      <c r="W809" s="69"/>
      <c r="X809" s="69"/>
      <c r="Y809" s="69" t="s">
        <v>4127</v>
      </c>
      <c r="Z809" s="52">
        <v>5000</v>
      </c>
      <c r="AA809" s="43" t="s">
        <v>52</v>
      </c>
      <c r="AB809" s="43" t="s">
        <v>53</v>
      </c>
      <c r="AC809" s="85">
        <v>1825</v>
      </c>
      <c r="AD809" s="141">
        <v>5</v>
      </c>
      <c r="AE809" s="142">
        <v>0</v>
      </c>
      <c r="AF809" s="69" t="str">
        <f t="shared" si="110"/>
        <v>4 years 225 days</v>
      </c>
      <c r="AG809" s="69">
        <v>4</v>
      </c>
      <c r="AH809" s="69">
        <v>225</v>
      </c>
      <c r="AI809" s="69">
        <v>5000</v>
      </c>
      <c r="AJ809" s="67">
        <v>4616</v>
      </c>
      <c r="AK809" s="69">
        <v>2025</v>
      </c>
      <c r="AL809" s="61">
        <v>384</v>
      </c>
      <c r="AM809" s="143"/>
    </row>
    <row r="810" spans="1:39" x14ac:dyDescent="0.35">
      <c r="A810" s="69" t="s">
        <v>4124</v>
      </c>
      <c r="B810" s="41">
        <v>1141403362</v>
      </c>
      <c r="C810" s="41"/>
      <c r="D810" s="69"/>
      <c r="E810" s="41">
        <v>0</v>
      </c>
      <c r="F810" s="41" t="s">
        <v>2454</v>
      </c>
      <c r="G810" s="69" t="s">
        <v>2453</v>
      </c>
      <c r="H810" s="41">
        <v>9011000002</v>
      </c>
      <c r="I810" s="41" t="s">
        <v>47</v>
      </c>
      <c r="J810" s="41">
        <v>1202010202</v>
      </c>
      <c r="K810" s="41"/>
      <c r="L810" s="52" t="s">
        <v>2495</v>
      </c>
      <c r="M810" s="69" t="s">
        <v>2496</v>
      </c>
      <c r="N810" s="69"/>
      <c r="O810" s="69">
        <v>3</v>
      </c>
      <c r="P810" s="69" t="s">
        <v>50</v>
      </c>
      <c r="Q810" s="69" t="s">
        <v>51</v>
      </c>
      <c r="R810" s="69"/>
      <c r="S810" s="48">
        <v>44046</v>
      </c>
      <c r="T810" s="48">
        <v>44046</v>
      </c>
      <c r="U810" s="69"/>
      <c r="V810" s="69"/>
      <c r="W810" s="69"/>
      <c r="X810" s="69"/>
      <c r="Y810" s="69" t="s">
        <v>4127</v>
      </c>
      <c r="Z810" s="52">
        <v>39150</v>
      </c>
      <c r="AA810" s="43" t="s">
        <v>52</v>
      </c>
      <c r="AB810" s="43" t="s">
        <v>53</v>
      </c>
      <c r="AC810" s="85">
        <v>1825</v>
      </c>
      <c r="AD810" s="141">
        <v>5</v>
      </c>
      <c r="AE810" s="142">
        <v>0</v>
      </c>
      <c r="AF810" s="69" t="str">
        <f t="shared" si="110"/>
        <v>4 years 152 days</v>
      </c>
      <c r="AG810" s="69">
        <v>4</v>
      </c>
      <c r="AH810" s="69">
        <v>152</v>
      </c>
      <c r="AI810" s="69">
        <v>39150</v>
      </c>
      <c r="AJ810" s="67">
        <v>34581</v>
      </c>
      <c r="AK810" s="69">
        <v>2025</v>
      </c>
      <c r="AL810" s="61">
        <v>3882.534246575342</v>
      </c>
      <c r="AM810" s="143"/>
    </row>
    <row r="811" spans="1:39" x14ac:dyDescent="0.35">
      <c r="A811" s="69" t="s">
        <v>4124</v>
      </c>
      <c r="B811" s="41">
        <v>1141403387</v>
      </c>
      <c r="C811" s="41"/>
      <c r="D811" s="69"/>
      <c r="E811" s="41">
        <v>0</v>
      </c>
      <c r="F811" s="41" t="s">
        <v>2454</v>
      </c>
      <c r="G811" s="69" t="s">
        <v>2453</v>
      </c>
      <c r="H811" s="41">
        <v>9011000002</v>
      </c>
      <c r="I811" s="41" t="s">
        <v>47</v>
      </c>
      <c r="J811" s="41">
        <v>1202010202</v>
      </c>
      <c r="K811" s="41"/>
      <c r="L811" s="52" t="s">
        <v>2498</v>
      </c>
      <c r="M811" s="69" t="s">
        <v>2499</v>
      </c>
      <c r="N811" s="69"/>
      <c r="O811" s="69">
        <v>8</v>
      </c>
      <c r="P811" s="69" t="s">
        <v>50</v>
      </c>
      <c r="Q811" s="69" t="s">
        <v>51</v>
      </c>
      <c r="R811" s="69"/>
      <c r="S811" s="48">
        <v>44094</v>
      </c>
      <c r="T811" s="48">
        <v>44094</v>
      </c>
      <c r="U811" s="69"/>
      <c r="V811" s="69"/>
      <c r="W811" s="69"/>
      <c r="X811" s="69"/>
      <c r="Y811" s="69" t="s">
        <v>4127</v>
      </c>
      <c r="Z811" s="52">
        <v>20600</v>
      </c>
      <c r="AA811" s="43" t="s">
        <v>52</v>
      </c>
      <c r="AB811" s="43" t="s">
        <v>53</v>
      </c>
      <c r="AC811" s="85">
        <v>1825</v>
      </c>
      <c r="AD811" s="141">
        <v>5</v>
      </c>
      <c r="AE811" s="142">
        <v>0</v>
      </c>
      <c r="AF811" s="69" t="str">
        <f t="shared" si="110"/>
        <v>4 years 104 days</v>
      </c>
      <c r="AG811" s="69">
        <v>4</v>
      </c>
      <c r="AH811" s="69">
        <v>104</v>
      </c>
      <c r="AI811" s="69">
        <v>20600</v>
      </c>
      <c r="AJ811" s="67">
        <v>17654</v>
      </c>
      <c r="AK811" s="69">
        <v>2025</v>
      </c>
      <c r="AL811" s="61">
        <v>2042.9863013698632</v>
      </c>
      <c r="AM811" s="143"/>
    </row>
    <row r="812" spans="1:39" x14ac:dyDescent="0.35">
      <c r="A812" s="69" t="s">
        <v>4124</v>
      </c>
      <c r="B812" s="41">
        <v>1141504401</v>
      </c>
      <c r="C812" s="41"/>
      <c r="D812" s="69"/>
      <c r="E812" s="41">
        <v>0</v>
      </c>
      <c r="F812" s="41" t="s">
        <v>2454</v>
      </c>
      <c r="G812" s="69" t="s">
        <v>2453</v>
      </c>
      <c r="H812" s="41">
        <v>9011000002</v>
      </c>
      <c r="I812" s="41" t="s">
        <v>47</v>
      </c>
      <c r="J812" s="41">
        <v>1202010202</v>
      </c>
      <c r="K812" s="41"/>
      <c r="L812" s="52" t="s">
        <v>2553</v>
      </c>
      <c r="M812" s="69" t="s">
        <v>2554</v>
      </c>
      <c r="N812" s="69"/>
      <c r="O812" s="69">
        <v>4</v>
      </c>
      <c r="P812" s="69" t="s">
        <v>50</v>
      </c>
      <c r="Q812" s="69" t="s">
        <v>51</v>
      </c>
      <c r="R812" s="69"/>
      <c r="S812" s="48">
        <v>44116</v>
      </c>
      <c r="T812" s="48">
        <v>44116</v>
      </c>
      <c r="U812" s="69"/>
      <c r="V812" s="69"/>
      <c r="W812" s="69"/>
      <c r="X812" s="69"/>
      <c r="Y812" s="69" t="s">
        <v>4127</v>
      </c>
      <c r="Z812" s="52">
        <v>8000</v>
      </c>
      <c r="AA812" s="43" t="s">
        <v>52</v>
      </c>
      <c r="AB812" s="43" t="s">
        <v>53</v>
      </c>
      <c r="AC812" s="85">
        <v>1825</v>
      </c>
      <c r="AD812" s="141">
        <v>5</v>
      </c>
      <c r="AE812" s="142">
        <v>0</v>
      </c>
      <c r="AF812" s="69" t="str">
        <f t="shared" si="110"/>
        <v>4 years 82 days</v>
      </c>
      <c r="AG812" s="69">
        <v>4</v>
      </c>
      <c r="AH812" s="69">
        <v>82</v>
      </c>
      <c r="AI812" s="69">
        <v>8000</v>
      </c>
      <c r="AJ812" s="67">
        <v>6759</v>
      </c>
      <c r="AK812" s="69">
        <v>2025</v>
      </c>
      <c r="AL812" s="61">
        <v>793.8767123287671</v>
      </c>
      <c r="AM812" s="143"/>
    </row>
    <row r="813" spans="1:39" x14ac:dyDescent="0.35">
      <c r="A813" s="69" t="s">
        <v>4124</v>
      </c>
      <c r="B813" s="41">
        <v>1141504400</v>
      </c>
      <c r="C813" s="41"/>
      <c r="D813" s="69"/>
      <c r="E813" s="41">
        <v>0</v>
      </c>
      <c r="F813" s="41" t="s">
        <v>2454</v>
      </c>
      <c r="G813" s="69" t="s">
        <v>2453</v>
      </c>
      <c r="H813" s="41">
        <v>9011000002</v>
      </c>
      <c r="I813" s="41" t="s">
        <v>47</v>
      </c>
      <c r="J813" s="41">
        <v>1202010202</v>
      </c>
      <c r="K813" s="41"/>
      <c r="L813" s="52" t="s">
        <v>2550</v>
      </c>
      <c r="M813" s="69" t="s">
        <v>2551</v>
      </c>
      <c r="N813" s="69"/>
      <c r="O813" s="69">
        <v>2</v>
      </c>
      <c r="P813" s="69" t="s">
        <v>50</v>
      </c>
      <c r="Q813" s="69" t="s">
        <v>51</v>
      </c>
      <c r="R813" s="69"/>
      <c r="S813" s="48">
        <v>44114</v>
      </c>
      <c r="T813" s="48">
        <v>44114</v>
      </c>
      <c r="U813" s="69"/>
      <c r="V813" s="69"/>
      <c r="W813" s="69"/>
      <c r="X813" s="69"/>
      <c r="Y813" s="69" t="s">
        <v>4127</v>
      </c>
      <c r="Z813" s="52">
        <v>9000</v>
      </c>
      <c r="AA813" s="43" t="s">
        <v>52</v>
      </c>
      <c r="AB813" s="43" t="s">
        <v>53</v>
      </c>
      <c r="AC813" s="85">
        <v>1825</v>
      </c>
      <c r="AD813" s="141">
        <v>5</v>
      </c>
      <c r="AE813" s="142">
        <v>0</v>
      </c>
      <c r="AF813" s="69" t="str">
        <f t="shared" si="110"/>
        <v>4 years 84 days</v>
      </c>
      <c r="AG813" s="69">
        <v>4</v>
      </c>
      <c r="AH813" s="69">
        <v>84</v>
      </c>
      <c r="AI813" s="69">
        <v>9000</v>
      </c>
      <c r="AJ813" s="67">
        <v>7614</v>
      </c>
      <c r="AK813" s="69">
        <v>2025</v>
      </c>
      <c r="AL813" s="61">
        <v>892.84931506849352</v>
      </c>
      <c r="AM813" s="143"/>
    </row>
    <row r="814" spans="1:39" x14ac:dyDescent="0.35">
      <c r="A814" s="69" t="s">
        <v>4124</v>
      </c>
      <c r="B814" s="41">
        <v>1141504398</v>
      </c>
      <c r="C814" s="41"/>
      <c r="D814" s="69"/>
      <c r="E814" s="41">
        <v>0</v>
      </c>
      <c r="F814" s="41" t="s">
        <v>2454</v>
      </c>
      <c r="G814" s="69" t="s">
        <v>2453</v>
      </c>
      <c r="H814" s="41">
        <v>9011000002</v>
      </c>
      <c r="I814" s="41" t="s">
        <v>47</v>
      </c>
      <c r="J814" s="41">
        <v>1202010202</v>
      </c>
      <c r="K814" s="41"/>
      <c r="L814" s="52" t="s">
        <v>2547</v>
      </c>
      <c r="M814" s="69" t="s">
        <v>2548</v>
      </c>
      <c r="N814" s="69"/>
      <c r="O814" s="69">
        <v>1</v>
      </c>
      <c r="P814" s="69" t="s">
        <v>50</v>
      </c>
      <c r="Q814" s="69" t="s">
        <v>51</v>
      </c>
      <c r="R814" s="69"/>
      <c r="S814" s="48">
        <v>44489</v>
      </c>
      <c r="T814" s="48">
        <v>44489</v>
      </c>
      <c r="U814" s="69"/>
      <c r="V814" s="69"/>
      <c r="W814" s="69"/>
      <c r="X814" s="69"/>
      <c r="Y814" s="69" t="s">
        <v>4128</v>
      </c>
      <c r="Z814" s="52">
        <v>11500</v>
      </c>
      <c r="AA814" s="43" t="s">
        <v>52</v>
      </c>
      <c r="AB814" s="43" t="s">
        <v>53</v>
      </c>
      <c r="AC814" s="85">
        <v>1825</v>
      </c>
      <c r="AD814" s="141">
        <v>5</v>
      </c>
      <c r="AE814" s="142">
        <v>0</v>
      </c>
      <c r="AF814" s="69" t="str">
        <f t="shared" si="110"/>
        <v>3 years 74 days</v>
      </c>
      <c r="AG814" s="69">
        <v>3</v>
      </c>
      <c r="AH814" s="69">
        <v>74</v>
      </c>
      <c r="AI814" s="69">
        <v>11500</v>
      </c>
      <c r="AJ814" s="67">
        <v>7366</v>
      </c>
      <c r="AK814" s="69">
        <v>2025</v>
      </c>
      <c r="AL814" s="61">
        <v>1140.8493150684935</v>
      </c>
      <c r="AM814" s="143"/>
    </row>
    <row r="815" spans="1:39" x14ac:dyDescent="0.35">
      <c r="A815" s="69" t="s">
        <v>4124</v>
      </c>
      <c r="B815" s="41">
        <v>1141403855</v>
      </c>
      <c r="C815" s="41"/>
      <c r="D815" s="69"/>
      <c r="E815" s="41">
        <v>0</v>
      </c>
      <c r="F815" s="41" t="s">
        <v>2454</v>
      </c>
      <c r="G815" s="69" t="s">
        <v>2453</v>
      </c>
      <c r="H815" s="41">
        <v>9011000002</v>
      </c>
      <c r="I815" s="41" t="s">
        <v>47</v>
      </c>
      <c r="J815" s="41">
        <v>1202010202</v>
      </c>
      <c r="K815" s="41"/>
      <c r="L815" s="52" t="s">
        <v>2501</v>
      </c>
      <c r="M815" s="69" t="s">
        <v>2502</v>
      </c>
      <c r="N815" s="69"/>
      <c r="O815" s="69">
        <v>1</v>
      </c>
      <c r="P815" s="69" t="s">
        <v>50</v>
      </c>
      <c r="Q815" s="69" t="s">
        <v>51</v>
      </c>
      <c r="R815" s="69"/>
      <c r="S815" s="48">
        <v>44470</v>
      </c>
      <c r="T815" s="48">
        <v>44470</v>
      </c>
      <c r="U815" s="69"/>
      <c r="V815" s="69"/>
      <c r="W815" s="69"/>
      <c r="X815" s="69"/>
      <c r="Y815" s="69" t="s">
        <v>4128</v>
      </c>
      <c r="Z815" s="52">
        <v>34100</v>
      </c>
      <c r="AA815" s="43" t="s">
        <v>52</v>
      </c>
      <c r="AB815" s="43" t="s">
        <v>53</v>
      </c>
      <c r="AC815" s="85">
        <v>1825</v>
      </c>
      <c r="AD815" s="141">
        <v>5</v>
      </c>
      <c r="AE815" s="142">
        <v>0</v>
      </c>
      <c r="AF815" s="69" t="str">
        <f t="shared" si="110"/>
        <v>3 years 93 days</v>
      </c>
      <c r="AG815" s="69">
        <v>3</v>
      </c>
      <c r="AH815" s="69">
        <v>93</v>
      </c>
      <c r="AI815" s="69">
        <v>34100</v>
      </c>
      <c r="AJ815" s="67">
        <v>22198</v>
      </c>
      <c r="AK815" s="69">
        <v>2025</v>
      </c>
      <c r="AL815" s="61">
        <v>3381.6712328767098</v>
      </c>
      <c r="AM815" s="143"/>
    </row>
    <row r="816" spans="1:39" x14ac:dyDescent="0.35">
      <c r="A816" s="69" t="s">
        <v>4124</v>
      </c>
      <c r="B816" s="41">
        <v>1141403877</v>
      </c>
      <c r="C816" s="41"/>
      <c r="D816" s="69"/>
      <c r="E816" s="41">
        <v>0</v>
      </c>
      <c r="F816" s="41" t="s">
        <v>2454</v>
      </c>
      <c r="G816" s="69" t="s">
        <v>2453</v>
      </c>
      <c r="H816" s="41">
        <v>9011000002</v>
      </c>
      <c r="I816" s="41" t="s">
        <v>47</v>
      </c>
      <c r="J816" s="41">
        <v>1202010202</v>
      </c>
      <c r="K816" s="41"/>
      <c r="L816" s="52" t="s">
        <v>2504</v>
      </c>
      <c r="M816" s="69" t="s">
        <v>2505</v>
      </c>
      <c r="N816" s="69"/>
      <c r="O816" s="69">
        <v>1</v>
      </c>
      <c r="P816" s="69" t="s">
        <v>50</v>
      </c>
      <c r="Q816" s="69" t="s">
        <v>51</v>
      </c>
      <c r="R816" s="69"/>
      <c r="S816" s="48">
        <v>44492</v>
      </c>
      <c r="T816" s="48">
        <v>44492</v>
      </c>
      <c r="U816" s="69"/>
      <c r="V816" s="69"/>
      <c r="W816" s="69"/>
      <c r="X816" s="69"/>
      <c r="Y816" s="69" t="s">
        <v>4128</v>
      </c>
      <c r="Z816" s="52">
        <v>37800</v>
      </c>
      <c r="AA816" s="43" t="s">
        <v>52</v>
      </c>
      <c r="AB816" s="43" t="s">
        <v>53</v>
      </c>
      <c r="AC816" s="85">
        <v>1825</v>
      </c>
      <c r="AD816" s="141">
        <v>5</v>
      </c>
      <c r="AE816" s="142">
        <v>0</v>
      </c>
      <c r="AF816" s="69" t="str">
        <f t="shared" si="110"/>
        <v>3 years 71 days</v>
      </c>
      <c r="AG816" s="69">
        <v>3</v>
      </c>
      <c r="AH816" s="69">
        <v>71</v>
      </c>
      <c r="AI816" s="69">
        <v>37800</v>
      </c>
      <c r="AJ816" s="67">
        <v>24151</v>
      </c>
      <c r="AK816" s="69">
        <v>2025</v>
      </c>
      <c r="AL816" s="61">
        <v>3748.5068493150684</v>
      </c>
      <c r="AM816" s="143"/>
    </row>
    <row r="817" spans="1:39" x14ac:dyDescent="0.35">
      <c r="A817" s="69" t="s">
        <v>4124</v>
      </c>
      <c r="B817" s="41">
        <v>1141403928</v>
      </c>
      <c r="C817" s="41"/>
      <c r="D817" s="69"/>
      <c r="E817" s="41">
        <v>0</v>
      </c>
      <c r="F817" s="41" t="s">
        <v>2454</v>
      </c>
      <c r="G817" s="69" t="s">
        <v>2453</v>
      </c>
      <c r="H817" s="41">
        <v>9011000002</v>
      </c>
      <c r="I817" s="41" t="s">
        <v>47</v>
      </c>
      <c r="J817" s="41">
        <v>1202010202</v>
      </c>
      <c r="K817" s="41"/>
      <c r="L817" s="52" t="s">
        <v>2507</v>
      </c>
      <c r="M817" s="69" t="s">
        <v>2508</v>
      </c>
      <c r="N817" s="69"/>
      <c r="O817" s="69">
        <v>1</v>
      </c>
      <c r="P817" s="69" t="s">
        <v>50</v>
      </c>
      <c r="Q817" s="69" t="s">
        <v>51</v>
      </c>
      <c r="R817" s="69"/>
      <c r="S817" s="48">
        <v>44531</v>
      </c>
      <c r="T817" s="48">
        <v>44531</v>
      </c>
      <c r="U817" s="69"/>
      <c r="V817" s="69"/>
      <c r="W817" s="69"/>
      <c r="X817" s="69"/>
      <c r="Y817" s="69" t="s">
        <v>4128</v>
      </c>
      <c r="Z817" s="52">
        <v>14300</v>
      </c>
      <c r="AA817" s="43" t="s">
        <v>52</v>
      </c>
      <c r="AB817" s="43" t="s">
        <v>53</v>
      </c>
      <c r="AC817" s="85">
        <v>1825</v>
      </c>
      <c r="AD817" s="141">
        <v>5</v>
      </c>
      <c r="AE817" s="142">
        <v>0</v>
      </c>
      <c r="AF817" s="69" t="str">
        <f t="shared" si="110"/>
        <v>3 years 32 days</v>
      </c>
      <c r="AG817" s="69">
        <v>3</v>
      </c>
      <c r="AH817" s="69">
        <v>32</v>
      </c>
      <c r="AI817" s="69">
        <v>14300</v>
      </c>
      <c r="AJ817" s="67">
        <v>8831</v>
      </c>
      <c r="AK817" s="69">
        <v>2025</v>
      </c>
      <c r="AL817" s="61">
        <v>1417.9863013698632</v>
      </c>
      <c r="AM817" s="143"/>
    </row>
    <row r="818" spans="1:39" x14ac:dyDescent="0.35">
      <c r="A818" s="69" t="s">
        <v>4124</v>
      </c>
      <c r="B818" s="41">
        <v>1141404662</v>
      </c>
      <c r="C818" s="41"/>
      <c r="D818" s="69"/>
      <c r="E818" s="41">
        <v>0</v>
      </c>
      <c r="F818" s="41" t="s">
        <v>2454</v>
      </c>
      <c r="G818" s="69" t="s">
        <v>2453</v>
      </c>
      <c r="H818" s="41">
        <v>9011000002</v>
      </c>
      <c r="I818" s="41" t="s">
        <v>47</v>
      </c>
      <c r="J818" s="41">
        <v>1202010202</v>
      </c>
      <c r="K818" s="41"/>
      <c r="L818" s="52" t="s">
        <v>2510</v>
      </c>
      <c r="M818" s="69" t="s">
        <v>2511</v>
      </c>
      <c r="N818" s="69"/>
      <c r="O818" s="69">
        <v>30</v>
      </c>
      <c r="P818" s="69" t="s">
        <v>50</v>
      </c>
      <c r="Q818" s="69" t="s">
        <v>51</v>
      </c>
      <c r="R818" s="69"/>
      <c r="S818" s="48">
        <v>44992</v>
      </c>
      <c r="T818" s="48">
        <v>44992</v>
      </c>
      <c r="U818" s="69"/>
      <c r="V818" s="69"/>
      <c r="W818" s="69"/>
      <c r="X818" s="69"/>
      <c r="Y818" s="69" t="s">
        <v>4129</v>
      </c>
      <c r="Z818" s="52">
        <v>183515</v>
      </c>
      <c r="AA818" s="43" t="s">
        <v>52</v>
      </c>
      <c r="AB818" s="43" t="s">
        <v>53</v>
      </c>
      <c r="AC818" s="85">
        <v>1825</v>
      </c>
      <c r="AD818" s="141">
        <v>5</v>
      </c>
      <c r="AE818" s="142">
        <v>0</v>
      </c>
      <c r="AF818" s="69" t="str">
        <f t="shared" si="110"/>
        <v>1 years 301 days</v>
      </c>
      <c r="AG818" s="69">
        <v>1</v>
      </c>
      <c r="AH818" s="69">
        <v>301</v>
      </c>
      <c r="AI818" s="69">
        <v>183515</v>
      </c>
      <c r="AJ818" s="67">
        <v>66970</v>
      </c>
      <c r="AK818" s="69">
        <v>2025</v>
      </c>
      <c r="AL818" s="61">
        <v>18201.071232876711</v>
      </c>
      <c r="AM818" s="143"/>
    </row>
    <row r="819" spans="1:39" x14ac:dyDescent="0.35">
      <c r="A819" s="69" t="s">
        <v>4124</v>
      </c>
      <c r="B819" s="41">
        <v>1141404704</v>
      </c>
      <c r="C819" s="41"/>
      <c r="D819" s="69"/>
      <c r="E819" s="41">
        <v>0</v>
      </c>
      <c r="F819" s="41" t="s">
        <v>2454</v>
      </c>
      <c r="G819" s="69" t="s">
        <v>2453</v>
      </c>
      <c r="H819" s="41">
        <v>9011000002</v>
      </c>
      <c r="I819" s="41" t="s">
        <v>47</v>
      </c>
      <c r="J819" s="41">
        <v>1202010202</v>
      </c>
      <c r="K819" s="41"/>
      <c r="L819" s="52" t="s">
        <v>2513</v>
      </c>
      <c r="M819" s="69" t="s">
        <v>2514</v>
      </c>
      <c r="N819" s="69"/>
      <c r="O819" s="69">
        <v>1</v>
      </c>
      <c r="P819" s="69" t="s">
        <v>50</v>
      </c>
      <c r="Q819" s="69" t="s">
        <v>51</v>
      </c>
      <c r="R819" s="69"/>
      <c r="S819" s="48">
        <v>45016</v>
      </c>
      <c r="T819" s="48">
        <v>45016</v>
      </c>
      <c r="U819" s="69"/>
      <c r="V819" s="69"/>
      <c r="W819" s="69"/>
      <c r="X819" s="69"/>
      <c r="Y819" s="69" t="s">
        <v>4129</v>
      </c>
      <c r="Z819" s="52">
        <v>62360</v>
      </c>
      <c r="AA819" s="43" t="s">
        <v>52</v>
      </c>
      <c r="AB819" s="43" t="s">
        <v>53</v>
      </c>
      <c r="AC819" s="85">
        <v>1825</v>
      </c>
      <c r="AD819" s="141">
        <v>5</v>
      </c>
      <c r="AE819" s="142">
        <v>0</v>
      </c>
      <c r="AF819" s="69" t="str">
        <f t="shared" si="110"/>
        <v>1 years 277 days</v>
      </c>
      <c r="AG819" s="69">
        <v>1</v>
      </c>
      <c r="AH819" s="69">
        <v>277</v>
      </c>
      <c r="AI819" s="69">
        <v>62360</v>
      </c>
      <c r="AJ819" s="67">
        <v>21971</v>
      </c>
      <c r="AK819" s="69">
        <v>2025</v>
      </c>
      <c r="AL819" s="61">
        <v>6184.9671232876717</v>
      </c>
      <c r="AM819" s="143"/>
    </row>
    <row r="820" spans="1:39" x14ac:dyDescent="0.35">
      <c r="A820" s="69" t="s">
        <v>4124</v>
      </c>
      <c r="B820" s="41">
        <v>1141404877</v>
      </c>
      <c r="C820" s="41"/>
      <c r="D820" s="69"/>
      <c r="E820" s="41">
        <v>0</v>
      </c>
      <c r="F820" s="41" t="s">
        <v>2454</v>
      </c>
      <c r="G820" s="69" t="s">
        <v>2453</v>
      </c>
      <c r="H820" s="41">
        <v>9011000002</v>
      </c>
      <c r="I820" s="41" t="s">
        <v>47</v>
      </c>
      <c r="J820" s="41">
        <v>1202010202</v>
      </c>
      <c r="K820" s="41"/>
      <c r="L820" s="52" t="s">
        <v>2516</v>
      </c>
      <c r="M820" s="69" t="s">
        <v>2517</v>
      </c>
      <c r="N820" s="69"/>
      <c r="O820" s="69">
        <v>1</v>
      </c>
      <c r="P820" s="69" t="s">
        <v>50</v>
      </c>
      <c r="Q820" s="69" t="s">
        <v>51</v>
      </c>
      <c r="R820" s="69"/>
      <c r="S820" s="48">
        <v>45170</v>
      </c>
      <c r="T820" s="48">
        <v>45170</v>
      </c>
      <c r="U820" s="69"/>
      <c r="V820" s="69"/>
      <c r="W820" s="69"/>
      <c r="X820" s="69"/>
      <c r="Y820" s="69" t="s">
        <v>4129</v>
      </c>
      <c r="Z820" s="52">
        <v>30150</v>
      </c>
      <c r="AA820" s="43" t="s">
        <v>52</v>
      </c>
      <c r="AB820" s="43" t="s">
        <v>53</v>
      </c>
      <c r="AC820" s="85">
        <v>1825</v>
      </c>
      <c r="AD820" s="141">
        <v>5</v>
      </c>
      <c r="AE820" s="142">
        <v>0</v>
      </c>
      <c r="AF820" s="69" t="str">
        <f t="shared" si="110"/>
        <v>1 years 123 days</v>
      </c>
      <c r="AG820" s="69">
        <v>1</v>
      </c>
      <c r="AH820" s="69">
        <v>123</v>
      </c>
      <c r="AI820" s="69">
        <v>30150</v>
      </c>
      <c r="AJ820" s="67">
        <v>8062</v>
      </c>
      <c r="AK820" s="69">
        <v>2025</v>
      </c>
      <c r="AL820" s="61">
        <v>2990.2465753424658</v>
      </c>
      <c r="AM820" s="143"/>
    </row>
    <row r="821" spans="1:39" x14ac:dyDescent="0.35">
      <c r="A821" s="69" t="s">
        <v>4124</v>
      </c>
      <c r="B821" s="41">
        <v>1141404879</v>
      </c>
      <c r="C821" s="41"/>
      <c r="D821" s="69"/>
      <c r="E821" s="41">
        <v>0</v>
      </c>
      <c r="F821" s="41" t="s">
        <v>2454</v>
      </c>
      <c r="G821" s="69" t="s">
        <v>2453</v>
      </c>
      <c r="H821" s="41">
        <v>9011000002</v>
      </c>
      <c r="I821" s="41" t="s">
        <v>47</v>
      </c>
      <c r="J821" s="41">
        <v>1202010202</v>
      </c>
      <c r="K821" s="41"/>
      <c r="L821" s="52" t="s">
        <v>2519</v>
      </c>
      <c r="M821" s="69" t="s">
        <v>2520</v>
      </c>
      <c r="N821" s="69"/>
      <c r="O821" s="69">
        <v>1</v>
      </c>
      <c r="P821" s="69" t="s">
        <v>50</v>
      </c>
      <c r="Q821" s="69" t="s">
        <v>51</v>
      </c>
      <c r="R821" s="69"/>
      <c r="S821" s="48">
        <v>45170</v>
      </c>
      <c r="T821" s="48">
        <v>45170</v>
      </c>
      <c r="U821" s="69"/>
      <c r="V821" s="69"/>
      <c r="W821" s="69"/>
      <c r="X821" s="69"/>
      <c r="Y821" s="69" t="s">
        <v>4129</v>
      </c>
      <c r="Z821" s="52">
        <v>74250</v>
      </c>
      <c r="AA821" s="43" t="s">
        <v>52</v>
      </c>
      <c r="AB821" s="43" t="s">
        <v>53</v>
      </c>
      <c r="AC821" s="85">
        <v>1825</v>
      </c>
      <c r="AD821" s="141">
        <v>5</v>
      </c>
      <c r="AE821" s="142">
        <v>0</v>
      </c>
      <c r="AF821" s="69" t="str">
        <f t="shared" si="110"/>
        <v>1 years 123 days</v>
      </c>
      <c r="AG821" s="69">
        <v>1</v>
      </c>
      <c r="AH821" s="69">
        <v>123</v>
      </c>
      <c r="AI821" s="69">
        <v>74250</v>
      </c>
      <c r="AJ821" s="67">
        <v>19854</v>
      </c>
      <c r="AK821" s="69">
        <v>2025</v>
      </c>
      <c r="AL821" s="61">
        <v>7364.2191780821922</v>
      </c>
      <c r="AM821" s="143"/>
    </row>
    <row r="822" spans="1:39" x14ac:dyDescent="0.35">
      <c r="A822" s="69" t="s">
        <v>4124</v>
      </c>
      <c r="B822" s="41">
        <v>1141404891</v>
      </c>
      <c r="C822" s="41"/>
      <c r="D822" s="69"/>
      <c r="E822" s="41">
        <v>0</v>
      </c>
      <c r="F822" s="41" t="s">
        <v>2454</v>
      </c>
      <c r="G822" s="69" t="s">
        <v>2453</v>
      </c>
      <c r="H822" s="41">
        <v>9011000002</v>
      </c>
      <c r="I822" s="41" t="s">
        <v>47</v>
      </c>
      <c r="J822" s="41">
        <v>1202010202</v>
      </c>
      <c r="K822" s="41"/>
      <c r="L822" s="52" t="s">
        <v>2522</v>
      </c>
      <c r="M822" s="69" t="s">
        <v>2523</v>
      </c>
      <c r="N822" s="69"/>
      <c r="O822" s="69">
        <v>1</v>
      </c>
      <c r="P822" s="69" t="s">
        <v>50</v>
      </c>
      <c r="Q822" s="69" t="s">
        <v>51</v>
      </c>
      <c r="R822" s="69"/>
      <c r="S822" s="48">
        <v>45176</v>
      </c>
      <c r="T822" s="48">
        <v>45176</v>
      </c>
      <c r="U822" s="69"/>
      <c r="V822" s="69"/>
      <c r="W822" s="69"/>
      <c r="X822" s="69"/>
      <c r="Y822" s="69" t="s">
        <v>4129</v>
      </c>
      <c r="Z822" s="52">
        <v>36810</v>
      </c>
      <c r="AA822" s="43" t="s">
        <v>52</v>
      </c>
      <c r="AB822" s="43" t="s">
        <v>53</v>
      </c>
      <c r="AC822" s="85">
        <v>1825</v>
      </c>
      <c r="AD822" s="141">
        <v>5</v>
      </c>
      <c r="AE822" s="142">
        <v>0</v>
      </c>
      <c r="AF822" s="69" t="str">
        <f t="shared" si="110"/>
        <v>1 years 117 days</v>
      </c>
      <c r="AG822" s="69">
        <v>1</v>
      </c>
      <c r="AH822" s="69">
        <v>117</v>
      </c>
      <c r="AI822" s="69">
        <v>36810</v>
      </c>
      <c r="AJ822" s="67">
        <v>9722</v>
      </c>
      <c r="AK822" s="69">
        <v>2025</v>
      </c>
      <c r="AL822" s="61">
        <v>3650.6191780821937</v>
      </c>
      <c r="AM822" s="143"/>
    </row>
    <row r="823" spans="1:39" x14ac:dyDescent="0.35">
      <c r="A823" s="69" t="s">
        <v>4124</v>
      </c>
      <c r="B823" s="41">
        <v>1141404905</v>
      </c>
      <c r="C823" s="41"/>
      <c r="D823" s="69"/>
      <c r="E823" s="41">
        <v>0</v>
      </c>
      <c r="F823" s="41" t="s">
        <v>2454</v>
      </c>
      <c r="G823" s="69" t="s">
        <v>2453</v>
      </c>
      <c r="H823" s="41">
        <v>9011000002</v>
      </c>
      <c r="I823" s="41" t="s">
        <v>47</v>
      </c>
      <c r="J823" s="41">
        <v>1202010202</v>
      </c>
      <c r="K823" s="41"/>
      <c r="L823" s="52" t="s">
        <v>2525</v>
      </c>
      <c r="M823" s="69" t="s">
        <v>2526</v>
      </c>
      <c r="N823" s="69"/>
      <c r="O823" s="69">
        <v>1</v>
      </c>
      <c r="P823" s="69" t="s">
        <v>50</v>
      </c>
      <c r="Q823" s="69" t="s">
        <v>51</v>
      </c>
      <c r="R823" s="69"/>
      <c r="S823" s="48">
        <v>45185</v>
      </c>
      <c r="T823" s="48">
        <v>45185</v>
      </c>
      <c r="U823" s="69"/>
      <c r="V823" s="69"/>
      <c r="W823" s="69"/>
      <c r="X823" s="69"/>
      <c r="Y823" s="69" t="s">
        <v>4129</v>
      </c>
      <c r="Z823" s="52">
        <v>47520</v>
      </c>
      <c r="AA823" s="43" t="s">
        <v>52</v>
      </c>
      <c r="AB823" s="43" t="s">
        <v>53</v>
      </c>
      <c r="AC823" s="85">
        <v>1825</v>
      </c>
      <c r="AD823" s="141">
        <v>5</v>
      </c>
      <c r="AE823" s="142">
        <v>0</v>
      </c>
      <c r="AF823" s="69" t="str">
        <f t="shared" si="110"/>
        <v>1 years 108 days</v>
      </c>
      <c r="AG823" s="69">
        <v>1</v>
      </c>
      <c r="AH823" s="69">
        <v>108</v>
      </c>
      <c r="AI823" s="69">
        <v>47520</v>
      </c>
      <c r="AJ823" s="67">
        <v>12316</v>
      </c>
      <c r="AK823" s="69">
        <v>2025</v>
      </c>
      <c r="AL823" s="61">
        <v>4713.0849315068481</v>
      </c>
      <c r="AM823" s="143"/>
    </row>
    <row r="824" spans="1:39" x14ac:dyDescent="0.35">
      <c r="A824" s="69" t="s">
        <v>4124</v>
      </c>
      <c r="B824" s="41">
        <v>1141404976</v>
      </c>
      <c r="C824" s="41"/>
      <c r="D824" s="69"/>
      <c r="E824" s="41">
        <v>0</v>
      </c>
      <c r="F824" s="41" t="s">
        <v>2454</v>
      </c>
      <c r="G824" s="69" t="s">
        <v>2453</v>
      </c>
      <c r="H824" s="41">
        <v>9011000002</v>
      </c>
      <c r="I824" s="41" t="s">
        <v>47</v>
      </c>
      <c r="J824" s="41">
        <v>1202010202</v>
      </c>
      <c r="K824" s="41"/>
      <c r="L824" s="52" t="s">
        <v>2528</v>
      </c>
      <c r="M824" s="69" t="s">
        <v>2529</v>
      </c>
      <c r="N824" s="69"/>
      <c r="O824" s="69">
        <v>1</v>
      </c>
      <c r="P824" s="69" t="s">
        <v>50</v>
      </c>
      <c r="Q824" s="69" t="s">
        <v>51</v>
      </c>
      <c r="R824" s="69"/>
      <c r="S824" s="48">
        <v>45231</v>
      </c>
      <c r="T824" s="48">
        <v>45231</v>
      </c>
      <c r="U824" s="69"/>
      <c r="V824" s="69"/>
      <c r="W824" s="69"/>
      <c r="X824" s="69"/>
      <c r="Y824" s="69" t="s">
        <v>4129</v>
      </c>
      <c r="Z824" s="52">
        <v>76404</v>
      </c>
      <c r="AA824" s="43" t="s">
        <v>52</v>
      </c>
      <c r="AB824" s="43" t="s">
        <v>53</v>
      </c>
      <c r="AC824" s="85">
        <v>1825</v>
      </c>
      <c r="AD824" s="141">
        <v>5</v>
      </c>
      <c r="AE824" s="142">
        <v>0</v>
      </c>
      <c r="AF824" s="69" t="str">
        <f t="shared" si="110"/>
        <v>1 years 62 days</v>
      </c>
      <c r="AG824" s="69">
        <v>1</v>
      </c>
      <c r="AH824" s="69">
        <v>62</v>
      </c>
      <c r="AI824" s="69">
        <v>76404</v>
      </c>
      <c r="AJ824" s="67">
        <v>17876</v>
      </c>
      <c r="AK824" s="69">
        <v>2025</v>
      </c>
      <c r="AL824" s="61">
        <v>7578.0449315068508</v>
      </c>
      <c r="AM824" s="143"/>
    </row>
    <row r="825" spans="1:39" x14ac:dyDescent="0.35">
      <c r="A825" s="69" t="s">
        <v>4124</v>
      </c>
      <c r="B825" s="41">
        <v>1141405067</v>
      </c>
      <c r="C825" s="41"/>
      <c r="D825" s="69"/>
      <c r="E825" s="41">
        <v>0</v>
      </c>
      <c r="F825" s="41" t="s">
        <v>2454</v>
      </c>
      <c r="G825" s="69" t="s">
        <v>2453</v>
      </c>
      <c r="H825" s="41">
        <v>9011000002</v>
      </c>
      <c r="I825" s="41" t="s">
        <v>47</v>
      </c>
      <c r="J825" s="41">
        <v>1202010202</v>
      </c>
      <c r="K825" s="41"/>
      <c r="L825" s="52" t="s">
        <v>2531</v>
      </c>
      <c r="M825" s="69" t="s">
        <v>2532</v>
      </c>
      <c r="N825" s="69"/>
      <c r="O825" s="69">
        <v>1</v>
      </c>
      <c r="P825" s="69" t="s">
        <v>50</v>
      </c>
      <c r="Q825" s="69" t="s">
        <v>51</v>
      </c>
      <c r="R825" s="69"/>
      <c r="S825" s="48">
        <v>45303</v>
      </c>
      <c r="T825" s="48">
        <v>45303</v>
      </c>
      <c r="U825" s="69"/>
      <c r="V825" s="69"/>
      <c r="W825" s="69"/>
      <c r="X825" s="69"/>
      <c r="Y825" s="69" t="s">
        <v>4130</v>
      </c>
      <c r="Z825" s="52">
        <v>54357</v>
      </c>
      <c r="AA825" s="43" t="s">
        <v>52</v>
      </c>
      <c r="AB825" s="43" t="s">
        <v>53</v>
      </c>
      <c r="AC825" s="85">
        <v>1825</v>
      </c>
      <c r="AD825" s="141">
        <v>5</v>
      </c>
      <c r="AE825" s="142">
        <v>0</v>
      </c>
      <c r="AF825" s="69" t="str">
        <f t="shared" si="110"/>
        <v>0 years 355 days</v>
      </c>
      <c r="AG825" s="69">
        <v>0</v>
      </c>
      <c r="AH825" s="69">
        <v>355</v>
      </c>
      <c r="AI825" s="69">
        <v>54357</v>
      </c>
      <c r="AJ825" s="67">
        <v>10574</v>
      </c>
      <c r="AK825" s="69">
        <v>2025</v>
      </c>
      <c r="AL825" s="61">
        <v>5390.5764383561636</v>
      </c>
      <c r="AM825" s="143"/>
    </row>
    <row r="826" spans="1:39" x14ac:dyDescent="0.35">
      <c r="A826" s="69" t="s">
        <v>4124</v>
      </c>
      <c r="B826" s="41">
        <v>1141405138</v>
      </c>
      <c r="C826" s="41"/>
      <c r="D826" s="69"/>
      <c r="E826" s="41">
        <v>0</v>
      </c>
      <c r="F826" s="41" t="s">
        <v>2454</v>
      </c>
      <c r="G826" s="69" t="s">
        <v>2453</v>
      </c>
      <c r="H826" s="41">
        <v>9011000002</v>
      </c>
      <c r="I826" s="41" t="s">
        <v>47</v>
      </c>
      <c r="J826" s="41">
        <v>1202010202</v>
      </c>
      <c r="K826" s="41"/>
      <c r="L826" s="52" t="s">
        <v>2534</v>
      </c>
      <c r="M826" s="69" t="s">
        <v>2535</v>
      </c>
      <c r="N826" s="69"/>
      <c r="O826" s="69">
        <v>1</v>
      </c>
      <c r="P826" s="69" t="s">
        <v>50</v>
      </c>
      <c r="Q826" s="69" t="s">
        <v>51</v>
      </c>
      <c r="R826" s="69"/>
      <c r="S826" s="48">
        <v>45382</v>
      </c>
      <c r="T826" s="48">
        <v>45382</v>
      </c>
      <c r="U826" s="69"/>
      <c r="V826" s="69"/>
      <c r="W826" s="69"/>
      <c r="X826" s="69"/>
      <c r="Y826" s="69" t="s">
        <v>4130</v>
      </c>
      <c r="Z826" s="52">
        <v>395360</v>
      </c>
      <c r="AA826" s="43" t="s">
        <v>52</v>
      </c>
      <c r="AB826" s="43" t="s">
        <v>53</v>
      </c>
      <c r="AC826" s="85">
        <v>1825</v>
      </c>
      <c r="AD826" s="141">
        <v>5</v>
      </c>
      <c r="AE826" s="142">
        <v>0</v>
      </c>
      <c r="AF826" s="69" t="str">
        <f t="shared" si="110"/>
        <v>0 years 276 days</v>
      </c>
      <c r="AG826" s="69">
        <v>0</v>
      </c>
      <c r="AH826" s="69">
        <v>276</v>
      </c>
      <c r="AI826" s="69">
        <v>395360</v>
      </c>
      <c r="AJ826" s="67">
        <v>60008</v>
      </c>
      <c r="AK826" s="69">
        <v>2025</v>
      </c>
      <c r="AL826" s="61">
        <v>39211.112328767136</v>
      </c>
      <c r="AM826" s="143"/>
    </row>
    <row r="827" spans="1:39" x14ac:dyDescent="0.35">
      <c r="A827" s="69" t="s">
        <v>4124</v>
      </c>
      <c r="B827" s="41">
        <v>1141405141</v>
      </c>
      <c r="C827" s="41"/>
      <c r="D827" s="69"/>
      <c r="E827" s="41">
        <v>0</v>
      </c>
      <c r="F827" s="41" t="s">
        <v>2454</v>
      </c>
      <c r="G827" s="69" t="s">
        <v>2453</v>
      </c>
      <c r="H827" s="41">
        <v>9011000002</v>
      </c>
      <c r="I827" s="41" t="s">
        <v>47</v>
      </c>
      <c r="J827" s="41">
        <v>1202010202</v>
      </c>
      <c r="K827" s="41"/>
      <c r="L827" s="52" t="s">
        <v>2537</v>
      </c>
      <c r="M827" s="69" t="s">
        <v>2538</v>
      </c>
      <c r="N827" s="69"/>
      <c r="O827" s="69">
        <v>1</v>
      </c>
      <c r="P827" s="69" t="s">
        <v>50</v>
      </c>
      <c r="Q827" s="69" t="s">
        <v>51</v>
      </c>
      <c r="R827" s="69"/>
      <c r="S827" s="48">
        <v>45382</v>
      </c>
      <c r="T827" s="48">
        <v>45382</v>
      </c>
      <c r="U827" s="69"/>
      <c r="V827" s="69"/>
      <c r="W827" s="69"/>
      <c r="X827" s="69"/>
      <c r="Y827" s="69" t="s">
        <v>4130</v>
      </c>
      <c r="Z827" s="52">
        <v>405774.96</v>
      </c>
      <c r="AA827" s="43" t="s">
        <v>52</v>
      </c>
      <c r="AB827" s="43" t="s">
        <v>53</v>
      </c>
      <c r="AC827" s="85">
        <v>1825</v>
      </c>
      <c r="AD827" s="141">
        <v>5</v>
      </c>
      <c r="AE827" s="142">
        <v>0</v>
      </c>
      <c r="AF827" s="69" t="str">
        <f t="shared" si="110"/>
        <v>0 years 276 days</v>
      </c>
      <c r="AG827" s="69">
        <v>0</v>
      </c>
      <c r="AH827" s="69">
        <v>276</v>
      </c>
      <c r="AI827" s="69">
        <v>405774.96</v>
      </c>
      <c r="AJ827" s="67">
        <v>61589</v>
      </c>
      <c r="AK827" s="69">
        <v>2025</v>
      </c>
      <c r="AL827" s="61">
        <v>40243.839276712344</v>
      </c>
      <c r="AM827" s="143"/>
    </row>
    <row r="828" spans="1:39" x14ac:dyDescent="0.35">
      <c r="A828" s="69" t="s">
        <v>4124</v>
      </c>
      <c r="B828" s="41">
        <v>1141405139</v>
      </c>
      <c r="C828" s="41"/>
      <c r="D828" s="69"/>
      <c r="E828" s="41">
        <v>0</v>
      </c>
      <c r="F828" s="41" t="s">
        <v>2454</v>
      </c>
      <c r="G828" s="69" t="s">
        <v>2453</v>
      </c>
      <c r="H828" s="41">
        <v>9011000003</v>
      </c>
      <c r="I828" s="41" t="s">
        <v>47</v>
      </c>
      <c r="J828" s="41">
        <v>1202010202</v>
      </c>
      <c r="K828" s="41"/>
      <c r="L828" s="52" t="s">
        <v>2584</v>
      </c>
      <c r="M828" s="69" t="s">
        <v>2585</v>
      </c>
      <c r="N828" s="69"/>
      <c r="O828" s="69">
        <v>1</v>
      </c>
      <c r="P828" s="69" t="s">
        <v>50</v>
      </c>
      <c r="Q828" s="69" t="s">
        <v>51</v>
      </c>
      <c r="R828" s="69"/>
      <c r="S828" s="48">
        <v>45382</v>
      </c>
      <c r="T828" s="48">
        <v>45382</v>
      </c>
      <c r="U828" s="69"/>
      <c r="V828" s="69"/>
      <c r="W828" s="69"/>
      <c r="X828" s="69"/>
      <c r="Y828" s="69" t="s">
        <v>4130</v>
      </c>
      <c r="Z828" s="52">
        <v>96390</v>
      </c>
      <c r="AA828" s="43" t="s">
        <v>52</v>
      </c>
      <c r="AB828" s="43" t="s">
        <v>53</v>
      </c>
      <c r="AC828" s="85">
        <v>1825</v>
      </c>
      <c r="AD828" s="141">
        <v>5</v>
      </c>
      <c r="AE828" s="142">
        <v>0</v>
      </c>
      <c r="AF828" s="69" t="str">
        <f t="shared" si="110"/>
        <v>0 years 276 days</v>
      </c>
      <c r="AG828" s="69">
        <v>0</v>
      </c>
      <c r="AH828" s="69">
        <v>276</v>
      </c>
      <c r="AI828" s="69">
        <v>96390</v>
      </c>
      <c r="AJ828" s="67">
        <v>14630</v>
      </c>
      <c r="AK828" s="69">
        <v>2025</v>
      </c>
      <c r="AL828" s="61">
        <v>9559.9287671232851</v>
      </c>
      <c r="AM828" s="143"/>
    </row>
    <row r="829" spans="1:39" x14ac:dyDescent="0.35">
      <c r="A829" s="69" t="s">
        <v>4124</v>
      </c>
      <c r="B829" s="41">
        <v>1141405246</v>
      </c>
      <c r="C829" s="41"/>
      <c r="D829" s="69"/>
      <c r="E829" s="41">
        <v>0</v>
      </c>
      <c r="F829" s="41" t="s">
        <v>2454</v>
      </c>
      <c r="G829" s="69" t="s">
        <v>2453</v>
      </c>
      <c r="H829" s="41">
        <v>9011000003</v>
      </c>
      <c r="I829" s="41" t="s">
        <v>47</v>
      </c>
      <c r="J829" s="41">
        <v>1202010202</v>
      </c>
      <c r="K829" s="41"/>
      <c r="L829" s="52" t="s">
        <v>2587</v>
      </c>
      <c r="M829" s="69" t="s">
        <v>2588</v>
      </c>
      <c r="N829" s="69"/>
      <c r="O829" s="69">
        <v>1</v>
      </c>
      <c r="P829" s="69" t="s">
        <v>50</v>
      </c>
      <c r="Q829" s="69" t="s">
        <v>51</v>
      </c>
      <c r="R829" s="69"/>
      <c r="S829" s="48">
        <v>45498</v>
      </c>
      <c r="T829" s="48">
        <v>45498</v>
      </c>
      <c r="U829" s="69"/>
      <c r="V829" s="69"/>
      <c r="W829" s="69"/>
      <c r="X829" s="69"/>
      <c r="Y829" s="69" t="s">
        <v>4130</v>
      </c>
      <c r="Z829" s="83">
        <v>196650</v>
      </c>
      <c r="AA829" s="43" t="s">
        <v>52</v>
      </c>
      <c r="AB829" s="43" t="s">
        <v>53</v>
      </c>
      <c r="AC829" s="85">
        <v>1825</v>
      </c>
      <c r="AD829" s="141">
        <v>5</v>
      </c>
      <c r="AE829" s="142">
        <v>0</v>
      </c>
      <c r="AF829" s="69" t="str">
        <f t="shared" si="110"/>
        <v>0 years 160 days</v>
      </c>
      <c r="AG829" s="69">
        <v>0</v>
      </c>
      <c r="AH829" s="69">
        <v>160</v>
      </c>
      <c r="AI829" s="69">
        <v>196650</v>
      </c>
      <c r="AJ829" s="67">
        <v>17241</v>
      </c>
      <c r="AK829" s="69">
        <v>2025</v>
      </c>
      <c r="AL829" s="61">
        <v>19502.917808219179</v>
      </c>
      <c r="AM829" s="143"/>
    </row>
    <row r="830" spans="1:39" x14ac:dyDescent="0.35">
      <c r="A830" s="69" t="s">
        <v>4124</v>
      </c>
      <c r="B830" s="41">
        <v>1141401615</v>
      </c>
      <c r="C830" s="41"/>
      <c r="D830" s="69"/>
      <c r="E830" s="41">
        <v>0</v>
      </c>
      <c r="F830" s="41" t="s">
        <v>2454</v>
      </c>
      <c r="G830" s="69" t="s">
        <v>2453</v>
      </c>
      <c r="H830" s="41">
        <v>9011000004</v>
      </c>
      <c r="I830" s="41" t="s">
        <v>47</v>
      </c>
      <c r="J830" s="41">
        <v>1202010202</v>
      </c>
      <c r="K830" s="41"/>
      <c r="L830" s="52" t="s">
        <v>2590</v>
      </c>
      <c r="M830" s="69" t="s">
        <v>2591</v>
      </c>
      <c r="N830" s="69"/>
      <c r="O830" s="69">
        <v>1</v>
      </c>
      <c r="P830" s="69" t="s">
        <v>50</v>
      </c>
      <c r="Q830" s="69" t="s">
        <v>51</v>
      </c>
      <c r="R830" s="69"/>
      <c r="S830" s="48">
        <v>42061</v>
      </c>
      <c r="T830" s="48">
        <v>43340</v>
      </c>
      <c r="U830" s="69"/>
      <c r="V830" s="69"/>
      <c r="W830" s="69"/>
      <c r="X830" s="69"/>
      <c r="Y830" s="69" t="s">
        <v>4125</v>
      </c>
      <c r="Z830" s="52">
        <v>30000</v>
      </c>
      <c r="AA830" s="43" t="s">
        <v>52</v>
      </c>
      <c r="AB830" s="43" t="s">
        <v>53</v>
      </c>
      <c r="AC830" s="85">
        <v>1643</v>
      </c>
      <c r="AD830" s="141">
        <v>4</v>
      </c>
      <c r="AE830" s="142">
        <v>6</v>
      </c>
      <c r="AF830" s="69" t="str">
        <f t="shared" si="110"/>
        <v>4 years 183 days</v>
      </c>
      <c r="AG830" s="69">
        <v>4</v>
      </c>
      <c r="AH830" s="69">
        <v>183</v>
      </c>
      <c r="AI830" s="69">
        <v>30000</v>
      </c>
      <c r="AJ830" s="67">
        <v>30000</v>
      </c>
      <c r="AK830" s="69">
        <v>2025</v>
      </c>
      <c r="AL830" s="61">
        <v>0</v>
      </c>
      <c r="AM830" s="143"/>
    </row>
    <row r="831" spans="1:39" x14ac:dyDescent="0.35">
      <c r="A831" s="69" t="s">
        <v>4124</v>
      </c>
      <c r="B831" s="41">
        <v>1141405215</v>
      </c>
      <c r="C831" s="41"/>
      <c r="D831" s="69"/>
      <c r="E831" s="41">
        <v>0</v>
      </c>
      <c r="F831" s="41" t="s">
        <v>2454</v>
      </c>
      <c r="G831" s="69" t="s">
        <v>2453</v>
      </c>
      <c r="H831" s="41">
        <v>9011000004</v>
      </c>
      <c r="I831" s="41" t="s">
        <v>47</v>
      </c>
      <c r="J831" s="41">
        <v>1202010202</v>
      </c>
      <c r="K831" s="41"/>
      <c r="L831" s="52" t="s">
        <v>2593</v>
      </c>
      <c r="M831" s="69" t="s">
        <v>2594</v>
      </c>
      <c r="N831" s="69"/>
      <c r="O831" s="69">
        <v>2</v>
      </c>
      <c r="P831" s="69" t="s">
        <v>50</v>
      </c>
      <c r="Q831" s="69" t="s">
        <v>51</v>
      </c>
      <c r="R831" s="69"/>
      <c r="S831" s="48">
        <v>45454</v>
      </c>
      <c r="T831" s="48">
        <v>45454</v>
      </c>
      <c r="U831" s="69"/>
      <c r="V831" s="69"/>
      <c r="W831" s="69"/>
      <c r="X831" s="69"/>
      <c r="Y831" s="69" t="s">
        <v>4130</v>
      </c>
      <c r="Z831" s="83">
        <v>12510</v>
      </c>
      <c r="AA831" s="43" t="s">
        <v>52</v>
      </c>
      <c r="AB831" s="43" t="s">
        <v>53</v>
      </c>
      <c r="AC831" s="85">
        <v>1825</v>
      </c>
      <c r="AD831" s="141">
        <v>5</v>
      </c>
      <c r="AE831" s="142">
        <v>0</v>
      </c>
      <c r="AF831" s="69" t="str">
        <f t="shared" si="110"/>
        <v>0 years 204 days</v>
      </c>
      <c r="AG831" s="69">
        <v>0</v>
      </c>
      <c r="AH831" s="69">
        <v>204</v>
      </c>
      <c r="AI831" s="69">
        <v>12510</v>
      </c>
      <c r="AJ831" s="67">
        <v>1398</v>
      </c>
      <c r="AK831" s="69">
        <v>2025</v>
      </c>
      <c r="AL831" s="61">
        <v>1241.0958904109589</v>
      </c>
      <c r="AM831" s="143"/>
    </row>
    <row r="832" spans="1:39" x14ac:dyDescent="0.35">
      <c r="A832" s="69" t="s">
        <v>4124</v>
      </c>
      <c r="B832" s="41">
        <v>1141401651</v>
      </c>
      <c r="C832" s="41"/>
      <c r="D832" s="69"/>
      <c r="E832" s="41">
        <v>0</v>
      </c>
      <c r="F832" s="41" t="s">
        <v>2454</v>
      </c>
      <c r="G832" s="69" t="s">
        <v>2453</v>
      </c>
      <c r="H832" s="41">
        <v>9011000005</v>
      </c>
      <c r="I832" s="41" t="s">
        <v>47</v>
      </c>
      <c r="J832" s="41">
        <v>1202010202</v>
      </c>
      <c r="K832" s="41"/>
      <c r="L832" s="52" t="s">
        <v>2596</v>
      </c>
      <c r="M832" s="69" t="s">
        <v>2597</v>
      </c>
      <c r="N832" s="69"/>
      <c r="O832" s="69">
        <v>1</v>
      </c>
      <c r="P832" s="69" t="s">
        <v>50</v>
      </c>
      <c r="Q832" s="69" t="s">
        <v>51</v>
      </c>
      <c r="R832" s="69"/>
      <c r="S832" s="48">
        <v>42167</v>
      </c>
      <c r="T832" s="48">
        <v>43340</v>
      </c>
      <c r="U832" s="69"/>
      <c r="V832" s="69"/>
      <c r="W832" s="69"/>
      <c r="X832" s="69"/>
      <c r="Y832" s="69" t="s">
        <v>4125</v>
      </c>
      <c r="Z832" s="52">
        <v>49000</v>
      </c>
      <c r="AA832" s="43" t="s">
        <v>52</v>
      </c>
      <c r="AB832" s="43" t="s">
        <v>53</v>
      </c>
      <c r="AC832" s="85">
        <v>1752</v>
      </c>
      <c r="AD832" s="141">
        <v>4</v>
      </c>
      <c r="AE832" s="142">
        <v>10</v>
      </c>
      <c r="AF832" s="69" t="str">
        <f t="shared" si="110"/>
        <v>4 years 292 days</v>
      </c>
      <c r="AG832" s="69">
        <v>4</v>
      </c>
      <c r="AH832" s="69">
        <v>292</v>
      </c>
      <c r="AI832" s="69">
        <v>49000</v>
      </c>
      <c r="AJ832" s="67">
        <v>49000</v>
      </c>
      <c r="AK832" s="69">
        <v>2025</v>
      </c>
      <c r="AL832" s="61">
        <v>0</v>
      </c>
      <c r="AM832" s="143"/>
    </row>
    <row r="833" spans="1:39" x14ac:dyDescent="0.35">
      <c r="A833" s="69" t="s">
        <v>4124</v>
      </c>
      <c r="B833" s="41">
        <v>1141402232</v>
      </c>
      <c r="C833" s="41"/>
      <c r="D833" s="69"/>
      <c r="E833" s="41">
        <v>0</v>
      </c>
      <c r="F833" s="41" t="s">
        <v>2454</v>
      </c>
      <c r="G833" s="69" t="s">
        <v>2453</v>
      </c>
      <c r="H833" s="41">
        <v>9011000005</v>
      </c>
      <c r="I833" s="41" t="s">
        <v>47</v>
      </c>
      <c r="J833" s="41">
        <v>1202010202</v>
      </c>
      <c r="K833" s="41"/>
      <c r="L833" s="52" t="s">
        <v>2599</v>
      </c>
      <c r="M833" s="69" t="s">
        <v>49</v>
      </c>
      <c r="N833" s="69"/>
      <c r="O833" s="69">
        <v>1</v>
      </c>
      <c r="P833" s="69" t="s">
        <v>50</v>
      </c>
      <c r="Q833" s="69" t="s">
        <v>51</v>
      </c>
      <c r="R833" s="69"/>
      <c r="S833" s="48">
        <v>42752</v>
      </c>
      <c r="T833" s="48">
        <v>43340</v>
      </c>
      <c r="U833" s="69"/>
      <c r="V833" s="69"/>
      <c r="W833" s="69"/>
      <c r="X833" s="69"/>
      <c r="Y833" s="69" t="s">
        <v>4125</v>
      </c>
      <c r="Z833" s="52">
        <v>82500</v>
      </c>
      <c r="AA833" s="43" t="s">
        <v>52</v>
      </c>
      <c r="AB833" s="43" t="s">
        <v>53</v>
      </c>
      <c r="AC833" s="85">
        <v>2336</v>
      </c>
      <c r="AD833" s="141">
        <v>6</v>
      </c>
      <c r="AE833" s="142">
        <v>5</v>
      </c>
      <c r="AF833" s="69" t="str">
        <f t="shared" si="110"/>
        <v>6 years 128 days</v>
      </c>
      <c r="AG833" s="69">
        <v>6</v>
      </c>
      <c r="AH833" s="69">
        <v>128</v>
      </c>
      <c r="AI833" s="69">
        <v>82500</v>
      </c>
      <c r="AJ833" s="67">
        <v>81829</v>
      </c>
      <c r="AK833" s="69">
        <v>2025</v>
      </c>
      <c r="AL833" s="61">
        <v>671</v>
      </c>
      <c r="AM833" s="143"/>
    </row>
    <row r="834" spans="1:39" x14ac:dyDescent="0.35">
      <c r="A834" s="69" t="s">
        <v>4124</v>
      </c>
      <c r="B834" s="41">
        <v>1141504445</v>
      </c>
      <c r="C834" s="41"/>
      <c r="D834" s="69"/>
      <c r="E834" s="41">
        <v>0</v>
      </c>
      <c r="F834" s="41" t="s">
        <v>2454</v>
      </c>
      <c r="G834" s="69" t="s">
        <v>2453</v>
      </c>
      <c r="H834" s="41">
        <v>9011000005</v>
      </c>
      <c r="I834" s="41" t="s">
        <v>47</v>
      </c>
      <c r="J834" s="41">
        <v>1202010202</v>
      </c>
      <c r="K834" s="41"/>
      <c r="L834" s="52" t="s">
        <v>2610</v>
      </c>
      <c r="M834" s="69" t="s">
        <v>2611</v>
      </c>
      <c r="N834" s="69"/>
      <c r="O834" s="69">
        <v>2156</v>
      </c>
      <c r="P834" s="69" t="s">
        <v>50</v>
      </c>
      <c r="Q834" s="69" t="s">
        <v>51</v>
      </c>
      <c r="R834" s="69"/>
      <c r="S834" s="48">
        <v>44651</v>
      </c>
      <c r="T834" s="48">
        <v>44651</v>
      </c>
      <c r="U834" s="69"/>
      <c r="V834" s="69"/>
      <c r="W834" s="69"/>
      <c r="X834" s="69"/>
      <c r="Y834" s="69" t="s">
        <v>4131</v>
      </c>
      <c r="Z834" s="52">
        <v>303455</v>
      </c>
      <c r="AA834" s="43" t="s">
        <v>52</v>
      </c>
      <c r="AB834" s="43" t="s">
        <v>53</v>
      </c>
      <c r="AC834" s="85">
        <v>1825</v>
      </c>
      <c r="AD834" s="141">
        <v>5</v>
      </c>
      <c r="AE834" s="142">
        <v>0</v>
      </c>
      <c r="AF834" s="69" t="str">
        <f t="shared" si="110"/>
        <v>2 years 277 days</v>
      </c>
      <c r="AG834" s="69">
        <v>2</v>
      </c>
      <c r="AH834" s="69">
        <v>277</v>
      </c>
      <c r="AI834" s="69">
        <v>303455</v>
      </c>
      <c r="AJ834" s="67">
        <v>167524</v>
      </c>
      <c r="AK834" s="69">
        <v>2025</v>
      </c>
      <c r="AL834" s="61">
        <v>30095.872602739721</v>
      </c>
      <c r="AM834" s="143"/>
    </row>
    <row r="835" spans="1:39" x14ac:dyDescent="0.35">
      <c r="A835" s="69" t="s">
        <v>4124</v>
      </c>
      <c r="B835" s="41">
        <v>1141404590</v>
      </c>
      <c r="C835" s="41"/>
      <c r="D835" s="69"/>
      <c r="E835" s="41">
        <v>0</v>
      </c>
      <c r="F835" s="41" t="s">
        <v>2454</v>
      </c>
      <c r="G835" s="69" t="s">
        <v>2453</v>
      </c>
      <c r="H835" s="41">
        <v>9011000005</v>
      </c>
      <c r="I835" s="41" t="s">
        <v>47</v>
      </c>
      <c r="J835" s="41">
        <v>1202010202</v>
      </c>
      <c r="K835" s="41"/>
      <c r="L835" s="52" t="s">
        <v>2601</v>
      </c>
      <c r="M835" s="69" t="s">
        <v>2602</v>
      </c>
      <c r="N835" s="69"/>
      <c r="O835" s="69">
        <v>1</v>
      </c>
      <c r="P835" s="69" t="s">
        <v>50</v>
      </c>
      <c r="Q835" s="69" t="s">
        <v>51</v>
      </c>
      <c r="R835" s="69"/>
      <c r="S835" s="48">
        <v>44927</v>
      </c>
      <c r="T835" s="48">
        <v>44927</v>
      </c>
      <c r="U835" s="69"/>
      <c r="V835" s="69"/>
      <c r="W835" s="69"/>
      <c r="X835" s="69"/>
      <c r="Y835" s="69" t="s">
        <v>4129</v>
      </c>
      <c r="Z835" s="52">
        <v>328438</v>
      </c>
      <c r="AA835" s="43" t="s">
        <v>52</v>
      </c>
      <c r="AB835" s="43" t="s">
        <v>53</v>
      </c>
      <c r="AC835" s="85">
        <v>1825</v>
      </c>
      <c r="AD835" s="141">
        <v>5</v>
      </c>
      <c r="AE835" s="142">
        <v>0</v>
      </c>
      <c r="AF835" s="69" t="str">
        <f t="shared" si="110"/>
        <v>2 years 1 days</v>
      </c>
      <c r="AG835" s="69">
        <v>2</v>
      </c>
      <c r="AH835" s="69">
        <v>1</v>
      </c>
      <c r="AI835" s="69">
        <v>328438</v>
      </c>
      <c r="AJ835" s="67">
        <v>131555</v>
      </c>
      <c r="AK835" s="69">
        <v>2025</v>
      </c>
      <c r="AL835" s="61">
        <v>32574.016986301373</v>
      </c>
      <c r="AM835" s="143"/>
    </row>
    <row r="836" spans="1:39" x14ac:dyDescent="0.35">
      <c r="A836" s="69" t="s">
        <v>4124</v>
      </c>
      <c r="B836" s="41">
        <v>1141404881</v>
      </c>
      <c r="C836" s="41"/>
      <c r="D836" s="69"/>
      <c r="E836" s="41">
        <v>0</v>
      </c>
      <c r="F836" s="41" t="s">
        <v>2454</v>
      </c>
      <c r="G836" s="69" t="s">
        <v>2453</v>
      </c>
      <c r="H836" s="41">
        <v>9011000005</v>
      </c>
      <c r="I836" s="41" t="s">
        <v>47</v>
      </c>
      <c r="J836" s="41">
        <v>1202010202</v>
      </c>
      <c r="K836" s="41"/>
      <c r="L836" s="52" t="s">
        <v>2604</v>
      </c>
      <c r="M836" s="69" t="s">
        <v>2605</v>
      </c>
      <c r="N836" s="69"/>
      <c r="O836" s="69">
        <v>12</v>
      </c>
      <c r="P836" s="69" t="s">
        <v>50</v>
      </c>
      <c r="Q836" s="69" t="s">
        <v>51</v>
      </c>
      <c r="R836" s="69"/>
      <c r="S836" s="48">
        <v>45170</v>
      </c>
      <c r="T836" s="48">
        <v>45170</v>
      </c>
      <c r="U836" s="69"/>
      <c r="V836" s="69"/>
      <c r="W836" s="69"/>
      <c r="X836" s="69"/>
      <c r="Y836" s="69" t="s">
        <v>4129</v>
      </c>
      <c r="Z836" s="52">
        <v>78700.800000000003</v>
      </c>
      <c r="AA836" s="43" t="s">
        <v>52</v>
      </c>
      <c r="AB836" s="43" t="s">
        <v>53</v>
      </c>
      <c r="AC836" s="85">
        <v>1825</v>
      </c>
      <c r="AD836" s="141">
        <v>5</v>
      </c>
      <c r="AE836" s="142">
        <v>0</v>
      </c>
      <c r="AF836" s="69" t="str">
        <f t="shared" si="110"/>
        <v>1 years 123 days</v>
      </c>
      <c r="AG836" s="69">
        <v>1</v>
      </c>
      <c r="AH836" s="69">
        <v>123</v>
      </c>
      <c r="AI836" s="69">
        <v>78700.800000000003</v>
      </c>
      <c r="AJ836" s="67">
        <v>21044</v>
      </c>
      <c r="AK836" s="69">
        <v>2025</v>
      </c>
      <c r="AL836" s="61">
        <v>7805.7727123287659</v>
      </c>
      <c r="AM836" s="143"/>
    </row>
    <row r="837" spans="1:39" x14ac:dyDescent="0.35">
      <c r="A837" s="69" t="s">
        <v>4124</v>
      </c>
      <c r="B837" s="41">
        <v>1141404904</v>
      </c>
      <c r="C837" s="41"/>
      <c r="D837" s="69"/>
      <c r="E837" s="41">
        <v>0</v>
      </c>
      <c r="F837" s="41" t="s">
        <v>2454</v>
      </c>
      <c r="G837" s="69" t="s">
        <v>2453</v>
      </c>
      <c r="H837" s="41">
        <v>9011000005</v>
      </c>
      <c r="I837" s="41" t="s">
        <v>47</v>
      </c>
      <c r="J837" s="41">
        <v>1202010202</v>
      </c>
      <c r="K837" s="41"/>
      <c r="L837" s="52" t="s">
        <v>2607</v>
      </c>
      <c r="M837" s="69" t="s">
        <v>2608</v>
      </c>
      <c r="N837" s="69"/>
      <c r="O837" s="69">
        <v>8</v>
      </c>
      <c r="P837" s="69" t="s">
        <v>50</v>
      </c>
      <c r="Q837" s="69" t="s">
        <v>51</v>
      </c>
      <c r="R837" s="69"/>
      <c r="S837" s="48">
        <v>45185</v>
      </c>
      <c r="T837" s="48">
        <v>45185</v>
      </c>
      <c r="U837" s="69"/>
      <c r="V837" s="69"/>
      <c r="W837" s="69"/>
      <c r="X837" s="69"/>
      <c r="Y837" s="69" t="s">
        <v>4129</v>
      </c>
      <c r="Z837" s="52">
        <v>52967.199999999997</v>
      </c>
      <c r="AA837" s="43" t="s">
        <v>52</v>
      </c>
      <c r="AB837" s="43" t="s">
        <v>53</v>
      </c>
      <c r="AC837" s="85">
        <v>1825</v>
      </c>
      <c r="AD837" s="141">
        <v>5</v>
      </c>
      <c r="AE837" s="142">
        <v>0</v>
      </c>
      <c r="AF837" s="69" t="str">
        <f t="shared" si="110"/>
        <v>1 years 108 days</v>
      </c>
      <c r="AG837" s="69">
        <v>1</v>
      </c>
      <c r="AH837" s="69">
        <v>108</v>
      </c>
      <c r="AI837" s="69">
        <v>52967.199999999997</v>
      </c>
      <c r="AJ837" s="67">
        <v>13728</v>
      </c>
      <c r="AK837" s="69">
        <v>2025</v>
      </c>
      <c r="AL837" s="61">
        <v>5253.1226301369861</v>
      </c>
      <c r="AM837" s="143"/>
    </row>
    <row r="838" spans="1:39" x14ac:dyDescent="0.35">
      <c r="A838" s="69" t="s">
        <v>4124</v>
      </c>
      <c r="B838" s="41">
        <v>1141404975</v>
      </c>
      <c r="C838" s="41"/>
      <c r="D838" s="69"/>
      <c r="E838" s="41">
        <v>0</v>
      </c>
      <c r="F838" s="41" t="s">
        <v>2454</v>
      </c>
      <c r="G838" s="69" t="s">
        <v>2453</v>
      </c>
      <c r="H838" s="41">
        <v>9011000006</v>
      </c>
      <c r="I838" s="41" t="s">
        <v>47</v>
      </c>
      <c r="J838" s="41">
        <v>1202010202</v>
      </c>
      <c r="K838" s="41"/>
      <c r="L838" s="52" t="s">
        <v>2613</v>
      </c>
      <c r="M838" s="69" t="s">
        <v>2614</v>
      </c>
      <c r="N838" s="69"/>
      <c r="O838" s="69">
        <v>3</v>
      </c>
      <c r="P838" s="69" t="s">
        <v>50</v>
      </c>
      <c r="Q838" s="69" t="s">
        <v>51</v>
      </c>
      <c r="R838" s="69"/>
      <c r="S838" s="48">
        <v>45231</v>
      </c>
      <c r="T838" s="48">
        <v>45231</v>
      </c>
      <c r="U838" s="69"/>
      <c r="V838" s="69"/>
      <c r="W838" s="69"/>
      <c r="X838" s="69"/>
      <c r="Y838" s="69" t="s">
        <v>4129</v>
      </c>
      <c r="Z838" s="52">
        <v>27165.599999999999</v>
      </c>
      <c r="AA838" s="43" t="s">
        <v>52</v>
      </c>
      <c r="AB838" s="43" t="s">
        <v>53</v>
      </c>
      <c r="AC838" s="85">
        <v>1825</v>
      </c>
      <c r="AD838" s="141">
        <v>5</v>
      </c>
      <c r="AE838" s="142">
        <v>0</v>
      </c>
      <c r="AF838" s="69" t="str">
        <f t="shared" si="110"/>
        <v>1 years 62 days</v>
      </c>
      <c r="AG838" s="69">
        <v>1</v>
      </c>
      <c r="AH838" s="69">
        <v>62</v>
      </c>
      <c r="AI838" s="69">
        <v>27165.599999999999</v>
      </c>
      <c r="AJ838" s="67">
        <v>6356</v>
      </c>
      <c r="AK838" s="69">
        <v>2025</v>
      </c>
      <c r="AL838" s="61">
        <v>2694.2382465753435</v>
      </c>
      <c r="AM838" s="143"/>
    </row>
    <row r="839" spans="1:39" x14ac:dyDescent="0.35">
      <c r="A839" s="69" t="s">
        <v>4124</v>
      </c>
      <c r="B839" s="41">
        <v>1141401497</v>
      </c>
      <c r="C839" s="41"/>
      <c r="D839" s="69"/>
      <c r="E839" s="41">
        <v>0</v>
      </c>
      <c r="F839" s="41" t="s">
        <v>2454</v>
      </c>
      <c r="G839" s="69" t="s">
        <v>2453</v>
      </c>
      <c r="H839" s="41">
        <v>9011000007</v>
      </c>
      <c r="I839" s="41" t="s">
        <v>261</v>
      </c>
      <c r="J839" s="41">
        <v>1202010217</v>
      </c>
      <c r="K839" s="41"/>
      <c r="L839" s="52" t="s">
        <v>2616</v>
      </c>
      <c r="M839" s="69" t="s">
        <v>49</v>
      </c>
      <c r="N839" s="69"/>
      <c r="O839" s="69">
        <v>1</v>
      </c>
      <c r="P839" s="69" t="s">
        <v>50</v>
      </c>
      <c r="Q839" s="69" t="s">
        <v>51</v>
      </c>
      <c r="R839" s="69"/>
      <c r="S839" s="48">
        <v>41897</v>
      </c>
      <c r="T839" s="48">
        <v>43340</v>
      </c>
      <c r="U839" s="69"/>
      <c r="V839" s="69"/>
      <c r="W839" s="69"/>
      <c r="X839" s="69"/>
      <c r="Y839" s="69" t="s">
        <v>4125</v>
      </c>
      <c r="Z839" s="52">
        <v>15500</v>
      </c>
      <c r="AA839" s="43" t="s">
        <v>52</v>
      </c>
      <c r="AB839" s="43" t="s">
        <v>53</v>
      </c>
      <c r="AC839" s="85">
        <v>1424</v>
      </c>
      <c r="AD839" s="141">
        <v>3</v>
      </c>
      <c r="AE839" s="142">
        <v>11</v>
      </c>
      <c r="AF839" s="69" t="str">
        <f t="shared" si="110"/>
        <v>3 years 329 days</v>
      </c>
      <c r="AG839" s="69">
        <v>3</v>
      </c>
      <c r="AH839" s="69">
        <v>329</v>
      </c>
      <c r="AI839" s="69">
        <v>15500</v>
      </c>
      <c r="AJ839" s="67">
        <v>15500</v>
      </c>
      <c r="AK839" s="69">
        <v>2025</v>
      </c>
      <c r="AL839" s="61">
        <v>0</v>
      </c>
      <c r="AM839" s="143"/>
    </row>
    <row r="840" spans="1:39" x14ac:dyDescent="0.35">
      <c r="A840" s="69" t="s">
        <v>4124</v>
      </c>
      <c r="B840" s="41">
        <v>1101403104</v>
      </c>
      <c r="C840" s="41"/>
      <c r="D840" s="69"/>
      <c r="E840" s="41">
        <v>0</v>
      </c>
      <c r="F840" s="41" t="s">
        <v>2454</v>
      </c>
      <c r="G840" s="69" t="s">
        <v>2453</v>
      </c>
      <c r="H840" s="41">
        <v>9011000007</v>
      </c>
      <c r="I840" s="41" t="s">
        <v>261</v>
      </c>
      <c r="J840" s="41">
        <v>1202010217</v>
      </c>
      <c r="K840" s="41"/>
      <c r="L840" s="52" t="s">
        <v>2618</v>
      </c>
      <c r="M840" s="69" t="s">
        <v>2619</v>
      </c>
      <c r="N840" s="69"/>
      <c r="O840" s="69">
        <v>30</v>
      </c>
      <c r="P840" s="69" t="s">
        <v>50</v>
      </c>
      <c r="Q840" s="69" t="s">
        <v>51</v>
      </c>
      <c r="R840" s="69"/>
      <c r="S840" s="48">
        <v>43791</v>
      </c>
      <c r="T840" s="48">
        <v>43791</v>
      </c>
      <c r="U840" s="69"/>
      <c r="V840" s="69"/>
      <c r="W840" s="69"/>
      <c r="X840" s="69"/>
      <c r="Y840" s="69" t="s">
        <v>4126</v>
      </c>
      <c r="Z840" s="52">
        <v>120000</v>
      </c>
      <c r="AA840" s="43" t="s">
        <v>52</v>
      </c>
      <c r="AB840" s="43" t="s">
        <v>53</v>
      </c>
      <c r="AC840" s="85">
        <v>3650</v>
      </c>
      <c r="AD840" s="141">
        <v>10</v>
      </c>
      <c r="AE840" s="142">
        <v>0</v>
      </c>
      <c r="AF840" s="69" t="str">
        <f t="shared" si="110"/>
        <v>5 years 42 days</v>
      </c>
      <c r="AG840" s="69">
        <v>5</v>
      </c>
      <c r="AH840" s="69">
        <v>42</v>
      </c>
      <c r="AI840" s="69">
        <v>120000</v>
      </c>
      <c r="AJ840" s="67">
        <v>61381</v>
      </c>
      <c r="AK840" s="69">
        <v>2025</v>
      </c>
      <c r="AL840" s="61">
        <v>5950.5068493150757</v>
      </c>
      <c r="AM840" s="143"/>
    </row>
    <row r="841" spans="1:39" x14ac:dyDescent="0.35">
      <c r="A841" s="69" t="s">
        <v>4124</v>
      </c>
      <c r="B841" s="41">
        <v>1101403105</v>
      </c>
      <c r="C841" s="41"/>
      <c r="D841" s="69"/>
      <c r="E841" s="41">
        <v>0</v>
      </c>
      <c r="F841" s="41" t="s">
        <v>2454</v>
      </c>
      <c r="G841" s="69" t="s">
        <v>2453</v>
      </c>
      <c r="H841" s="41">
        <v>9011000007</v>
      </c>
      <c r="I841" s="41" t="s">
        <v>261</v>
      </c>
      <c r="J841" s="41">
        <v>1202010217</v>
      </c>
      <c r="K841" s="41"/>
      <c r="L841" s="52" t="s">
        <v>2621</v>
      </c>
      <c r="M841" s="69" t="s">
        <v>2622</v>
      </c>
      <c r="N841" s="69"/>
      <c r="O841" s="69">
        <v>40</v>
      </c>
      <c r="P841" s="69" t="s">
        <v>50</v>
      </c>
      <c r="Q841" s="69" t="s">
        <v>51</v>
      </c>
      <c r="R841" s="69"/>
      <c r="S841" s="48">
        <v>43791</v>
      </c>
      <c r="T841" s="48">
        <v>43791</v>
      </c>
      <c r="U841" s="69"/>
      <c r="V841" s="69"/>
      <c r="W841" s="69"/>
      <c r="X841" s="69"/>
      <c r="Y841" s="69" t="s">
        <v>4126</v>
      </c>
      <c r="Z841" s="52">
        <v>356000</v>
      </c>
      <c r="AA841" s="43" t="s">
        <v>52</v>
      </c>
      <c r="AB841" s="43" t="s">
        <v>53</v>
      </c>
      <c r="AC841" s="85">
        <v>3650</v>
      </c>
      <c r="AD841" s="141">
        <v>10</v>
      </c>
      <c r="AE841" s="142">
        <v>0</v>
      </c>
      <c r="AF841" s="69" t="str">
        <f t="shared" si="110"/>
        <v>5 years 42 days</v>
      </c>
      <c r="AG841" s="69">
        <v>5</v>
      </c>
      <c r="AH841" s="69">
        <v>42</v>
      </c>
      <c r="AI841" s="69">
        <v>356000</v>
      </c>
      <c r="AJ841" s="67">
        <v>182096</v>
      </c>
      <c r="AK841" s="69">
        <v>2025</v>
      </c>
      <c r="AL841" s="61">
        <v>17654.136986301368</v>
      </c>
      <c r="AM841" s="143"/>
    </row>
    <row r="842" spans="1:39" x14ac:dyDescent="0.35">
      <c r="A842" s="69" t="s">
        <v>4124</v>
      </c>
      <c r="B842" s="41">
        <v>1101403517</v>
      </c>
      <c r="C842" s="41"/>
      <c r="D842" s="69"/>
      <c r="E842" s="41">
        <v>0</v>
      </c>
      <c r="F842" s="41" t="s">
        <v>2454</v>
      </c>
      <c r="G842" s="69" t="s">
        <v>2453</v>
      </c>
      <c r="H842" s="41">
        <v>9011000007</v>
      </c>
      <c r="I842" s="41" t="s">
        <v>261</v>
      </c>
      <c r="J842" s="41">
        <v>1202010217</v>
      </c>
      <c r="K842" s="41"/>
      <c r="L842" s="52" t="s">
        <v>2624</v>
      </c>
      <c r="M842" s="69" t="s">
        <v>2625</v>
      </c>
      <c r="N842" s="69"/>
      <c r="O842" s="69">
        <v>1</v>
      </c>
      <c r="P842" s="69" t="s">
        <v>50</v>
      </c>
      <c r="Q842" s="69" t="s">
        <v>51</v>
      </c>
      <c r="R842" s="69"/>
      <c r="S842" s="48">
        <v>44204</v>
      </c>
      <c r="T842" s="48">
        <v>44204</v>
      </c>
      <c r="U842" s="69"/>
      <c r="V842" s="69"/>
      <c r="W842" s="69"/>
      <c r="X842" s="69"/>
      <c r="Y842" s="69" t="s">
        <v>4128</v>
      </c>
      <c r="Z842" s="52">
        <v>52950</v>
      </c>
      <c r="AA842" s="43" t="s">
        <v>52</v>
      </c>
      <c r="AB842" s="43" t="s">
        <v>53</v>
      </c>
      <c r="AC842" s="85">
        <v>3650</v>
      </c>
      <c r="AD842" s="141">
        <v>10</v>
      </c>
      <c r="AE842" s="142">
        <v>0</v>
      </c>
      <c r="AF842" s="69" t="str">
        <f t="shared" ref="AF842:AF885" si="111">_xlfn.CONCAT(AG842," years ",AH842," days")</f>
        <v>3 years 359 days</v>
      </c>
      <c r="AG842" s="69">
        <v>3</v>
      </c>
      <c r="AH842" s="69">
        <v>359</v>
      </c>
      <c r="AI842" s="69">
        <v>52950</v>
      </c>
      <c r="AJ842" s="67">
        <v>21093</v>
      </c>
      <c r="AK842" s="69">
        <v>2025</v>
      </c>
      <c r="AL842" s="61">
        <v>2625.6986301369834</v>
      </c>
      <c r="AM842" s="143"/>
    </row>
    <row r="843" spans="1:39" x14ac:dyDescent="0.35">
      <c r="A843" s="69" t="s">
        <v>4124</v>
      </c>
      <c r="B843" s="41">
        <v>1101403815</v>
      </c>
      <c r="C843" s="41"/>
      <c r="D843" s="69"/>
      <c r="E843" s="41">
        <v>0</v>
      </c>
      <c r="F843" s="41" t="s">
        <v>2454</v>
      </c>
      <c r="G843" s="69" t="s">
        <v>2453</v>
      </c>
      <c r="H843" s="41">
        <v>9011000007</v>
      </c>
      <c r="I843" s="41" t="s">
        <v>261</v>
      </c>
      <c r="J843" s="41">
        <v>1202010217</v>
      </c>
      <c r="K843" s="41"/>
      <c r="L843" s="52" t="s">
        <v>2627</v>
      </c>
      <c r="M843" s="69" t="s">
        <v>2628</v>
      </c>
      <c r="N843" s="69"/>
      <c r="O843" s="69">
        <v>11</v>
      </c>
      <c r="P843" s="69" t="s">
        <v>50</v>
      </c>
      <c r="Q843" s="69" t="s">
        <v>51</v>
      </c>
      <c r="R843" s="69"/>
      <c r="S843" s="48">
        <v>44426</v>
      </c>
      <c r="T843" s="48">
        <v>44426</v>
      </c>
      <c r="U843" s="69"/>
      <c r="V843" s="69"/>
      <c r="W843" s="69"/>
      <c r="X843" s="69"/>
      <c r="Y843" s="69" t="s">
        <v>4128</v>
      </c>
      <c r="Z843" s="52">
        <v>18120</v>
      </c>
      <c r="AA843" s="43" t="s">
        <v>52</v>
      </c>
      <c r="AB843" s="43" t="s">
        <v>53</v>
      </c>
      <c r="AC843" s="85">
        <v>3650</v>
      </c>
      <c r="AD843" s="141">
        <v>10</v>
      </c>
      <c r="AE843" s="142">
        <v>0</v>
      </c>
      <c r="AF843" s="69" t="str">
        <f t="shared" si="111"/>
        <v>3 years 137 days</v>
      </c>
      <c r="AG843" s="69">
        <v>3</v>
      </c>
      <c r="AH843" s="69">
        <v>137</v>
      </c>
      <c r="AI843" s="69">
        <v>18120</v>
      </c>
      <c r="AJ843" s="67">
        <v>6116</v>
      </c>
      <c r="AK843" s="69">
        <v>2025</v>
      </c>
      <c r="AL843" s="61">
        <v>898.67397260273901</v>
      </c>
      <c r="AM843" s="143"/>
    </row>
    <row r="844" spans="1:39" x14ac:dyDescent="0.35">
      <c r="A844" s="69" t="s">
        <v>4124</v>
      </c>
      <c r="B844" s="41">
        <v>1101403843</v>
      </c>
      <c r="C844" s="41"/>
      <c r="D844" s="69"/>
      <c r="E844" s="41">
        <v>0</v>
      </c>
      <c r="F844" s="41" t="s">
        <v>2454</v>
      </c>
      <c r="G844" s="69" t="s">
        <v>2453</v>
      </c>
      <c r="H844" s="41">
        <v>9011000007</v>
      </c>
      <c r="I844" s="41" t="s">
        <v>261</v>
      </c>
      <c r="J844" s="41">
        <v>1202010217</v>
      </c>
      <c r="K844" s="41"/>
      <c r="L844" s="52" t="s">
        <v>2630</v>
      </c>
      <c r="M844" s="69" t="s">
        <v>2631</v>
      </c>
      <c r="N844" s="69"/>
      <c r="O844" s="69">
        <v>1</v>
      </c>
      <c r="P844" s="69" t="s">
        <v>50</v>
      </c>
      <c r="Q844" s="69" t="s">
        <v>51</v>
      </c>
      <c r="R844" s="69"/>
      <c r="S844" s="48">
        <v>44459</v>
      </c>
      <c r="T844" s="48">
        <v>44459</v>
      </c>
      <c r="U844" s="69"/>
      <c r="V844" s="69"/>
      <c r="W844" s="69"/>
      <c r="X844" s="69"/>
      <c r="Y844" s="69" t="s">
        <v>4128</v>
      </c>
      <c r="Z844" s="52">
        <v>19350</v>
      </c>
      <c r="AA844" s="43" t="s">
        <v>52</v>
      </c>
      <c r="AB844" s="43" t="s">
        <v>53</v>
      </c>
      <c r="AC844" s="85">
        <v>3650</v>
      </c>
      <c r="AD844" s="141">
        <v>10</v>
      </c>
      <c r="AE844" s="142">
        <v>0</v>
      </c>
      <c r="AF844" s="69" t="str">
        <f t="shared" si="111"/>
        <v>3 years 104 days</v>
      </c>
      <c r="AG844" s="69">
        <v>3</v>
      </c>
      <c r="AH844" s="69">
        <v>104</v>
      </c>
      <c r="AI844" s="69">
        <v>19350</v>
      </c>
      <c r="AJ844" s="67">
        <v>6356</v>
      </c>
      <c r="AK844" s="69">
        <v>2025</v>
      </c>
      <c r="AL844" s="61">
        <v>959.89041095890389</v>
      </c>
      <c r="AM844" s="143"/>
    </row>
    <row r="845" spans="1:39" x14ac:dyDescent="0.35">
      <c r="A845" s="69" t="s">
        <v>4124</v>
      </c>
      <c r="B845" s="41">
        <v>1141404030</v>
      </c>
      <c r="C845" s="41"/>
      <c r="D845" s="69"/>
      <c r="E845" s="41">
        <v>0</v>
      </c>
      <c r="F845" s="41" t="s">
        <v>2454</v>
      </c>
      <c r="G845" s="69" t="s">
        <v>2453</v>
      </c>
      <c r="H845" s="41">
        <v>9011000007</v>
      </c>
      <c r="I845" s="41" t="s">
        <v>261</v>
      </c>
      <c r="J845" s="41">
        <v>1202010217</v>
      </c>
      <c r="K845" s="41"/>
      <c r="L845" s="52" t="s">
        <v>2633</v>
      </c>
      <c r="M845" s="69" t="s">
        <v>2634</v>
      </c>
      <c r="N845" s="69"/>
      <c r="O845" s="69">
        <v>15</v>
      </c>
      <c r="P845" s="69" t="s">
        <v>50</v>
      </c>
      <c r="Q845" s="69" t="s">
        <v>51</v>
      </c>
      <c r="R845" s="69"/>
      <c r="S845" s="48">
        <v>44621</v>
      </c>
      <c r="T845" s="48">
        <v>44621</v>
      </c>
      <c r="U845" s="69"/>
      <c r="V845" s="69"/>
      <c r="W845" s="69"/>
      <c r="X845" s="69"/>
      <c r="Y845" s="69" t="s">
        <v>4131</v>
      </c>
      <c r="Z845" s="52">
        <v>39900</v>
      </c>
      <c r="AA845" s="43" t="s">
        <v>52</v>
      </c>
      <c r="AB845" s="43" t="s">
        <v>53</v>
      </c>
      <c r="AC845" s="85">
        <v>1825</v>
      </c>
      <c r="AD845" s="141">
        <v>5</v>
      </c>
      <c r="AE845" s="142">
        <v>0</v>
      </c>
      <c r="AF845" s="69" t="str">
        <f t="shared" si="111"/>
        <v>2 years 307 days</v>
      </c>
      <c r="AG845" s="69">
        <v>2</v>
      </c>
      <c r="AH845" s="69">
        <v>307</v>
      </c>
      <c r="AI845" s="69">
        <v>39900</v>
      </c>
      <c r="AJ845" s="67">
        <v>22333</v>
      </c>
      <c r="AK845" s="69">
        <v>2025</v>
      </c>
      <c r="AL845" s="61">
        <v>3957.2739726027394</v>
      </c>
      <c r="AM845" s="143"/>
    </row>
    <row r="846" spans="1:39" x14ac:dyDescent="0.35">
      <c r="A846" s="69" t="s">
        <v>4124</v>
      </c>
      <c r="B846" s="41">
        <v>1101404032</v>
      </c>
      <c r="C846" s="41"/>
      <c r="D846" s="69"/>
      <c r="E846" s="41">
        <v>0</v>
      </c>
      <c r="F846" s="41" t="s">
        <v>2454</v>
      </c>
      <c r="G846" s="69" t="s">
        <v>2453</v>
      </c>
      <c r="H846" s="41">
        <v>9011000007</v>
      </c>
      <c r="I846" s="41" t="s">
        <v>261</v>
      </c>
      <c r="J846" s="41">
        <v>1202010217</v>
      </c>
      <c r="K846" s="41"/>
      <c r="L846" s="52" t="s">
        <v>2636</v>
      </c>
      <c r="M846" s="69" t="s">
        <v>2637</v>
      </c>
      <c r="N846" s="69"/>
      <c r="O846" s="69">
        <v>3</v>
      </c>
      <c r="P846" s="69" t="s">
        <v>50</v>
      </c>
      <c r="Q846" s="69" t="s">
        <v>51</v>
      </c>
      <c r="R846" s="69"/>
      <c r="S846" s="48">
        <v>44621</v>
      </c>
      <c r="T846" s="48">
        <v>44621</v>
      </c>
      <c r="U846" s="69"/>
      <c r="V846" s="69"/>
      <c r="W846" s="69"/>
      <c r="X846" s="69"/>
      <c r="Y846" s="69" t="s">
        <v>4131</v>
      </c>
      <c r="Z846" s="52">
        <v>5700</v>
      </c>
      <c r="AA846" s="43" t="s">
        <v>52</v>
      </c>
      <c r="AB846" s="43" t="s">
        <v>53</v>
      </c>
      <c r="AC846" s="85">
        <v>3650</v>
      </c>
      <c r="AD846" s="141">
        <v>10</v>
      </c>
      <c r="AE846" s="142">
        <v>0</v>
      </c>
      <c r="AF846" s="69" t="str">
        <f t="shared" si="111"/>
        <v>2 years 307 days</v>
      </c>
      <c r="AG846" s="69">
        <v>2</v>
      </c>
      <c r="AH846" s="69">
        <v>307</v>
      </c>
      <c r="AI846" s="69">
        <v>5700</v>
      </c>
      <c r="AJ846" s="67">
        <v>1619</v>
      </c>
      <c r="AK846" s="69">
        <v>2025</v>
      </c>
      <c r="AL846" s="61">
        <v>283.08219178082186</v>
      </c>
      <c r="AM846" s="143"/>
    </row>
    <row r="847" spans="1:39" x14ac:dyDescent="0.35">
      <c r="A847" s="69" t="s">
        <v>4124</v>
      </c>
      <c r="B847" s="41">
        <v>1101404033</v>
      </c>
      <c r="C847" s="41"/>
      <c r="D847" s="69"/>
      <c r="E847" s="41">
        <v>0</v>
      </c>
      <c r="F847" s="41" t="s">
        <v>2454</v>
      </c>
      <c r="G847" s="69" t="s">
        <v>2453</v>
      </c>
      <c r="H847" s="41">
        <v>9011000007</v>
      </c>
      <c r="I847" s="41" t="s">
        <v>261</v>
      </c>
      <c r="J847" s="41">
        <v>1202010217</v>
      </c>
      <c r="K847" s="41"/>
      <c r="L847" s="52" t="s">
        <v>2639</v>
      </c>
      <c r="M847" s="69" t="s">
        <v>2640</v>
      </c>
      <c r="N847" s="69"/>
      <c r="O847" s="69">
        <v>20</v>
      </c>
      <c r="P847" s="69" t="s">
        <v>50</v>
      </c>
      <c r="Q847" s="69" t="s">
        <v>51</v>
      </c>
      <c r="R847" s="69"/>
      <c r="S847" s="48">
        <v>44621</v>
      </c>
      <c r="T847" s="48">
        <v>44621</v>
      </c>
      <c r="U847" s="69"/>
      <c r="V847" s="69"/>
      <c r="W847" s="69"/>
      <c r="X847" s="69"/>
      <c r="Y847" s="69" t="s">
        <v>4131</v>
      </c>
      <c r="Z847" s="52">
        <v>157400</v>
      </c>
      <c r="AA847" s="43" t="s">
        <v>52</v>
      </c>
      <c r="AB847" s="43" t="s">
        <v>53</v>
      </c>
      <c r="AC847" s="85">
        <v>3650</v>
      </c>
      <c r="AD847" s="141">
        <v>10</v>
      </c>
      <c r="AE847" s="142">
        <v>0</v>
      </c>
      <c r="AF847" s="69" t="str">
        <f t="shared" si="111"/>
        <v>2 years 307 days</v>
      </c>
      <c r="AG847" s="69">
        <v>2</v>
      </c>
      <c r="AH847" s="69">
        <v>307</v>
      </c>
      <c r="AI847" s="69">
        <v>157400</v>
      </c>
      <c r="AJ847" s="67">
        <v>44719</v>
      </c>
      <c r="AK847" s="69">
        <v>2025</v>
      </c>
      <c r="AL847" s="61">
        <v>7805.1643835616414</v>
      </c>
      <c r="AM847" s="143"/>
    </row>
    <row r="848" spans="1:39" x14ac:dyDescent="0.35">
      <c r="A848" s="69" t="s">
        <v>4124</v>
      </c>
      <c r="B848" s="41">
        <v>1101404088</v>
      </c>
      <c r="C848" s="41"/>
      <c r="D848" s="69"/>
      <c r="E848" s="41">
        <v>0</v>
      </c>
      <c r="F848" s="41" t="s">
        <v>2454</v>
      </c>
      <c r="G848" s="69" t="s">
        <v>2453</v>
      </c>
      <c r="H848" s="41">
        <v>9011000007</v>
      </c>
      <c r="I848" s="41" t="s">
        <v>261</v>
      </c>
      <c r="J848" s="41">
        <v>1202010217</v>
      </c>
      <c r="K848" s="41"/>
      <c r="L848" s="52" t="s">
        <v>2642</v>
      </c>
      <c r="M848" s="69" t="s">
        <v>2643</v>
      </c>
      <c r="N848" s="69"/>
      <c r="O848" s="69">
        <v>5</v>
      </c>
      <c r="P848" s="69" t="s">
        <v>50</v>
      </c>
      <c r="Q848" s="69" t="s">
        <v>51</v>
      </c>
      <c r="R848" s="69"/>
      <c r="S848" s="48">
        <v>44682</v>
      </c>
      <c r="T848" s="48">
        <v>44682</v>
      </c>
      <c r="U848" s="69"/>
      <c r="V848" s="69"/>
      <c r="W848" s="69"/>
      <c r="X848" s="69"/>
      <c r="Y848" s="69" t="s">
        <v>4131</v>
      </c>
      <c r="Z848" s="52">
        <v>9650</v>
      </c>
      <c r="AA848" s="43" t="s">
        <v>52</v>
      </c>
      <c r="AB848" s="43" t="s">
        <v>53</v>
      </c>
      <c r="AC848" s="85">
        <v>3650</v>
      </c>
      <c r="AD848" s="141">
        <v>10</v>
      </c>
      <c r="AE848" s="142">
        <v>0</v>
      </c>
      <c r="AF848" s="69" t="str">
        <f t="shared" si="111"/>
        <v>2 years 246 days</v>
      </c>
      <c r="AG848" s="69">
        <v>2</v>
      </c>
      <c r="AH848" s="69">
        <v>246</v>
      </c>
      <c r="AI848" s="69">
        <v>9650</v>
      </c>
      <c r="AJ848" s="67">
        <v>2580</v>
      </c>
      <c r="AK848" s="69">
        <v>2025</v>
      </c>
      <c r="AL848" s="61">
        <v>478.91780821917791</v>
      </c>
      <c r="AM848" s="143"/>
    </row>
    <row r="849" spans="1:39" x14ac:dyDescent="0.35">
      <c r="A849" s="69" t="s">
        <v>4124</v>
      </c>
      <c r="B849" s="41">
        <v>1101404493</v>
      </c>
      <c r="C849" s="41"/>
      <c r="D849" s="69"/>
      <c r="E849" s="41">
        <v>0</v>
      </c>
      <c r="F849" s="41" t="s">
        <v>2454</v>
      </c>
      <c r="G849" s="69" t="s">
        <v>2453</v>
      </c>
      <c r="H849" s="41">
        <v>9011000007</v>
      </c>
      <c r="I849" s="41" t="s">
        <v>261</v>
      </c>
      <c r="J849" s="41">
        <v>1202010217</v>
      </c>
      <c r="K849" s="41"/>
      <c r="L849" s="52" t="s">
        <v>2645</v>
      </c>
      <c r="M849" s="69" t="s">
        <v>2646</v>
      </c>
      <c r="N849" s="69"/>
      <c r="O849" s="69">
        <v>27</v>
      </c>
      <c r="P849" s="69" t="s">
        <v>50</v>
      </c>
      <c r="Q849" s="69" t="s">
        <v>51</v>
      </c>
      <c r="R849" s="69"/>
      <c r="S849" s="48">
        <v>44896</v>
      </c>
      <c r="T849" s="48">
        <v>44896</v>
      </c>
      <c r="U849" s="69"/>
      <c r="V849" s="69"/>
      <c r="W849" s="69"/>
      <c r="X849" s="69"/>
      <c r="Y849" s="69" t="s">
        <v>4131</v>
      </c>
      <c r="Z849" s="52">
        <v>40490</v>
      </c>
      <c r="AA849" s="43" t="s">
        <v>52</v>
      </c>
      <c r="AB849" s="43" t="s">
        <v>53</v>
      </c>
      <c r="AC849" s="85">
        <v>3650</v>
      </c>
      <c r="AD849" s="141">
        <v>10</v>
      </c>
      <c r="AE849" s="142">
        <v>0</v>
      </c>
      <c r="AF849" s="69" t="str">
        <f t="shared" si="111"/>
        <v>2 years 32 days</v>
      </c>
      <c r="AG849" s="69">
        <v>2</v>
      </c>
      <c r="AH849" s="69">
        <v>32</v>
      </c>
      <c r="AI849" s="69">
        <v>40490</v>
      </c>
      <c r="AJ849" s="67">
        <v>8453</v>
      </c>
      <c r="AK849" s="69">
        <v>2025</v>
      </c>
      <c r="AL849" s="61">
        <v>2007.8410958904115</v>
      </c>
      <c r="AM849" s="143"/>
    </row>
    <row r="850" spans="1:39" x14ac:dyDescent="0.35">
      <c r="A850" s="69" t="s">
        <v>4124</v>
      </c>
      <c r="B850" s="41">
        <v>1101404494</v>
      </c>
      <c r="C850" s="41"/>
      <c r="D850" s="69"/>
      <c r="E850" s="41">
        <v>0</v>
      </c>
      <c r="F850" s="41" t="s">
        <v>2454</v>
      </c>
      <c r="G850" s="69" t="s">
        <v>2453</v>
      </c>
      <c r="H850" s="41">
        <v>9011000007</v>
      </c>
      <c r="I850" s="41" t="s">
        <v>261</v>
      </c>
      <c r="J850" s="41">
        <v>1202010217</v>
      </c>
      <c r="K850" s="41"/>
      <c r="L850" s="52" t="s">
        <v>2648</v>
      </c>
      <c r="M850" s="69" t="s">
        <v>2649</v>
      </c>
      <c r="N850" s="69"/>
      <c r="O850" s="69">
        <v>2</v>
      </c>
      <c r="P850" s="69" t="s">
        <v>50</v>
      </c>
      <c r="Q850" s="69" t="s">
        <v>51</v>
      </c>
      <c r="R850" s="69"/>
      <c r="S850" s="48">
        <v>44896</v>
      </c>
      <c r="T850" s="48">
        <v>44896</v>
      </c>
      <c r="U850" s="69"/>
      <c r="V850" s="69"/>
      <c r="W850" s="69"/>
      <c r="X850" s="69"/>
      <c r="Y850" s="69" t="s">
        <v>4131</v>
      </c>
      <c r="Z850" s="52">
        <v>21195</v>
      </c>
      <c r="AA850" s="43" t="s">
        <v>52</v>
      </c>
      <c r="AB850" s="43" t="s">
        <v>53</v>
      </c>
      <c r="AC850" s="85">
        <v>3650</v>
      </c>
      <c r="AD850" s="141">
        <v>10</v>
      </c>
      <c r="AE850" s="142">
        <v>0</v>
      </c>
      <c r="AF850" s="69" t="str">
        <f t="shared" si="111"/>
        <v>2 years 32 days</v>
      </c>
      <c r="AG850" s="69">
        <v>2</v>
      </c>
      <c r="AH850" s="69">
        <v>32</v>
      </c>
      <c r="AI850" s="69">
        <v>21195</v>
      </c>
      <c r="AJ850" s="67">
        <v>4425</v>
      </c>
      <c r="AK850" s="69">
        <v>2025</v>
      </c>
      <c r="AL850" s="61">
        <v>1050.8589041095893</v>
      </c>
      <c r="AM850" s="143"/>
    </row>
    <row r="851" spans="1:39" x14ac:dyDescent="0.35">
      <c r="A851" s="69" t="s">
        <v>4124</v>
      </c>
      <c r="B851" s="41">
        <v>1101404643</v>
      </c>
      <c r="C851" s="41"/>
      <c r="D851" s="69"/>
      <c r="E851" s="41">
        <v>0</v>
      </c>
      <c r="F851" s="41" t="s">
        <v>2454</v>
      </c>
      <c r="G851" s="69" t="s">
        <v>2453</v>
      </c>
      <c r="H851" s="41">
        <v>9011000007</v>
      </c>
      <c r="I851" s="41" t="s">
        <v>261</v>
      </c>
      <c r="J851" s="41">
        <v>1202010217</v>
      </c>
      <c r="K851" s="41"/>
      <c r="L851" s="52" t="s">
        <v>2651</v>
      </c>
      <c r="M851" s="69" t="s">
        <v>2652</v>
      </c>
      <c r="N851" s="69"/>
      <c r="O851" s="69">
        <v>1</v>
      </c>
      <c r="P851" s="69" t="s">
        <v>50</v>
      </c>
      <c r="Q851" s="69" t="s">
        <v>51</v>
      </c>
      <c r="R851" s="69"/>
      <c r="S851" s="48">
        <v>44986</v>
      </c>
      <c r="T851" s="48">
        <v>44986</v>
      </c>
      <c r="U851" s="69"/>
      <c r="V851" s="69"/>
      <c r="W851" s="69"/>
      <c r="X851" s="69"/>
      <c r="Y851" s="69" t="s">
        <v>4129</v>
      </c>
      <c r="Z851" s="52">
        <v>64070</v>
      </c>
      <c r="AA851" s="43" t="s">
        <v>52</v>
      </c>
      <c r="AB851" s="43" t="s">
        <v>53</v>
      </c>
      <c r="AC851" s="85">
        <v>3650</v>
      </c>
      <c r="AD851" s="141">
        <v>10</v>
      </c>
      <c r="AE851" s="142">
        <v>0</v>
      </c>
      <c r="AF851" s="69" t="str">
        <f t="shared" si="111"/>
        <v>1 years 307 days</v>
      </c>
      <c r="AG851" s="69">
        <v>1</v>
      </c>
      <c r="AH851" s="69">
        <v>307</v>
      </c>
      <c r="AI851" s="69">
        <v>64070</v>
      </c>
      <c r="AJ851" s="67">
        <v>11796</v>
      </c>
      <c r="AK851" s="69">
        <v>2025</v>
      </c>
      <c r="AL851" s="61">
        <v>3177.0712328767131</v>
      </c>
      <c r="AM851" s="143"/>
    </row>
    <row r="852" spans="1:39" x14ac:dyDescent="0.35">
      <c r="A852" s="69" t="s">
        <v>4124</v>
      </c>
      <c r="B852" s="41">
        <v>1141404653</v>
      </c>
      <c r="C852" s="41"/>
      <c r="D852" s="69"/>
      <c r="E852" s="41">
        <v>0</v>
      </c>
      <c r="F852" s="41" t="s">
        <v>2454</v>
      </c>
      <c r="G852" s="69" t="s">
        <v>2453</v>
      </c>
      <c r="H852" s="41">
        <v>9011000007</v>
      </c>
      <c r="I852" s="41" t="s">
        <v>261</v>
      </c>
      <c r="J852" s="41">
        <v>1202010217</v>
      </c>
      <c r="K852" s="41"/>
      <c r="L852" s="52" t="s">
        <v>2654</v>
      </c>
      <c r="M852" s="69" t="s">
        <v>2655</v>
      </c>
      <c r="N852" s="69"/>
      <c r="O852" s="69">
        <v>30</v>
      </c>
      <c r="P852" s="69" t="s">
        <v>50</v>
      </c>
      <c r="Q852" s="69" t="s">
        <v>51</v>
      </c>
      <c r="R852" s="69"/>
      <c r="S852" s="48">
        <v>44986</v>
      </c>
      <c r="T852" s="48">
        <v>44986</v>
      </c>
      <c r="U852" s="69"/>
      <c r="V852" s="69"/>
      <c r="W852" s="69"/>
      <c r="X852" s="69"/>
      <c r="Y852" s="69" t="s">
        <v>4129</v>
      </c>
      <c r="Z852" s="52">
        <v>87915</v>
      </c>
      <c r="AA852" s="43" t="s">
        <v>52</v>
      </c>
      <c r="AB852" s="43" t="s">
        <v>53</v>
      </c>
      <c r="AC852" s="85">
        <v>1825</v>
      </c>
      <c r="AD852" s="141">
        <v>5</v>
      </c>
      <c r="AE852" s="142">
        <v>0</v>
      </c>
      <c r="AF852" s="69" t="str">
        <f t="shared" si="111"/>
        <v>1 years 307 days</v>
      </c>
      <c r="AG852" s="69">
        <v>1</v>
      </c>
      <c r="AH852" s="69">
        <v>307</v>
      </c>
      <c r="AI852" s="69">
        <v>87915</v>
      </c>
      <c r="AJ852" s="67">
        <v>32372</v>
      </c>
      <c r="AK852" s="69">
        <v>2025</v>
      </c>
      <c r="AL852" s="61">
        <v>8719.230136986298</v>
      </c>
      <c r="AM852" s="143"/>
    </row>
    <row r="853" spans="1:39" x14ac:dyDescent="0.35">
      <c r="A853" s="69" t="s">
        <v>4124</v>
      </c>
      <c r="B853" s="41">
        <v>1141404703</v>
      </c>
      <c r="C853" s="41"/>
      <c r="D853" s="69"/>
      <c r="E853" s="41">
        <v>0</v>
      </c>
      <c r="F853" s="41" t="s">
        <v>2454</v>
      </c>
      <c r="G853" s="69" t="s">
        <v>2453</v>
      </c>
      <c r="H853" s="41">
        <v>9011000007</v>
      </c>
      <c r="I853" s="41" t="s">
        <v>261</v>
      </c>
      <c r="J853" s="41">
        <v>1202010217</v>
      </c>
      <c r="K853" s="41"/>
      <c r="L853" s="52" t="s">
        <v>2657</v>
      </c>
      <c r="M853" s="69" t="s">
        <v>2658</v>
      </c>
      <c r="N853" s="69"/>
      <c r="O853" s="69">
        <v>1</v>
      </c>
      <c r="P853" s="69" t="s">
        <v>50</v>
      </c>
      <c r="Q853" s="69" t="s">
        <v>51</v>
      </c>
      <c r="R853" s="69"/>
      <c r="S853" s="48">
        <v>45016</v>
      </c>
      <c r="T853" s="48">
        <v>45016</v>
      </c>
      <c r="U853" s="69"/>
      <c r="V853" s="69"/>
      <c r="W853" s="69"/>
      <c r="X853" s="69"/>
      <c r="Y853" s="69" t="s">
        <v>4129</v>
      </c>
      <c r="Z853" s="52">
        <v>24480</v>
      </c>
      <c r="AA853" s="43" t="s">
        <v>52</v>
      </c>
      <c r="AB853" s="43" t="s">
        <v>53</v>
      </c>
      <c r="AC853" s="85">
        <v>1825</v>
      </c>
      <c r="AD853" s="141">
        <v>5</v>
      </c>
      <c r="AE853" s="142">
        <v>0</v>
      </c>
      <c r="AF853" s="69" t="str">
        <f t="shared" si="111"/>
        <v>1 years 277 days</v>
      </c>
      <c r="AG853" s="69">
        <v>1</v>
      </c>
      <c r="AH853" s="69">
        <v>277</v>
      </c>
      <c r="AI853" s="69">
        <v>24480</v>
      </c>
      <c r="AJ853" s="67">
        <v>8625</v>
      </c>
      <c r="AK853" s="69">
        <v>2025</v>
      </c>
      <c r="AL853" s="61">
        <v>2427.8876712328765</v>
      </c>
      <c r="AM853" s="143"/>
    </row>
    <row r="854" spans="1:39" x14ac:dyDescent="0.35">
      <c r="A854" s="69" t="s">
        <v>4124</v>
      </c>
      <c r="B854" s="41">
        <v>1101404844</v>
      </c>
      <c r="C854" s="41"/>
      <c r="D854" s="69"/>
      <c r="E854" s="41">
        <v>0</v>
      </c>
      <c r="F854" s="41" t="s">
        <v>2454</v>
      </c>
      <c r="G854" s="69" t="s">
        <v>2453</v>
      </c>
      <c r="H854" s="41">
        <v>9011000007</v>
      </c>
      <c r="I854" s="41" t="s">
        <v>261</v>
      </c>
      <c r="J854" s="41">
        <v>1202010217</v>
      </c>
      <c r="K854" s="41" t="s">
        <v>2454</v>
      </c>
      <c r="L854" s="52" t="s">
        <v>2660</v>
      </c>
      <c r="M854" s="69" t="s">
        <v>2661</v>
      </c>
      <c r="N854" s="69"/>
      <c r="O854" s="69">
        <v>15</v>
      </c>
      <c r="P854" s="69" t="s">
        <v>50</v>
      </c>
      <c r="Q854" s="69" t="s">
        <v>51</v>
      </c>
      <c r="R854" s="69"/>
      <c r="S854" s="48">
        <v>45139</v>
      </c>
      <c r="T854" s="48">
        <v>45139</v>
      </c>
      <c r="U854" s="69"/>
      <c r="V854" s="69"/>
      <c r="W854" s="69"/>
      <c r="X854" s="69"/>
      <c r="Y854" s="69" t="s">
        <v>4129</v>
      </c>
      <c r="Z854" s="52">
        <v>62382.5</v>
      </c>
      <c r="AA854" s="43" t="s">
        <v>52</v>
      </c>
      <c r="AB854" s="43" t="s">
        <v>53</v>
      </c>
      <c r="AC854" s="85">
        <v>3650</v>
      </c>
      <c r="AD854" s="141">
        <v>10</v>
      </c>
      <c r="AE854" s="142">
        <v>0</v>
      </c>
      <c r="AF854" s="69" t="str">
        <f t="shared" si="111"/>
        <v>1 years 154 days</v>
      </c>
      <c r="AG854" s="69">
        <v>1</v>
      </c>
      <c r="AH854" s="69">
        <v>154</v>
      </c>
      <c r="AI854" s="69">
        <v>62382.5</v>
      </c>
      <c r="AJ854" s="67">
        <v>8870</v>
      </c>
      <c r="AK854" s="69">
        <v>2025</v>
      </c>
      <c r="AL854" s="61">
        <v>3093.767123287671</v>
      </c>
      <c r="AM854" s="143"/>
    </row>
    <row r="855" spans="1:39" x14ac:dyDescent="0.35">
      <c r="A855" s="69" t="s">
        <v>4124</v>
      </c>
      <c r="B855" s="41">
        <v>1101404923</v>
      </c>
      <c r="C855" s="41"/>
      <c r="D855" s="69"/>
      <c r="E855" s="41">
        <v>0</v>
      </c>
      <c r="F855" s="41" t="s">
        <v>2454</v>
      </c>
      <c r="G855" s="69" t="s">
        <v>2453</v>
      </c>
      <c r="H855" s="41">
        <v>9011000007</v>
      </c>
      <c r="I855" s="41" t="s">
        <v>261</v>
      </c>
      <c r="J855" s="41">
        <v>1202010217</v>
      </c>
      <c r="K855" s="41"/>
      <c r="L855" s="52" t="s">
        <v>2663</v>
      </c>
      <c r="M855" s="69" t="s">
        <v>2664</v>
      </c>
      <c r="N855" s="69"/>
      <c r="O855" s="69">
        <v>2</v>
      </c>
      <c r="P855" s="69" t="s">
        <v>50</v>
      </c>
      <c r="Q855" s="69" t="s">
        <v>51</v>
      </c>
      <c r="R855" s="69"/>
      <c r="S855" s="48">
        <v>45199</v>
      </c>
      <c r="T855" s="48">
        <v>45199</v>
      </c>
      <c r="U855" s="69"/>
      <c r="V855" s="69"/>
      <c r="W855" s="69"/>
      <c r="X855" s="69"/>
      <c r="Y855" s="69" t="s">
        <v>4129</v>
      </c>
      <c r="Z855" s="52">
        <v>51800</v>
      </c>
      <c r="AA855" s="43" t="s">
        <v>52</v>
      </c>
      <c r="AB855" s="43" t="s">
        <v>53</v>
      </c>
      <c r="AC855" s="85">
        <v>3650</v>
      </c>
      <c r="AD855" s="141">
        <v>10</v>
      </c>
      <c r="AE855" s="142">
        <v>0</v>
      </c>
      <c r="AF855" s="69" t="str">
        <f t="shared" si="111"/>
        <v>1 years 94 days</v>
      </c>
      <c r="AG855" s="69">
        <v>1</v>
      </c>
      <c r="AH855" s="69">
        <v>94</v>
      </c>
      <c r="AI855" s="69">
        <v>51800</v>
      </c>
      <c r="AJ855" s="67">
        <v>6514</v>
      </c>
      <c r="AK855" s="69">
        <v>2025</v>
      </c>
      <c r="AL855" s="61">
        <v>2568.7397260273974</v>
      </c>
      <c r="AM855" s="143"/>
    </row>
    <row r="856" spans="1:39" x14ac:dyDescent="0.35">
      <c r="A856" s="69" t="s">
        <v>4124</v>
      </c>
      <c r="B856" s="41">
        <v>1101404927</v>
      </c>
      <c r="C856" s="41"/>
      <c r="D856" s="69"/>
      <c r="E856" s="41">
        <v>0</v>
      </c>
      <c r="F856" s="41" t="s">
        <v>2454</v>
      </c>
      <c r="G856" s="69" t="s">
        <v>2453</v>
      </c>
      <c r="H856" s="41">
        <v>9011000007</v>
      </c>
      <c r="I856" s="41" t="s">
        <v>261</v>
      </c>
      <c r="J856" s="41">
        <v>1202010217</v>
      </c>
      <c r="K856" s="41"/>
      <c r="L856" s="52" t="s">
        <v>2666</v>
      </c>
      <c r="M856" s="69" t="s">
        <v>2667</v>
      </c>
      <c r="N856" s="69"/>
      <c r="O856" s="69">
        <v>1</v>
      </c>
      <c r="P856" s="69" t="s">
        <v>50</v>
      </c>
      <c r="Q856" s="69" t="s">
        <v>51</v>
      </c>
      <c r="R856" s="69"/>
      <c r="S856" s="48">
        <v>45199</v>
      </c>
      <c r="T856" s="48">
        <v>45199</v>
      </c>
      <c r="U856" s="69"/>
      <c r="V856" s="69"/>
      <c r="W856" s="69"/>
      <c r="X856" s="69"/>
      <c r="Y856" s="69" t="s">
        <v>4129</v>
      </c>
      <c r="Z856" s="52">
        <v>16660</v>
      </c>
      <c r="AA856" s="43" t="s">
        <v>52</v>
      </c>
      <c r="AB856" s="43" t="s">
        <v>53</v>
      </c>
      <c r="AC856" s="85">
        <v>3650</v>
      </c>
      <c r="AD856" s="141">
        <v>10</v>
      </c>
      <c r="AE856" s="142">
        <v>0</v>
      </c>
      <c r="AF856" s="69" t="str">
        <f t="shared" si="111"/>
        <v>1 years 94 days</v>
      </c>
      <c r="AG856" s="69">
        <v>1</v>
      </c>
      <c r="AH856" s="69">
        <v>94</v>
      </c>
      <c r="AI856" s="69">
        <v>16660</v>
      </c>
      <c r="AJ856" s="67">
        <v>2095</v>
      </c>
      <c r="AK856" s="69">
        <v>2025</v>
      </c>
      <c r="AL856" s="61">
        <v>826.20547945205453</v>
      </c>
      <c r="AM856" s="143"/>
    </row>
    <row r="857" spans="1:39" x14ac:dyDescent="0.35">
      <c r="A857" s="69" t="s">
        <v>4124</v>
      </c>
      <c r="B857" s="41">
        <v>1101404928</v>
      </c>
      <c r="C857" s="41"/>
      <c r="D857" s="69"/>
      <c r="E857" s="41">
        <v>0</v>
      </c>
      <c r="F857" s="41" t="s">
        <v>2454</v>
      </c>
      <c r="G857" s="69" t="s">
        <v>2453</v>
      </c>
      <c r="H857" s="41">
        <v>9011000007</v>
      </c>
      <c r="I857" s="41" t="s">
        <v>261</v>
      </c>
      <c r="J857" s="41">
        <v>1202010217</v>
      </c>
      <c r="K857" s="41"/>
      <c r="L857" s="52" t="s">
        <v>2669</v>
      </c>
      <c r="M857" s="69" t="s">
        <v>2670</v>
      </c>
      <c r="N857" s="69"/>
      <c r="O857" s="69">
        <v>1</v>
      </c>
      <c r="P857" s="69" t="s">
        <v>50</v>
      </c>
      <c r="Q857" s="69" t="s">
        <v>51</v>
      </c>
      <c r="R857" s="69"/>
      <c r="S857" s="48">
        <v>45199</v>
      </c>
      <c r="T857" s="48">
        <v>45199</v>
      </c>
      <c r="U857" s="69"/>
      <c r="V857" s="69"/>
      <c r="W857" s="69"/>
      <c r="X857" s="69"/>
      <c r="Y857" s="69" t="s">
        <v>4129</v>
      </c>
      <c r="Z857" s="52">
        <v>16145</v>
      </c>
      <c r="AA857" s="43" t="s">
        <v>52</v>
      </c>
      <c r="AB857" s="43" t="s">
        <v>53</v>
      </c>
      <c r="AC857" s="85">
        <v>3650</v>
      </c>
      <c r="AD857" s="141">
        <v>10</v>
      </c>
      <c r="AE857" s="142">
        <v>0</v>
      </c>
      <c r="AF857" s="69" t="str">
        <f t="shared" si="111"/>
        <v>1 years 94 days</v>
      </c>
      <c r="AG857" s="69">
        <v>1</v>
      </c>
      <c r="AH857" s="69">
        <v>94</v>
      </c>
      <c r="AI857" s="69">
        <v>16145</v>
      </c>
      <c r="AJ857" s="67">
        <v>2030</v>
      </c>
      <c r="AK857" s="69">
        <v>2025</v>
      </c>
      <c r="AL857" s="61">
        <v>800.90410958904113</v>
      </c>
      <c r="AM857" s="143"/>
    </row>
    <row r="858" spans="1:39" x14ac:dyDescent="0.35">
      <c r="A858" s="69" t="s">
        <v>4124</v>
      </c>
      <c r="B858" s="41">
        <v>1101404929</v>
      </c>
      <c r="C858" s="41"/>
      <c r="D858" s="69"/>
      <c r="E858" s="41">
        <v>0</v>
      </c>
      <c r="F858" s="41" t="s">
        <v>2454</v>
      </c>
      <c r="G858" s="69" t="s">
        <v>2453</v>
      </c>
      <c r="H858" s="41">
        <v>9011000007</v>
      </c>
      <c r="I858" s="41" t="s">
        <v>261</v>
      </c>
      <c r="J858" s="41">
        <v>1202010217</v>
      </c>
      <c r="K858" s="41"/>
      <c r="L858" s="52" t="s">
        <v>2672</v>
      </c>
      <c r="M858" s="69" t="s">
        <v>2673</v>
      </c>
      <c r="N858" s="69"/>
      <c r="O858" s="69">
        <v>1</v>
      </c>
      <c r="P858" s="69" t="s">
        <v>50</v>
      </c>
      <c r="Q858" s="69" t="s">
        <v>51</v>
      </c>
      <c r="R858" s="69"/>
      <c r="S858" s="48">
        <v>45199</v>
      </c>
      <c r="T858" s="48">
        <v>45199</v>
      </c>
      <c r="U858" s="69"/>
      <c r="V858" s="69"/>
      <c r="W858" s="69"/>
      <c r="X858" s="69"/>
      <c r="Y858" s="69" t="s">
        <v>4129</v>
      </c>
      <c r="Z858" s="52">
        <v>12030</v>
      </c>
      <c r="AA858" s="43" t="s">
        <v>52</v>
      </c>
      <c r="AB858" s="43" t="s">
        <v>53</v>
      </c>
      <c r="AC858" s="85">
        <v>3650</v>
      </c>
      <c r="AD858" s="141">
        <v>10</v>
      </c>
      <c r="AE858" s="142">
        <v>0</v>
      </c>
      <c r="AF858" s="69" t="str">
        <f t="shared" si="111"/>
        <v>1 years 94 days</v>
      </c>
      <c r="AG858" s="69">
        <v>1</v>
      </c>
      <c r="AH858" s="69">
        <v>94</v>
      </c>
      <c r="AI858" s="69">
        <v>12030</v>
      </c>
      <c r="AJ858" s="67">
        <v>1513</v>
      </c>
      <c r="AK858" s="69">
        <v>2025</v>
      </c>
      <c r="AL858" s="61">
        <v>596.3698630136987</v>
      </c>
      <c r="AM858" s="143"/>
    </row>
    <row r="859" spans="1:39" x14ac:dyDescent="0.35">
      <c r="A859" s="69" t="s">
        <v>4124</v>
      </c>
      <c r="B859" s="41">
        <v>1101404934</v>
      </c>
      <c r="C859" s="41"/>
      <c r="D859" s="69"/>
      <c r="E859" s="41">
        <v>0</v>
      </c>
      <c r="F859" s="41" t="s">
        <v>2454</v>
      </c>
      <c r="G859" s="69" t="s">
        <v>2453</v>
      </c>
      <c r="H859" s="41">
        <v>9011000007</v>
      </c>
      <c r="I859" s="41" t="s">
        <v>261</v>
      </c>
      <c r="J859" s="41">
        <v>1202010217</v>
      </c>
      <c r="K859" s="41"/>
      <c r="L859" s="52" t="s">
        <v>2675</v>
      </c>
      <c r="M859" s="69" t="s">
        <v>2676</v>
      </c>
      <c r="N859" s="69"/>
      <c r="O859" s="69">
        <v>10</v>
      </c>
      <c r="P859" s="69" t="s">
        <v>50</v>
      </c>
      <c r="Q859" s="69" t="s">
        <v>51</v>
      </c>
      <c r="R859" s="69"/>
      <c r="S859" s="48">
        <v>45199</v>
      </c>
      <c r="T859" s="48">
        <v>45199</v>
      </c>
      <c r="U859" s="69"/>
      <c r="V859" s="69"/>
      <c r="W859" s="69"/>
      <c r="X859" s="69"/>
      <c r="Y859" s="69" t="s">
        <v>4129</v>
      </c>
      <c r="Z859" s="52">
        <v>52100</v>
      </c>
      <c r="AA859" s="43" t="s">
        <v>52</v>
      </c>
      <c r="AB859" s="43" t="s">
        <v>53</v>
      </c>
      <c r="AC859" s="85">
        <v>3650</v>
      </c>
      <c r="AD859" s="141">
        <v>10</v>
      </c>
      <c r="AE859" s="142">
        <v>0</v>
      </c>
      <c r="AF859" s="69" t="str">
        <f t="shared" si="111"/>
        <v>1 years 94 days</v>
      </c>
      <c r="AG859" s="69">
        <v>1</v>
      </c>
      <c r="AH859" s="69">
        <v>94</v>
      </c>
      <c r="AI859" s="69">
        <v>52100</v>
      </c>
      <c r="AJ859" s="67">
        <v>6552</v>
      </c>
      <c r="AK859" s="69">
        <v>2025</v>
      </c>
      <c r="AL859" s="61">
        <v>2583.3424657534233</v>
      </c>
      <c r="AM859" s="143"/>
    </row>
    <row r="860" spans="1:39" x14ac:dyDescent="0.35">
      <c r="A860" s="69" t="s">
        <v>4124</v>
      </c>
      <c r="B860" s="41">
        <v>1101405024</v>
      </c>
      <c r="C860" s="41"/>
      <c r="D860" s="69"/>
      <c r="E860" s="41">
        <v>0</v>
      </c>
      <c r="F860" s="41" t="s">
        <v>2454</v>
      </c>
      <c r="G860" s="69" t="s">
        <v>2453</v>
      </c>
      <c r="H860" s="41">
        <v>9011000007</v>
      </c>
      <c r="I860" s="41" t="s">
        <v>261</v>
      </c>
      <c r="J860" s="41">
        <v>1202010217</v>
      </c>
      <c r="K860" s="41"/>
      <c r="L860" s="52" t="s">
        <v>2678</v>
      </c>
      <c r="M860" s="69" t="s">
        <v>2679</v>
      </c>
      <c r="N860" s="69"/>
      <c r="O860" s="69">
        <v>1</v>
      </c>
      <c r="P860" s="69" t="s">
        <v>50</v>
      </c>
      <c r="Q860" s="69" t="s">
        <v>51</v>
      </c>
      <c r="R860" s="69"/>
      <c r="S860" s="48">
        <v>45270</v>
      </c>
      <c r="T860" s="48">
        <v>45270</v>
      </c>
      <c r="U860" s="69"/>
      <c r="V860" s="69"/>
      <c r="W860" s="69"/>
      <c r="X860" s="69"/>
      <c r="Y860" s="69" t="s">
        <v>4129</v>
      </c>
      <c r="Z860" s="52">
        <v>32975</v>
      </c>
      <c r="AA860" s="43" t="s">
        <v>52</v>
      </c>
      <c r="AB860" s="43" t="s">
        <v>53</v>
      </c>
      <c r="AC860" s="85">
        <v>3650</v>
      </c>
      <c r="AD860" s="141">
        <v>10</v>
      </c>
      <c r="AE860" s="142">
        <v>0</v>
      </c>
      <c r="AF860" s="69" t="str">
        <f t="shared" si="111"/>
        <v>1 years 23 days</v>
      </c>
      <c r="AG860" s="69">
        <v>1</v>
      </c>
      <c r="AH860" s="69">
        <v>23</v>
      </c>
      <c r="AI860" s="69">
        <v>32975</v>
      </c>
      <c r="AJ860" s="67">
        <v>3505</v>
      </c>
      <c r="AK860" s="69">
        <v>2025</v>
      </c>
      <c r="AL860" s="61">
        <v>1635.4863013698632</v>
      </c>
      <c r="AM860" s="143"/>
    </row>
    <row r="861" spans="1:39" x14ac:dyDescent="0.35">
      <c r="A861" s="69" t="s">
        <v>4124</v>
      </c>
      <c r="B861" s="41">
        <v>1101405116</v>
      </c>
      <c r="C861" s="41"/>
      <c r="D861" s="69"/>
      <c r="E861" s="41">
        <v>0</v>
      </c>
      <c r="F861" s="41" t="s">
        <v>2454</v>
      </c>
      <c r="G861" s="69" t="s">
        <v>2453</v>
      </c>
      <c r="H861" s="41">
        <v>9011000007</v>
      </c>
      <c r="I861" s="41" t="s">
        <v>261</v>
      </c>
      <c r="J861" s="41">
        <v>1202010217</v>
      </c>
      <c r="K861" s="41"/>
      <c r="L861" s="52" t="s">
        <v>2681</v>
      </c>
      <c r="M861" s="69" t="s">
        <v>2682</v>
      </c>
      <c r="N861" s="69"/>
      <c r="O861" s="69">
        <v>2</v>
      </c>
      <c r="P861" s="69" t="s">
        <v>50</v>
      </c>
      <c r="Q861" s="69" t="s">
        <v>51</v>
      </c>
      <c r="R861" s="69"/>
      <c r="S861" s="48">
        <v>45361</v>
      </c>
      <c r="T861" s="48">
        <v>45361</v>
      </c>
      <c r="U861" s="69"/>
      <c r="V861" s="69"/>
      <c r="W861" s="69"/>
      <c r="X861" s="69"/>
      <c r="Y861" s="69" t="s">
        <v>4130</v>
      </c>
      <c r="Z861" s="52">
        <v>50300</v>
      </c>
      <c r="AA861" s="43" t="s">
        <v>52</v>
      </c>
      <c r="AB861" s="43" t="s">
        <v>53</v>
      </c>
      <c r="AC861" s="85">
        <v>3650</v>
      </c>
      <c r="AD861" s="141">
        <v>10</v>
      </c>
      <c r="AE861" s="142">
        <v>0</v>
      </c>
      <c r="AF861" s="69" t="str">
        <f t="shared" si="111"/>
        <v>0 years 297 days</v>
      </c>
      <c r="AG861" s="69">
        <v>0</v>
      </c>
      <c r="AH861" s="69">
        <v>297</v>
      </c>
      <c r="AI861" s="69">
        <v>50300</v>
      </c>
      <c r="AJ861" s="67">
        <v>4093</v>
      </c>
      <c r="AK861" s="69">
        <v>2025</v>
      </c>
      <c r="AL861" s="61">
        <v>2494.232876712329</v>
      </c>
      <c r="AM861" s="143"/>
    </row>
    <row r="862" spans="1:39" x14ac:dyDescent="0.35">
      <c r="A862" s="69" t="s">
        <v>4124</v>
      </c>
      <c r="B862" s="41">
        <v>1101405249</v>
      </c>
      <c r="C862" s="41"/>
      <c r="D862" s="69"/>
      <c r="E862" s="41">
        <v>0</v>
      </c>
      <c r="F862" s="41" t="s">
        <v>2454</v>
      </c>
      <c r="G862" s="69" t="s">
        <v>2453</v>
      </c>
      <c r="H862" s="41">
        <v>9011000007</v>
      </c>
      <c r="I862" s="41" t="s">
        <v>261</v>
      </c>
      <c r="J862" s="41">
        <v>1202010217</v>
      </c>
      <c r="K862" s="41"/>
      <c r="L862" s="52" t="s">
        <v>2684</v>
      </c>
      <c r="M862" s="69" t="s">
        <v>2685</v>
      </c>
      <c r="N862" s="69"/>
      <c r="O862" s="69">
        <v>3</v>
      </c>
      <c r="P862" s="69" t="s">
        <v>50</v>
      </c>
      <c r="Q862" s="69" t="s">
        <v>51</v>
      </c>
      <c r="R862" s="69"/>
      <c r="S862" s="48">
        <v>45483</v>
      </c>
      <c r="T862" s="48">
        <v>45483</v>
      </c>
      <c r="U862" s="69"/>
      <c r="V862" s="69"/>
      <c r="W862" s="69"/>
      <c r="X862" s="69"/>
      <c r="Y862" s="69" t="s">
        <v>4130</v>
      </c>
      <c r="Z862" s="83">
        <v>76535</v>
      </c>
      <c r="AA862" s="43" t="s">
        <v>52</v>
      </c>
      <c r="AB862" s="43" t="s">
        <v>53</v>
      </c>
      <c r="AC862" s="85">
        <v>3650</v>
      </c>
      <c r="AD862" s="141">
        <v>10</v>
      </c>
      <c r="AE862" s="142">
        <v>0</v>
      </c>
      <c r="AF862" s="69" t="str">
        <f t="shared" si="111"/>
        <v>0 years 175 days</v>
      </c>
      <c r="AG862" s="69">
        <v>0</v>
      </c>
      <c r="AH862" s="69">
        <v>175</v>
      </c>
      <c r="AI862" s="69">
        <v>76535</v>
      </c>
      <c r="AJ862" s="67">
        <v>3669</v>
      </c>
      <c r="AK862" s="69">
        <v>2025</v>
      </c>
      <c r="AL862" s="61">
        <v>3795.7835616438351</v>
      </c>
      <c r="AM862" s="143"/>
    </row>
    <row r="863" spans="1:39" x14ac:dyDescent="0.35">
      <c r="A863" s="69" t="s">
        <v>4124</v>
      </c>
      <c r="B863" s="41">
        <v>1141504431</v>
      </c>
      <c r="C863" s="41"/>
      <c r="D863" s="69"/>
      <c r="E863" s="41">
        <v>0</v>
      </c>
      <c r="F863" s="41" t="s">
        <v>2454</v>
      </c>
      <c r="G863" s="69" t="s">
        <v>2453</v>
      </c>
      <c r="H863" s="41">
        <v>9011000008</v>
      </c>
      <c r="I863" s="41" t="s">
        <v>47</v>
      </c>
      <c r="J863" s="41">
        <v>1202010202</v>
      </c>
      <c r="K863" s="41"/>
      <c r="L863" s="52" t="s">
        <v>2687</v>
      </c>
      <c r="M863" s="69" t="s">
        <v>2688</v>
      </c>
      <c r="N863" s="69"/>
      <c r="O863" s="69">
        <v>1</v>
      </c>
      <c r="P863" s="69" t="s">
        <v>50</v>
      </c>
      <c r="Q863" s="69" t="s">
        <v>51</v>
      </c>
      <c r="R863" s="69"/>
      <c r="S863" s="48">
        <v>44558</v>
      </c>
      <c r="T863" s="48">
        <v>44558</v>
      </c>
      <c r="U863" s="69"/>
      <c r="V863" s="69"/>
      <c r="W863" s="69"/>
      <c r="X863" s="69"/>
      <c r="Y863" s="69" t="s">
        <v>4128</v>
      </c>
      <c r="Z863" s="52">
        <v>34380</v>
      </c>
      <c r="AA863" s="43" t="s">
        <v>52</v>
      </c>
      <c r="AB863" s="43" t="s">
        <v>53</v>
      </c>
      <c r="AC863" s="85">
        <v>1825</v>
      </c>
      <c r="AD863" s="141">
        <v>5</v>
      </c>
      <c r="AE863" s="142">
        <v>0</v>
      </c>
      <c r="AF863" s="69" t="str">
        <f t="shared" si="111"/>
        <v>3 years 5 days</v>
      </c>
      <c r="AG863" s="69">
        <v>3</v>
      </c>
      <c r="AH863" s="69">
        <v>5</v>
      </c>
      <c r="AI863" s="69">
        <v>34380</v>
      </c>
      <c r="AJ863" s="67">
        <v>20722</v>
      </c>
      <c r="AK863" s="69">
        <v>2025</v>
      </c>
      <c r="AL863" s="61">
        <v>3409.9342465753398</v>
      </c>
      <c r="AM863" s="143"/>
    </row>
    <row r="864" spans="1:39" x14ac:dyDescent="0.35">
      <c r="A864" s="69" t="s">
        <v>4124</v>
      </c>
      <c r="B864" s="41">
        <v>1141403035</v>
      </c>
      <c r="C864" s="41"/>
      <c r="D864" s="69"/>
      <c r="E864" s="41">
        <v>0</v>
      </c>
      <c r="F864" s="41" t="s">
        <v>2454</v>
      </c>
      <c r="G864" s="69" t="s">
        <v>2453</v>
      </c>
      <c r="H864" s="41">
        <v>9011000009</v>
      </c>
      <c r="I864" s="41" t="s">
        <v>47</v>
      </c>
      <c r="J864" s="41">
        <v>1202010202</v>
      </c>
      <c r="K864" s="41"/>
      <c r="L864" s="52" t="s">
        <v>2690</v>
      </c>
      <c r="M864" s="69" t="s">
        <v>2691</v>
      </c>
      <c r="N864" s="69"/>
      <c r="O864" s="69">
        <v>1</v>
      </c>
      <c r="P864" s="69" t="s">
        <v>50</v>
      </c>
      <c r="Q864" s="69" t="s">
        <v>51</v>
      </c>
      <c r="R864" s="69"/>
      <c r="S864" s="48">
        <v>43700</v>
      </c>
      <c r="T864" s="48">
        <v>43700</v>
      </c>
      <c r="U864" s="69"/>
      <c r="V864" s="69"/>
      <c r="W864" s="69"/>
      <c r="X864" s="69"/>
      <c r="Y864" s="69" t="s">
        <v>4126</v>
      </c>
      <c r="Z864" s="52">
        <v>10800</v>
      </c>
      <c r="AA864" s="43" t="s">
        <v>52</v>
      </c>
      <c r="AB864" s="43" t="s">
        <v>53</v>
      </c>
      <c r="AC864" s="85">
        <v>1825</v>
      </c>
      <c r="AD864" s="141">
        <v>5</v>
      </c>
      <c r="AE864" s="142">
        <v>0</v>
      </c>
      <c r="AF864" s="69" t="str">
        <f t="shared" si="111"/>
        <v>5 years 0 days</v>
      </c>
      <c r="AG864" s="69">
        <v>5</v>
      </c>
      <c r="AH864" s="69">
        <v>0</v>
      </c>
      <c r="AI864" s="69">
        <v>10800</v>
      </c>
      <c r="AJ864" s="67">
        <v>10800</v>
      </c>
      <c r="AK864" s="69">
        <v>2025</v>
      </c>
      <c r="AL864" s="61">
        <v>0</v>
      </c>
      <c r="AM864" s="143"/>
    </row>
    <row r="865" spans="1:39" x14ac:dyDescent="0.35">
      <c r="A865" s="69" t="s">
        <v>4124</v>
      </c>
      <c r="B865" s="41">
        <v>1141504338</v>
      </c>
      <c r="C865" s="41"/>
      <c r="D865" s="69"/>
      <c r="E865" s="41">
        <v>0</v>
      </c>
      <c r="F865" s="41" t="s">
        <v>2454</v>
      </c>
      <c r="G865" s="69" t="s">
        <v>2453</v>
      </c>
      <c r="H865" s="41">
        <v>9011000009</v>
      </c>
      <c r="I865" s="41" t="s">
        <v>47</v>
      </c>
      <c r="J865" s="41">
        <v>1202010202</v>
      </c>
      <c r="K865" s="41"/>
      <c r="L865" s="52" t="s">
        <v>2693</v>
      </c>
      <c r="M865" s="69" t="s">
        <v>2694</v>
      </c>
      <c r="N865" s="69"/>
      <c r="O865" s="69">
        <v>1</v>
      </c>
      <c r="P865" s="69" t="s">
        <v>50</v>
      </c>
      <c r="Q865" s="69" t="s">
        <v>51</v>
      </c>
      <c r="R865" s="69"/>
      <c r="S865" s="48">
        <v>44593</v>
      </c>
      <c r="T865" s="48">
        <v>44593</v>
      </c>
      <c r="U865" s="69"/>
      <c r="V865" s="69"/>
      <c r="W865" s="69"/>
      <c r="X865" s="69"/>
      <c r="Y865" s="69" t="s">
        <v>4131</v>
      </c>
      <c r="Z865" s="52">
        <v>28350</v>
      </c>
      <c r="AA865" s="43" t="s">
        <v>52</v>
      </c>
      <c r="AB865" s="43" t="s">
        <v>53</v>
      </c>
      <c r="AC865" s="85">
        <v>1825</v>
      </c>
      <c r="AD865" s="141">
        <v>5</v>
      </c>
      <c r="AE865" s="142">
        <v>0</v>
      </c>
      <c r="AF865" s="69" t="str">
        <f t="shared" si="111"/>
        <v>2 years 335 days</v>
      </c>
      <c r="AG865" s="69">
        <v>2</v>
      </c>
      <c r="AH865" s="69">
        <v>335</v>
      </c>
      <c r="AI865" s="69">
        <v>28350</v>
      </c>
      <c r="AJ865" s="67">
        <v>16086</v>
      </c>
      <c r="AK865" s="69">
        <v>2025</v>
      </c>
      <c r="AL865" s="61">
        <v>2811.4109589041072</v>
      </c>
      <c r="AM865" s="143"/>
    </row>
    <row r="866" spans="1:39" x14ac:dyDescent="0.35">
      <c r="A866" s="69" t="s">
        <v>4124</v>
      </c>
      <c r="B866" s="41">
        <v>1141400785</v>
      </c>
      <c r="C866" s="41"/>
      <c r="D866" s="69"/>
      <c r="E866" s="41">
        <v>0</v>
      </c>
      <c r="F866" s="41" t="s">
        <v>2454</v>
      </c>
      <c r="G866" s="69" t="s">
        <v>2453</v>
      </c>
      <c r="H866" s="41">
        <v>9011000010</v>
      </c>
      <c r="I866" s="41" t="s">
        <v>47</v>
      </c>
      <c r="J866" s="41">
        <v>1202010202</v>
      </c>
      <c r="K866" s="41"/>
      <c r="L866" s="52" t="s">
        <v>2696</v>
      </c>
      <c r="M866" s="69" t="s">
        <v>49</v>
      </c>
      <c r="N866" s="69"/>
      <c r="O866" s="69">
        <v>1</v>
      </c>
      <c r="P866" s="69" t="s">
        <v>50</v>
      </c>
      <c r="Q866" s="69" t="s">
        <v>51</v>
      </c>
      <c r="R866" s="69"/>
      <c r="S866" s="48">
        <v>41167</v>
      </c>
      <c r="T866" s="48">
        <v>43340</v>
      </c>
      <c r="U866" s="69"/>
      <c r="V866" s="69"/>
      <c r="W866" s="69"/>
      <c r="X866" s="69"/>
      <c r="Y866" s="69" t="s">
        <v>4125</v>
      </c>
      <c r="Z866" s="52">
        <v>550</v>
      </c>
      <c r="AA866" s="43" t="s">
        <v>52</v>
      </c>
      <c r="AB866" s="43" t="s">
        <v>53</v>
      </c>
      <c r="AC866" s="85">
        <v>730</v>
      </c>
      <c r="AD866" s="141">
        <v>2</v>
      </c>
      <c r="AE866" s="142">
        <v>0</v>
      </c>
      <c r="AF866" s="69" t="str">
        <f t="shared" si="111"/>
        <v>2 years 0 days</v>
      </c>
      <c r="AG866" s="69">
        <v>2</v>
      </c>
      <c r="AH866" s="69">
        <v>0</v>
      </c>
      <c r="AI866" s="69">
        <v>550</v>
      </c>
      <c r="AJ866" s="67">
        <v>550</v>
      </c>
      <c r="AK866" s="69">
        <v>2025</v>
      </c>
      <c r="AL866" s="61">
        <v>0</v>
      </c>
      <c r="AM866" s="143"/>
    </row>
    <row r="867" spans="1:39" x14ac:dyDescent="0.35">
      <c r="A867" s="69" t="s">
        <v>4124</v>
      </c>
      <c r="B867" s="41">
        <v>1141400786</v>
      </c>
      <c r="C867" s="41"/>
      <c r="D867" s="69"/>
      <c r="E867" s="41">
        <v>0</v>
      </c>
      <c r="F867" s="41" t="s">
        <v>2454</v>
      </c>
      <c r="G867" s="69" t="s">
        <v>2453</v>
      </c>
      <c r="H867" s="41">
        <v>9011000010</v>
      </c>
      <c r="I867" s="41" t="s">
        <v>47</v>
      </c>
      <c r="J867" s="41">
        <v>1202010202</v>
      </c>
      <c r="K867" s="41"/>
      <c r="L867" s="52" t="s">
        <v>2698</v>
      </c>
      <c r="M867" s="69" t="s">
        <v>49</v>
      </c>
      <c r="N867" s="69"/>
      <c r="O867" s="69">
        <v>1</v>
      </c>
      <c r="P867" s="69" t="s">
        <v>50</v>
      </c>
      <c r="Q867" s="69" t="s">
        <v>51</v>
      </c>
      <c r="R867" s="69"/>
      <c r="S867" s="48">
        <v>41167</v>
      </c>
      <c r="T867" s="48">
        <v>43340</v>
      </c>
      <c r="U867" s="69"/>
      <c r="V867" s="69"/>
      <c r="W867" s="69"/>
      <c r="X867" s="69"/>
      <c r="Y867" s="69" t="s">
        <v>4125</v>
      </c>
      <c r="Z867" s="52">
        <v>600</v>
      </c>
      <c r="AA867" s="43" t="s">
        <v>52</v>
      </c>
      <c r="AB867" s="43" t="s">
        <v>53</v>
      </c>
      <c r="AC867" s="85">
        <v>730</v>
      </c>
      <c r="AD867" s="141">
        <v>2</v>
      </c>
      <c r="AE867" s="142">
        <v>0</v>
      </c>
      <c r="AF867" s="69" t="str">
        <f t="shared" si="111"/>
        <v>2 years 0 days</v>
      </c>
      <c r="AG867" s="69">
        <v>2</v>
      </c>
      <c r="AH867" s="69">
        <v>0</v>
      </c>
      <c r="AI867" s="69">
        <v>600</v>
      </c>
      <c r="AJ867" s="67">
        <v>600</v>
      </c>
      <c r="AK867" s="69">
        <v>2025</v>
      </c>
      <c r="AL867" s="61">
        <v>0</v>
      </c>
      <c r="AM867" s="143"/>
    </row>
    <row r="868" spans="1:39" x14ac:dyDescent="0.35">
      <c r="A868" s="69" t="s">
        <v>4124</v>
      </c>
      <c r="B868" s="41">
        <v>1141400963</v>
      </c>
      <c r="C868" s="41"/>
      <c r="D868" s="69"/>
      <c r="E868" s="41">
        <v>0</v>
      </c>
      <c r="F868" s="41" t="s">
        <v>2454</v>
      </c>
      <c r="G868" s="69" t="s">
        <v>2453</v>
      </c>
      <c r="H868" s="41">
        <v>9011000010</v>
      </c>
      <c r="I868" s="41" t="s">
        <v>47</v>
      </c>
      <c r="J868" s="41">
        <v>1202010202</v>
      </c>
      <c r="K868" s="41"/>
      <c r="L868" s="52" t="s">
        <v>2700</v>
      </c>
      <c r="M868" s="69" t="s">
        <v>49</v>
      </c>
      <c r="N868" s="69"/>
      <c r="O868" s="69">
        <v>1</v>
      </c>
      <c r="P868" s="69" t="s">
        <v>50</v>
      </c>
      <c r="Q868" s="69" t="s">
        <v>51</v>
      </c>
      <c r="R868" s="69"/>
      <c r="S868" s="48">
        <v>41353</v>
      </c>
      <c r="T868" s="48">
        <v>43340</v>
      </c>
      <c r="U868" s="69"/>
      <c r="V868" s="69"/>
      <c r="W868" s="69"/>
      <c r="X868" s="69"/>
      <c r="Y868" s="69" t="s">
        <v>4125</v>
      </c>
      <c r="Z868" s="52">
        <v>25000</v>
      </c>
      <c r="AA868" s="43" t="s">
        <v>52</v>
      </c>
      <c r="AB868" s="43" t="s">
        <v>53</v>
      </c>
      <c r="AC868" s="85">
        <v>949</v>
      </c>
      <c r="AD868" s="141">
        <v>2</v>
      </c>
      <c r="AE868" s="142">
        <v>7</v>
      </c>
      <c r="AF868" s="69" t="str">
        <f t="shared" si="111"/>
        <v>2 years 219 days</v>
      </c>
      <c r="AG868" s="69">
        <v>2</v>
      </c>
      <c r="AH868" s="69">
        <v>219</v>
      </c>
      <c r="AI868" s="69">
        <v>25000</v>
      </c>
      <c r="AJ868" s="67">
        <v>25000</v>
      </c>
      <c r="AK868" s="69">
        <v>2025</v>
      </c>
      <c r="AL868" s="61">
        <v>0</v>
      </c>
      <c r="AM868" s="143"/>
    </row>
    <row r="869" spans="1:39" x14ac:dyDescent="0.35">
      <c r="A869" s="69" t="s">
        <v>4124</v>
      </c>
      <c r="B869" s="41">
        <v>1141403927</v>
      </c>
      <c r="C869" s="41"/>
      <c r="D869" s="69"/>
      <c r="E869" s="41">
        <v>0</v>
      </c>
      <c r="F869" s="41" t="s">
        <v>2454</v>
      </c>
      <c r="G869" s="69" t="s">
        <v>2453</v>
      </c>
      <c r="H869" s="41">
        <v>9011000010</v>
      </c>
      <c r="I869" s="41" t="s">
        <v>47</v>
      </c>
      <c r="J869" s="41">
        <v>1202010202</v>
      </c>
      <c r="K869" s="41"/>
      <c r="L869" s="52" t="s">
        <v>2702</v>
      </c>
      <c r="M869" s="69" t="s">
        <v>2703</v>
      </c>
      <c r="N869" s="69"/>
      <c r="O869" s="69">
        <v>1</v>
      </c>
      <c r="P869" s="69" t="s">
        <v>50</v>
      </c>
      <c r="Q869" s="69" t="s">
        <v>51</v>
      </c>
      <c r="R869" s="69"/>
      <c r="S869" s="48">
        <v>44531</v>
      </c>
      <c r="T869" s="48">
        <v>44531</v>
      </c>
      <c r="U869" s="69"/>
      <c r="V869" s="69"/>
      <c r="W869" s="69"/>
      <c r="X869" s="69"/>
      <c r="Y869" s="69" t="s">
        <v>4128</v>
      </c>
      <c r="Z869" s="52">
        <v>7870</v>
      </c>
      <c r="AA869" s="43" t="s">
        <v>52</v>
      </c>
      <c r="AB869" s="43" t="s">
        <v>53</v>
      </c>
      <c r="AC869" s="85">
        <v>1825</v>
      </c>
      <c r="AD869" s="141">
        <v>5</v>
      </c>
      <c r="AE869" s="142">
        <v>0</v>
      </c>
      <c r="AF869" s="69" t="str">
        <f t="shared" si="111"/>
        <v>3 years 32 days</v>
      </c>
      <c r="AG869" s="69">
        <v>3</v>
      </c>
      <c r="AH869" s="69">
        <v>32</v>
      </c>
      <c r="AI869" s="69">
        <v>7870</v>
      </c>
      <c r="AJ869" s="67">
        <v>4860</v>
      </c>
      <c r="AK869" s="69">
        <v>2025</v>
      </c>
      <c r="AL869" s="61">
        <v>780.5260273972608</v>
      </c>
      <c r="AM869" s="143"/>
    </row>
    <row r="870" spans="1:39" x14ac:dyDescent="0.35">
      <c r="A870" s="69" t="s">
        <v>4124</v>
      </c>
      <c r="B870" s="41">
        <v>1141404108</v>
      </c>
      <c r="C870" s="41"/>
      <c r="D870" s="69"/>
      <c r="E870" s="41">
        <v>0</v>
      </c>
      <c r="F870" s="41" t="s">
        <v>2454</v>
      </c>
      <c r="G870" s="69" t="s">
        <v>2453</v>
      </c>
      <c r="H870" s="41">
        <v>9011000010</v>
      </c>
      <c r="I870" s="41" t="s">
        <v>47</v>
      </c>
      <c r="J870" s="41">
        <v>1202010202</v>
      </c>
      <c r="K870" s="41"/>
      <c r="L870" s="52" t="s">
        <v>2705</v>
      </c>
      <c r="M870" s="69" t="s">
        <v>2706</v>
      </c>
      <c r="N870" s="69"/>
      <c r="O870" s="69">
        <v>1</v>
      </c>
      <c r="P870" s="69" t="s">
        <v>50</v>
      </c>
      <c r="Q870" s="69" t="s">
        <v>51</v>
      </c>
      <c r="R870" s="69"/>
      <c r="S870" s="48">
        <v>44701</v>
      </c>
      <c r="T870" s="48">
        <v>44701</v>
      </c>
      <c r="U870" s="69"/>
      <c r="V870" s="69"/>
      <c r="W870" s="69"/>
      <c r="X870" s="69"/>
      <c r="Y870" s="69" t="s">
        <v>4131</v>
      </c>
      <c r="Z870" s="52">
        <v>8000</v>
      </c>
      <c r="AA870" s="43" t="s">
        <v>52</v>
      </c>
      <c r="AB870" s="43" t="s">
        <v>53</v>
      </c>
      <c r="AC870" s="85">
        <v>1825</v>
      </c>
      <c r="AD870" s="141">
        <v>5</v>
      </c>
      <c r="AE870" s="142">
        <v>0</v>
      </c>
      <c r="AF870" s="69" t="str">
        <f t="shared" si="111"/>
        <v>2 years 227 days</v>
      </c>
      <c r="AG870" s="69">
        <v>2</v>
      </c>
      <c r="AH870" s="69">
        <v>227</v>
      </c>
      <c r="AI870" s="69">
        <v>8000</v>
      </c>
      <c r="AJ870" s="67">
        <v>4195</v>
      </c>
      <c r="AK870" s="69">
        <v>2025</v>
      </c>
      <c r="AL870" s="61">
        <v>793.49315068493161</v>
      </c>
      <c r="AM870" s="143"/>
    </row>
    <row r="871" spans="1:39" x14ac:dyDescent="0.35">
      <c r="A871" s="69" t="s">
        <v>4124</v>
      </c>
      <c r="B871" s="41">
        <v>1141405115</v>
      </c>
      <c r="C871" s="41"/>
      <c r="D871" s="69"/>
      <c r="E871" s="41">
        <v>0</v>
      </c>
      <c r="F871" s="41" t="s">
        <v>2454</v>
      </c>
      <c r="G871" s="69" t="s">
        <v>2453</v>
      </c>
      <c r="H871" s="41">
        <v>9011000010</v>
      </c>
      <c r="I871" s="41" t="s">
        <v>47</v>
      </c>
      <c r="J871" s="41">
        <v>1202010202</v>
      </c>
      <c r="K871" s="41"/>
      <c r="L871" s="52" t="s">
        <v>2708</v>
      </c>
      <c r="M871" s="69" t="s">
        <v>2709</v>
      </c>
      <c r="N871" s="69"/>
      <c r="O871" s="69">
        <v>1</v>
      </c>
      <c r="P871" s="69" t="s">
        <v>50</v>
      </c>
      <c r="Q871" s="69" t="s">
        <v>51</v>
      </c>
      <c r="R871" s="69"/>
      <c r="S871" s="48">
        <v>45361</v>
      </c>
      <c r="T871" s="48">
        <v>45361</v>
      </c>
      <c r="U871" s="69"/>
      <c r="V871" s="69"/>
      <c r="W871" s="69"/>
      <c r="X871" s="69"/>
      <c r="Y871" s="69" t="s">
        <v>4130</v>
      </c>
      <c r="Z871" s="52">
        <v>34650</v>
      </c>
      <c r="AA871" s="43" t="s">
        <v>52</v>
      </c>
      <c r="AB871" s="43" t="s">
        <v>53</v>
      </c>
      <c r="AC871" s="85">
        <v>1825</v>
      </c>
      <c r="AD871" s="141">
        <v>5</v>
      </c>
      <c r="AE871" s="142">
        <v>0</v>
      </c>
      <c r="AF871" s="69" t="str">
        <f t="shared" si="111"/>
        <v>0 years 297 days</v>
      </c>
      <c r="AG871" s="69">
        <v>0</v>
      </c>
      <c r="AH871" s="69">
        <v>297</v>
      </c>
      <c r="AI871" s="69">
        <v>34650</v>
      </c>
      <c r="AJ871" s="67">
        <v>5639</v>
      </c>
      <c r="AK871" s="69">
        <v>2025</v>
      </c>
      <c r="AL871" s="61">
        <v>3436.4520547945212</v>
      </c>
      <c r="AM871" s="143"/>
    </row>
    <row r="872" spans="1:39" x14ac:dyDescent="0.35">
      <c r="A872" s="69" t="s">
        <v>4124</v>
      </c>
      <c r="B872" s="41">
        <v>1141405189</v>
      </c>
      <c r="C872" s="41"/>
      <c r="D872" s="69"/>
      <c r="E872" s="41">
        <v>0</v>
      </c>
      <c r="F872" s="41" t="s">
        <v>2454</v>
      </c>
      <c r="G872" s="69" t="s">
        <v>2453</v>
      </c>
      <c r="H872" s="41">
        <v>9011000010</v>
      </c>
      <c r="I872" s="41" t="s">
        <v>47</v>
      </c>
      <c r="J872" s="41">
        <v>1202010202</v>
      </c>
      <c r="K872" s="41"/>
      <c r="L872" s="52" t="s">
        <v>2711</v>
      </c>
      <c r="M872" s="69" t="s">
        <v>49</v>
      </c>
      <c r="N872" s="69"/>
      <c r="O872" s="69">
        <v>1711</v>
      </c>
      <c r="P872" s="69" t="s">
        <v>50</v>
      </c>
      <c r="Q872" s="69" t="s">
        <v>51</v>
      </c>
      <c r="R872" s="69"/>
      <c r="S872" s="48">
        <v>45431</v>
      </c>
      <c r="T872" s="48">
        <v>45431</v>
      </c>
      <c r="U872" s="69"/>
      <c r="V872" s="69"/>
      <c r="W872" s="69"/>
      <c r="X872" s="69"/>
      <c r="Y872" s="69" t="s">
        <v>4130</v>
      </c>
      <c r="Z872" s="83">
        <v>90748</v>
      </c>
      <c r="AA872" s="43" t="s">
        <v>52</v>
      </c>
      <c r="AB872" s="43" t="s">
        <v>53</v>
      </c>
      <c r="AC872" s="85">
        <v>1825</v>
      </c>
      <c r="AD872" s="141">
        <v>5</v>
      </c>
      <c r="AE872" s="142">
        <v>0</v>
      </c>
      <c r="AF872" s="69" t="str">
        <f t="shared" si="111"/>
        <v>0 years 227 days</v>
      </c>
      <c r="AG872" s="69">
        <v>0</v>
      </c>
      <c r="AH872" s="69">
        <v>227</v>
      </c>
      <c r="AI872" s="69">
        <v>90748</v>
      </c>
      <c r="AJ872" s="67">
        <v>11288</v>
      </c>
      <c r="AK872" s="69">
        <v>2025</v>
      </c>
      <c r="AL872" s="61">
        <v>8999.772054794521</v>
      </c>
      <c r="AM872" s="143"/>
    </row>
    <row r="873" spans="1:39" x14ac:dyDescent="0.35">
      <c r="A873" s="69" t="s">
        <v>4124</v>
      </c>
      <c r="B873" s="41">
        <v>1141401127</v>
      </c>
      <c r="C873" s="41"/>
      <c r="D873" s="69"/>
      <c r="E873" s="41">
        <v>0</v>
      </c>
      <c r="F873" s="41" t="s">
        <v>2454</v>
      </c>
      <c r="G873" s="69" t="s">
        <v>2453</v>
      </c>
      <c r="H873" s="41">
        <v>9011000011</v>
      </c>
      <c r="I873" s="41" t="s">
        <v>47</v>
      </c>
      <c r="J873" s="41">
        <v>1202010202</v>
      </c>
      <c r="K873" s="41"/>
      <c r="L873" s="52" t="s">
        <v>2713</v>
      </c>
      <c r="M873" s="69" t="s">
        <v>49</v>
      </c>
      <c r="N873" s="69"/>
      <c r="O873" s="69">
        <v>1</v>
      </c>
      <c r="P873" s="69" t="s">
        <v>50</v>
      </c>
      <c r="Q873" s="69" t="s">
        <v>51</v>
      </c>
      <c r="R873" s="69"/>
      <c r="S873" s="48">
        <v>41473</v>
      </c>
      <c r="T873" s="48">
        <v>43340</v>
      </c>
      <c r="U873" s="69"/>
      <c r="V873" s="69"/>
      <c r="W873" s="69"/>
      <c r="X873" s="69"/>
      <c r="Y873" s="69" t="s">
        <v>4125</v>
      </c>
      <c r="Z873" s="52">
        <v>55000</v>
      </c>
      <c r="AA873" s="43" t="s">
        <v>52</v>
      </c>
      <c r="AB873" s="43" t="s">
        <v>53</v>
      </c>
      <c r="AC873" s="85">
        <v>1059</v>
      </c>
      <c r="AD873" s="141">
        <v>2</v>
      </c>
      <c r="AE873" s="142">
        <v>11</v>
      </c>
      <c r="AF873" s="69" t="str">
        <f t="shared" si="111"/>
        <v>2 years 329 days</v>
      </c>
      <c r="AG873" s="69">
        <v>2</v>
      </c>
      <c r="AH873" s="69">
        <v>329</v>
      </c>
      <c r="AI873" s="69">
        <v>55000</v>
      </c>
      <c r="AJ873" s="67">
        <v>55000</v>
      </c>
      <c r="AK873" s="69">
        <v>2025</v>
      </c>
      <c r="AL873" s="61">
        <v>0</v>
      </c>
      <c r="AM873" s="143"/>
    </row>
    <row r="874" spans="1:39" x14ac:dyDescent="0.35">
      <c r="A874" s="69" t="s">
        <v>4124</v>
      </c>
      <c r="B874" s="41">
        <v>1141404652</v>
      </c>
      <c r="C874" s="41"/>
      <c r="D874" s="69"/>
      <c r="E874" s="41">
        <v>0</v>
      </c>
      <c r="F874" s="41" t="s">
        <v>2454</v>
      </c>
      <c r="G874" s="69" t="s">
        <v>2453</v>
      </c>
      <c r="H874" s="41">
        <v>9011000012</v>
      </c>
      <c r="I874" s="41" t="s">
        <v>47</v>
      </c>
      <c r="J874" s="41">
        <v>1202010202</v>
      </c>
      <c r="K874" s="41"/>
      <c r="L874" s="52" t="s">
        <v>2715</v>
      </c>
      <c r="M874" s="69" t="s">
        <v>2716</v>
      </c>
      <c r="N874" s="69"/>
      <c r="O874" s="69">
        <v>13</v>
      </c>
      <c r="P874" s="69" t="s">
        <v>50</v>
      </c>
      <c r="Q874" s="69" t="s">
        <v>51</v>
      </c>
      <c r="R874" s="69"/>
      <c r="S874" s="48">
        <v>44986</v>
      </c>
      <c r="T874" s="48">
        <v>44986</v>
      </c>
      <c r="U874" s="69"/>
      <c r="V874" s="69"/>
      <c r="W874" s="69"/>
      <c r="X874" s="69"/>
      <c r="Y874" s="69" t="s">
        <v>4129</v>
      </c>
      <c r="Z874" s="52">
        <v>169491</v>
      </c>
      <c r="AA874" s="43" t="s">
        <v>52</v>
      </c>
      <c r="AB874" s="43" t="s">
        <v>53</v>
      </c>
      <c r="AC874" s="85">
        <v>1825</v>
      </c>
      <c r="AD874" s="141">
        <v>5</v>
      </c>
      <c r="AE874" s="142">
        <v>0</v>
      </c>
      <c r="AF874" s="69" t="str">
        <f t="shared" si="111"/>
        <v>1 years 307 days</v>
      </c>
      <c r="AG874" s="69">
        <v>1</v>
      </c>
      <c r="AH874" s="69">
        <v>307</v>
      </c>
      <c r="AI874" s="69">
        <v>169491</v>
      </c>
      <c r="AJ874" s="67">
        <v>62410</v>
      </c>
      <c r="AK874" s="69">
        <v>2025</v>
      </c>
      <c r="AL874" s="61">
        <v>16809.62904109589</v>
      </c>
      <c r="AM874" s="143"/>
    </row>
    <row r="875" spans="1:39" x14ac:dyDescent="0.35">
      <c r="A875" s="69" t="s">
        <v>4124</v>
      </c>
      <c r="B875" s="41">
        <v>1141404705</v>
      </c>
      <c r="C875" s="41"/>
      <c r="D875" s="69"/>
      <c r="E875" s="41">
        <v>0</v>
      </c>
      <c r="F875" s="41" t="s">
        <v>2454</v>
      </c>
      <c r="G875" s="69" t="s">
        <v>2453</v>
      </c>
      <c r="H875" s="41">
        <v>9011000012</v>
      </c>
      <c r="I875" s="41" t="s">
        <v>47</v>
      </c>
      <c r="J875" s="41">
        <v>1202010202</v>
      </c>
      <c r="K875" s="41"/>
      <c r="L875" s="52" t="s">
        <v>2718</v>
      </c>
      <c r="M875" s="69" t="s">
        <v>2719</v>
      </c>
      <c r="N875" s="69"/>
      <c r="O875" s="69">
        <v>1</v>
      </c>
      <c r="P875" s="69" t="s">
        <v>50</v>
      </c>
      <c r="Q875" s="69" t="s">
        <v>51</v>
      </c>
      <c r="R875" s="69"/>
      <c r="S875" s="48">
        <v>45016</v>
      </c>
      <c r="T875" s="48">
        <v>45016</v>
      </c>
      <c r="U875" s="69"/>
      <c r="V875" s="69"/>
      <c r="W875" s="69"/>
      <c r="X875" s="69"/>
      <c r="Y875" s="69" t="s">
        <v>4129</v>
      </c>
      <c r="Z875" s="52">
        <v>67895</v>
      </c>
      <c r="AA875" s="43" t="s">
        <v>52</v>
      </c>
      <c r="AB875" s="43" t="s">
        <v>53</v>
      </c>
      <c r="AC875" s="85">
        <v>1825</v>
      </c>
      <c r="AD875" s="141">
        <v>5</v>
      </c>
      <c r="AE875" s="142">
        <v>0</v>
      </c>
      <c r="AF875" s="69" t="str">
        <f t="shared" si="111"/>
        <v>1 years 277 days</v>
      </c>
      <c r="AG875" s="69">
        <v>1</v>
      </c>
      <c r="AH875" s="69">
        <v>277</v>
      </c>
      <c r="AI875" s="69">
        <v>67895</v>
      </c>
      <c r="AJ875" s="67">
        <v>23921</v>
      </c>
      <c r="AK875" s="69">
        <v>2025</v>
      </c>
      <c r="AL875" s="61">
        <v>6734.0575342465745</v>
      </c>
      <c r="AM875" s="143"/>
    </row>
    <row r="876" spans="1:39" x14ac:dyDescent="0.35">
      <c r="A876" s="69" t="s">
        <v>4124</v>
      </c>
      <c r="B876" s="41">
        <v>1141404878</v>
      </c>
      <c r="C876" s="41"/>
      <c r="D876" s="69"/>
      <c r="E876" s="41">
        <v>0</v>
      </c>
      <c r="F876" s="41" t="s">
        <v>2454</v>
      </c>
      <c r="G876" s="69" t="s">
        <v>2453</v>
      </c>
      <c r="H876" s="41">
        <v>9011000013</v>
      </c>
      <c r="I876" s="41" t="s">
        <v>47</v>
      </c>
      <c r="J876" s="41">
        <v>1202010202</v>
      </c>
      <c r="K876" s="41"/>
      <c r="L876" s="52" t="s">
        <v>2721</v>
      </c>
      <c r="M876" s="69" t="s">
        <v>2722</v>
      </c>
      <c r="N876" s="69"/>
      <c r="O876" s="69">
        <v>1</v>
      </c>
      <c r="P876" s="69" t="s">
        <v>50</v>
      </c>
      <c r="Q876" s="69" t="s">
        <v>51</v>
      </c>
      <c r="R876" s="69"/>
      <c r="S876" s="48">
        <v>45170</v>
      </c>
      <c r="T876" s="48">
        <v>45170</v>
      </c>
      <c r="U876" s="69"/>
      <c r="V876" s="69"/>
      <c r="W876" s="69"/>
      <c r="X876" s="69"/>
      <c r="Y876" s="69" t="s">
        <v>4129</v>
      </c>
      <c r="Z876" s="52">
        <v>80932</v>
      </c>
      <c r="AA876" s="43" t="s">
        <v>52</v>
      </c>
      <c r="AB876" s="43" t="s">
        <v>53</v>
      </c>
      <c r="AC876" s="85">
        <v>1825</v>
      </c>
      <c r="AD876" s="141">
        <v>5</v>
      </c>
      <c r="AE876" s="142">
        <v>0</v>
      </c>
      <c r="AF876" s="69" t="str">
        <f t="shared" si="111"/>
        <v>1 years 123 days</v>
      </c>
      <c r="AG876" s="69">
        <v>1</v>
      </c>
      <c r="AH876" s="69">
        <v>123</v>
      </c>
      <c r="AI876" s="69">
        <v>80932</v>
      </c>
      <c r="AJ876" s="67">
        <v>21641</v>
      </c>
      <c r="AK876" s="69">
        <v>2025</v>
      </c>
      <c r="AL876" s="61">
        <v>8026.6756164383551</v>
      </c>
      <c r="AM876" s="143"/>
    </row>
    <row r="877" spans="1:39" x14ac:dyDescent="0.35">
      <c r="A877" s="69" t="s">
        <v>4124</v>
      </c>
      <c r="B877" s="41">
        <v>1141404880</v>
      </c>
      <c r="C877" s="41"/>
      <c r="D877" s="69"/>
      <c r="E877" s="41">
        <v>0</v>
      </c>
      <c r="F877" s="41" t="s">
        <v>2454</v>
      </c>
      <c r="G877" s="69" t="s">
        <v>2453</v>
      </c>
      <c r="H877" s="41">
        <v>9011000013</v>
      </c>
      <c r="I877" s="41" t="s">
        <v>47</v>
      </c>
      <c r="J877" s="41">
        <v>1202010202</v>
      </c>
      <c r="K877" s="41"/>
      <c r="L877" s="52" t="s">
        <v>2724</v>
      </c>
      <c r="M877" s="69" t="s">
        <v>2725</v>
      </c>
      <c r="N877" s="69"/>
      <c r="O877" s="69">
        <v>1</v>
      </c>
      <c r="P877" s="69" t="s">
        <v>50</v>
      </c>
      <c r="Q877" s="69" t="s">
        <v>51</v>
      </c>
      <c r="R877" s="69"/>
      <c r="S877" s="48">
        <v>45170</v>
      </c>
      <c r="T877" s="48">
        <v>45170</v>
      </c>
      <c r="U877" s="69"/>
      <c r="V877" s="69"/>
      <c r="W877" s="69"/>
      <c r="X877" s="69"/>
      <c r="Y877" s="69" t="s">
        <v>4129</v>
      </c>
      <c r="Z877" s="52">
        <v>76546</v>
      </c>
      <c r="AA877" s="43" t="s">
        <v>52</v>
      </c>
      <c r="AB877" s="43" t="s">
        <v>53</v>
      </c>
      <c r="AC877" s="85">
        <v>1825</v>
      </c>
      <c r="AD877" s="141">
        <v>5</v>
      </c>
      <c r="AE877" s="142">
        <v>0</v>
      </c>
      <c r="AF877" s="69" t="str">
        <f t="shared" si="111"/>
        <v>1 years 123 days</v>
      </c>
      <c r="AG877" s="69">
        <v>1</v>
      </c>
      <c r="AH877" s="69">
        <v>123</v>
      </c>
      <c r="AI877" s="69">
        <v>76546</v>
      </c>
      <c r="AJ877" s="67">
        <v>20468</v>
      </c>
      <c r="AK877" s="69">
        <v>2025</v>
      </c>
      <c r="AL877" s="61">
        <v>7591.8761643835605</v>
      </c>
      <c r="AM877" s="143"/>
    </row>
    <row r="878" spans="1:39" x14ac:dyDescent="0.35">
      <c r="A878" s="69" t="s">
        <v>4124</v>
      </c>
      <c r="B878" s="41">
        <v>1141405140</v>
      </c>
      <c r="C878" s="41"/>
      <c r="D878" s="69"/>
      <c r="E878" s="41">
        <v>0</v>
      </c>
      <c r="F878" s="41" t="s">
        <v>2454</v>
      </c>
      <c r="G878" s="69" t="s">
        <v>2453</v>
      </c>
      <c r="H878" s="41">
        <v>9011000013</v>
      </c>
      <c r="I878" s="41" t="s">
        <v>47</v>
      </c>
      <c r="J878" s="41">
        <v>1202010202</v>
      </c>
      <c r="K878" s="41"/>
      <c r="L878" s="52" t="s">
        <v>2727</v>
      </c>
      <c r="M878" s="69" t="s">
        <v>2709</v>
      </c>
      <c r="N878" s="69"/>
      <c r="O878" s="69">
        <v>1</v>
      </c>
      <c r="P878" s="69" t="s">
        <v>50</v>
      </c>
      <c r="Q878" s="69" t="s">
        <v>51</v>
      </c>
      <c r="R878" s="69"/>
      <c r="S878" s="48">
        <v>45382</v>
      </c>
      <c r="T878" s="48">
        <v>45382</v>
      </c>
      <c r="U878" s="69"/>
      <c r="V878" s="69"/>
      <c r="W878" s="69"/>
      <c r="X878" s="69"/>
      <c r="Y878" s="69" t="s">
        <v>4130</v>
      </c>
      <c r="Z878" s="52">
        <v>57915</v>
      </c>
      <c r="AA878" s="43" t="s">
        <v>52</v>
      </c>
      <c r="AB878" s="43" t="s">
        <v>53</v>
      </c>
      <c r="AC878" s="85">
        <v>1825</v>
      </c>
      <c r="AD878" s="141">
        <v>5</v>
      </c>
      <c r="AE878" s="142">
        <v>0</v>
      </c>
      <c r="AF878" s="69" t="str">
        <f t="shared" si="111"/>
        <v>0 years 276 days</v>
      </c>
      <c r="AG878" s="69">
        <v>0</v>
      </c>
      <c r="AH878" s="69">
        <v>276</v>
      </c>
      <c r="AI878" s="69">
        <v>57915</v>
      </c>
      <c r="AJ878" s="67">
        <v>8790</v>
      </c>
      <c r="AK878" s="69">
        <v>2025</v>
      </c>
      <c r="AL878" s="61">
        <v>5744.2849315068488</v>
      </c>
      <c r="AM878" s="143"/>
    </row>
    <row r="879" spans="1:39" x14ac:dyDescent="0.35">
      <c r="A879" s="69" t="s">
        <v>4124</v>
      </c>
      <c r="B879" s="41">
        <v>1141405245</v>
      </c>
      <c r="C879" s="41"/>
      <c r="D879" s="69"/>
      <c r="E879" s="41">
        <v>0</v>
      </c>
      <c r="F879" s="41" t="s">
        <v>2454</v>
      </c>
      <c r="G879" s="69" t="s">
        <v>2453</v>
      </c>
      <c r="H879" s="41">
        <v>9011000014</v>
      </c>
      <c r="I879" s="41" t="s">
        <v>47</v>
      </c>
      <c r="J879" s="41">
        <v>1202010202</v>
      </c>
      <c r="K879" s="41"/>
      <c r="L879" s="52" t="s">
        <v>2729</v>
      </c>
      <c r="M879" s="69" t="s">
        <v>2730</v>
      </c>
      <c r="N879" s="69"/>
      <c r="O879" s="69">
        <v>313</v>
      </c>
      <c r="P879" s="69" t="s">
        <v>50</v>
      </c>
      <c r="Q879" s="69" t="s">
        <v>51</v>
      </c>
      <c r="R879" s="69"/>
      <c r="S879" s="48">
        <v>45498</v>
      </c>
      <c r="T879" s="48">
        <v>45498</v>
      </c>
      <c r="U879" s="69"/>
      <c r="V879" s="69"/>
      <c r="W879" s="69"/>
      <c r="X879" s="69"/>
      <c r="Y879" s="69" t="s">
        <v>4130</v>
      </c>
      <c r="Z879" s="83">
        <v>10800.8</v>
      </c>
      <c r="AA879" s="43" t="s">
        <v>52</v>
      </c>
      <c r="AB879" s="43" t="s">
        <v>53</v>
      </c>
      <c r="AC879" s="85">
        <v>1825</v>
      </c>
      <c r="AD879" s="141">
        <v>5</v>
      </c>
      <c r="AE879" s="142">
        <v>0</v>
      </c>
      <c r="AF879" s="69" t="str">
        <f t="shared" si="111"/>
        <v>0 years 160 days</v>
      </c>
      <c r="AG879" s="69">
        <v>0</v>
      </c>
      <c r="AH879" s="69">
        <v>160</v>
      </c>
      <c r="AI879" s="69">
        <v>10800.8</v>
      </c>
      <c r="AJ879" s="67">
        <v>947</v>
      </c>
      <c r="AK879" s="69">
        <v>2025</v>
      </c>
      <c r="AL879" s="61">
        <v>1071.1220821917809</v>
      </c>
      <c r="AM879" s="143"/>
    </row>
    <row r="880" spans="1:39" x14ac:dyDescent="0.35">
      <c r="A880" s="69" t="s">
        <v>4124</v>
      </c>
      <c r="B880" s="41">
        <v>1101404685</v>
      </c>
      <c r="C880" s="41"/>
      <c r="D880" s="69"/>
      <c r="E880" s="41">
        <v>0</v>
      </c>
      <c r="F880" s="41" t="s">
        <v>2454</v>
      </c>
      <c r="G880" s="69" t="s">
        <v>2453</v>
      </c>
      <c r="H880" s="41">
        <v>9011000015</v>
      </c>
      <c r="I880" s="41" t="s">
        <v>47</v>
      </c>
      <c r="J880" s="41">
        <v>1202010202</v>
      </c>
      <c r="K880" s="41" t="s">
        <v>2454</v>
      </c>
      <c r="L880" s="52" t="s">
        <v>2732</v>
      </c>
      <c r="M880" s="69" t="s">
        <v>2733</v>
      </c>
      <c r="N880" s="69"/>
      <c r="O880" s="69">
        <v>1</v>
      </c>
      <c r="P880" s="69" t="s">
        <v>50</v>
      </c>
      <c r="Q880" s="69" t="s">
        <v>51</v>
      </c>
      <c r="R880" s="69"/>
      <c r="S880" s="48">
        <v>45005</v>
      </c>
      <c r="T880" s="48">
        <v>45005</v>
      </c>
      <c r="U880" s="69"/>
      <c r="V880" s="69"/>
      <c r="W880" s="69"/>
      <c r="X880" s="69"/>
      <c r="Y880" s="69" t="s">
        <v>4129</v>
      </c>
      <c r="Z880" s="52">
        <v>75500</v>
      </c>
      <c r="AA880" s="43" t="s">
        <v>52</v>
      </c>
      <c r="AB880" s="43" t="s">
        <v>53</v>
      </c>
      <c r="AC880" s="85">
        <v>3650</v>
      </c>
      <c r="AD880" s="141">
        <v>10</v>
      </c>
      <c r="AE880" s="142">
        <v>0</v>
      </c>
      <c r="AF880" s="69" t="str">
        <f t="shared" si="111"/>
        <v>1 years 288 days</v>
      </c>
      <c r="AG880" s="69">
        <v>1</v>
      </c>
      <c r="AH880" s="69">
        <v>288</v>
      </c>
      <c r="AI880" s="69">
        <v>75500</v>
      </c>
      <c r="AJ880" s="67">
        <v>13507</v>
      </c>
      <c r="AK880" s="69">
        <v>2025</v>
      </c>
      <c r="AL880" s="61">
        <v>3744.232876712329</v>
      </c>
      <c r="AM880" s="143"/>
    </row>
    <row r="881" spans="1:39" x14ac:dyDescent="0.35">
      <c r="A881" s="69" t="s">
        <v>4124</v>
      </c>
      <c r="B881" s="41">
        <v>1101404655</v>
      </c>
      <c r="C881" s="41"/>
      <c r="D881" s="69"/>
      <c r="E881" s="41">
        <v>0</v>
      </c>
      <c r="F881" s="41" t="s">
        <v>2454</v>
      </c>
      <c r="G881" s="69" t="s">
        <v>2453</v>
      </c>
      <c r="H881" s="41">
        <v>9011000015</v>
      </c>
      <c r="I881" s="41" t="s">
        <v>47</v>
      </c>
      <c r="J881" s="41">
        <v>1202010202</v>
      </c>
      <c r="K881" s="41"/>
      <c r="L881" s="52" t="s">
        <v>2735</v>
      </c>
      <c r="M881" s="69" t="s">
        <v>2736</v>
      </c>
      <c r="N881" s="69"/>
      <c r="O881" s="69">
        <v>1</v>
      </c>
      <c r="P881" s="69" t="s">
        <v>50</v>
      </c>
      <c r="Q881" s="69" t="s">
        <v>51</v>
      </c>
      <c r="R881" s="69"/>
      <c r="S881" s="48">
        <v>44986</v>
      </c>
      <c r="T881" s="48">
        <v>44986</v>
      </c>
      <c r="U881" s="69"/>
      <c r="V881" s="69"/>
      <c r="W881" s="69"/>
      <c r="X881" s="69"/>
      <c r="Y881" s="69" t="s">
        <v>4129</v>
      </c>
      <c r="Z881" s="52">
        <v>583700.6</v>
      </c>
      <c r="AA881" s="43" t="s">
        <v>52</v>
      </c>
      <c r="AB881" s="43" t="s">
        <v>53</v>
      </c>
      <c r="AC881" s="85">
        <v>3650</v>
      </c>
      <c r="AD881" s="141">
        <v>10</v>
      </c>
      <c r="AE881" s="142">
        <v>0</v>
      </c>
      <c r="AF881" s="69" t="str">
        <f t="shared" si="111"/>
        <v>1 years 307 days</v>
      </c>
      <c r="AG881" s="69">
        <v>1</v>
      </c>
      <c r="AH881" s="69">
        <v>307</v>
      </c>
      <c r="AI881" s="69">
        <v>583700.6</v>
      </c>
      <c r="AJ881" s="67">
        <v>107465</v>
      </c>
      <c r="AK881" s="69">
        <v>2025</v>
      </c>
      <c r="AL881" s="61">
        <v>28945.034027397254</v>
      </c>
      <c r="AM881" s="143"/>
    </row>
    <row r="882" spans="1:39" x14ac:dyDescent="0.35">
      <c r="A882" s="69" t="s">
        <v>4124</v>
      </c>
      <c r="B882" s="41">
        <v>1101404825</v>
      </c>
      <c r="C882" s="41"/>
      <c r="D882" s="69"/>
      <c r="E882" s="41">
        <v>0</v>
      </c>
      <c r="F882" s="41" t="s">
        <v>2454</v>
      </c>
      <c r="G882" s="69" t="s">
        <v>2453</v>
      </c>
      <c r="H882" s="41">
        <v>9011000015</v>
      </c>
      <c r="I882" s="41" t="s">
        <v>47</v>
      </c>
      <c r="J882" s="41">
        <v>1202010202</v>
      </c>
      <c r="K882" s="41"/>
      <c r="L882" s="52" t="s">
        <v>2738</v>
      </c>
      <c r="M882" s="69" t="s">
        <v>2739</v>
      </c>
      <c r="N882" s="69"/>
      <c r="O882" s="69">
        <v>1</v>
      </c>
      <c r="P882" s="69" t="s">
        <v>50</v>
      </c>
      <c r="Q882" s="69" t="s">
        <v>51</v>
      </c>
      <c r="R882" s="69"/>
      <c r="S882" s="48">
        <v>45127</v>
      </c>
      <c r="T882" s="48">
        <v>45127</v>
      </c>
      <c r="U882" s="69"/>
      <c r="V882" s="69"/>
      <c r="W882" s="69"/>
      <c r="X882" s="69"/>
      <c r="Y882" s="69" t="s">
        <v>4129</v>
      </c>
      <c r="Z882" s="52">
        <v>76025</v>
      </c>
      <c r="AA882" s="43" t="s">
        <v>52</v>
      </c>
      <c r="AB882" s="43" t="s">
        <v>53</v>
      </c>
      <c r="AC882" s="85">
        <v>3650</v>
      </c>
      <c r="AD882" s="141">
        <v>10</v>
      </c>
      <c r="AE882" s="142">
        <v>0</v>
      </c>
      <c r="AF882" s="69" t="str">
        <f t="shared" si="111"/>
        <v>1 years 166 days</v>
      </c>
      <c r="AG882" s="69">
        <v>1</v>
      </c>
      <c r="AH882" s="69">
        <v>166</v>
      </c>
      <c r="AI882" s="69">
        <v>76025</v>
      </c>
      <c r="AJ882" s="67">
        <v>11060</v>
      </c>
      <c r="AK882" s="69">
        <v>2025</v>
      </c>
      <c r="AL882" s="61">
        <v>3770.0821917808225</v>
      </c>
      <c r="AM882" s="143"/>
    </row>
    <row r="883" spans="1:39" x14ac:dyDescent="0.35">
      <c r="A883" s="69" t="s">
        <v>4124</v>
      </c>
      <c r="B883" s="41">
        <v>1101504360</v>
      </c>
      <c r="C883" s="41"/>
      <c r="D883" s="69"/>
      <c r="E883" s="41">
        <v>0</v>
      </c>
      <c r="F883" s="41" t="s">
        <v>2454</v>
      </c>
      <c r="G883" s="69" t="s">
        <v>2453</v>
      </c>
      <c r="H883" s="41">
        <v>9011000016</v>
      </c>
      <c r="I883" s="41" t="s">
        <v>47</v>
      </c>
      <c r="J883" s="41">
        <v>1202010202</v>
      </c>
      <c r="K883" s="41"/>
      <c r="L883" s="52" t="s">
        <v>2744</v>
      </c>
      <c r="M883" s="69" t="s">
        <v>2745</v>
      </c>
      <c r="N883" s="69"/>
      <c r="O883" s="69">
        <v>1</v>
      </c>
      <c r="P883" s="69" t="s">
        <v>50</v>
      </c>
      <c r="Q883" s="69" t="s">
        <v>51</v>
      </c>
      <c r="R883" s="69"/>
      <c r="S883" s="48">
        <v>44291</v>
      </c>
      <c r="T883" s="48">
        <v>44291</v>
      </c>
      <c r="U883" s="69"/>
      <c r="V883" s="69"/>
      <c r="W883" s="69"/>
      <c r="X883" s="69"/>
      <c r="Y883" s="69" t="s">
        <v>4128</v>
      </c>
      <c r="Z883" s="52">
        <v>90242</v>
      </c>
      <c r="AA883" s="43" t="s">
        <v>52</v>
      </c>
      <c r="AB883" s="43" t="s">
        <v>53</v>
      </c>
      <c r="AC883" s="85">
        <v>3650</v>
      </c>
      <c r="AD883" s="141">
        <v>10</v>
      </c>
      <c r="AE883" s="142">
        <v>0</v>
      </c>
      <c r="AF883" s="69" t="str">
        <f t="shared" si="111"/>
        <v>3 years 272 days</v>
      </c>
      <c r="AG883" s="69">
        <v>3</v>
      </c>
      <c r="AH883" s="69">
        <v>272</v>
      </c>
      <c r="AI883" s="69">
        <v>90242</v>
      </c>
      <c r="AJ883" s="67">
        <v>33797</v>
      </c>
      <c r="AK883" s="69">
        <v>2025</v>
      </c>
      <c r="AL883" s="61">
        <v>4475.4975342465768</v>
      </c>
      <c r="AM883" s="143"/>
    </row>
    <row r="884" spans="1:39" x14ac:dyDescent="0.35">
      <c r="A884" s="69" t="s">
        <v>4124</v>
      </c>
      <c r="B884" s="41">
        <v>1101404648</v>
      </c>
      <c r="C884" s="41"/>
      <c r="D884" s="69"/>
      <c r="E884" s="41">
        <v>0</v>
      </c>
      <c r="F884" s="41" t="s">
        <v>2454</v>
      </c>
      <c r="G884" s="69" t="s">
        <v>2453</v>
      </c>
      <c r="H884" s="41">
        <v>9011000016</v>
      </c>
      <c r="I884" s="41" t="s">
        <v>47</v>
      </c>
      <c r="J884" s="41">
        <v>1202010202</v>
      </c>
      <c r="K884" s="41"/>
      <c r="L884" s="52" t="s">
        <v>2741</v>
      </c>
      <c r="M884" s="69" t="s">
        <v>2742</v>
      </c>
      <c r="N884" s="69"/>
      <c r="O884" s="69">
        <v>1</v>
      </c>
      <c r="P884" s="69" t="s">
        <v>50</v>
      </c>
      <c r="Q884" s="69" t="s">
        <v>51</v>
      </c>
      <c r="R884" s="69"/>
      <c r="S884" s="48">
        <v>44986</v>
      </c>
      <c r="T884" s="48">
        <v>44986</v>
      </c>
      <c r="U884" s="69"/>
      <c r="V884" s="69"/>
      <c r="W884" s="69"/>
      <c r="X884" s="69"/>
      <c r="Y884" s="69" t="s">
        <v>4129</v>
      </c>
      <c r="Z884" s="52">
        <v>47500</v>
      </c>
      <c r="AA884" s="43" t="s">
        <v>52</v>
      </c>
      <c r="AB884" s="43" t="s">
        <v>53</v>
      </c>
      <c r="AC884" s="85">
        <v>3650</v>
      </c>
      <c r="AD884" s="141">
        <v>10</v>
      </c>
      <c r="AE884" s="142">
        <v>0</v>
      </c>
      <c r="AF884" s="69" t="str">
        <f t="shared" si="111"/>
        <v>1 years 307 days</v>
      </c>
      <c r="AG884" s="69">
        <v>1</v>
      </c>
      <c r="AH884" s="69">
        <v>307</v>
      </c>
      <c r="AI884" s="69">
        <v>47500</v>
      </c>
      <c r="AJ884" s="67">
        <v>8745</v>
      </c>
      <c r="AK884" s="69">
        <v>2025</v>
      </c>
      <c r="AL884" s="61">
        <v>2355.6849315068503</v>
      </c>
      <c r="AM884" s="143"/>
    </row>
    <row r="885" spans="1:39" x14ac:dyDescent="0.35">
      <c r="A885" s="69" t="s">
        <v>4124</v>
      </c>
      <c r="B885" s="41">
        <v>1101504359</v>
      </c>
      <c r="C885" s="41"/>
      <c r="D885" s="69"/>
      <c r="E885" s="41">
        <v>0</v>
      </c>
      <c r="F885" s="41" t="s">
        <v>2454</v>
      </c>
      <c r="G885" s="69" t="s">
        <v>2453</v>
      </c>
      <c r="H885" s="41">
        <v>9011000017</v>
      </c>
      <c r="I885" s="41" t="s">
        <v>47</v>
      </c>
      <c r="J885" s="41">
        <v>1202010202</v>
      </c>
      <c r="K885" s="41"/>
      <c r="L885" s="52" t="s">
        <v>2747</v>
      </c>
      <c r="M885" s="69" t="s">
        <v>2748</v>
      </c>
      <c r="N885" s="69"/>
      <c r="O885" s="69">
        <v>1</v>
      </c>
      <c r="P885" s="69" t="s">
        <v>50</v>
      </c>
      <c r="Q885" s="69" t="s">
        <v>51</v>
      </c>
      <c r="R885" s="69"/>
      <c r="S885" s="48">
        <v>43542</v>
      </c>
      <c r="T885" s="48">
        <v>43542</v>
      </c>
      <c r="U885" s="69"/>
      <c r="V885" s="69"/>
      <c r="W885" s="69"/>
      <c r="X885" s="69"/>
      <c r="Y885" s="69" t="s">
        <v>4126</v>
      </c>
      <c r="Z885" s="52">
        <v>73628</v>
      </c>
      <c r="AA885" s="43" t="s">
        <v>52</v>
      </c>
      <c r="AB885" s="43" t="s">
        <v>53</v>
      </c>
      <c r="AC885" s="85">
        <v>1825</v>
      </c>
      <c r="AD885" s="141">
        <v>5</v>
      </c>
      <c r="AE885" s="142">
        <v>0</v>
      </c>
      <c r="AF885" s="69" t="str">
        <f t="shared" si="111"/>
        <v>5 years 0 days</v>
      </c>
      <c r="AG885" s="69">
        <v>5</v>
      </c>
      <c r="AH885" s="69">
        <v>0</v>
      </c>
      <c r="AI885" s="69">
        <v>73628</v>
      </c>
      <c r="AJ885" s="67">
        <v>73628</v>
      </c>
      <c r="AK885" s="69">
        <v>2025</v>
      </c>
      <c r="AL885" s="61">
        <v>0</v>
      </c>
      <c r="AM885" s="143"/>
    </row>
    <row r="886" spans="1:39" x14ac:dyDescent="0.35">
      <c r="A886" s="69" t="s">
        <v>4124</v>
      </c>
      <c r="B886" s="41">
        <v>1111401429</v>
      </c>
      <c r="C886" s="41"/>
      <c r="D886" s="69"/>
      <c r="E886" s="41">
        <v>0</v>
      </c>
      <c r="F886" s="41" t="s">
        <v>2751</v>
      </c>
      <c r="G886" s="69" t="s">
        <v>2750</v>
      </c>
      <c r="H886" s="41">
        <v>9012000001</v>
      </c>
      <c r="I886" s="41" t="s">
        <v>47</v>
      </c>
      <c r="J886" s="41">
        <v>1202010202</v>
      </c>
      <c r="K886" s="41"/>
      <c r="L886" s="52" t="s">
        <v>2752</v>
      </c>
      <c r="M886" s="69" t="s">
        <v>2753</v>
      </c>
      <c r="N886" s="69"/>
      <c r="O886" s="69">
        <v>1</v>
      </c>
      <c r="P886" s="69" t="s">
        <v>50</v>
      </c>
      <c r="Q886" s="69" t="s">
        <v>51</v>
      </c>
      <c r="R886" s="69"/>
      <c r="S886" s="48">
        <v>41803</v>
      </c>
      <c r="T886" s="48">
        <v>43340</v>
      </c>
      <c r="U886" s="69"/>
      <c r="V886" s="69"/>
      <c r="W886" s="69"/>
      <c r="X886" s="69"/>
      <c r="Y886" s="69" t="s">
        <v>4125</v>
      </c>
      <c r="Z886" s="52">
        <v>1500</v>
      </c>
      <c r="AA886" s="43" t="s">
        <v>52</v>
      </c>
      <c r="AB886" s="43" t="s">
        <v>53</v>
      </c>
      <c r="AC886" s="85">
        <v>110</v>
      </c>
      <c r="AD886" s="141">
        <v>0</v>
      </c>
      <c r="AE886" s="142">
        <v>4</v>
      </c>
      <c r="AF886" s="69" t="str">
        <f t="shared" ref="AF886:AF949" si="112">_xlfn.CONCAT(AG886," years ",AH886," days")</f>
        <v>0 years 110 days</v>
      </c>
      <c r="AG886" s="69">
        <v>0</v>
      </c>
      <c r="AH886" s="69">
        <v>110</v>
      </c>
      <c r="AI886" s="69">
        <v>1500</v>
      </c>
      <c r="AJ886" s="67">
        <v>1500</v>
      </c>
      <c r="AK886" s="69">
        <v>2025</v>
      </c>
      <c r="AL886" s="61">
        <v>0</v>
      </c>
      <c r="AM886" s="143"/>
    </row>
    <row r="887" spans="1:39" x14ac:dyDescent="0.35">
      <c r="A887" s="69" t="s">
        <v>4124</v>
      </c>
      <c r="B887" s="41">
        <v>1111401594</v>
      </c>
      <c r="C887" s="41"/>
      <c r="D887" s="69"/>
      <c r="E887" s="41">
        <v>0</v>
      </c>
      <c r="F887" s="41" t="s">
        <v>2751</v>
      </c>
      <c r="G887" s="69" t="s">
        <v>2750</v>
      </c>
      <c r="H887" s="41">
        <v>9012000002</v>
      </c>
      <c r="I887" s="41" t="s">
        <v>47</v>
      </c>
      <c r="J887" s="41">
        <v>1202010202</v>
      </c>
      <c r="K887" s="41"/>
      <c r="L887" s="52" t="s">
        <v>2755</v>
      </c>
      <c r="M887" s="69" t="s">
        <v>2756</v>
      </c>
      <c r="N887" s="69"/>
      <c r="O887" s="69">
        <v>1</v>
      </c>
      <c r="P887" s="69" t="s">
        <v>50</v>
      </c>
      <c r="Q887" s="69" t="s">
        <v>51</v>
      </c>
      <c r="R887" s="69"/>
      <c r="S887" s="48">
        <v>42012</v>
      </c>
      <c r="T887" s="48">
        <v>43340</v>
      </c>
      <c r="U887" s="69"/>
      <c r="V887" s="69"/>
      <c r="W887" s="69"/>
      <c r="X887" s="69"/>
      <c r="Y887" s="69" t="s">
        <v>4125</v>
      </c>
      <c r="Z887" s="52">
        <v>850</v>
      </c>
      <c r="AA887" s="43" t="s">
        <v>52</v>
      </c>
      <c r="AB887" s="43" t="s">
        <v>53</v>
      </c>
      <c r="AC887" s="85">
        <v>110</v>
      </c>
      <c r="AD887" s="141">
        <v>0</v>
      </c>
      <c r="AE887" s="142">
        <v>4</v>
      </c>
      <c r="AF887" s="69" t="str">
        <f t="shared" si="112"/>
        <v>0 years 110 days</v>
      </c>
      <c r="AG887" s="69">
        <v>0</v>
      </c>
      <c r="AH887" s="69">
        <v>110</v>
      </c>
      <c r="AI887" s="69">
        <v>850</v>
      </c>
      <c r="AJ887" s="67">
        <v>850</v>
      </c>
      <c r="AK887" s="69">
        <v>2025</v>
      </c>
      <c r="AL887" s="61">
        <v>0</v>
      </c>
      <c r="AM887" s="143"/>
    </row>
    <row r="888" spans="1:39" x14ac:dyDescent="0.35">
      <c r="A888" s="69" t="s">
        <v>4124</v>
      </c>
      <c r="B888" s="41">
        <v>1111401660</v>
      </c>
      <c r="C888" s="41"/>
      <c r="D888" s="69"/>
      <c r="E888" s="41">
        <v>0</v>
      </c>
      <c r="F888" s="41" t="s">
        <v>2751</v>
      </c>
      <c r="G888" s="69" t="s">
        <v>2750</v>
      </c>
      <c r="H888" s="41">
        <v>9012000003</v>
      </c>
      <c r="I888" s="41" t="s">
        <v>47</v>
      </c>
      <c r="J888" s="41">
        <v>1202010202</v>
      </c>
      <c r="K888" s="41"/>
      <c r="L888" s="52" t="s">
        <v>2758</v>
      </c>
      <c r="M888" s="69" t="s">
        <v>2759</v>
      </c>
      <c r="N888" s="69"/>
      <c r="O888" s="69">
        <v>1</v>
      </c>
      <c r="P888" s="69" t="s">
        <v>50</v>
      </c>
      <c r="Q888" s="69" t="s">
        <v>51</v>
      </c>
      <c r="R888" s="69"/>
      <c r="S888" s="48">
        <v>42185</v>
      </c>
      <c r="T888" s="48">
        <v>43340</v>
      </c>
      <c r="U888" s="69"/>
      <c r="V888" s="69"/>
      <c r="W888" s="69"/>
      <c r="X888" s="69"/>
      <c r="Y888" s="69" t="s">
        <v>4125</v>
      </c>
      <c r="Z888" s="52">
        <v>1000</v>
      </c>
      <c r="AA888" s="43" t="s">
        <v>52</v>
      </c>
      <c r="AB888" s="43" t="s">
        <v>53</v>
      </c>
      <c r="AC888" s="85">
        <v>110</v>
      </c>
      <c r="AD888" s="141">
        <v>0</v>
      </c>
      <c r="AE888" s="142">
        <v>4</v>
      </c>
      <c r="AF888" s="69" t="str">
        <f t="shared" si="112"/>
        <v>0 years 110 days</v>
      </c>
      <c r="AG888" s="69">
        <v>0</v>
      </c>
      <c r="AH888" s="69">
        <v>110</v>
      </c>
      <c r="AI888" s="69">
        <v>1000</v>
      </c>
      <c r="AJ888" s="67">
        <v>1000</v>
      </c>
      <c r="AK888" s="69">
        <v>2025</v>
      </c>
      <c r="AL888" s="61">
        <v>0</v>
      </c>
      <c r="AM888" s="143"/>
    </row>
    <row r="889" spans="1:39" x14ac:dyDescent="0.35">
      <c r="A889" s="69" t="s">
        <v>4124</v>
      </c>
      <c r="B889" s="41">
        <v>1111401744</v>
      </c>
      <c r="C889" s="41"/>
      <c r="D889" s="69"/>
      <c r="E889" s="41">
        <v>0</v>
      </c>
      <c r="F889" s="41" t="s">
        <v>2751</v>
      </c>
      <c r="G889" s="69" t="s">
        <v>2750</v>
      </c>
      <c r="H889" s="41">
        <v>9012000004</v>
      </c>
      <c r="I889" s="41" t="s">
        <v>47</v>
      </c>
      <c r="J889" s="41">
        <v>1202010202</v>
      </c>
      <c r="K889" s="41"/>
      <c r="L889" s="52" t="s">
        <v>2761</v>
      </c>
      <c r="M889" s="69" t="s">
        <v>49</v>
      </c>
      <c r="N889" s="69"/>
      <c r="O889" s="69">
        <v>1</v>
      </c>
      <c r="P889" s="69" t="s">
        <v>50</v>
      </c>
      <c r="Q889" s="69" t="s">
        <v>51</v>
      </c>
      <c r="R889" s="69"/>
      <c r="S889" s="48">
        <v>42293</v>
      </c>
      <c r="T889" s="48">
        <v>43340</v>
      </c>
      <c r="U889" s="69"/>
      <c r="V889" s="69"/>
      <c r="W889" s="69"/>
      <c r="X889" s="69"/>
      <c r="Y889" s="69" t="s">
        <v>4125</v>
      </c>
      <c r="Z889" s="52">
        <v>4600</v>
      </c>
      <c r="AA889" s="43" t="s">
        <v>52</v>
      </c>
      <c r="AB889" s="43" t="s">
        <v>53</v>
      </c>
      <c r="AC889" s="85">
        <v>767</v>
      </c>
      <c r="AD889" s="141">
        <v>2</v>
      </c>
      <c r="AE889" s="142">
        <v>1</v>
      </c>
      <c r="AF889" s="69" t="str">
        <f t="shared" si="112"/>
        <v>2 years 37 days</v>
      </c>
      <c r="AG889" s="69">
        <v>2</v>
      </c>
      <c r="AH889" s="69">
        <v>37</v>
      </c>
      <c r="AI889" s="69">
        <v>4600</v>
      </c>
      <c r="AJ889" s="67">
        <v>4600</v>
      </c>
      <c r="AK889" s="69">
        <v>2025</v>
      </c>
      <c r="AL889" s="61">
        <v>0</v>
      </c>
      <c r="AM889" s="143"/>
    </row>
    <row r="890" spans="1:39" x14ac:dyDescent="0.35">
      <c r="A890" s="69" t="s">
        <v>4124</v>
      </c>
      <c r="B890" s="41">
        <v>1111401794</v>
      </c>
      <c r="C890" s="41"/>
      <c r="D890" s="69"/>
      <c r="E890" s="41">
        <v>0</v>
      </c>
      <c r="F890" s="41" t="s">
        <v>2751</v>
      </c>
      <c r="G890" s="69" t="s">
        <v>2750</v>
      </c>
      <c r="H890" s="41">
        <v>9012000005</v>
      </c>
      <c r="I890" s="41" t="s">
        <v>47</v>
      </c>
      <c r="J890" s="41">
        <v>1202010202</v>
      </c>
      <c r="K890" s="41"/>
      <c r="L890" s="52" t="s">
        <v>2763</v>
      </c>
      <c r="M890" s="69" t="s">
        <v>2764</v>
      </c>
      <c r="N890" s="69"/>
      <c r="O890" s="69">
        <v>1</v>
      </c>
      <c r="P890" s="69" t="s">
        <v>50</v>
      </c>
      <c r="Q890" s="69" t="s">
        <v>51</v>
      </c>
      <c r="R890" s="69"/>
      <c r="S890" s="48">
        <v>42363</v>
      </c>
      <c r="T890" s="48">
        <v>43340</v>
      </c>
      <c r="U890" s="69"/>
      <c r="V890" s="69"/>
      <c r="W890" s="69"/>
      <c r="X890" s="69"/>
      <c r="Y890" s="69" t="s">
        <v>4125</v>
      </c>
      <c r="Z890" s="52">
        <v>3400</v>
      </c>
      <c r="AA890" s="43" t="s">
        <v>52</v>
      </c>
      <c r="AB890" s="43" t="s">
        <v>53</v>
      </c>
      <c r="AC890" s="85">
        <v>840</v>
      </c>
      <c r="AD890" s="141">
        <v>2</v>
      </c>
      <c r="AE890" s="142">
        <v>4</v>
      </c>
      <c r="AF890" s="69" t="str">
        <f t="shared" si="112"/>
        <v>2 years 110 days</v>
      </c>
      <c r="AG890" s="69">
        <v>2</v>
      </c>
      <c r="AH890" s="69">
        <v>110</v>
      </c>
      <c r="AI890" s="69">
        <v>3400</v>
      </c>
      <c r="AJ890" s="67">
        <v>3400</v>
      </c>
      <c r="AK890" s="69">
        <v>2025</v>
      </c>
      <c r="AL890" s="61">
        <v>0</v>
      </c>
      <c r="AM890" s="143"/>
    </row>
    <row r="891" spans="1:39" x14ac:dyDescent="0.35">
      <c r="A891" s="69" t="s">
        <v>4124</v>
      </c>
      <c r="B891" s="41">
        <v>1111402226</v>
      </c>
      <c r="C891" s="41"/>
      <c r="D891" s="69"/>
      <c r="E891" s="41">
        <v>0</v>
      </c>
      <c r="F891" s="41" t="s">
        <v>2751</v>
      </c>
      <c r="G891" s="69" t="s">
        <v>2750</v>
      </c>
      <c r="H891" s="41">
        <v>9012000006</v>
      </c>
      <c r="I891" s="41" t="s">
        <v>47</v>
      </c>
      <c r="J891" s="41">
        <v>1202010202</v>
      </c>
      <c r="K891" s="41"/>
      <c r="L891" s="52" t="s">
        <v>2766</v>
      </c>
      <c r="M891" s="69" t="s">
        <v>2767</v>
      </c>
      <c r="N891" s="69"/>
      <c r="O891" s="69">
        <v>1</v>
      </c>
      <c r="P891" s="69" t="s">
        <v>50</v>
      </c>
      <c r="Q891" s="69" t="s">
        <v>51</v>
      </c>
      <c r="R891" s="69"/>
      <c r="S891" s="48">
        <v>42747</v>
      </c>
      <c r="T891" s="48">
        <v>43340</v>
      </c>
      <c r="U891" s="69"/>
      <c r="V891" s="69"/>
      <c r="W891" s="69"/>
      <c r="X891" s="69"/>
      <c r="Y891" s="69" t="s">
        <v>4125</v>
      </c>
      <c r="Z891" s="52">
        <v>6000</v>
      </c>
      <c r="AA891" s="43" t="s">
        <v>52</v>
      </c>
      <c r="AB891" s="43" t="s">
        <v>53</v>
      </c>
      <c r="AC891" s="85">
        <v>511</v>
      </c>
      <c r="AD891" s="141">
        <v>1</v>
      </c>
      <c r="AE891" s="142">
        <v>5</v>
      </c>
      <c r="AF891" s="69" t="str">
        <f t="shared" si="112"/>
        <v>1 years 146 days</v>
      </c>
      <c r="AG891" s="69">
        <v>1</v>
      </c>
      <c r="AH891" s="69">
        <v>146</v>
      </c>
      <c r="AI891" s="69">
        <v>6000</v>
      </c>
      <c r="AJ891" s="67">
        <v>6000</v>
      </c>
      <c r="AK891" s="69">
        <v>2025</v>
      </c>
      <c r="AL891" s="61">
        <v>0</v>
      </c>
      <c r="AM891" s="143"/>
    </row>
    <row r="892" spans="1:39" x14ac:dyDescent="0.35">
      <c r="A892" s="69" t="s">
        <v>4124</v>
      </c>
      <c r="B892" s="41">
        <v>1111402581</v>
      </c>
      <c r="C892" s="41"/>
      <c r="D892" s="69"/>
      <c r="E892" s="41">
        <v>0</v>
      </c>
      <c r="F892" s="41" t="s">
        <v>2751</v>
      </c>
      <c r="G892" s="69" t="s">
        <v>2750</v>
      </c>
      <c r="H892" s="41">
        <v>9012000007</v>
      </c>
      <c r="I892" s="41" t="s">
        <v>47</v>
      </c>
      <c r="J892" s="41">
        <v>1202010202</v>
      </c>
      <c r="K892" s="41"/>
      <c r="L892" s="52" t="s">
        <v>2769</v>
      </c>
      <c r="M892" s="69" t="s">
        <v>2770</v>
      </c>
      <c r="N892" s="69"/>
      <c r="O892" s="69">
        <v>1</v>
      </c>
      <c r="P892" s="69" t="s">
        <v>50</v>
      </c>
      <c r="Q892" s="69" t="s">
        <v>51</v>
      </c>
      <c r="R892" s="69"/>
      <c r="S892" s="48">
        <v>43265</v>
      </c>
      <c r="T892" s="48">
        <v>43340</v>
      </c>
      <c r="U892" s="69"/>
      <c r="V892" s="69"/>
      <c r="W892" s="69"/>
      <c r="X892" s="69"/>
      <c r="Y892" s="69" t="s">
        <v>4125</v>
      </c>
      <c r="Z892" s="52">
        <v>18500</v>
      </c>
      <c r="AA892" s="43" t="s">
        <v>52</v>
      </c>
      <c r="AB892" s="43" t="s">
        <v>53</v>
      </c>
      <c r="AC892" s="85">
        <v>1022</v>
      </c>
      <c r="AD892" s="141">
        <v>2</v>
      </c>
      <c r="AE892" s="142">
        <v>10</v>
      </c>
      <c r="AF892" s="69" t="str">
        <f t="shared" si="112"/>
        <v>2 years 292 days</v>
      </c>
      <c r="AG892" s="69">
        <v>2</v>
      </c>
      <c r="AH892" s="69">
        <v>292</v>
      </c>
      <c r="AI892" s="69">
        <v>18500</v>
      </c>
      <c r="AJ892" s="67">
        <v>18500</v>
      </c>
      <c r="AK892" s="69">
        <v>2025</v>
      </c>
      <c r="AL892" s="61">
        <v>0</v>
      </c>
      <c r="AM892" s="143"/>
    </row>
    <row r="893" spans="1:39" x14ac:dyDescent="0.35">
      <c r="A893" s="69" t="s">
        <v>4124</v>
      </c>
      <c r="B893" s="41">
        <v>1111402962</v>
      </c>
      <c r="C893" s="41"/>
      <c r="D893" s="69"/>
      <c r="E893" s="41">
        <v>0</v>
      </c>
      <c r="F893" s="41" t="s">
        <v>2751</v>
      </c>
      <c r="G893" s="69" t="s">
        <v>2750</v>
      </c>
      <c r="H893" s="41">
        <v>9012000008</v>
      </c>
      <c r="I893" s="41" t="s">
        <v>47</v>
      </c>
      <c r="J893" s="41">
        <v>1202010202</v>
      </c>
      <c r="K893" s="41"/>
      <c r="L893" s="52" t="s">
        <v>2772</v>
      </c>
      <c r="M893" s="69" t="s">
        <v>2773</v>
      </c>
      <c r="N893" s="69"/>
      <c r="O893" s="69">
        <v>1</v>
      </c>
      <c r="P893" s="69" t="s">
        <v>50</v>
      </c>
      <c r="Q893" s="69" t="s">
        <v>51</v>
      </c>
      <c r="R893" s="69"/>
      <c r="S893" s="48">
        <v>43593</v>
      </c>
      <c r="T893" s="48">
        <v>43593</v>
      </c>
      <c r="U893" s="69"/>
      <c r="V893" s="69"/>
      <c r="W893" s="69"/>
      <c r="X893" s="69"/>
      <c r="Y893" s="69" t="s">
        <v>4126</v>
      </c>
      <c r="Z893" s="52">
        <v>47760</v>
      </c>
      <c r="AA893" s="43" t="s">
        <v>52</v>
      </c>
      <c r="AB893" s="43" t="s">
        <v>53</v>
      </c>
      <c r="AC893" s="85">
        <v>1095</v>
      </c>
      <c r="AD893" s="141">
        <v>3</v>
      </c>
      <c r="AE893" s="142">
        <v>0</v>
      </c>
      <c r="AF893" s="69" t="str">
        <f t="shared" si="112"/>
        <v>3 years 0 days</v>
      </c>
      <c r="AG893" s="69">
        <v>3</v>
      </c>
      <c r="AH893" s="69">
        <v>0</v>
      </c>
      <c r="AI893" s="69">
        <v>47760</v>
      </c>
      <c r="AJ893" s="67">
        <v>47760</v>
      </c>
      <c r="AK893" s="69">
        <v>2025</v>
      </c>
      <c r="AL893" s="61">
        <v>0</v>
      </c>
      <c r="AM893" s="143"/>
    </row>
    <row r="894" spans="1:39" x14ac:dyDescent="0.35">
      <c r="A894" s="69" t="s">
        <v>4124</v>
      </c>
      <c r="B894" s="41">
        <v>1111402991</v>
      </c>
      <c r="C894" s="41"/>
      <c r="D894" s="69"/>
      <c r="E894" s="41">
        <v>0</v>
      </c>
      <c r="F894" s="41" t="s">
        <v>2751</v>
      </c>
      <c r="G894" s="69" t="s">
        <v>2750</v>
      </c>
      <c r="H894" s="41">
        <v>9012000009</v>
      </c>
      <c r="I894" s="41" t="s">
        <v>47</v>
      </c>
      <c r="J894" s="41">
        <v>1202010202</v>
      </c>
      <c r="K894" s="41"/>
      <c r="L894" s="52" t="s">
        <v>2775</v>
      </c>
      <c r="M894" s="69" t="s">
        <v>2776</v>
      </c>
      <c r="N894" s="69"/>
      <c r="O894" s="69">
        <v>1</v>
      </c>
      <c r="P894" s="69" t="s">
        <v>50</v>
      </c>
      <c r="Q894" s="69" t="s">
        <v>51</v>
      </c>
      <c r="R894" s="69"/>
      <c r="S894" s="48">
        <v>43482</v>
      </c>
      <c r="T894" s="48">
        <v>43482</v>
      </c>
      <c r="U894" s="69"/>
      <c r="V894" s="69"/>
      <c r="W894" s="69"/>
      <c r="X894" s="69"/>
      <c r="Y894" s="69" t="s">
        <v>4126</v>
      </c>
      <c r="Z894" s="52">
        <v>27500</v>
      </c>
      <c r="AA894" s="43" t="s">
        <v>52</v>
      </c>
      <c r="AB894" s="43" t="s">
        <v>53</v>
      </c>
      <c r="AC894" s="85">
        <v>1095</v>
      </c>
      <c r="AD894" s="141">
        <v>3</v>
      </c>
      <c r="AE894" s="142">
        <v>0</v>
      </c>
      <c r="AF894" s="69" t="str">
        <f t="shared" si="112"/>
        <v>3 years 0 days</v>
      </c>
      <c r="AG894" s="69">
        <v>3</v>
      </c>
      <c r="AH894" s="69">
        <v>0</v>
      </c>
      <c r="AI894" s="69">
        <v>27500</v>
      </c>
      <c r="AJ894" s="67">
        <v>27500</v>
      </c>
      <c r="AK894" s="69">
        <v>2025</v>
      </c>
      <c r="AL894" s="61">
        <v>0</v>
      </c>
      <c r="AM894" s="143"/>
    </row>
    <row r="895" spans="1:39" x14ac:dyDescent="0.35">
      <c r="A895" s="69" t="s">
        <v>4124</v>
      </c>
      <c r="B895" s="41">
        <v>1111402975</v>
      </c>
      <c r="C895" s="41"/>
      <c r="D895" s="69"/>
      <c r="E895" s="41">
        <v>0</v>
      </c>
      <c r="F895" s="41" t="s">
        <v>2751</v>
      </c>
      <c r="G895" s="69" t="s">
        <v>2750</v>
      </c>
      <c r="H895" s="41">
        <v>9012000010</v>
      </c>
      <c r="I895" s="41" t="s">
        <v>47</v>
      </c>
      <c r="J895" s="41">
        <v>1202010202</v>
      </c>
      <c r="K895" s="41"/>
      <c r="L895" s="52" t="s">
        <v>2778</v>
      </c>
      <c r="M895" s="69" t="s">
        <v>2779</v>
      </c>
      <c r="N895" s="69"/>
      <c r="O895" s="69">
        <v>1</v>
      </c>
      <c r="P895" s="69" t="s">
        <v>50</v>
      </c>
      <c r="Q895" s="69" t="s">
        <v>51</v>
      </c>
      <c r="R895" s="69"/>
      <c r="S895" s="48">
        <v>43621</v>
      </c>
      <c r="T895" s="48">
        <v>43621</v>
      </c>
      <c r="U895" s="69"/>
      <c r="V895" s="69"/>
      <c r="W895" s="69"/>
      <c r="X895" s="69"/>
      <c r="Y895" s="69" t="s">
        <v>4126</v>
      </c>
      <c r="Z895" s="52">
        <v>32200</v>
      </c>
      <c r="AA895" s="43" t="s">
        <v>52</v>
      </c>
      <c r="AB895" s="43" t="s">
        <v>53</v>
      </c>
      <c r="AC895" s="85">
        <v>1095</v>
      </c>
      <c r="AD895" s="141">
        <v>3</v>
      </c>
      <c r="AE895" s="142">
        <v>0</v>
      </c>
      <c r="AF895" s="69" t="str">
        <f t="shared" si="112"/>
        <v>3 years 0 days</v>
      </c>
      <c r="AG895" s="69">
        <v>3</v>
      </c>
      <c r="AH895" s="69">
        <v>0</v>
      </c>
      <c r="AI895" s="69">
        <v>32200</v>
      </c>
      <c r="AJ895" s="67">
        <v>32200</v>
      </c>
      <c r="AK895" s="69">
        <v>2025</v>
      </c>
      <c r="AL895" s="61">
        <v>0</v>
      </c>
      <c r="AM895" s="143"/>
    </row>
    <row r="896" spans="1:39" x14ac:dyDescent="0.35">
      <c r="A896" s="69" t="s">
        <v>4124</v>
      </c>
      <c r="B896" s="41">
        <v>1111403011</v>
      </c>
      <c r="C896" s="41"/>
      <c r="D896" s="69"/>
      <c r="E896" s="41">
        <v>0</v>
      </c>
      <c r="F896" s="41" t="s">
        <v>2751</v>
      </c>
      <c r="G896" s="69" t="s">
        <v>2750</v>
      </c>
      <c r="H896" s="41">
        <v>9012000011</v>
      </c>
      <c r="I896" s="41" t="s">
        <v>47</v>
      </c>
      <c r="J896" s="41">
        <v>1202010202</v>
      </c>
      <c r="K896" s="41"/>
      <c r="L896" s="52" t="s">
        <v>2781</v>
      </c>
      <c r="M896" s="69" t="s">
        <v>2782</v>
      </c>
      <c r="N896" s="69"/>
      <c r="O896" s="69">
        <v>1</v>
      </c>
      <c r="P896" s="69" t="s">
        <v>50</v>
      </c>
      <c r="Q896" s="69" t="s">
        <v>51</v>
      </c>
      <c r="R896" s="69"/>
      <c r="S896" s="48">
        <v>43658</v>
      </c>
      <c r="T896" s="48">
        <v>43658</v>
      </c>
      <c r="U896" s="69"/>
      <c r="V896" s="69"/>
      <c r="W896" s="69"/>
      <c r="X896" s="69"/>
      <c r="Y896" s="69" t="s">
        <v>4126</v>
      </c>
      <c r="Z896" s="52">
        <v>10200</v>
      </c>
      <c r="AA896" s="43" t="s">
        <v>52</v>
      </c>
      <c r="AB896" s="43" t="s">
        <v>53</v>
      </c>
      <c r="AC896" s="85">
        <v>1095</v>
      </c>
      <c r="AD896" s="141">
        <v>3</v>
      </c>
      <c r="AE896" s="142">
        <v>0</v>
      </c>
      <c r="AF896" s="69" t="str">
        <f t="shared" si="112"/>
        <v>3 years 0 days</v>
      </c>
      <c r="AG896" s="69">
        <v>3</v>
      </c>
      <c r="AH896" s="69">
        <v>0</v>
      </c>
      <c r="AI896" s="69">
        <v>10200</v>
      </c>
      <c r="AJ896" s="67">
        <v>10200</v>
      </c>
      <c r="AK896" s="69">
        <v>2025</v>
      </c>
      <c r="AL896" s="61">
        <v>0</v>
      </c>
      <c r="AM896" s="143"/>
    </row>
    <row r="897" spans="1:39" x14ac:dyDescent="0.35">
      <c r="A897" s="69" t="s">
        <v>4124</v>
      </c>
      <c r="B897" s="41">
        <v>1111403367</v>
      </c>
      <c r="C897" s="41"/>
      <c r="D897" s="69"/>
      <c r="E897" s="41">
        <v>0</v>
      </c>
      <c r="F897" s="41" t="s">
        <v>2751</v>
      </c>
      <c r="G897" s="69" t="s">
        <v>2750</v>
      </c>
      <c r="H897" s="41">
        <v>9012000012</v>
      </c>
      <c r="I897" s="41" t="s">
        <v>47</v>
      </c>
      <c r="J897" s="41">
        <v>1202010202</v>
      </c>
      <c r="K897" s="41"/>
      <c r="L897" s="52" t="s">
        <v>2784</v>
      </c>
      <c r="M897" s="69" t="s">
        <v>2785</v>
      </c>
      <c r="N897" s="69"/>
      <c r="O897" s="69">
        <v>1</v>
      </c>
      <c r="P897" s="69" t="s">
        <v>50</v>
      </c>
      <c r="Q897" s="69" t="s">
        <v>51</v>
      </c>
      <c r="R897" s="69"/>
      <c r="S897" s="48">
        <v>44055</v>
      </c>
      <c r="T897" s="48">
        <v>44055</v>
      </c>
      <c r="U897" s="69"/>
      <c r="V897" s="69"/>
      <c r="W897" s="69"/>
      <c r="X897" s="69"/>
      <c r="Y897" s="69" t="s">
        <v>4127</v>
      </c>
      <c r="Z897" s="52">
        <v>9750</v>
      </c>
      <c r="AA897" s="43" t="s">
        <v>52</v>
      </c>
      <c r="AB897" s="43" t="s">
        <v>53</v>
      </c>
      <c r="AC897" s="85">
        <v>1095</v>
      </c>
      <c r="AD897" s="141">
        <v>3</v>
      </c>
      <c r="AE897" s="142">
        <v>0</v>
      </c>
      <c r="AF897" s="69" t="str">
        <f t="shared" si="112"/>
        <v>3 years 0 days</v>
      </c>
      <c r="AG897" s="69">
        <v>3</v>
      </c>
      <c r="AH897" s="69">
        <v>0</v>
      </c>
      <c r="AI897" s="69">
        <v>9750</v>
      </c>
      <c r="AJ897" s="67">
        <v>9750</v>
      </c>
      <c r="AK897" s="69">
        <v>2025</v>
      </c>
      <c r="AL897" s="61">
        <v>0</v>
      </c>
      <c r="AM897" s="143"/>
    </row>
    <row r="898" spans="1:39" x14ac:dyDescent="0.35">
      <c r="A898" s="69" t="s">
        <v>4124</v>
      </c>
      <c r="B898" s="41">
        <v>2111403360</v>
      </c>
      <c r="C898" s="41"/>
      <c r="D898" s="69"/>
      <c r="E898" s="41">
        <v>0</v>
      </c>
      <c r="F898" s="41" t="s">
        <v>2751</v>
      </c>
      <c r="G898" s="69" t="s">
        <v>2750</v>
      </c>
      <c r="H898" s="41">
        <v>9012000013</v>
      </c>
      <c r="I898" s="41" t="s">
        <v>47</v>
      </c>
      <c r="J898" s="41">
        <v>1202010202</v>
      </c>
      <c r="K898" s="41"/>
      <c r="L898" s="52" t="s">
        <v>2787</v>
      </c>
      <c r="M898" s="69" t="s">
        <v>2788</v>
      </c>
      <c r="N898" s="69"/>
      <c r="O898" s="69">
        <v>1</v>
      </c>
      <c r="P898" s="69" t="s">
        <v>50</v>
      </c>
      <c r="Q898" s="69" t="s">
        <v>51</v>
      </c>
      <c r="R898" s="69"/>
      <c r="S898" s="48">
        <v>44045</v>
      </c>
      <c r="T898" s="48">
        <v>44045</v>
      </c>
      <c r="U898" s="69"/>
      <c r="V898" s="69"/>
      <c r="W898" s="69"/>
      <c r="X898" s="69"/>
      <c r="Y898" s="69" t="s">
        <v>4127</v>
      </c>
      <c r="Z898" s="52">
        <v>240000</v>
      </c>
      <c r="AA898" s="43" t="s">
        <v>52</v>
      </c>
      <c r="AB898" s="43" t="s">
        <v>53</v>
      </c>
      <c r="AC898" s="85">
        <v>1095</v>
      </c>
      <c r="AD898" s="141">
        <v>3</v>
      </c>
      <c r="AE898" s="142">
        <v>0</v>
      </c>
      <c r="AF898" s="69" t="str">
        <f t="shared" si="112"/>
        <v>3 years 0 days</v>
      </c>
      <c r="AG898" s="69">
        <v>3</v>
      </c>
      <c r="AH898" s="69">
        <v>0</v>
      </c>
      <c r="AI898" s="69">
        <v>240000</v>
      </c>
      <c r="AJ898" s="67">
        <v>240000</v>
      </c>
      <c r="AK898" s="69">
        <v>2025</v>
      </c>
      <c r="AL898" s="61">
        <v>0</v>
      </c>
      <c r="AM898" s="143"/>
    </row>
    <row r="899" spans="1:39" x14ac:dyDescent="0.35">
      <c r="A899" s="69" t="s">
        <v>4124</v>
      </c>
      <c r="B899" s="41">
        <v>1111403410</v>
      </c>
      <c r="C899" s="41"/>
      <c r="D899" s="69"/>
      <c r="E899" s="41">
        <v>0</v>
      </c>
      <c r="F899" s="41" t="s">
        <v>2751</v>
      </c>
      <c r="G899" s="69" t="s">
        <v>2750</v>
      </c>
      <c r="H899" s="41">
        <v>9012000014</v>
      </c>
      <c r="I899" s="41" t="s">
        <v>47</v>
      </c>
      <c r="J899" s="41">
        <v>1202010202</v>
      </c>
      <c r="K899" s="41"/>
      <c r="L899" s="52" t="s">
        <v>2790</v>
      </c>
      <c r="M899" s="69" t="s">
        <v>2791</v>
      </c>
      <c r="N899" s="69"/>
      <c r="O899" s="69">
        <v>1</v>
      </c>
      <c r="P899" s="69" t="s">
        <v>50</v>
      </c>
      <c r="Q899" s="69" t="s">
        <v>51</v>
      </c>
      <c r="R899" s="69"/>
      <c r="S899" s="48">
        <v>44112</v>
      </c>
      <c r="T899" s="48">
        <v>44112</v>
      </c>
      <c r="U899" s="69"/>
      <c r="V899" s="69"/>
      <c r="W899" s="69"/>
      <c r="X899" s="69"/>
      <c r="Y899" s="69" t="s">
        <v>4127</v>
      </c>
      <c r="Z899" s="52">
        <v>11000</v>
      </c>
      <c r="AA899" s="43" t="s">
        <v>52</v>
      </c>
      <c r="AB899" s="43" t="s">
        <v>53</v>
      </c>
      <c r="AC899" s="85">
        <v>1095</v>
      </c>
      <c r="AD899" s="141">
        <v>3</v>
      </c>
      <c r="AE899" s="142">
        <v>0</v>
      </c>
      <c r="AF899" s="69" t="str">
        <f t="shared" si="112"/>
        <v>3 years 0 days</v>
      </c>
      <c r="AG899" s="69">
        <v>3</v>
      </c>
      <c r="AH899" s="69">
        <v>0</v>
      </c>
      <c r="AI899" s="69">
        <v>11000</v>
      </c>
      <c r="AJ899" s="67">
        <v>11000</v>
      </c>
      <c r="AK899" s="69">
        <v>2025</v>
      </c>
      <c r="AL899" s="61">
        <v>0</v>
      </c>
      <c r="AM899" s="143"/>
    </row>
    <row r="900" spans="1:39" x14ac:dyDescent="0.35">
      <c r="A900" s="69" t="s">
        <v>4124</v>
      </c>
      <c r="B900" s="41">
        <v>1111403560</v>
      </c>
      <c r="C900" s="41"/>
      <c r="D900" s="69"/>
      <c r="E900" s="41">
        <v>0</v>
      </c>
      <c r="F900" s="41" t="s">
        <v>2751</v>
      </c>
      <c r="G900" s="69" t="s">
        <v>2750</v>
      </c>
      <c r="H900" s="41">
        <v>9012000015</v>
      </c>
      <c r="I900" s="41" t="s">
        <v>47</v>
      </c>
      <c r="J900" s="41">
        <v>1202010202</v>
      </c>
      <c r="K900" s="41"/>
      <c r="L900" s="52" t="s">
        <v>2793</v>
      </c>
      <c r="M900" s="69" t="s">
        <v>2794</v>
      </c>
      <c r="N900" s="69"/>
      <c r="O900" s="69">
        <v>1</v>
      </c>
      <c r="P900" s="69" t="s">
        <v>50</v>
      </c>
      <c r="Q900" s="69" t="s">
        <v>51</v>
      </c>
      <c r="R900" s="69"/>
      <c r="S900" s="48">
        <v>44235</v>
      </c>
      <c r="T900" s="48">
        <v>44235</v>
      </c>
      <c r="U900" s="69"/>
      <c r="V900" s="69"/>
      <c r="W900" s="69"/>
      <c r="X900" s="69"/>
      <c r="Y900" s="69" t="s">
        <v>4128</v>
      </c>
      <c r="Z900" s="52">
        <v>18000</v>
      </c>
      <c r="AA900" s="43" t="s">
        <v>52</v>
      </c>
      <c r="AB900" s="43" t="s">
        <v>53</v>
      </c>
      <c r="AC900" s="85">
        <v>1095</v>
      </c>
      <c r="AD900" s="141">
        <v>3</v>
      </c>
      <c r="AE900" s="142">
        <v>0</v>
      </c>
      <c r="AF900" s="69" t="str">
        <f t="shared" si="112"/>
        <v>3 years 0 days</v>
      </c>
      <c r="AG900" s="69">
        <v>3</v>
      </c>
      <c r="AH900" s="69">
        <v>0</v>
      </c>
      <c r="AI900" s="69">
        <v>18000</v>
      </c>
      <c r="AJ900" s="67">
        <v>18000</v>
      </c>
      <c r="AK900" s="69">
        <v>2025</v>
      </c>
      <c r="AL900" s="61">
        <v>0</v>
      </c>
      <c r="AM900" s="143"/>
    </row>
    <row r="901" spans="1:39" x14ac:dyDescent="0.35">
      <c r="A901" s="69" t="s">
        <v>4124</v>
      </c>
      <c r="B901" s="41">
        <v>1111403579</v>
      </c>
      <c r="C901" s="41"/>
      <c r="D901" s="69"/>
      <c r="E901" s="41">
        <v>0</v>
      </c>
      <c r="F901" s="41" t="s">
        <v>2751</v>
      </c>
      <c r="G901" s="69" t="s">
        <v>2750</v>
      </c>
      <c r="H901" s="41">
        <v>9012000016</v>
      </c>
      <c r="I901" s="41" t="s">
        <v>47</v>
      </c>
      <c r="J901" s="41">
        <v>1202010202</v>
      </c>
      <c r="K901" s="41"/>
      <c r="L901" s="52" t="s">
        <v>2796</v>
      </c>
      <c r="M901" s="69" t="s">
        <v>2797</v>
      </c>
      <c r="N901" s="69"/>
      <c r="O901" s="69">
        <v>1</v>
      </c>
      <c r="P901" s="69" t="s">
        <v>50</v>
      </c>
      <c r="Q901" s="69" t="s">
        <v>51</v>
      </c>
      <c r="R901" s="69"/>
      <c r="S901" s="48">
        <v>44257</v>
      </c>
      <c r="T901" s="48">
        <v>44257</v>
      </c>
      <c r="U901" s="69"/>
      <c r="V901" s="69"/>
      <c r="W901" s="69"/>
      <c r="X901" s="69"/>
      <c r="Y901" s="69" t="s">
        <v>4128</v>
      </c>
      <c r="Z901" s="52">
        <v>37500</v>
      </c>
      <c r="AA901" s="43" t="s">
        <v>52</v>
      </c>
      <c r="AB901" s="43" t="s">
        <v>53</v>
      </c>
      <c r="AC901" s="85">
        <v>1095</v>
      </c>
      <c r="AD901" s="141">
        <v>3</v>
      </c>
      <c r="AE901" s="142">
        <v>0</v>
      </c>
      <c r="AF901" s="69" t="str">
        <f t="shared" si="112"/>
        <v>3 years 0 days</v>
      </c>
      <c r="AG901" s="69">
        <v>3</v>
      </c>
      <c r="AH901" s="69">
        <v>0</v>
      </c>
      <c r="AI901" s="69">
        <v>37500</v>
      </c>
      <c r="AJ901" s="67">
        <v>37500</v>
      </c>
      <c r="AK901" s="69">
        <v>2025</v>
      </c>
      <c r="AL901" s="61">
        <v>0</v>
      </c>
      <c r="AM901" s="143"/>
    </row>
    <row r="902" spans="1:39" x14ac:dyDescent="0.35">
      <c r="A902" s="69" t="s">
        <v>4124</v>
      </c>
      <c r="B902" s="41">
        <v>1111403553</v>
      </c>
      <c r="C902" s="41"/>
      <c r="D902" s="69"/>
      <c r="E902" s="41">
        <v>0</v>
      </c>
      <c r="F902" s="41" t="s">
        <v>2751</v>
      </c>
      <c r="G902" s="69" t="s">
        <v>2750</v>
      </c>
      <c r="H902" s="41">
        <v>9012000017</v>
      </c>
      <c r="I902" s="41" t="s">
        <v>47</v>
      </c>
      <c r="J902" s="41">
        <v>1202010202</v>
      </c>
      <c r="K902" s="41"/>
      <c r="L902" s="52" t="s">
        <v>2799</v>
      </c>
      <c r="M902" s="69" t="s">
        <v>2800</v>
      </c>
      <c r="N902" s="69"/>
      <c r="O902" s="69">
        <v>1</v>
      </c>
      <c r="P902" s="69" t="s">
        <v>50</v>
      </c>
      <c r="Q902" s="69" t="s">
        <v>51</v>
      </c>
      <c r="R902" s="69"/>
      <c r="S902" s="48">
        <v>44224</v>
      </c>
      <c r="T902" s="48">
        <v>44224</v>
      </c>
      <c r="U902" s="69"/>
      <c r="V902" s="69"/>
      <c r="W902" s="69"/>
      <c r="X902" s="69"/>
      <c r="Y902" s="69" t="s">
        <v>4128</v>
      </c>
      <c r="Z902" s="52">
        <v>80000</v>
      </c>
      <c r="AA902" s="43" t="s">
        <v>52</v>
      </c>
      <c r="AB902" s="43" t="s">
        <v>53</v>
      </c>
      <c r="AC902" s="85">
        <v>1095</v>
      </c>
      <c r="AD902" s="141">
        <v>3</v>
      </c>
      <c r="AE902" s="142">
        <v>0</v>
      </c>
      <c r="AF902" s="69" t="str">
        <f t="shared" si="112"/>
        <v>3 years 0 days</v>
      </c>
      <c r="AG902" s="69">
        <v>3</v>
      </c>
      <c r="AH902" s="69">
        <v>0</v>
      </c>
      <c r="AI902" s="69">
        <v>80000</v>
      </c>
      <c r="AJ902" s="67">
        <v>80000</v>
      </c>
      <c r="AK902" s="69">
        <v>2025</v>
      </c>
      <c r="AL902" s="61">
        <v>0</v>
      </c>
      <c r="AM902" s="143"/>
    </row>
    <row r="903" spans="1:39" x14ac:dyDescent="0.35">
      <c r="A903" s="69" t="s">
        <v>4124</v>
      </c>
      <c r="B903" s="41">
        <v>1111403647</v>
      </c>
      <c r="C903" s="41"/>
      <c r="D903" s="69"/>
      <c r="E903" s="41">
        <v>0</v>
      </c>
      <c r="F903" s="41" t="s">
        <v>2751</v>
      </c>
      <c r="G903" s="69" t="s">
        <v>2750</v>
      </c>
      <c r="H903" s="41">
        <v>9012000018</v>
      </c>
      <c r="I903" s="41" t="s">
        <v>47</v>
      </c>
      <c r="J903" s="41">
        <v>1202010202</v>
      </c>
      <c r="K903" s="41"/>
      <c r="L903" s="52" t="s">
        <v>2802</v>
      </c>
      <c r="M903" s="69" t="s">
        <v>2803</v>
      </c>
      <c r="N903" s="69"/>
      <c r="O903" s="69">
        <v>2</v>
      </c>
      <c r="P903" s="69" t="s">
        <v>50</v>
      </c>
      <c r="Q903" s="69" t="s">
        <v>51</v>
      </c>
      <c r="R903" s="69"/>
      <c r="S903" s="48">
        <v>44306</v>
      </c>
      <c r="T903" s="48">
        <v>44306</v>
      </c>
      <c r="U903" s="69"/>
      <c r="V903" s="69"/>
      <c r="W903" s="69"/>
      <c r="X903" s="69"/>
      <c r="Y903" s="69" t="s">
        <v>4128</v>
      </c>
      <c r="Z903" s="52">
        <v>118500</v>
      </c>
      <c r="AA903" s="43" t="s">
        <v>52</v>
      </c>
      <c r="AB903" s="43" t="s">
        <v>53</v>
      </c>
      <c r="AC903" s="85">
        <v>1095</v>
      </c>
      <c r="AD903" s="141">
        <v>3</v>
      </c>
      <c r="AE903" s="142">
        <v>0</v>
      </c>
      <c r="AF903" s="69" t="str">
        <f t="shared" si="112"/>
        <v>3 years 0 days</v>
      </c>
      <c r="AG903" s="69">
        <v>3</v>
      </c>
      <c r="AH903" s="69">
        <v>0</v>
      </c>
      <c r="AI903" s="69">
        <v>118500</v>
      </c>
      <c r="AJ903" s="67">
        <v>118500</v>
      </c>
      <c r="AK903" s="69">
        <v>2025</v>
      </c>
      <c r="AL903" s="61">
        <v>0</v>
      </c>
      <c r="AM903" s="143"/>
    </row>
    <row r="904" spans="1:39" x14ac:dyDescent="0.35">
      <c r="A904" s="69" t="s">
        <v>4124</v>
      </c>
      <c r="B904" s="41">
        <v>1111403663</v>
      </c>
      <c r="C904" s="41"/>
      <c r="D904" s="69"/>
      <c r="E904" s="41">
        <v>0</v>
      </c>
      <c r="F904" s="41" t="s">
        <v>2751</v>
      </c>
      <c r="G904" s="69" t="s">
        <v>2750</v>
      </c>
      <c r="H904" s="41">
        <v>9012000019</v>
      </c>
      <c r="I904" s="41" t="s">
        <v>47</v>
      </c>
      <c r="J904" s="41">
        <v>1202010202</v>
      </c>
      <c r="K904" s="41"/>
      <c r="L904" s="52" t="s">
        <v>2805</v>
      </c>
      <c r="M904" s="69" t="s">
        <v>2806</v>
      </c>
      <c r="N904" s="69"/>
      <c r="O904" s="69">
        <v>1</v>
      </c>
      <c r="P904" s="69" t="s">
        <v>50</v>
      </c>
      <c r="Q904" s="69" t="s">
        <v>51</v>
      </c>
      <c r="R904" s="69"/>
      <c r="S904" s="48">
        <v>44315</v>
      </c>
      <c r="T904" s="48">
        <v>44315</v>
      </c>
      <c r="U904" s="69"/>
      <c r="V904" s="69"/>
      <c r="W904" s="69"/>
      <c r="X904" s="69"/>
      <c r="Y904" s="69" t="s">
        <v>4128</v>
      </c>
      <c r="Z904" s="52">
        <v>36300</v>
      </c>
      <c r="AA904" s="43" t="s">
        <v>52</v>
      </c>
      <c r="AB904" s="43" t="s">
        <v>53</v>
      </c>
      <c r="AC904" s="85">
        <v>1095</v>
      </c>
      <c r="AD904" s="141">
        <v>3</v>
      </c>
      <c r="AE904" s="142">
        <v>0</v>
      </c>
      <c r="AF904" s="69" t="str">
        <f t="shared" si="112"/>
        <v>3 years 0 days</v>
      </c>
      <c r="AG904" s="69">
        <v>3</v>
      </c>
      <c r="AH904" s="69">
        <v>0</v>
      </c>
      <c r="AI904" s="69">
        <v>36300</v>
      </c>
      <c r="AJ904" s="67">
        <v>36300</v>
      </c>
      <c r="AK904" s="69">
        <v>2025</v>
      </c>
      <c r="AL904" s="61">
        <v>0</v>
      </c>
      <c r="AM904" s="143"/>
    </row>
    <row r="905" spans="1:39" x14ac:dyDescent="0.35">
      <c r="A905" s="69" t="s">
        <v>4124</v>
      </c>
      <c r="B905" s="41">
        <v>2111403726</v>
      </c>
      <c r="C905" s="41"/>
      <c r="D905" s="69"/>
      <c r="E905" s="41">
        <v>0</v>
      </c>
      <c r="F905" s="41" t="s">
        <v>2751</v>
      </c>
      <c r="G905" s="69" t="s">
        <v>2750</v>
      </c>
      <c r="H905" s="41">
        <v>9012000020</v>
      </c>
      <c r="I905" s="41" t="s">
        <v>47</v>
      </c>
      <c r="J905" s="41">
        <v>1202010202</v>
      </c>
      <c r="K905" s="41"/>
      <c r="L905" s="52" t="s">
        <v>2808</v>
      </c>
      <c r="M905" s="69" t="s">
        <v>2809</v>
      </c>
      <c r="N905" s="69"/>
      <c r="O905" s="69">
        <v>1</v>
      </c>
      <c r="P905" s="69" t="s">
        <v>50</v>
      </c>
      <c r="Q905" s="69" t="s">
        <v>51</v>
      </c>
      <c r="R905" s="69"/>
      <c r="S905" s="48">
        <v>44359</v>
      </c>
      <c r="T905" s="48">
        <v>44359</v>
      </c>
      <c r="U905" s="69"/>
      <c r="V905" s="69"/>
      <c r="W905" s="69"/>
      <c r="X905" s="69"/>
      <c r="Y905" s="69" t="s">
        <v>4128</v>
      </c>
      <c r="Z905" s="52">
        <v>40000</v>
      </c>
      <c r="AA905" s="43" t="s">
        <v>52</v>
      </c>
      <c r="AB905" s="43" t="s">
        <v>53</v>
      </c>
      <c r="AC905" s="85">
        <v>1095</v>
      </c>
      <c r="AD905" s="141">
        <v>3</v>
      </c>
      <c r="AE905" s="142">
        <v>0</v>
      </c>
      <c r="AF905" s="69" t="str">
        <f t="shared" si="112"/>
        <v>3 years 0 days</v>
      </c>
      <c r="AG905" s="69">
        <v>3</v>
      </c>
      <c r="AH905" s="69">
        <v>0</v>
      </c>
      <c r="AI905" s="69">
        <v>40000</v>
      </c>
      <c r="AJ905" s="67">
        <v>40000</v>
      </c>
      <c r="AK905" s="69">
        <v>2025</v>
      </c>
      <c r="AL905" s="61">
        <v>0</v>
      </c>
      <c r="AM905" s="143"/>
    </row>
    <row r="906" spans="1:39" x14ac:dyDescent="0.35">
      <c r="A906" s="69" t="s">
        <v>4124</v>
      </c>
      <c r="B906" s="41">
        <v>1111403717</v>
      </c>
      <c r="C906" s="41"/>
      <c r="D906" s="69"/>
      <c r="E906" s="41">
        <v>0</v>
      </c>
      <c r="F906" s="41" t="s">
        <v>2751</v>
      </c>
      <c r="G906" s="69" t="s">
        <v>2750</v>
      </c>
      <c r="H906" s="41">
        <v>9012000021</v>
      </c>
      <c r="I906" s="41" t="s">
        <v>47</v>
      </c>
      <c r="J906" s="41">
        <v>1202010202</v>
      </c>
      <c r="K906" s="41"/>
      <c r="L906" s="52" t="s">
        <v>2811</v>
      </c>
      <c r="M906" s="69" t="s">
        <v>2812</v>
      </c>
      <c r="N906" s="69"/>
      <c r="O906" s="69">
        <v>1</v>
      </c>
      <c r="P906" s="69" t="s">
        <v>50</v>
      </c>
      <c r="Q906" s="69" t="s">
        <v>51</v>
      </c>
      <c r="R906" s="69"/>
      <c r="S906" s="48">
        <v>44354</v>
      </c>
      <c r="T906" s="48">
        <v>44354</v>
      </c>
      <c r="U906" s="69"/>
      <c r="V906" s="69"/>
      <c r="W906" s="69"/>
      <c r="X906" s="69"/>
      <c r="Y906" s="69" t="s">
        <v>4128</v>
      </c>
      <c r="Z906" s="52">
        <v>37800</v>
      </c>
      <c r="AA906" s="43" t="s">
        <v>52</v>
      </c>
      <c r="AB906" s="43" t="s">
        <v>53</v>
      </c>
      <c r="AC906" s="85">
        <v>1095</v>
      </c>
      <c r="AD906" s="141">
        <v>3</v>
      </c>
      <c r="AE906" s="142">
        <v>0</v>
      </c>
      <c r="AF906" s="69" t="str">
        <f t="shared" si="112"/>
        <v>3 years 0 days</v>
      </c>
      <c r="AG906" s="69">
        <v>3</v>
      </c>
      <c r="AH906" s="69">
        <v>0</v>
      </c>
      <c r="AI906" s="69">
        <v>37800</v>
      </c>
      <c r="AJ906" s="67">
        <v>37800</v>
      </c>
      <c r="AK906" s="69">
        <v>2025</v>
      </c>
      <c r="AL906" s="61">
        <v>0</v>
      </c>
      <c r="AM906" s="143"/>
    </row>
    <row r="907" spans="1:39" x14ac:dyDescent="0.35">
      <c r="A907" s="69" t="s">
        <v>4124</v>
      </c>
      <c r="B907" s="41">
        <v>1111403725</v>
      </c>
      <c r="C907" s="41"/>
      <c r="D907" s="69"/>
      <c r="E907" s="41">
        <v>0</v>
      </c>
      <c r="F907" s="41" t="s">
        <v>2751</v>
      </c>
      <c r="G907" s="69" t="s">
        <v>2750</v>
      </c>
      <c r="H907" s="41">
        <v>9012000022</v>
      </c>
      <c r="I907" s="41" t="s">
        <v>47</v>
      </c>
      <c r="J907" s="41">
        <v>1202010202</v>
      </c>
      <c r="K907" s="41"/>
      <c r="L907" s="52" t="s">
        <v>2814</v>
      </c>
      <c r="M907" s="69" t="s">
        <v>2815</v>
      </c>
      <c r="N907" s="69"/>
      <c r="O907" s="69">
        <v>1</v>
      </c>
      <c r="P907" s="69" t="s">
        <v>50</v>
      </c>
      <c r="Q907" s="69" t="s">
        <v>51</v>
      </c>
      <c r="R907" s="69"/>
      <c r="S907" s="48">
        <v>44358</v>
      </c>
      <c r="T907" s="48">
        <v>44358</v>
      </c>
      <c r="U907" s="69"/>
      <c r="V907" s="69"/>
      <c r="W907" s="69"/>
      <c r="X907" s="69"/>
      <c r="Y907" s="69" t="s">
        <v>4128</v>
      </c>
      <c r="Z907" s="52">
        <v>37800</v>
      </c>
      <c r="AA907" s="43" t="s">
        <v>52</v>
      </c>
      <c r="AB907" s="43" t="s">
        <v>53</v>
      </c>
      <c r="AC907" s="85">
        <v>1095</v>
      </c>
      <c r="AD907" s="141">
        <v>3</v>
      </c>
      <c r="AE907" s="142">
        <v>0</v>
      </c>
      <c r="AF907" s="69" t="str">
        <f t="shared" si="112"/>
        <v>3 years 0 days</v>
      </c>
      <c r="AG907" s="69">
        <v>3</v>
      </c>
      <c r="AH907" s="69">
        <v>0</v>
      </c>
      <c r="AI907" s="69">
        <v>37800</v>
      </c>
      <c r="AJ907" s="67">
        <v>37800</v>
      </c>
      <c r="AK907" s="69">
        <v>2025</v>
      </c>
      <c r="AL907" s="61">
        <v>0</v>
      </c>
      <c r="AM907" s="143"/>
    </row>
    <row r="908" spans="1:39" x14ac:dyDescent="0.35">
      <c r="A908" s="69" t="s">
        <v>4124</v>
      </c>
      <c r="B908" s="41">
        <v>1111403746</v>
      </c>
      <c r="C908" s="41"/>
      <c r="D908" s="69"/>
      <c r="E908" s="41">
        <v>0</v>
      </c>
      <c r="F908" s="41" t="s">
        <v>2751</v>
      </c>
      <c r="G908" s="69" t="s">
        <v>2750</v>
      </c>
      <c r="H908" s="41">
        <v>9012000023</v>
      </c>
      <c r="I908" s="41" t="s">
        <v>47</v>
      </c>
      <c r="J908" s="41">
        <v>1202010202</v>
      </c>
      <c r="K908" s="41"/>
      <c r="L908" s="52" t="s">
        <v>2817</v>
      </c>
      <c r="M908" s="69" t="s">
        <v>2818</v>
      </c>
      <c r="N908" s="69"/>
      <c r="O908" s="69">
        <v>1</v>
      </c>
      <c r="P908" s="69" t="s">
        <v>50</v>
      </c>
      <c r="Q908" s="69" t="s">
        <v>51</v>
      </c>
      <c r="R908" s="69"/>
      <c r="S908" s="48">
        <v>44373</v>
      </c>
      <c r="T908" s="48">
        <v>44373</v>
      </c>
      <c r="U908" s="69"/>
      <c r="V908" s="69"/>
      <c r="W908" s="69"/>
      <c r="X908" s="69"/>
      <c r="Y908" s="69" t="s">
        <v>4128</v>
      </c>
      <c r="Z908" s="52">
        <v>10000</v>
      </c>
      <c r="AA908" s="43" t="s">
        <v>52</v>
      </c>
      <c r="AB908" s="43" t="s">
        <v>53</v>
      </c>
      <c r="AC908" s="85">
        <v>1095</v>
      </c>
      <c r="AD908" s="141">
        <v>3</v>
      </c>
      <c r="AE908" s="142">
        <v>0</v>
      </c>
      <c r="AF908" s="69" t="str">
        <f t="shared" si="112"/>
        <v>3 years 0 days</v>
      </c>
      <c r="AG908" s="69">
        <v>3</v>
      </c>
      <c r="AH908" s="69">
        <v>0</v>
      </c>
      <c r="AI908" s="69">
        <v>10000</v>
      </c>
      <c r="AJ908" s="67">
        <v>10000</v>
      </c>
      <c r="AK908" s="69">
        <v>2025</v>
      </c>
      <c r="AL908" s="61">
        <v>0</v>
      </c>
      <c r="AM908" s="143"/>
    </row>
    <row r="909" spans="1:39" x14ac:dyDescent="0.35">
      <c r="A909" s="69" t="s">
        <v>4124</v>
      </c>
      <c r="B909" s="41">
        <v>2111403853</v>
      </c>
      <c r="C909" s="41"/>
      <c r="D909" s="69"/>
      <c r="E909" s="41">
        <v>0</v>
      </c>
      <c r="F909" s="41" t="s">
        <v>2751</v>
      </c>
      <c r="G909" s="69" t="s">
        <v>2750</v>
      </c>
      <c r="H909" s="41">
        <v>9012000024</v>
      </c>
      <c r="I909" s="41" t="s">
        <v>47</v>
      </c>
      <c r="J909" s="41">
        <v>1202010202</v>
      </c>
      <c r="K909" s="41"/>
      <c r="L909" s="52" t="s">
        <v>2820</v>
      </c>
      <c r="M909" s="69" t="s">
        <v>2821</v>
      </c>
      <c r="N909" s="69"/>
      <c r="O909" s="69">
        <v>1</v>
      </c>
      <c r="P909" s="69" t="s">
        <v>50</v>
      </c>
      <c r="Q909" s="69" t="s">
        <v>51</v>
      </c>
      <c r="R909" s="69"/>
      <c r="S909" s="48">
        <v>44470</v>
      </c>
      <c r="T909" s="48">
        <v>44470</v>
      </c>
      <c r="U909" s="69"/>
      <c r="V909" s="69"/>
      <c r="W909" s="69"/>
      <c r="X909" s="69"/>
      <c r="Y909" s="69" t="s">
        <v>4128</v>
      </c>
      <c r="Z909" s="52">
        <v>34000</v>
      </c>
      <c r="AA909" s="43" t="s">
        <v>52</v>
      </c>
      <c r="AB909" s="43" t="s">
        <v>53</v>
      </c>
      <c r="AC909" s="85">
        <v>1095</v>
      </c>
      <c r="AD909" s="141">
        <v>3</v>
      </c>
      <c r="AE909" s="142">
        <v>0</v>
      </c>
      <c r="AF909" s="69" t="str">
        <f t="shared" si="112"/>
        <v>3 years 0 days</v>
      </c>
      <c r="AG909" s="69">
        <v>3</v>
      </c>
      <c r="AH909" s="69">
        <v>0</v>
      </c>
      <c r="AI909" s="69">
        <v>34000</v>
      </c>
      <c r="AJ909" s="67">
        <v>34000</v>
      </c>
      <c r="AK909" s="69">
        <v>2025</v>
      </c>
      <c r="AL909" s="61">
        <v>0</v>
      </c>
      <c r="AM909" s="143"/>
    </row>
    <row r="910" spans="1:39" x14ac:dyDescent="0.35">
      <c r="A910" s="69" t="s">
        <v>4124</v>
      </c>
      <c r="B910" s="41">
        <v>1111403979</v>
      </c>
      <c r="C910" s="41"/>
      <c r="D910" s="69"/>
      <c r="E910" s="41">
        <v>0</v>
      </c>
      <c r="F910" s="41" t="s">
        <v>2751</v>
      </c>
      <c r="G910" s="69" t="s">
        <v>2750</v>
      </c>
      <c r="H910" s="41">
        <v>9012000025</v>
      </c>
      <c r="I910" s="41" t="s">
        <v>47</v>
      </c>
      <c r="J910" s="41">
        <v>1202010202</v>
      </c>
      <c r="K910" s="41"/>
      <c r="L910" s="52" t="s">
        <v>2823</v>
      </c>
      <c r="M910" s="69" t="s">
        <v>2824</v>
      </c>
      <c r="N910" s="69"/>
      <c r="O910" s="69">
        <v>1</v>
      </c>
      <c r="P910" s="69" t="s">
        <v>50</v>
      </c>
      <c r="Q910" s="69" t="s">
        <v>51</v>
      </c>
      <c r="R910" s="69"/>
      <c r="S910" s="48">
        <v>44592</v>
      </c>
      <c r="T910" s="48">
        <v>44592</v>
      </c>
      <c r="U910" s="69"/>
      <c r="V910" s="69"/>
      <c r="W910" s="69"/>
      <c r="X910" s="69"/>
      <c r="Y910" s="69" t="s">
        <v>4131</v>
      </c>
      <c r="Z910" s="52">
        <v>52500</v>
      </c>
      <c r="AA910" s="43" t="s">
        <v>52</v>
      </c>
      <c r="AB910" s="43" t="s">
        <v>53</v>
      </c>
      <c r="AC910" s="85">
        <v>1095</v>
      </c>
      <c r="AD910" s="141">
        <v>3</v>
      </c>
      <c r="AE910" s="142">
        <v>0</v>
      </c>
      <c r="AF910" s="69" t="str">
        <f t="shared" si="112"/>
        <v>2 years 336 days</v>
      </c>
      <c r="AG910" s="69">
        <v>2</v>
      </c>
      <c r="AH910" s="69">
        <v>336</v>
      </c>
      <c r="AI910" s="69">
        <v>52500</v>
      </c>
      <c r="AJ910" s="67">
        <v>51110</v>
      </c>
      <c r="AK910" s="69">
        <v>2025</v>
      </c>
      <c r="AL910" s="61">
        <v>1390.0000000000073</v>
      </c>
      <c r="AM910" s="143"/>
    </row>
    <row r="911" spans="1:39" x14ac:dyDescent="0.35">
      <c r="A911" s="69" t="s">
        <v>4124</v>
      </c>
      <c r="B911" s="41">
        <v>2111404138</v>
      </c>
      <c r="C911" s="41"/>
      <c r="D911" s="69"/>
      <c r="E911" s="41">
        <v>0</v>
      </c>
      <c r="F911" s="41" t="s">
        <v>2751</v>
      </c>
      <c r="G911" s="69" t="s">
        <v>2750</v>
      </c>
      <c r="H911" s="41">
        <v>9012000026</v>
      </c>
      <c r="I911" s="41" t="s">
        <v>47</v>
      </c>
      <c r="J911" s="41">
        <v>1202010202</v>
      </c>
      <c r="K911" s="41"/>
      <c r="L911" s="52" t="s">
        <v>2826</v>
      </c>
      <c r="M911" s="69" t="s">
        <v>2827</v>
      </c>
      <c r="N911" s="69"/>
      <c r="O911" s="69">
        <v>1</v>
      </c>
      <c r="P911" s="69" t="s">
        <v>50</v>
      </c>
      <c r="Q911" s="69" t="s">
        <v>51</v>
      </c>
      <c r="R911" s="69"/>
      <c r="S911" s="48">
        <v>44742</v>
      </c>
      <c r="T911" s="48">
        <v>44742</v>
      </c>
      <c r="U911" s="69"/>
      <c r="V911" s="69"/>
      <c r="W911" s="69"/>
      <c r="X911" s="69"/>
      <c r="Y911" s="69" t="s">
        <v>4131</v>
      </c>
      <c r="Z911" s="52">
        <v>333000</v>
      </c>
      <c r="AA911" s="43" t="s">
        <v>52</v>
      </c>
      <c r="AB911" s="43" t="s">
        <v>53</v>
      </c>
      <c r="AC911" s="85">
        <v>1095</v>
      </c>
      <c r="AD911" s="141">
        <v>3</v>
      </c>
      <c r="AE911" s="142">
        <v>0</v>
      </c>
      <c r="AF911" s="69" t="str">
        <f t="shared" si="112"/>
        <v>2 years 186 days</v>
      </c>
      <c r="AG911" s="69">
        <v>2</v>
      </c>
      <c r="AH911" s="69">
        <v>186</v>
      </c>
      <c r="AI911" s="69">
        <v>333000</v>
      </c>
      <c r="AJ911" s="67">
        <v>278564</v>
      </c>
      <c r="AK911" s="69">
        <v>2025</v>
      </c>
      <c r="AL911" s="61">
        <v>54436</v>
      </c>
      <c r="AM911" s="143"/>
    </row>
    <row r="912" spans="1:39" x14ac:dyDescent="0.35">
      <c r="A912" s="69" t="s">
        <v>4124</v>
      </c>
      <c r="B912" s="41">
        <v>2111404145</v>
      </c>
      <c r="C912" s="41"/>
      <c r="D912" s="69"/>
      <c r="E912" s="41">
        <v>0</v>
      </c>
      <c r="F912" s="41" t="s">
        <v>2751</v>
      </c>
      <c r="G912" s="69" t="s">
        <v>2750</v>
      </c>
      <c r="H912" s="41">
        <v>9012000027</v>
      </c>
      <c r="I912" s="41" t="s">
        <v>47</v>
      </c>
      <c r="J912" s="41">
        <v>1202010202</v>
      </c>
      <c r="K912" s="41"/>
      <c r="L912" s="52" t="s">
        <v>2829</v>
      </c>
      <c r="M912" s="69" t="s">
        <v>2830</v>
      </c>
      <c r="N912" s="69"/>
      <c r="O912" s="69">
        <v>1</v>
      </c>
      <c r="P912" s="69" t="s">
        <v>50</v>
      </c>
      <c r="Q912" s="69" t="s">
        <v>51</v>
      </c>
      <c r="R912" s="69"/>
      <c r="S912" s="48">
        <v>44750</v>
      </c>
      <c r="T912" s="48">
        <v>44750</v>
      </c>
      <c r="U912" s="69"/>
      <c r="V912" s="69"/>
      <c r="W912" s="69"/>
      <c r="X912" s="69"/>
      <c r="Y912" s="69" t="s">
        <v>4131</v>
      </c>
      <c r="Z912" s="52">
        <v>240500</v>
      </c>
      <c r="AA912" s="43" t="s">
        <v>52</v>
      </c>
      <c r="AB912" s="43" t="s">
        <v>53</v>
      </c>
      <c r="AC912" s="85">
        <v>1095</v>
      </c>
      <c r="AD912" s="141">
        <v>3</v>
      </c>
      <c r="AE912" s="142">
        <v>0</v>
      </c>
      <c r="AF912" s="69" t="str">
        <f t="shared" si="112"/>
        <v>2 years 178 days</v>
      </c>
      <c r="AG912" s="69">
        <v>2</v>
      </c>
      <c r="AH912" s="69">
        <v>178</v>
      </c>
      <c r="AI912" s="69">
        <v>240500</v>
      </c>
      <c r="AJ912" s="67">
        <v>199428</v>
      </c>
      <c r="AK912" s="69">
        <v>2025</v>
      </c>
      <c r="AL912" s="61">
        <v>39754.191780821915</v>
      </c>
      <c r="AM912" s="143"/>
    </row>
    <row r="913" spans="1:39" x14ac:dyDescent="0.35">
      <c r="A913" s="69" t="s">
        <v>4124</v>
      </c>
      <c r="B913" s="41">
        <v>2111404479</v>
      </c>
      <c r="C913" s="41"/>
      <c r="D913" s="69"/>
      <c r="E913" s="41">
        <v>0</v>
      </c>
      <c r="F913" s="41" t="s">
        <v>2751</v>
      </c>
      <c r="G913" s="69" t="s">
        <v>2750</v>
      </c>
      <c r="H913" s="41">
        <v>9012000028</v>
      </c>
      <c r="I913" s="41" t="s">
        <v>47</v>
      </c>
      <c r="J913" s="41">
        <v>1202010202</v>
      </c>
      <c r="K913" s="41"/>
      <c r="L913" s="52" t="s">
        <v>2832</v>
      </c>
      <c r="M913" s="69" t="s">
        <v>2833</v>
      </c>
      <c r="N913" s="69"/>
      <c r="O913" s="69">
        <v>1</v>
      </c>
      <c r="P913" s="69" t="s">
        <v>50</v>
      </c>
      <c r="Q913" s="69" t="s">
        <v>51</v>
      </c>
      <c r="R913" s="69"/>
      <c r="S913" s="48">
        <v>44896</v>
      </c>
      <c r="T913" s="48">
        <v>44896</v>
      </c>
      <c r="U913" s="69"/>
      <c r="V913" s="69"/>
      <c r="W913" s="69"/>
      <c r="X913" s="69"/>
      <c r="Y913" s="69" t="s">
        <v>4131</v>
      </c>
      <c r="Z913" s="52">
        <v>110000</v>
      </c>
      <c r="AA913" s="43" t="s">
        <v>52</v>
      </c>
      <c r="AB913" s="43" t="s">
        <v>53</v>
      </c>
      <c r="AC913" s="85">
        <v>1095</v>
      </c>
      <c r="AD913" s="141">
        <v>3</v>
      </c>
      <c r="AE913" s="142">
        <v>0</v>
      </c>
      <c r="AF913" s="69" t="str">
        <f t="shared" si="112"/>
        <v>2 years 32 days</v>
      </c>
      <c r="AG913" s="69">
        <v>2</v>
      </c>
      <c r="AH913" s="69">
        <v>32</v>
      </c>
      <c r="AI913" s="69">
        <v>110000</v>
      </c>
      <c r="AJ913" s="67">
        <v>76548</v>
      </c>
      <c r="AK913" s="69">
        <v>2025</v>
      </c>
      <c r="AL913" s="61">
        <v>18182.593607305927</v>
      </c>
      <c r="AM913" s="143"/>
    </row>
    <row r="914" spans="1:39" x14ac:dyDescent="0.35">
      <c r="A914" s="69" t="s">
        <v>4124</v>
      </c>
      <c r="B914" s="41">
        <v>1111404588</v>
      </c>
      <c r="C914" s="41"/>
      <c r="D914" s="69"/>
      <c r="E914" s="41">
        <v>0</v>
      </c>
      <c r="F914" s="41" t="s">
        <v>2751</v>
      </c>
      <c r="G914" s="69" t="s">
        <v>2750</v>
      </c>
      <c r="H914" s="41">
        <v>9012000029</v>
      </c>
      <c r="I914" s="41" t="s">
        <v>47</v>
      </c>
      <c r="J914" s="41">
        <v>1202010202</v>
      </c>
      <c r="K914" s="41"/>
      <c r="L914" s="52" t="s">
        <v>2835</v>
      </c>
      <c r="M914" s="69" t="s">
        <v>2836</v>
      </c>
      <c r="N914" s="69"/>
      <c r="O914" s="69">
        <v>1</v>
      </c>
      <c r="P914" s="69" t="s">
        <v>50</v>
      </c>
      <c r="Q914" s="69" t="s">
        <v>51</v>
      </c>
      <c r="R914" s="69"/>
      <c r="S914" s="48">
        <v>44202</v>
      </c>
      <c r="T914" s="48">
        <v>44202</v>
      </c>
      <c r="U914" s="69"/>
      <c r="V914" s="69"/>
      <c r="W914" s="69"/>
      <c r="X914" s="69"/>
      <c r="Y914" s="69" t="s">
        <v>4128</v>
      </c>
      <c r="Z914" s="52">
        <v>80000</v>
      </c>
      <c r="AA914" s="43" t="s">
        <v>52</v>
      </c>
      <c r="AB914" s="43" t="s">
        <v>53</v>
      </c>
      <c r="AC914" s="85">
        <v>1095</v>
      </c>
      <c r="AD914" s="141">
        <v>3</v>
      </c>
      <c r="AE914" s="142">
        <v>0</v>
      </c>
      <c r="AF914" s="69" t="str">
        <f t="shared" si="112"/>
        <v>3 years 0 days</v>
      </c>
      <c r="AG914" s="69">
        <v>3</v>
      </c>
      <c r="AH914" s="69">
        <v>0</v>
      </c>
      <c r="AI914" s="69">
        <v>80000</v>
      </c>
      <c r="AJ914" s="67">
        <v>80000</v>
      </c>
      <c r="AK914" s="69">
        <v>2025</v>
      </c>
      <c r="AL914" s="61">
        <v>0</v>
      </c>
      <c r="AM914" s="143"/>
    </row>
    <row r="915" spans="1:39" x14ac:dyDescent="0.35">
      <c r="A915" s="69" t="s">
        <v>4124</v>
      </c>
      <c r="B915" s="41">
        <v>1111404661</v>
      </c>
      <c r="C915" s="41"/>
      <c r="D915" s="69"/>
      <c r="E915" s="41">
        <v>0</v>
      </c>
      <c r="F915" s="41" t="s">
        <v>2751</v>
      </c>
      <c r="G915" s="69" t="s">
        <v>2750</v>
      </c>
      <c r="H915" s="41">
        <v>9012000030</v>
      </c>
      <c r="I915" s="41" t="s">
        <v>47</v>
      </c>
      <c r="J915" s="41">
        <v>1202010202</v>
      </c>
      <c r="K915" s="41"/>
      <c r="L915" s="52" t="s">
        <v>2838</v>
      </c>
      <c r="M915" s="69" t="s">
        <v>2839</v>
      </c>
      <c r="N915" s="69"/>
      <c r="O915" s="69">
        <v>1</v>
      </c>
      <c r="P915" s="69" t="s">
        <v>50</v>
      </c>
      <c r="Q915" s="69" t="s">
        <v>51</v>
      </c>
      <c r="R915" s="69"/>
      <c r="S915" s="48">
        <v>44991</v>
      </c>
      <c r="T915" s="48">
        <v>44991</v>
      </c>
      <c r="U915" s="69"/>
      <c r="V915" s="69"/>
      <c r="W915" s="69"/>
      <c r="X915" s="69"/>
      <c r="Y915" s="69" t="s">
        <v>4129</v>
      </c>
      <c r="Z915" s="52">
        <v>158000</v>
      </c>
      <c r="AA915" s="43" t="s">
        <v>52</v>
      </c>
      <c r="AB915" s="43" t="s">
        <v>53</v>
      </c>
      <c r="AC915" s="85">
        <v>1095</v>
      </c>
      <c r="AD915" s="141">
        <v>3</v>
      </c>
      <c r="AE915" s="142">
        <v>0</v>
      </c>
      <c r="AF915" s="69" t="str">
        <f t="shared" si="112"/>
        <v>1 years 302 days</v>
      </c>
      <c r="AG915" s="69">
        <v>1</v>
      </c>
      <c r="AH915" s="69">
        <v>302</v>
      </c>
      <c r="AI915" s="69">
        <v>158000</v>
      </c>
      <c r="AJ915" s="67">
        <v>96243</v>
      </c>
      <c r="AK915" s="69">
        <v>2025</v>
      </c>
      <c r="AL915" s="61">
        <v>26116.817351598176</v>
      </c>
      <c r="AM915" s="143"/>
    </row>
    <row r="916" spans="1:39" x14ac:dyDescent="0.35">
      <c r="A916" s="69" t="s">
        <v>4124</v>
      </c>
      <c r="B916" s="41">
        <v>1111404713</v>
      </c>
      <c r="C916" s="41"/>
      <c r="D916" s="69"/>
      <c r="E916" s="41">
        <v>0</v>
      </c>
      <c r="F916" s="41" t="s">
        <v>2751</v>
      </c>
      <c r="G916" s="69" t="s">
        <v>2750</v>
      </c>
      <c r="H916" s="41">
        <v>9012000031</v>
      </c>
      <c r="I916" s="41" t="s">
        <v>47</v>
      </c>
      <c r="J916" s="41">
        <v>1202010202</v>
      </c>
      <c r="K916" s="41"/>
      <c r="L916" s="52" t="s">
        <v>2841</v>
      </c>
      <c r="M916" s="69" t="s">
        <v>2842</v>
      </c>
      <c r="N916" s="69"/>
      <c r="O916" s="69">
        <v>1</v>
      </c>
      <c r="P916" s="69" t="s">
        <v>50</v>
      </c>
      <c r="Q916" s="69" t="s">
        <v>51</v>
      </c>
      <c r="R916" s="69"/>
      <c r="S916" s="48">
        <v>45022</v>
      </c>
      <c r="T916" s="48">
        <v>45022</v>
      </c>
      <c r="U916" s="69"/>
      <c r="V916" s="69"/>
      <c r="W916" s="69"/>
      <c r="X916" s="69"/>
      <c r="Y916" s="69" t="s">
        <v>4129</v>
      </c>
      <c r="Z916" s="52">
        <v>10700</v>
      </c>
      <c r="AA916" s="43" t="s">
        <v>52</v>
      </c>
      <c r="AB916" s="43" t="s">
        <v>53</v>
      </c>
      <c r="AC916" s="85">
        <v>1095</v>
      </c>
      <c r="AD916" s="141">
        <v>3</v>
      </c>
      <c r="AE916" s="142">
        <v>0</v>
      </c>
      <c r="AF916" s="69" t="str">
        <f t="shared" si="112"/>
        <v>1 years 271 days</v>
      </c>
      <c r="AG916" s="69">
        <v>1</v>
      </c>
      <c r="AH916" s="69">
        <v>271</v>
      </c>
      <c r="AI916" s="69">
        <v>10700</v>
      </c>
      <c r="AJ916" s="67">
        <v>6215</v>
      </c>
      <c r="AK916" s="69">
        <v>2025</v>
      </c>
      <c r="AL916" s="61">
        <v>1768.4703196347036</v>
      </c>
      <c r="AM916" s="143"/>
    </row>
    <row r="917" spans="1:39" x14ac:dyDescent="0.35">
      <c r="A917" s="69" t="s">
        <v>4124</v>
      </c>
      <c r="B917" s="41">
        <v>1111404714</v>
      </c>
      <c r="C917" s="41"/>
      <c r="D917" s="69"/>
      <c r="E917" s="41">
        <v>0</v>
      </c>
      <c r="F917" s="41" t="s">
        <v>2751</v>
      </c>
      <c r="G917" s="69" t="s">
        <v>2750</v>
      </c>
      <c r="H917" s="41">
        <v>9012000032</v>
      </c>
      <c r="I917" s="41" t="s">
        <v>47</v>
      </c>
      <c r="J917" s="41">
        <v>1202010202</v>
      </c>
      <c r="K917" s="41"/>
      <c r="L917" s="52" t="s">
        <v>2844</v>
      </c>
      <c r="M917" s="69" t="s">
        <v>2845</v>
      </c>
      <c r="N917" s="69"/>
      <c r="O917" s="69">
        <v>1</v>
      </c>
      <c r="P917" s="69" t="s">
        <v>50</v>
      </c>
      <c r="Q917" s="69" t="s">
        <v>51</v>
      </c>
      <c r="R917" s="69"/>
      <c r="S917" s="48">
        <v>45022</v>
      </c>
      <c r="T917" s="48">
        <v>45022</v>
      </c>
      <c r="U917" s="69"/>
      <c r="V917" s="69"/>
      <c r="W917" s="69"/>
      <c r="X917" s="69"/>
      <c r="Y917" s="69" t="s">
        <v>4129</v>
      </c>
      <c r="Z917" s="52">
        <v>10700</v>
      </c>
      <c r="AA917" s="43" t="s">
        <v>52</v>
      </c>
      <c r="AB917" s="43" t="s">
        <v>53</v>
      </c>
      <c r="AC917" s="85">
        <v>1095</v>
      </c>
      <c r="AD917" s="141">
        <v>3</v>
      </c>
      <c r="AE917" s="142">
        <v>0</v>
      </c>
      <c r="AF917" s="69" t="str">
        <f t="shared" si="112"/>
        <v>1 years 271 days</v>
      </c>
      <c r="AG917" s="69">
        <v>1</v>
      </c>
      <c r="AH917" s="69">
        <v>271</v>
      </c>
      <c r="AI917" s="69">
        <v>10700</v>
      </c>
      <c r="AJ917" s="67">
        <v>6215</v>
      </c>
      <c r="AK917" s="69">
        <v>2025</v>
      </c>
      <c r="AL917" s="61">
        <v>1768.4703196347036</v>
      </c>
      <c r="AM917" s="143"/>
    </row>
    <row r="918" spans="1:39" x14ac:dyDescent="0.35">
      <c r="A918" s="69" t="s">
        <v>4124</v>
      </c>
      <c r="B918" s="41">
        <v>1111404715</v>
      </c>
      <c r="C918" s="41"/>
      <c r="D918" s="69"/>
      <c r="E918" s="41">
        <v>0</v>
      </c>
      <c r="F918" s="41" t="s">
        <v>2751</v>
      </c>
      <c r="G918" s="69" t="s">
        <v>2750</v>
      </c>
      <c r="H918" s="41">
        <v>9012000033</v>
      </c>
      <c r="I918" s="41" t="s">
        <v>47</v>
      </c>
      <c r="J918" s="41">
        <v>1202010202</v>
      </c>
      <c r="K918" s="41"/>
      <c r="L918" s="52" t="s">
        <v>2847</v>
      </c>
      <c r="M918" s="69" t="s">
        <v>2848</v>
      </c>
      <c r="N918" s="69"/>
      <c r="O918" s="69">
        <v>1</v>
      </c>
      <c r="P918" s="69" t="s">
        <v>50</v>
      </c>
      <c r="Q918" s="69" t="s">
        <v>51</v>
      </c>
      <c r="R918" s="69"/>
      <c r="S918" s="48">
        <v>41604</v>
      </c>
      <c r="T918" s="48">
        <v>43340</v>
      </c>
      <c r="U918" s="69"/>
      <c r="V918" s="69"/>
      <c r="W918" s="69"/>
      <c r="X918" s="69"/>
      <c r="Y918" s="69" t="s">
        <v>4125</v>
      </c>
      <c r="Z918" s="52">
        <v>1800</v>
      </c>
      <c r="AA918" s="43" t="s">
        <v>52</v>
      </c>
      <c r="AB918" s="43" t="s">
        <v>53</v>
      </c>
      <c r="AC918" s="85">
        <v>110</v>
      </c>
      <c r="AD918" s="141">
        <v>0</v>
      </c>
      <c r="AE918" s="142">
        <v>4</v>
      </c>
      <c r="AF918" s="69" t="str">
        <f t="shared" si="112"/>
        <v>0 years 110 days</v>
      </c>
      <c r="AG918" s="69">
        <v>0</v>
      </c>
      <c r="AH918" s="69">
        <v>110</v>
      </c>
      <c r="AI918" s="69">
        <v>1800</v>
      </c>
      <c r="AJ918" s="67">
        <v>1800</v>
      </c>
      <c r="AK918" s="69">
        <v>2025</v>
      </c>
      <c r="AL918" s="61">
        <v>0</v>
      </c>
      <c r="AM918" s="143"/>
    </row>
    <row r="919" spans="1:39" x14ac:dyDescent="0.35">
      <c r="A919" s="69" t="s">
        <v>4124</v>
      </c>
      <c r="B919" s="41">
        <v>1111404746</v>
      </c>
      <c r="C919" s="41"/>
      <c r="D919" s="69"/>
      <c r="E919" s="41">
        <v>0</v>
      </c>
      <c r="F919" s="41" t="s">
        <v>2751</v>
      </c>
      <c r="G919" s="69" t="s">
        <v>2750</v>
      </c>
      <c r="H919" s="41">
        <v>9012000034</v>
      </c>
      <c r="I919" s="41" t="s">
        <v>47</v>
      </c>
      <c r="J919" s="41">
        <v>1202010202</v>
      </c>
      <c r="K919" s="41"/>
      <c r="L919" s="52" t="s">
        <v>2850</v>
      </c>
      <c r="M919" s="69" t="s">
        <v>2851</v>
      </c>
      <c r="N919" s="69"/>
      <c r="O919" s="69">
        <v>1</v>
      </c>
      <c r="P919" s="69" t="s">
        <v>50</v>
      </c>
      <c r="Q919" s="69" t="s">
        <v>51</v>
      </c>
      <c r="R919" s="69"/>
      <c r="S919" s="48">
        <v>43561</v>
      </c>
      <c r="T919" s="48">
        <v>43561</v>
      </c>
      <c r="U919" s="69"/>
      <c r="V919" s="69"/>
      <c r="W919" s="69"/>
      <c r="X919" s="69"/>
      <c r="Y919" s="69" t="s">
        <v>4126</v>
      </c>
      <c r="Z919" s="52">
        <v>26000</v>
      </c>
      <c r="AA919" s="43" t="s">
        <v>52</v>
      </c>
      <c r="AB919" s="43" t="s">
        <v>53</v>
      </c>
      <c r="AC919" s="85">
        <v>1095</v>
      </c>
      <c r="AD919" s="141">
        <v>3</v>
      </c>
      <c r="AE919" s="142">
        <v>0</v>
      </c>
      <c r="AF919" s="69" t="str">
        <f t="shared" si="112"/>
        <v>3 years 0 days</v>
      </c>
      <c r="AG919" s="69">
        <v>3</v>
      </c>
      <c r="AH919" s="69">
        <v>0</v>
      </c>
      <c r="AI919" s="69">
        <v>26000</v>
      </c>
      <c r="AJ919" s="67">
        <v>26000</v>
      </c>
      <c r="AK919" s="69">
        <v>2025</v>
      </c>
      <c r="AL919" s="61">
        <v>0</v>
      </c>
      <c r="AM919" s="143"/>
    </row>
    <row r="920" spans="1:39" x14ac:dyDescent="0.35">
      <c r="A920" s="69" t="s">
        <v>4124</v>
      </c>
      <c r="B920" s="41">
        <v>1111404740</v>
      </c>
      <c r="C920" s="41"/>
      <c r="D920" s="69"/>
      <c r="E920" s="41">
        <v>0</v>
      </c>
      <c r="F920" s="41" t="s">
        <v>2751</v>
      </c>
      <c r="G920" s="69" t="s">
        <v>2750</v>
      </c>
      <c r="H920" s="41">
        <v>9012000035</v>
      </c>
      <c r="I920" s="41" t="s">
        <v>47</v>
      </c>
      <c r="J920" s="41">
        <v>1202010202</v>
      </c>
      <c r="K920" s="41"/>
      <c r="L920" s="52" t="s">
        <v>2853</v>
      </c>
      <c r="M920" s="69" t="s">
        <v>2854</v>
      </c>
      <c r="N920" s="69"/>
      <c r="O920" s="69">
        <v>1</v>
      </c>
      <c r="P920" s="69" t="s">
        <v>50</v>
      </c>
      <c r="Q920" s="69" t="s">
        <v>51</v>
      </c>
      <c r="R920" s="69"/>
      <c r="S920" s="48">
        <v>42279</v>
      </c>
      <c r="T920" s="48">
        <v>43340</v>
      </c>
      <c r="U920" s="69"/>
      <c r="V920" s="69"/>
      <c r="W920" s="69"/>
      <c r="X920" s="69"/>
      <c r="Y920" s="69" t="s">
        <v>4125</v>
      </c>
      <c r="Z920" s="52">
        <v>2000</v>
      </c>
      <c r="AA920" s="43" t="s">
        <v>52</v>
      </c>
      <c r="AB920" s="43" t="s">
        <v>53</v>
      </c>
      <c r="AC920" s="85">
        <v>110</v>
      </c>
      <c r="AD920" s="141">
        <v>0</v>
      </c>
      <c r="AE920" s="142">
        <v>4</v>
      </c>
      <c r="AF920" s="69" t="str">
        <f t="shared" si="112"/>
        <v>0 years 110 days</v>
      </c>
      <c r="AG920" s="69">
        <v>0</v>
      </c>
      <c r="AH920" s="69">
        <v>110</v>
      </c>
      <c r="AI920" s="69">
        <v>2000</v>
      </c>
      <c r="AJ920" s="67">
        <v>2000</v>
      </c>
      <c r="AK920" s="69">
        <v>2025</v>
      </c>
      <c r="AL920" s="61">
        <v>0</v>
      </c>
      <c r="AM920" s="143"/>
    </row>
    <row r="921" spans="1:39" x14ac:dyDescent="0.35">
      <c r="A921" s="69" t="s">
        <v>4124</v>
      </c>
      <c r="B921" s="41">
        <v>2111404770</v>
      </c>
      <c r="C921" s="41"/>
      <c r="D921" s="69"/>
      <c r="E921" s="41">
        <v>0</v>
      </c>
      <c r="F921" s="41" t="s">
        <v>2751</v>
      </c>
      <c r="G921" s="69" t="s">
        <v>2750</v>
      </c>
      <c r="H921" s="41">
        <v>9012000036</v>
      </c>
      <c r="I921" s="41" t="s">
        <v>47</v>
      </c>
      <c r="J921" s="41">
        <v>1202010202</v>
      </c>
      <c r="K921" s="41"/>
      <c r="L921" s="52" t="s">
        <v>2856</v>
      </c>
      <c r="M921" s="69" t="s">
        <v>2857</v>
      </c>
      <c r="N921" s="69"/>
      <c r="O921" s="69">
        <v>1</v>
      </c>
      <c r="P921" s="69" t="s">
        <v>50</v>
      </c>
      <c r="Q921" s="69" t="s">
        <v>51</v>
      </c>
      <c r="R921" s="69"/>
      <c r="S921" s="48">
        <v>45077</v>
      </c>
      <c r="T921" s="48">
        <v>45077</v>
      </c>
      <c r="U921" s="69"/>
      <c r="V921" s="69"/>
      <c r="W921" s="69"/>
      <c r="X921" s="69"/>
      <c r="Y921" s="69" t="s">
        <v>4129</v>
      </c>
      <c r="Z921" s="52">
        <v>22500</v>
      </c>
      <c r="AA921" s="43" t="s">
        <v>52</v>
      </c>
      <c r="AB921" s="43" t="s">
        <v>53</v>
      </c>
      <c r="AC921" s="85">
        <v>1095</v>
      </c>
      <c r="AD921" s="141">
        <v>3</v>
      </c>
      <c r="AE921" s="142">
        <v>0</v>
      </c>
      <c r="AF921" s="69" t="str">
        <f t="shared" si="112"/>
        <v>1 years 216 days</v>
      </c>
      <c r="AG921" s="69">
        <v>1</v>
      </c>
      <c r="AH921" s="69">
        <v>216</v>
      </c>
      <c r="AI921" s="69">
        <v>22500</v>
      </c>
      <c r="AJ921" s="67">
        <v>11938</v>
      </c>
      <c r="AK921" s="69">
        <v>2025</v>
      </c>
      <c r="AL921" s="61">
        <v>3719.5342465753438</v>
      </c>
      <c r="AM921" s="143"/>
    </row>
    <row r="922" spans="1:39" x14ac:dyDescent="0.35">
      <c r="A922" s="69" t="s">
        <v>4124</v>
      </c>
      <c r="B922" s="41">
        <v>2111404960</v>
      </c>
      <c r="C922" s="41"/>
      <c r="D922" s="69"/>
      <c r="E922" s="41">
        <v>0</v>
      </c>
      <c r="F922" s="41" t="s">
        <v>2751</v>
      </c>
      <c r="G922" s="69" t="s">
        <v>2750</v>
      </c>
      <c r="H922" s="41">
        <v>9012000037</v>
      </c>
      <c r="I922" s="41" t="s">
        <v>47</v>
      </c>
      <c r="J922" s="41">
        <v>1202010202</v>
      </c>
      <c r="K922" s="41"/>
      <c r="L922" s="52" t="s">
        <v>2859</v>
      </c>
      <c r="M922" s="69" t="s">
        <v>2860</v>
      </c>
      <c r="N922" s="69"/>
      <c r="O922" s="69">
        <v>1</v>
      </c>
      <c r="P922" s="69" t="s">
        <v>50</v>
      </c>
      <c r="Q922" s="69" t="s">
        <v>51</v>
      </c>
      <c r="R922" s="69"/>
      <c r="S922" s="48">
        <v>45231</v>
      </c>
      <c r="T922" s="48">
        <v>45231</v>
      </c>
      <c r="U922" s="69"/>
      <c r="V922" s="69"/>
      <c r="W922" s="69"/>
      <c r="X922" s="69"/>
      <c r="Y922" s="69" t="s">
        <v>4129</v>
      </c>
      <c r="Z922" s="52">
        <v>32000</v>
      </c>
      <c r="AA922" s="43" t="s">
        <v>52</v>
      </c>
      <c r="AB922" s="43" t="s">
        <v>53</v>
      </c>
      <c r="AC922" s="85">
        <v>1095</v>
      </c>
      <c r="AD922" s="141">
        <v>3</v>
      </c>
      <c r="AE922" s="142">
        <v>0</v>
      </c>
      <c r="AF922" s="69" t="str">
        <f t="shared" si="112"/>
        <v>1 years 62 days</v>
      </c>
      <c r="AG922" s="69">
        <v>1</v>
      </c>
      <c r="AH922" s="69">
        <v>62</v>
      </c>
      <c r="AI922" s="69">
        <v>32000</v>
      </c>
      <c r="AJ922" s="67">
        <v>12479</v>
      </c>
      <c r="AK922" s="69">
        <v>2025</v>
      </c>
      <c r="AL922" s="61">
        <v>5289.0365296803648</v>
      </c>
      <c r="AM922" s="143"/>
    </row>
    <row r="923" spans="1:39" x14ac:dyDescent="0.35">
      <c r="A923" s="69" t="s">
        <v>4124</v>
      </c>
      <c r="B923" s="41">
        <v>1111405060</v>
      </c>
      <c r="C923" s="41"/>
      <c r="D923" s="69"/>
      <c r="E923" s="41">
        <v>0</v>
      </c>
      <c r="F923" s="41" t="s">
        <v>2751</v>
      </c>
      <c r="G923" s="69" t="s">
        <v>2750</v>
      </c>
      <c r="H923" s="41">
        <v>9012000038</v>
      </c>
      <c r="I923" s="41" t="s">
        <v>47</v>
      </c>
      <c r="J923" s="41">
        <v>1202010202</v>
      </c>
      <c r="K923" s="41"/>
      <c r="L923" s="52" t="s">
        <v>2862</v>
      </c>
      <c r="M923" s="69" t="s">
        <v>2863</v>
      </c>
      <c r="N923" s="69"/>
      <c r="O923" s="69">
        <v>1</v>
      </c>
      <c r="P923" s="69" t="s">
        <v>50</v>
      </c>
      <c r="Q923" s="69" t="s">
        <v>51</v>
      </c>
      <c r="R923" s="69"/>
      <c r="S923" s="48">
        <v>43700</v>
      </c>
      <c r="T923" s="48">
        <v>43700</v>
      </c>
      <c r="U923" s="69"/>
      <c r="V923" s="69"/>
      <c r="W923" s="69"/>
      <c r="X923" s="69"/>
      <c r="Y923" s="69" t="s">
        <v>4126</v>
      </c>
      <c r="Z923" s="52">
        <v>21500</v>
      </c>
      <c r="AA923" s="43" t="s">
        <v>52</v>
      </c>
      <c r="AB923" s="43" t="s">
        <v>53</v>
      </c>
      <c r="AC923" s="85">
        <v>1095</v>
      </c>
      <c r="AD923" s="141">
        <v>3</v>
      </c>
      <c r="AE923" s="142">
        <v>0</v>
      </c>
      <c r="AF923" s="69" t="str">
        <f t="shared" si="112"/>
        <v>3 years 0 days</v>
      </c>
      <c r="AG923" s="69">
        <v>3</v>
      </c>
      <c r="AH923" s="69">
        <v>0</v>
      </c>
      <c r="AI923" s="69">
        <v>21500</v>
      </c>
      <c r="AJ923" s="67">
        <v>21500</v>
      </c>
      <c r="AK923" s="69">
        <v>2025</v>
      </c>
      <c r="AL923" s="61">
        <v>0</v>
      </c>
      <c r="AM923" s="143"/>
    </row>
    <row r="924" spans="1:39" x14ac:dyDescent="0.35">
      <c r="A924" s="69" t="s">
        <v>4124</v>
      </c>
      <c r="B924" s="41">
        <v>1111405068</v>
      </c>
      <c r="C924" s="41"/>
      <c r="D924" s="69"/>
      <c r="E924" s="41">
        <v>0</v>
      </c>
      <c r="F924" s="41" t="s">
        <v>2751</v>
      </c>
      <c r="G924" s="69" t="s">
        <v>2750</v>
      </c>
      <c r="H924" s="41">
        <v>9012000039</v>
      </c>
      <c r="I924" s="41" t="s">
        <v>47</v>
      </c>
      <c r="J924" s="41">
        <v>1202010202</v>
      </c>
      <c r="K924" s="41"/>
      <c r="L924" s="52" t="s">
        <v>2865</v>
      </c>
      <c r="M924" s="69" t="s">
        <v>2866</v>
      </c>
      <c r="N924" s="69"/>
      <c r="O924" s="69">
        <v>1</v>
      </c>
      <c r="P924" s="69" t="s">
        <v>50</v>
      </c>
      <c r="Q924" s="69" t="s">
        <v>51</v>
      </c>
      <c r="R924" s="69"/>
      <c r="S924" s="48">
        <v>45303</v>
      </c>
      <c r="T924" s="48">
        <v>45303</v>
      </c>
      <c r="U924" s="69"/>
      <c r="V924" s="69"/>
      <c r="W924" s="69"/>
      <c r="X924" s="69"/>
      <c r="Y924" s="69" t="s">
        <v>4130</v>
      </c>
      <c r="Z924" s="52">
        <v>67990</v>
      </c>
      <c r="AA924" s="43" t="s">
        <v>52</v>
      </c>
      <c r="AB924" s="43" t="s">
        <v>53</v>
      </c>
      <c r="AC924" s="85">
        <v>1095</v>
      </c>
      <c r="AD924" s="141">
        <v>3</v>
      </c>
      <c r="AE924" s="142">
        <v>0</v>
      </c>
      <c r="AF924" s="69" t="str">
        <f t="shared" si="112"/>
        <v>0 years 355 days</v>
      </c>
      <c r="AG924" s="69">
        <v>0</v>
      </c>
      <c r="AH924" s="69">
        <v>355</v>
      </c>
      <c r="AI924" s="69">
        <v>67990</v>
      </c>
      <c r="AJ924" s="67">
        <v>22042</v>
      </c>
      <c r="AK924" s="69">
        <v>2025</v>
      </c>
      <c r="AL924" s="61">
        <v>11238.949771689498</v>
      </c>
      <c r="AM924" s="143"/>
    </row>
    <row r="925" spans="1:39" x14ac:dyDescent="0.35">
      <c r="A925" s="69" t="s">
        <v>4124</v>
      </c>
      <c r="B925" s="41">
        <v>1111405115</v>
      </c>
      <c r="C925" s="41"/>
      <c r="D925" s="69"/>
      <c r="E925" s="41">
        <v>0</v>
      </c>
      <c r="F925" s="41" t="s">
        <v>2751</v>
      </c>
      <c r="G925" s="69" t="s">
        <v>2750</v>
      </c>
      <c r="H925" s="41">
        <v>9012000040</v>
      </c>
      <c r="I925" s="41" t="s">
        <v>47</v>
      </c>
      <c r="J925" s="41">
        <v>1202010202</v>
      </c>
      <c r="K925" s="41"/>
      <c r="L925" s="52" t="s">
        <v>2868</v>
      </c>
      <c r="M925" s="69" t="s">
        <v>2869</v>
      </c>
      <c r="N925" s="69"/>
      <c r="O925" s="69">
        <v>1</v>
      </c>
      <c r="P925" s="69" t="s">
        <v>50</v>
      </c>
      <c r="Q925" s="69" t="s">
        <v>51</v>
      </c>
      <c r="R925" s="69"/>
      <c r="S925" s="48">
        <v>45351</v>
      </c>
      <c r="T925" s="48">
        <v>45351</v>
      </c>
      <c r="U925" s="69"/>
      <c r="V925" s="69"/>
      <c r="W925" s="69"/>
      <c r="X925" s="69"/>
      <c r="Y925" s="69" t="s">
        <v>4130</v>
      </c>
      <c r="Z925" s="52">
        <v>21146</v>
      </c>
      <c r="AA925" s="43" t="s">
        <v>52</v>
      </c>
      <c r="AB925" s="43" t="s">
        <v>53</v>
      </c>
      <c r="AC925" s="85">
        <v>1095</v>
      </c>
      <c r="AD925" s="141">
        <v>3</v>
      </c>
      <c r="AE925" s="142">
        <v>0</v>
      </c>
      <c r="AF925" s="69" t="str">
        <f t="shared" si="112"/>
        <v>0 years 307 days</v>
      </c>
      <c r="AG925" s="69">
        <v>0</v>
      </c>
      <c r="AH925" s="69">
        <v>307</v>
      </c>
      <c r="AI925" s="69">
        <v>21146</v>
      </c>
      <c r="AJ925" s="67">
        <v>5929</v>
      </c>
      <c r="AK925" s="69">
        <v>2025</v>
      </c>
      <c r="AL925" s="61">
        <v>3494.9707762557082</v>
      </c>
      <c r="AM925" s="143"/>
    </row>
    <row r="926" spans="1:39" x14ac:dyDescent="0.35">
      <c r="A926" s="69" t="s">
        <v>4124</v>
      </c>
      <c r="B926" s="41">
        <v>1111405216</v>
      </c>
      <c r="C926" s="41"/>
      <c r="D926" s="69"/>
      <c r="E926" s="41">
        <v>0</v>
      </c>
      <c r="F926" s="41" t="s">
        <v>2751</v>
      </c>
      <c r="G926" s="69" t="s">
        <v>2750</v>
      </c>
      <c r="H926" s="41">
        <v>9012000041</v>
      </c>
      <c r="I926" s="41" t="s">
        <v>47</v>
      </c>
      <c r="J926" s="41">
        <v>1202010202</v>
      </c>
      <c r="K926" s="41"/>
      <c r="L926" s="52" t="s">
        <v>2871</v>
      </c>
      <c r="M926" s="69" t="s">
        <v>2872</v>
      </c>
      <c r="N926" s="69"/>
      <c r="O926" s="69">
        <v>1</v>
      </c>
      <c r="P926" s="69" t="s">
        <v>50</v>
      </c>
      <c r="Q926" s="69" t="s">
        <v>51</v>
      </c>
      <c r="R926" s="69"/>
      <c r="S926" s="48">
        <v>45463</v>
      </c>
      <c r="T926" s="48">
        <v>45463</v>
      </c>
      <c r="U926" s="69"/>
      <c r="V926" s="69"/>
      <c r="W926" s="69"/>
      <c r="X926" s="69"/>
      <c r="Y926" s="69" t="s">
        <v>4130</v>
      </c>
      <c r="Z926" s="83">
        <v>68500</v>
      </c>
      <c r="AA926" s="43" t="s">
        <v>52</v>
      </c>
      <c r="AB926" s="43" t="s">
        <v>53</v>
      </c>
      <c r="AC926" s="85">
        <v>1825</v>
      </c>
      <c r="AD926" s="141">
        <v>5</v>
      </c>
      <c r="AE926" s="142">
        <v>0</v>
      </c>
      <c r="AF926" s="69" t="str">
        <f t="shared" si="112"/>
        <v>0 years 195 days</v>
      </c>
      <c r="AG926" s="69">
        <v>0</v>
      </c>
      <c r="AH926" s="69">
        <v>195</v>
      </c>
      <c r="AI926" s="69">
        <v>68500</v>
      </c>
      <c r="AJ926" s="67">
        <v>7319</v>
      </c>
      <c r="AK926" s="69">
        <v>2025</v>
      </c>
      <c r="AL926" s="61">
        <v>6793.8767123287671</v>
      </c>
      <c r="AM926" s="143"/>
    </row>
    <row r="927" spans="1:39" x14ac:dyDescent="0.35">
      <c r="A927" s="69" t="s">
        <v>4124</v>
      </c>
      <c r="B927" s="41">
        <v>2111405217</v>
      </c>
      <c r="C927" s="41"/>
      <c r="D927" s="69"/>
      <c r="E927" s="41">
        <v>0</v>
      </c>
      <c r="F927" s="41" t="s">
        <v>2751</v>
      </c>
      <c r="G927" s="69" t="s">
        <v>2750</v>
      </c>
      <c r="H927" s="41">
        <v>9012000042</v>
      </c>
      <c r="I927" s="41" t="s">
        <v>47</v>
      </c>
      <c r="J927" s="41">
        <v>1202010202</v>
      </c>
      <c r="K927" s="41"/>
      <c r="L927" s="52" t="s">
        <v>2874</v>
      </c>
      <c r="M927" s="69" t="s">
        <v>2875</v>
      </c>
      <c r="N927" s="69"/>
      <c r="O927" s="69">
        <v>2</v>
      </c>
      <c r="P927" s="69" t="s">
        <v>50</v>
      </c>
      <c r="Q927" s="69" t="s">
        <v>51</v>
      </c>
      <c r="R927" s="69"/>
      <c r="S927" s="48">
        <v>45467</v>
      </c>
      <c r="T927" s="48">
        <v>45467</v>
      </c>
      <c r="U927" s="69"/>
      <c r="V927" s="69"/>
      <c r="W927" s="69"/>
      <c r="X927" s="69"/>
      <c r="Y927" s="69" t="s">
        <v>4130</v>
      </c>
      <c r="Z927" s="83">
        <v>202827</v>
      </c>
      <c r="AA927" s="43" t="s">
        <v>52</v>
      </c>
      <c r="AB927" s="43" t="s">
        <v>53</v>
      </c>
      <c r="AC927" s="85">
        <v>1825</v>
      </c>
      <c r="AD927" s="141">
        <v>5</v>
      </c>
      <c r="AE927" s="142">
        <v>0</v>
      </c>
      <c r="AF927" s="69" t="str">
        <f t="shared" si="112"/>
        <v>0 years 191 days</v>
      </c>
      <c r="AG927" s="69">
        <v>0</v>
      </c>
      <c r="AH927" s="69">
        <v>191</v>
      </c>
      <c r="AI927" s="69">
        <v>202827</v>
      </c>
      <c r="AJ927" s="67">
        <v>21227</v>
      </c>
      <c r="AK927" s="69">
        <v>2025</v>
      </c>
      <c r="AL927" s="61">
        <v>20116.366575342465</v>
      </c>
      <c r="AM927" s="143"/>
    </row>
    <row r="928" spans="1:39" x14ac:dyDescent="0.35">
      <c r="A928" s="69" t="s">
        <v>4124</v>
      </c>
      <c r="B928" s="41">
        <v>1111405241</v>
      </c>
      <c r="C928" s="41"/>
      <c r="D928" s="69"/>
      <c r="E928" s="41">
        <v>0</v>
      </c>
      <c r="F928" s="41" t="s">
        <v>2751</v>
      </c>
      <c r="G928" s="69" t="s">
        <v>2750</v>
      </c>
      <c r="H928" s="41">
        <v>9012000043</v>
      </c>
      <c r="I928" s="41" t="s">
        <v>47</v>
      </c>
      <c r="J928" s="41">
        <v>1202010202</v>
      </c>
      <c r="K928" s="41"/>
      <c r="L928" s="52" t="s">
        <v>2877</v>
      </c>
      <c r="M928" s="69" t="s">
        <v>2878</v>
      </c>
      <c r="N928" s="69"/>
      <c r="O928" s="69">
        <v>1</v>
      </c>
      <c r="P928" s="69" t="s">
        <v>50</v>
      </c>
      <c r="Q928" s="69" t="s">
        <v>51</v>
      </c>
      <c r="R928" s="69"/>
      <c r="S928" s="48">
        <v>45473</v>
      </c>
      <c r="T928" s="48">
        <v>45473</v>
      </c>
      <c r="U928" s="69"/>
      <c r="V928" s="69"/>
      <c r="W928" s="69"/>
      <c r="X928" s="69"/>
      <c r="Y928" s="69" t="s">
        <v>4130</v>
      </c>
      <c r="Z928" s="83">
        <v>21800</v>
      </c>
      <c r="AA928" s="43" t="s">
        <v>52</v>
      </c>
      <c r="AB928" s="43" t="s">
        <v>53</v>
      </c>
      <c r="AC928" s="85">
        <v>1825</v>
      </c>
      <c r="AD928" s="141">
        <v>5</v>
      </c>
      <c r="AE928" s="142">
        <v>0</v>
      </c>
      <c r="AF928" s="69" t="str">
        <f t="shared" si="112"/>
        <v>0 years 185 days</v>
      </c>
      <c r="AG928" s="69">
        <v>0</v>
      </c>
      <c r="AH928" s="69">
        <v>185</v>
      </c>
      <c r="AI928" s="69">
        <v>21800</v>
      </c>
      <c r="AJ928" s="67">
        <v>2210</v>
      </c>
      <c r="AK928" s="69">
        <v>2025</v>
      </c>
      <c r="AL928" s="61">
        <v>2161.9452054794519</v>
      </c>
      <c r="AM928" s="143"/>
    </row>
    <row r="929" spans="1:39" x14ac:dyDescent="0.35">
      <c r="A929" s="69" t="s">
        <v>4124</v>
      </c>
      <c r="B929" s="41">
        <v>2111405288</v>
      </c>
      <c r="C929" s="41"/>
      <c r="D929" s="69"/>
      <c r="E929" s="41">
        <v>0</v>
      </c>
      <c r="F929" s="41" t="s">
        <v>2751</v>
      </c>
      <c r="G929" s="69" t="s">
        <v>2750</v>
      </c>
      <c r="H929" s="41">
        <v>9012000044</v>
      </c>
      <c r="I929" s="41" t="s">
        <v>47</v>
      </c>
      <c r="J929" s="41">
        <v>1202010202</v>
      </c>
      <c r="K929" s="41"/>
      <c r="L929" s="52" t="s">
        <v>2880</v>
      </c>
      <c r="M929" s="69" t="s">
        <v>2881</v>
      </c>
      <c r="N929" s="69"/>
      <c r="O929" s="69">
        <v>1</v>
      </c>
      <c r="P929" s="69" t="s">
        <v>50</v>
      </c>
      <c r="Q929" s="69" t="s">
        <v>51</v>
      </c>
      <c r="R929" s="69"/>
      <c r="S929" s="48">
        <v>45531</v>
      </c>
      <c r="T929" s="48">
        <v>45531</v>
      </c>
      <c r="U929" s="69"/>
      <c r="V929" s="69"/>
      <c r="W929" s="69"/>
      <c r="X929" s="69"/>
      <c r="Y929" s="69" t="s">
        <v>4130</v>
      </c>
      <c r="Z929" s="83">
        <v>50000</v>
      </c>
      <c r="AA929" s="43" t="s">
        <v>52</v>
      </c>
      <c r="AB929" s="43" t="s">
        <v>53</v>
      </c>
      <c r="AC929" s="85">
        <v>1095</v>
      </c>
      <c r="AD929" s="141">
        <v>3</v>
      </c>
      <c r="AE929" s="142">
        <v>0</v>
      </c>
      <c r="AF929" s="69" t="str">
        <f t="shared" si="112"/>
        <v>0 years 127 days</v>
      </c>
      <c r="AG929" s="69">
        <v>0</v>
      </c>
      <c r="AH929" s="69">
        <v>127</v>
      </c>
      <c r="AI929" s="69">
        <v>50000</v>
      </c>
      <c r="AJ929" s="67">
        <v>5799</v>
      </c>
      <c r="AK929" s="69">
        <v>2025</v>
      </c>
      <c r="AL929" s="61">
        <v>8264.9269406392687</v>
      </c>
      <c r="AM929" s="143"/>
    </row>
    <row r="930" spans="1:39" x14ac:dyDescent="0.35">
      <c r="A930" s="69" t="s">
        <v>4124</v>
      </c>
      <c r="B930" s="41">
        <v>1111405313</v>
      </c>
      <c r="C930" s="41"/>
      <c r="D930" s="69"/>
      <c r="E930" s="41">
        <v>0</v>
      </c>
      <c r="F930" s="41" t="s">
        <v>2751</v>
      </c>
      <c r="G930" s="69" t="s">
        <v>2750</v>
      </c>
      <c r="H930" s="41">
        <v>9012000045</v>
      </c>
      <c r="I930" s="41" t="s">
        <v>47</v>
      </c>
      <c r="J930" s="41">
        <v>1202010202</v>
      </c>
      <c r="K930" s="41"/>
      <c r="L930" s="52" t="s">
        <v>2883</v>
      </c>
      <c r="M930" s="69" t="s">
        <v>2884</v>
      </c>
      <c r="N930" s="69"/>
      <c r="O930" s="69">
        <v>1</v>
      </c>
      <c r="P930" s="69" t="s">
        <v>50</v>
      </c>
      <c r="Q930" s="69" t="s">
        <v>51</v>
      </c>
      <c r="R930" s="69"/>
      <c r="S930" s="48">
        <v>45589</v>
      </c>
      <c r="T930" s="48">
        <v>45589</v>
      </c>
      <c r="U930" s="69"/>
      <c r="V930" s="69"/>
      <c r="W930" s="69"/>
      <c r="X930" s="69"/>
      <c r="Y930" s="69" t="s">
        <v>4130</v>
      </c>
      <c r="Z930" s="83">
        <v>71200</v>
      </c>
      <c r="AA930" s="43" t="s">
        <v>52</v>
      </c>
      <c r="AB930" s="43" t="s">
        <v>53</v>
      </c>
      <c r="AC930" s="85">
        <v>1095</v>
      </c>
      <c r="AD930" s="141">
        <v>3</v>
      </c>
      <c r="AE930" s="142">
        <v>0</v>
      </c>
      <c r="AF930" s="69" t="str">
        <f t="shared" si="112"/>
        <v>0 years 69 days</v>
      </c>
      <c r="AG930" s="69">
        <v>0</v>
      </c>
      <c r="AH930" s="69">
        <v>69</v>
      </c>
      <c r="AI930" s="69">
        <v>71200</v>
      </c>
      <c r="AJ930" s="67">
        <v>4487</v>
      </c>
      <c r="AK930" s="69">
        <v>2025</v>
      </c>
      <c r="AL930" s="61">
        <v>11768.707762557078</v>
      </c>
      <c r="AM930" s="143"/>
    </row>
    <row r="931" spans="1:39" x14ac:dyDescent="0.35">
      <c r="A931" s="69" t="s">
        <v>4124</v>
      </c>
      <c r="B931" s="41">
        <v>1111405327</v>
      </c>
      <c r="C931" s="41"/>
      <c r="D931" s="69"/>
      <c r="E931" s="41">
        <v>0</v>
      </c>
      <c r="F931" s="41" t="s">
        <v>2751</v>
      </c>
      <c r="G931" s="69" t="s">
        <v>2750</v>
      </c>
      <c r="H931" s="41">
        <v>9012000046</v>
      </c>
      <c r="I931" s="41" t="s">
        <v>47</v>
      </c>
      <c r="J931" s="41">
        <v>1202010202</v>
      </c>
      <c r="K931" s="41"/>
      <c r="L931" s="52" t="s">
        <v>2886</v>
      </c>
      <c r="M931" s="69" t="s">
        <v>2887</v>
      </c>
      <c r="N931" s="69"/>
      <c r="O931" s="69">
        <v>1</v>
      </c>
      <c r="P931" s="69" t="s">
        <v>50</v>
      </c>
      <c r="Q931" s="69" t="s">
        <v>51</v>
      </c>
      <c r="R931" s="69"/>
      <c r="S931" s="48">
        <v>45621</v>
      </c>
      <c r="T931" s="48">
        <v>45621</v>
      </c>
      <c r="U931" s="69"/>
      <c r="V931" s="69"/>
      <c r="W931" s="69"/>
      <c r="X931" s="69"/>
      <c r="Y931" s="69" t="s">
        <v>4130</v>
      </c>
      <c r="Z931" s="83">
        <v>102910</v>
      </c>
      <c r="AA931" s="43" t="s">
        <v>52</v>
      </c>
      <c r="AB931" s="43" t="s">
        <v>53</v>
      </c>
      <c r="AC931" s="85">
        <v>1095</v>
      </c>
      <c r="AD931" s="141">
        <v>3</v>
      </c>
      <c r="AE931" s="142">
        <v>0</v>
      </c>
      <c r="AF931" s="69" t="str">
        <f t="shared" si="112"/>
        <v>0 years 37 days</v>
      </c>
      <c r="AG931" s="69">
        <v>0</v>
      </c>
      <c r="AH931" s="69">
        <v>37</v>
      </c>
      <c r="AI931" s="69">
        <v>102910</v>
      </c>
      <c r="AJ931" s="67">
        <v>3477</v>
      </c>
      <c r="AK931" s="69">
        <v>2025</v>
      </c>
      <c r="AL931" s="61">
        <v>17011.018264840182</v>
      </c>
      <c r="AM931" s="143"/>
    </row>
    <row r="932" spans="1:39" x14ac:dyDescent="0.35">
      <c r="A932" s="69" t="s">
        <v>4124</v>
      </c>
      <c r="B932" s="41">
        <v>1111405342</v>
      </c>
      <c r="C932" s="41"/>
      <c r="D932" s="69"/>
      <c r="E932" s="41">
        <v>0</v>
      </c>
      <c r="F932" s="41" t="s">
        <v>2751</v>
      </c>
      <c r="G932" s="69" t="s">
        <v>2750</v>
      </c>
      <c r="H932" s="41">
        <v>9012000047</v>
      </c>
      <c r="I932" s="41" t="s">
        <v>47</v>
      </c>
      <c r="J932" s="41">
        <v>1202010202</v>
      </c>
      <c r="K932" s="41"/>
      <c r="L932" s="52" t="s">
        <v>2889</v>
      </c>
      <c r="M932" s="69" t="s">
        <v>2890</v>
      </c>
      <c r="N932" s="69"/>
      <c r="O932" s="69">
        <v>2</v>
      </c>
      <c r="P932" s="69" t="s">
        <v>50</v>
      </c>
      <c r="Q932" s="69" t="s">
        <v>51</v>
      </c>
      <c r="R932" s="69"/>
      <c r="S932" s="48">
        <v>45651</v>
      </c>
      <c r="T932" s="48">
        <v>45651</v>
      </c>
      <c r="U932" s="69"/>
      <c r="V932" s="69"/>
      <c r="W932" s="69"/>
      <c r="X932" s="69"/>
      <c r="Y932" s="69" t="s">
        <v>4130</v>
      </c>
      <c r="Z932" s="83">
        <v>142400</v>
      </c>
      <c r="AA932" s="43" t="s">
        <v>52</v>
      </c>
      <c r="AB932" s="43" t="s">
        <v>53</v>
      </c>
      <c r="AC932" s="85">
        <v>1095</v>
      </c>
      <c r="AD932" s="141">
        <v>3</v>
      </c>
      <c r="AE932" s="142">
        <v>0</v>
      </c>
      <c r="AF932" s="69" t="str">
        <f t="shared" si="112"/>
        <v>0 years 7 days</v>
      </c>
      <c r="AG932" s="69">
        <v>0</v>
      </c>
      <c r="AH932" s="69">
        <v>7</v>
      </c>
      <c r="AI932" s="69">
        <v>142400</v>
      </c>
      <c r="AJ932" s="67">
        <v>910</v>
      </c>
      <c r="AK932" s="69">
        <v>2025</v>
      </c>
      <c r="AL932" s="61">
        <v>23538.584474885844</v>
      </c>
      <c r="AM932" s="143"/>
    </row>
    <row r="933" spans="1:39" x14ac:dyDescent="0.35">
      <c r="A933" s="69" t="s">
        <v>4124</v>
      </c>
      <c r="B933" s="41">
        <v>1111405375</v>
      </c>
      <c r="C933" s="41"/>
      <c r="D933" s="69"/>
      <c r="E933" s="41">
        <v>0</v>
      </c>
      <c r="F933" s="41" t="s">
        <v>2751</v>
      </c>
      <c r="G933" s="69" t="s">
        <v>2750</v>
      </c>
      <c r="H933" s="41">
        <v>9012000048</v>
      </c>
      <c r="I933" s="41" t="s">
        <v>47</v>
      </c>
      <c r="J933" s="41">
        <v>1202010202</v>
      </c>
      <c r="K933" s="41"/>
      <c r="L933" s="52" t="s">
        <v>2892</v>
      </c>
      <c r="M933" s="69" t="s">
        <v>2893</v>
      </c>
      <c r="N933" s="69"/>
      <c r="O933" s="69">
        <v>2</v>
      </c>
      <c r="P933" s="69" t="s">
        <v>50</v>
      </c>
      <c r="Q933" s="69" t="s">
        <v>51</v>
      </c>
      <c r="R933" s="69"/>
      <c r="S933" s="48">
        <v>45659</v>
      </c>
      <c r="T933" s="48">
        <v>45659</v>
      </c>
      <c r="U933" s="69"/>
      <c r="V933" s="69"/>
      <c r="W933" s="69"/>
      <c r="X933" s="69"/>
      <c r="Y933" s="69" t="s">
        <v>4132</v>
      </c>
      <c r="Z933" s="83">
        <v>142400</v>
      </c>
      <c r="AA933" s="43" t="s">
        <v>52</v>
      </c>
      <c r="AB933" s="43" t="s">
        <v>53</v>
      </c>
      <c r="AC933" s="85">
        <v>1095</v>
      </c>
      <c r="AD933" s="141">
        <v>3</v>
      </c>
      <c r="AE933" s="142">
        <v>0</v>
      </c>
      <c r="AF933" s="69" t="str">
        <f t="shared" si="112"/>
        <v>0 years 0 days</v>
      </c>
      <c r="AG933" s="69">
        <v>0</v>
      </c>
      <c r="AH933" s="69">
        <v>0</v>
      </c>
      <c r="AI933" s="69">
        <v>142400</v>
      </c>
      <c r="AJ933" s="67">
        <v>0</v>
      </c>
      <c r="AK933" s="69">
        <v>2025</v>
      </c>
      <c r="AL933" s="61">
        <v>23408.219178082192</v>
      </c>
      <c r="AM933" s="143"/>
    </row>
    <row r="934" spans="1:39" x14ac:dyDescent="0.35">
      <c r="A934" s="69" t="s">
        <v>4124</v>
      </c>
      <c r="B934" s="41">
        <v>1111405413</v>
      </c>
      <c r="C934" s="41"/>
      <c r="D934" s="69"/>
      <c r="E934" s="41">
        <v>0</v>
      </c>
      <c r="F934" s="41" t="s">
        <v>2751</v>
      </c>
      <c r="G934" s="69" t="s">
        <v>2750</v>
      </c>
      <c r="H934" s="41">
        <v>9012000049</v>
      </c>
      <c r="I934" s="41" t="s">
        <v>47</v>
      </c>
      <c r="J934" s="41">
        <v>1202010202</v>
      </c>
      <c r="K934" s="41"/>
      <c r="L934" s="52" t="s">
        <v>2895</v>
      </c>
      <c r="M934" s="69" t="s">
        <v>2896</v>
      </c>
      <c r="N934" s="69"/>
      <c r="O934" s="69">
        <v>1</v>
      </c>
      <c r="P934" s="69" t="s">
        <v>50</v>
      </c>
      <c r="Q934" s="69" t="s">
        <v>51</v>
      </c>
      <c r="R934" s="69"/>
      <c r="S934" s="48">
        <v>45746</v>
      </c>
      <c r="T934" s="48">
        <v>45746</v>
      </c>
      <c r="U934" s="69"/>
      <c r="V934" s="69"/>
      <c r="W934" s="69"/>
      <c r="X934" s="69"/>
      <c r="Y934" s="69" t="s">
        <v>4132</v>
      </c>
      <c r="Z934" s="83">
        <v>70000</v>
      </c>
      <c r="AA934" s="43" t="s">
        <v>52</v>
      </c>
      <c r="AB934" s="43" t="s">
        <v>53</v>
      </c>
      <c r="AC934" s="85">
        <v>1095</v>
      </c>
      <c r="AD934" s="141">
        <v>3</v>
      </c>
      <c r="AE934" s="142">
        <v>0</v>
      </c>
      <c r="AF934" s="69" t="str">
        <f t="shared" si="112"/>
        <v>0 years 0 days</v>
      </c>
      <c r="AG934" s="69">
        <v>0</v>
      </c>
      <c r="AH934" s="69">
        <v>0</v>
      </c>
      <c r="AI934" s="69">
        <v>70000</v>
      </c>
      <c r="AJ934" s="67">
        <v>0</v>
      </c>
      <c r="AK934" s="69">
        <v>2025</v>
      </c>
      <c r="AL934" s="61">
        <v>5881.2785388127859</v>
      </c>
      <c r="AM934" s="143"/>
    </row>
    <row r="935" spans="1:39" x14ac:dyDescent="0.35">
      <c r="A935" s="69" t="s">
        <v>4124</v>
      </c>
      <c r="B935" s="41">
        <v>1111405414</v>
      </c>
      <c r="C935" s="41"/>
      <c r="D935" s="69"/>
      <c r="E935" s="41">
        <v>0</v>
      </c>
      <c r="F935" s="41" t="s">
        <v>2751</v>
      </c>
      <c r="G935" s="69" t="s">
        <v>2750</v>
      </c>
      <c r="H935" s="41">
        <v>9012000050</v>
      </c>
      <c r="I935" s="41" t="s">
        <v>47</v>
      </c>
      <c r="J935" s="41">
        <v>1202010202</v>
      </c>
      <c r="K935" s="41"/>
      <c r="L935" s="52" t="s">
        <v>2898</v>
      </c>
      <c r="M935" s="69" t="s">
        <v>2899</v>
      </c>
      <c r="N935" s="69"/>
      <c r="O935" s="69">
        <v>1</v>
      </c>
      <c r="P935" s="69" t="s">
        <v>50</v>
      </c>
      <c r="Q935" s="69" t="s">
        <v>51</v>
      </c>
      <c r="R935" s="69"/>
      <c r="S935" s="48">
        <v>45829</v>
      </c>
      <c r="T935" s="48">
        <v>45829</v>
      </c>
      <c r="U935" s="69"/>
      <c r="V935" s="69"/>
      <c r="W935" s="69"/>
      <c r="X935" s="69"/>
      <c r="Y935" s="69" t="s">
        <v>4132</v>
      </c>
      <c r="Z935" s="83">
        <v>0</v>
      </c>
      <c r="AA935" s="43" t="s">
        <v>52</v>
      </c>
      <c r="AB935" s="43" t="s">
        <v>53</v>
      </c>
      <c r="AC935" s="85">
        <v>1095</v>
      </c>
      <c r="AD935" s="141">
        <v>3</v>
      </c>
      <c r="AE935" s="142">
        <v>0</v>
      </c>
      <c r="AF935" s="69" t="str">
        <f t="shared" si="112"/>
        <v>0 years 0 days</v>
      </c>
      <c r="AG935" s="69">
        <v>0</v>
      </c>
      <c r="AH935" s="69">
        <v>0</v>
      </c>
      <c r="AI935" s="69">
        <v>12800</v>
      </c>
      <c r="AJ935" s="67">
        <v>0</v>
      </c>
      <c r="AK935" s="69">
        <v>2025</v>
      </c>
      <c r="AL935" s="61">
        <v>116.89497716894977</v>
      </c>
      <c r="AM935" s="143"/>
    </row>
    <row r="936" spans="1:39" x14ac:dyDescent="0.35">
      <c r="A936" s="69" t="s">
        <v>4124</v>
      </c>
      <c r="B936" s="41">
        <v>1111405415</v>
      </c>
      <c r="C936" s="41"/>
      <c r="D936" s="69"/>
      <c r="E936" s="41">
        <v>0</v>
      </c>
      <c r="F936" s="41" t="s">
        <v>2751</v>
      </c>
      <c r="G936" s="69" t="s">
        <v>2750</v>
      </c>
      <c r="H936" s="41">
        <v>9012000051</v>
      </c>
      <c r="I936" s="41" t="s">
        <v>47</v>
      </c>
      <c r="J936" s="41">
        <v>1202010202</v>
      </c>
      <c r="K936" s="41"/>
      <c r="L936" s="52" t="s">
        <v>2901</v>
      </c>
      <c r="M936" s="69" t="s">
        <v>2902</v>
      </c>
      <c r="N936" s="69"/>
      <c r="O936" s="69">
        <v>1</v>
      </c>
      <c r="P936" s="69" t="s">
        <v>50</v>
      </c>
      <c r="Q936" s="69" t="s">
        <v>51</v>
      </c>
      <c r="R936" s="69"/>
      <c r="S936" s="48">
        <v>45821</v>
      </c>
      <c r="T936" s="48">
        <v>45821</v>
      </c>
      <c r="U936" s="69"/>
      <c r="V936" s="69"/>
      <c r="W936" s="69"/>
      <c r="X936" s="69"/>
      <c r="Y936" s="69" t="s">
        <v>4132</v>
      </c>
      <c r="Z936" s="83">
        <v>0</v>
      </c>
      <c r="AA936" s="43" t="s">
        <v>52</v>
      </c>
      <c r="AB936" s="43" t="s">
        <v>53</v>
      </c>
      <c r="AC936" s="85">
        <v>1095</v>
      </c>
      <c r="AD936" s="141">
        <v>3</v>
      </c>
      <c r="AE936" s="142">
        <v>0</v>
      </c>
      <c r="AF936" s="69" t="str">
        <f t="shared" si="112"/>
        <v>0 years 0 days</v>
      </c>
      <c r="AG936" s="69">
        <v>0</v>
      </c>
      <c r="AH936" s="69">
        <v>0</v>
      </c>
      <c r="AI936" s="69">
        <v>70000</v>
      </c>
      <c r="AJ936" s="67">
        <v>0</v>
      </c>
      <c r="AK936" s="69">
        <v>2025</v>
      </c>
      <c r="AL936" s="61">
        <v>1150.6849315068494</v>
      </c>
      <c r="AM936" s="143"/>
    </row>
    <row r="937" spans="1:39" x14ac:dyDescent="0.35">
      <c r="A937" s="69" t="s">
        <v>4124</v>
      </c>
      <c r="B937" s="41">
        <v>1111102577</v>
      </c>
      <c r="C937" s="41"/>
      <c r="D937" s="69"/>
      <c r="E937" s="41">
        <v>0</v>
      </c>
      <c r="F937" s="41" t="s">
        <v>2751</v>
      </c>
      <c r="G937" s="69" t="s">
        <v>2750</v>
      </c>
      <c r="H937" s="41">
        <v>9012000052</v>
      </c>
      <c r="I937" s="41" t="s">
        <v>47</v>
      </c>
      <c r="J937" s="41">
        <v>1202010202</v>
      </c>
      <c r="K937" s="41"/>
      <c r="L937" s="52" t="s">
        <v>2904</v>
      </c>
      <c r="M937" s="69" t="s">
        <v>49</v>
      </c>
      <c r="N937" s="69"/>
      <c r="O937" s="69">
        <v>1</v>
      </c>
      <c r="P937" s="69" t="s">
        <v>50</v>
      </c>
      <c r="Q937" s="69" t="s">
        <v>51</v>
      </c>
      <c r="R937" s="69"/>
      <c r="S937" s="48">
        <v>43260</v>
      </c>
      <c r="T937" s="48">
        <v>43340</v>
      </c>
      <c r="U937" s="69"/>
      <c r="V937" s="69"/>
      <c r="W937" s="69"/>
      <c r="X937" s="69"/>
      <c r="Y937" s="69" t="s">
        <v>4125</v>
      </c>
      <c r="Z937" s="52">
        <v>25000</v>
      </c>
      <c r="AA937" s="43" t="s">
        <v>52</v>
      </c>
      <c r="AB937" s="43" t="s">
        <v>53</v>
      </c>
      <c r="AC937" s="85">
        <v>1022</v>
      </c>
      <c r="AD937" s="141">
        <v>2</v>
      </c>
      <c r="AE937" s="142">
        <v>10</v>
      </c>
      <c r="AF937" s="69" t="str">
        <f t="shared" si="112"/>
        <v>2 years 292 days</v>
      </c>
      <c r="AG937" s="69">
        <v>2</v>
      </c>
      <c r="AH937" s="69">
        <v>292</v>
      </c>
      <c r="AI937" s="69">
        <v>25000</v>
      </c>
      <c r="AJ937" s="67">
        <v>25000</v>
      </c>
      <c r="AK937" s="69">
        <v>2025</v>
      </c>
      <c r="AL937" s="61">
        <v>0</v>
      </c>
      <c r="AM937" s="143"/>
    </row>
    <row r="938" spans="1:39" x14ac:dyDescent="0.35">
      <c r="A938" s="69" t="s">
        <v>4124</v>
      </c>
      <c r="B938" s="41">
        <v>1111102627</v>
      </c>
      <c r="C938" s="41"/>
      <c r="D938" s="69"/>
      <c r="E938" s="41">
        <v>0</v>
      </c>
      <c r="F938" s="41" t="s">
        <v>2751</v>
      </c>
      <c r="G938" s="69" t="s">
        <v>2750</v>
      </c>
      <c r="H938" s="41">
        <v>9012000053</v>
      </c>
      <c r="I938" s="41" t="s">
        <v>47</v>
      </c>
      <c r="J938" s="41">
        <v>1202010202</v>
      </c>
      <c r="K938" s="41"/>
      <c r="L938" s="52" t="s">
        <v>2906</v>
      </c>
      <c r="M938" s="69" t="s">
        <v>2907</v>
      </c>
      <c r="N938" s="69"/>
      <c r="O938" s="69">
        <v>1</v>
      </c>
      <c r="P938" s="69" t="s">
        <v>50</v>
      </c>
      <c r="Q938" s="69" t="s">
        <v>51</v>
      </c>
      <c r="R938" s="69"/>
      <c r="S938" s="48">
        <v>43304</v>
      </c>
      <c r="T938" s="48">
        <v>43340</v>
      </c>
      <c r="U938" s="69"/>
      <c r="V938" s="69"/>
      <c r="W938" s="69"/>
      <c r="X938" s="69"/>
      <c r="Y938" s="69" t="s">
        <v>4125</v>
      </c>
      <c r="Z938" s="52">
        <v>19000</v>
      </c>
      <c r="AA938" s="43" t="s">
        <v>52</v>
      </c>
      <c r="AB938" s="43" t="s">
        <v>53</v>
      </c>
      <c r="AC938" s="85">
        <v>1059</v>
      </c>
      <c r="AD938" s="141">
        <v>2</v>
      </c>
      <c r="AE938" s="142">
        <v>11</v>
      </c>
      <c r="AF938" s="69" t="str">
        <f t="shared" si="112"/>
        <v>2 years 329 days</v>
      </c>
      <c r="AG938" s="69">
        <v>2</v>
      </c>
      <c r="AH938" s="69">
        <v>329</v>
      </c>
      <c r="AI938" s="69">
        <v>19000</v>
      </c>
      <c r="AJ938" s="67">
        <v>19000</v>
      </c>
      <c r="AK938" s="69">
        <v>2025</v>
      </c>
      <c r="AL938" s="61">
        <v>0</v>
      </c>
      <c r="AM938" s="143"/>
    </row>
    <row r="939" spans="1:39" x14ac:dyDescent="0.35">
      <c r="A939" s="69" t="s">
        <v>4124</v>
      </c>
      <c r="B939" s="41">
        <v>1111102643</v>
      </c>
      <c r="C939" s="41"/>
      <c r="D939" s="69"/>
      <c r="E939" s="41">
        <v>0</v>
      </c>
      <c r="F939" s="41" t="s">
        <v>2751</v>
      </c>
      <c r="G939" s="69" t="s">
        <v>2750</v>
      </c>
      <c r="H939" s="41">
        <v>9012000054</v>
      </c>
      <c r="I939" s="41" t="s">
        <v>47</v>
      </c>
      <c r="J939" s="41">
        <v>1202010202</v>
      </c>
      <c r="K939" s="41"/>
      <c r="L939" s="52" t="s">
        <v>2909</v>
      </c>
      <c r="M939" s="69" t="s">
        <v>2910</v>
      </c>
      <c r="N939" s="69"/>
      <c r="O939" s="69">
        <v>1</v>
      </c>
      <c r="P939" s="69" t="s">
        <v>50</v>
      </c>
      <c r="Q939" s="69" t="s">
        <v>51</v>
      </c>
      <c r="R939" s="69"/>
      <c r="S939" s="48">
        <v>43318</v>
      </c>
      <c r="T939" s="48">
        <v>43340</v>
      </c>
      <c r="U939" s="69"/>
      <c r="V939" s="69"/>
      <c r="W939" s="69"/>
      <c r="X939" s="69"/>
      <c r="Y939" s="69" t="s">
        <v>4125</v>
      </c>
      <c r="Z939" s="52">
        <v>17000</v>
      </c>
      <c r="AA939" s="43" t="s">
        <v>52</v>
      </c>
      <c r="AB939" s="43" t="s">
        <v>53</v>
      </c>
      <c r="AC939" s="85">
        <v>1059</v>
      </c>
      <c r="AD939" s="141">
        <v>2</v>
      </c>
      <c r="AE939" s="142">
        <v>11</v>
      </c>
      <c r="AF939" s="69" t="str">
        <f t="shared" si="112"/>
        <v>2 years 329 days</v>
      </c>
      <c r="AG939" s="69">
        <v>2</v>
      </c>
      <c r="AH939" s="69">
        <v>329</v>
      </c>
      <c r="AI939" s="69">
        <v>17000</v>
      </c>
      <c r="AJ939" s="67">
        <v>17000</v>
      </c>
      <c r="AK939" s="69">
        <v>2025</v>
      </c>
      <c r="AL939" s="61">
        <v>0</v>
      </c>
      <c r="AM939" s="143"/>
    </row>
    <row r="940" spans="1:39" x14ac:dyDescent="0.35">
      <c r="A940" s="69" t="s">
        <v>4124</v>
      </c>
      <c r="B940" s="41">
        <v>1111102721</v>
      </c>
      <c r="C940" s="41"/>
      <c r="D940" s="69"/>
      <c r="E940" s="41">
        <v>0</v>
      </c>
      <c r="F940" s="41" t="s">
        <v>2751</v>
      </c>
      <c r="G940" s="69" t="s">
        <v>2750</v>
      </c>
      <c r="H940" s="41">
        <v>9012000055</v>
      </c>
      <c r="I940" s="41" t="s">
        <v>47</v>
      </c>
      <c r="J940" s="41">
        <v>1202010202</v>
      </c>
      <c r="K940" s="41"/>
      <c r="L940" s="52" t="s">
        <v>2912</v>
      </c>
      <c r="M940" s="69" t="s">
        <v>2913</v>
      </c>
      <c r="N940" s="69"/>
      <c r="O940" s="69">
        <v>1</v>
      </c>
      <c r="P940" s="69" t="s">
        <v>50</v>
      </c>
      <c r="Q940" s="69" t="s">
        <v>51</v>
      </c>
      <c r="R940" s="69"/>
      <c r="S940" s="48">
        <v>43401</v>
      </c>
      <c r="T940" s="48">
        <v>43401</v>
      </c>
      <c r="U940" s="69"/>
      <c r="V940" s="69"/>
      <c r="W940" s="69"/>
      <c r="X940" s="69"/>
      <c r="Y940" s="69" t="s">
        <v>4125</v>
      </c>
      <c r="Z940" s="52">
        <v>22300</v>
      </c>
      <c r="AA940" s="43" t="s">
        <v>52</v>
      </c>
      <c r="AB940" s="43" t="s">
        <v>53</v>
      </c>
      <c r="AC940" s="85">
        <v>1095</v>
      </c>
      <c r="AD940" s="141">
        <v>3</v>
      </c>
      <c r="AE940" s="142">
        <v>0</v>
      </c>
      <c r="AF940" s="69" t="str">
        <f t="shared" si="112"/>
        <v>3 years 0 days</v>
      </c>
      <c r="AG940" s="69">
        <v>3</v>
      </c>
      <c r="AH940" s="69">
        <v>0</v>
      </c>
      <c r="AI940" s="69">
        <v>22300</v>
      </c>
      <c r="AJ940" s="67">
        <v>22300</v>
      </c>
      <c r="AK940" s="69">
        <v>2025</v>
      </c>
      <c r="AL940" s="61">
        <v>0</v>
      </c>
      <c r="AM940" s="143"/>
    </row>
    <row r="941" spans="1:39" x14ac:dyDescent="0.35">
      <c r="A941" s="69" t="s">
        <v>4124</v>
      </c>
      <c r="B941" s="41">
        <v>1111102732</v>
      </c>
      <c r="C941" s="41"/>
      <c r="D941" s="69"/>
      <c r="E941" s="41">
        <v>0</v>
      </c>
      <c r="F941" s="41" t="s">
        <v>2751</v>
      </c>
      <c r="G941" s="69" t="s">
        <v>2750</v>
      </c>
      <c r="H941" s="41">
        <v>9012000056</v>
      </c>
      <c r="I941" s="41" t="s">
        <v>47</v>
      </c>
      <c r="J941" s="41">
        <v>1202010202</v>
      </c>
      <c r="K941" s="41"/>
      <c r="L941" s="52" t="s">
        <v>2915</v>
      </c>
      <c r="M941" s="69" t="s">
        <v>2916</v>
      </c>
      <c r="N941" s="69"/>
      <c r="O941" s="69">
        <v>1</v>
      </c>
      <c r="P941" s="69" t="s">
        <v>50</v>
      </c>
      <c r="Q941" s="69" t="s">
        <v>51</v>
      </c>
      <c r="R941" s="69"/>
      <c r="S941" s="48">
        <v>43420</v>
      </c>
      <c r="T941" s="48">
        <v>43420</v>
      </c>
      <c r="U941" s="69"/>
      <c r="V941" s="69"/>
      <c r="W941" s="69"/>
      <c r="X941" s="69"/>
      <c r="Y941" s="69" t="s">
        <v>4125</v>
      </c>
      <c r="Z941" s="52">
        <v>27500</v>
      </c>
      <c r="AA941" s="43" t="s">
        <v>52</v>
      </c>
      <c r="AB941" s="43" t="s">
        <v>53</v>
      </c>
      <c r="AC941" s="85">
        <v>1095</v>
      </c>
      <c r="AD941" s="141">
        <v>3</v>
      </c>
      <c r="AE941" s="142">
        <v>0</v>
      </c>
      <c r="AF941" s="69" t="str">
        <f t="shared" si="112"/>
        <v>3 years 0 days</v>
      </c>
      <c r="AG941" s="69">
        <v>3</v>
      </c>
      <c r="AH941" s="69">
        <v>0</v>
      </c>
      <c r="AI941" s="69">
        <v>27500</v>
      </c>
      <c r="AJ941" s="67">
        <v>27500</v>
      </c>
      <c r="AK941" s="69">
        <v>2025</v>
      </c>
      <c r="AL941" s="61">
        <v>0</v>
      </c>
      <c r="AM941" s="143"/>
    </row>
    <row r="942" spans="1:39" x14ac:dyDescent="0.35">
      <c r="A942" s="69" t="s">
        <v>4124</v>
      </c>
      <c r="B942" s="41">
        <v>1111102856</v>
      </c>
      <c r="C942" s="41"/>
      <c r="D942" s="69"/>
      <c r="E942" s="41">
        <v>0</v>
      </c>
      <c r="F942" s="41" t="s">
        <v>2751</v>
      </c>
      <c r="G942" s="69" t="s">
        <v>2750</v>
      </c>
      <c r="H942" s="41">
        <v>9012000057</v>
      </c>
      <c r="I942" s="41" t="s">
        <v>47</v>
      </c>
      <c r="J942" s="41">
        <v>1202010202</v>
      </c>
      <c r="K942" s="41"/>
      <c r="L942" s="52" t="s">
        <v>2918</v>
      </c>
      <c r="M942" s="69" t="s">
        <v>2919</v>
      </c>
      <c r="N942" s="69"/>
      <c r="O942" s="69">
        <v>1</v>
      </c>
      <c r="P942" s="69" t="s">
        <v>50</v>
      </c>
      <c r="Q942" s="69" t="s">
        <v>51</v>
      </c>
      <c r="R942" s="69"/>
      <c r="S942" s="48">
        <v>43509</v>
      </c>
      <c r="T942" s="48">
        <v>43509</v>
      </c>
      <c r="U942" s="69"/>
      <c r="V942" s="69"/>
      <c r="W942" s="69"/>
      <c r="X942" s="69"/>
      <c r="Y942" s="69" t="s">
        <v>4126</v>
      </c>
      <c r="Z942" s="52">
        <v>12500</v>
      </c>
      <c r="AA942" s="43" t="s">
        <v>52</v>
      </c>
      <c r="AB942" s="43" t="s">
        <v>53</v>
      </c>
      <c r="AC942" s="85">
        <v>1095</v>
      </c>
      <c r="AD942" s="141">
        <v>3</v>
      </c>
      <c r="AE942" s="142">
        <v>0</v>
      </c>
      <c r="AF942" s="69" t="str">
        <f t="shared" si="112"/>
        <v>3 years 0 days</v>
      </c>
      <c r="AG942" s="69">
        <v>3</v>
      </c>
      <c r="AH942" s="69">
        <v>0</v>
      </c>
      <c r="AI942" s="69">
        <v>12500</v>
      </c>
      <c r="AJ942" s="67">
        <v>12500</v>
      </c>
      <c r="AK942" s="69">
        <v>2025</v>
      </c>
      <c r="AL942" s="61">
        <v>0</v>
      </c>
      <c r="AM942" s="143"/>
    </row>
    <row r="943" spans="1:39" x14ac:dyDescent="0.35">
      <c r="A943" s="69" t="s">
        <v>4124</v>
      </c>
      <c r="B943" s="41">
        <v>1111102897</v>
      </c>
      <c r="C943" s="41"/>
      <c r="D943" s="69"/>
      <c r="E943" s="41">
        <v>0</v>
      </c>
      <c r="F943" s="41" t="s">
        <v>2751</v>
      </c>
      <c r="G943" s="69" t="s">
        <v>2750</v>
      </c>
      <c r="H943" s="41">
        <v>9012000058</v>
      </c>
      <c r="I943" s="41" t="s">
        <v>47</v>
      </c>
      <c r="J943" s="41">
        <v>1202010202</v>
      </c>
      <c r="K943" s="41"/>
      <c r="L943" s="52" t="s">
        <v>2921</v>
      </c>
      <c r="M943" s="69" t="s">
        <v>2922</v>
      </c>
      <c r="N943" s="69"/>
      <c r="O943" s="69">
        <v>1</v>
      </c>
      <c r="P943" s="69" t="s">
        <v>50</v>
      </c>
      <c r="Q943" s="69" t="s">
        <v>51</v>
      </c>
      <c r="R943" s="69"/>
      <c r="S943" s="48">
        <v>43544</v>
      </c>
      <c r="T943" s="48">
        <v>43544</v>
      </c>
      <c r="U943" s="69"/>
      <c r="V943" s="69"/>
      <c r="W943" s="69"/>
      <c r="X943" s="69"/>
      <c r="Y943" s="69" t="s">
        <v>4126</v>
      </c>
      <c r="Z943" s="52">
        <v>25250</v>
      </c>
      <c r="AA943" s="43" t="s">
        <v>52</v>
      </c>
      <c r="AB943" s="43" t="s">
        <v>53</v>
      </c>
      <c r="AC943" s="85">
        <v>1095</v>
      </c>
      <c r="AD943" s="141">
        <v>3</v>
      </c>
      <c r="AE943" s="142">
        <v>0</v>
      </c>
      <c r="AF943" s="69" t="str">
        <f t="shared" si="112"/>
        <v>3 years 0 days</v>
      </c>
      <c r="AG943" s="69">
        <v>3</v>
      </c>
      <c r="AH943" s="69">
        <v>0</v>
      </c>
      <c r="AI943" s="69">
        <v>25250</v>
      </c>
      <c r="AJ943" s="67">
        <v>25250</v>
      </c>
      <c r="AK943" s="69">
        <v>2025</v>
      </c>
      <c r="AL943" s="61">
        <v>0</v>
      </c>
      <c r="AM943" s="143"/>
    </row>
    <row r="944" spans="1:39" x14ac:dyDescent="0.35">
      <c r="A944" s="69" t="s">
        <v>4124</v>
      </c>
      <c r="B944" s="41">
        <v>1111102913</v>
      </c>
      <c r="C944" s="41"/>
      <c r="D944" s="69"/>
      <c r="E944" s="41">
        <v>0</v>
      </c>
      <c r="F944" s="41" t="s">
        <v>2751</v>
      </c>
      <c r="G944" s="69" t="s">
        <v>2750</v>
      </c>
      <c r="H944" s="41">
        <v>9012000059</v>
      </c>
      <c r="I944" s="41" t="s">
        <v>47</v>
      </c>
      <c r="J944" s="41">
        <v>1202010202</v>
      </c>
      <c r="K944" s="41"/>
      <c r="L944" s="52" t="s">
        <v>2924</v>
      </c>
      <c r="M944" s="69" t="s">
        <v>2925</v>
      </c>
      <c r="N944" s="69"/>
      <c r="O944" s="69">
        <v>1</v>
      </c>
      <c r="P944" s="69" t="s">
        <v>50</v>
      </c>
      <c r="Q944" s="69" t="s">
        <v>51</v>
      </c>
      <c r="R944" s="69"/>
      <c r="S944" s="48">
        <v>43554</v>
      </c>
      <c r="T944" s="48">
        <v>43554</v>
      </c>
      <c r="U944" s="69"/>
      <c r="V944" s="69"/>
      <c r="W944" s="69"/>
      <c r="X944" s="69"/>
      <c r="Y944" s="69" t="s">
        <v>4126</v>
      </c>
      <c r="Z944" s="52">
        <v>2100</v>
      </c>
      <c r="AA944" s="43" t="s">
        <v>52</v>
      </c>
      <c r="AB944" s="43" t="s">
        <v>53</v>
      </c>
      <c r="AC944" s="85">
        <v>1095</v>
      </c>
      <c r="AD944" s="141">
        <v>3</v>
      </c>
      <c r="AE944" s="142">
        <v>0</v>
      </c>
      <c r="AF944" s="69" t="str">
        <f t="shared" si="112"/>
        <v>3 years 0 days</v>
      </c>
      <c r="AG944" s="69">
        <v>3</v>
      </c>
      <c r="AH944" s="69">
        <v>0</v>
      </c>
      <c r="AI944" s="69">
        <v>2100</v>
      </c>
      <c r="AJ944" s="67">
        <v>2100</v>
      </c>
      <c r="AK944" s="69">
        <v>2025</v>
      </c>
      <c r="AL944" s="61">
        <v>0</v>
      </c>
      <c r="AM944" s="143"/>
    </row>
    <row r="945" spans="1:39" x14ac:dyDescent="0.35">
      <c r="A945" s="69" t="s">
        <v>4124</v>
      </c>
      <c r="B945" s="41">
        <v>1111102965</v>
      </c>
      <c r="C945" s="41"/>
      <c r="D945" s="69"/>
      <c r="E945" s="41">
        <v>0</v>
      </c>
      <c r="F945" s="41" t="s">
        <v>2751</v>
      </c>
      <c r="G945" s="69" t="s">
        <v>2750</v>
      </c>
      <c r="H945" s="41">
        <v>9012000060</v>
      </c>
      <c r="I945" s="41" t="s">
        <v>47</v>
      </c>
      <c r="J945" s="41">
        <v>1202010202</v>
      </c>
      <c r="K945" s="41"/>
      <c r="L945" s="52" t="s">
        <v>2927</v>
      </c>
      <c r="M945" s="69" t="s">
        <v>2928</v>
      </c>
      <c r="N945" s="69"/>
      <c r="O945" s="69">
        <v>1</v>
      </c>
      <c r="P945" s="69" t="s">
        <v>50</v>
      </c>
      <c r="Q945" s="69" t="s">
        <v>51</v>
      </c>
      <c r="R945" s="69"/>
      <c r="S945" s="48">
        <v>43601</v>
      </c>
      <c r="T945" s="48">
        <v>43601</v>
      </c>
      <c r="U945" s="69"/>
      <c r="V945" s="69"/>
      <c r="W945" s="69"/>
      <c r="X945" s="69"/>
      <c r="Y945" s="69" t="s">
        <v>4126</v>
      </c>
      <c r="Z945" s="52">
        <v>47760</v>
      </c>
      <c r="AA945" s="43" t="s">
        <v>52</v>
      </c>
      <c r="AB945" s="43" t="s">
        <v>53</v>
      </c>
      <c r="AC945" s="85">
        <v>1095</v>
      </c>
      <c r="AD945" s="141">
        <v>3</v>
      </c>
      <c r="AE945" s="142">
        <v>0</v>
      </c>
      <c r="AF945" s="69" t="str">
        <f t="shared" si="112"/>
        <v>3 years 0 days</v>
      </c>
      <c r="AG945" s="69">
        <v>3</v>
      </c>
      <c r="AH945" s="69">
        <v>0</v>
      </c>
      <c r="AI945" s="69">
        <v>47760</v>
      </c>
      <c r="AJ945" s="67">
        <v>47760</v>
      </c>
      <c r="AK945" s="69">
        <v>2025</v>
      </c>
      <c r="AL945" s="61">
        <v>0</v>
      </c>
      <c r="AM945" s="143"/>
    </row>
    <row r="946" spans="1:39" x14ac:dyDescent="0.35">
      <c r="A946" s="69" t="s">
        <v>4124</v>
      </c>
      <c r="B946" s="41">
        <v>1111103000</v>
      </c>
      <c r="C946" s="41"/>
      <c r="D946" s="69"/>
      <c r="E946" s="41">
        <v>0</v>
      </c>
      <c r="F946" s="41" t="s">
        <v>2751</v>
      </c>
      <c r="G946" s="69" t="s">
        <v>2750</v>
      </c>
      <c r="H946" s="41">
        <v>9012000061</v>
      </c>
      <c r="I946" s="41" t="s">
        <v>47</v>
      </c>
      <c r="J946" s="41">
        <v>1202010202</v>
      </c>
      <c r="K946" s="41"/>
      <c r="L946" s="52" t="s">
        <v>2930</v>
      </c>
      <c r="M946" s="69" t="s">
        <v>2931</v>
      </c>
      <c r="N946" s="69"/>
      <c r="O946" s="69">
        <v>1</v>
      </c>
      <c r="P946" s="69" t="s">
        <v>50</v>
      </c>
      <c r="Q946" s="69" t="s">
        <v>51</v>
      </c>
      <c r="R946" s="69"/>
      <c r="S946" s="48">
        <v>43649</v>
      </c>
      <c r="T946" s="48">
        <v>43649</v>
      </c>
      <c r="U946" s="69"/>
      <c r="V946" s="69"/>
      <c r="W946" s="69"/>
      <c r="X946" s="69"/>
      <c r="Y946" s="69" t="s">
        <v>4126</v>
      </c>
      <c r="Z946" s="52">
        <v>4200</v>
      </c>
      <c r="AA946" s="43" t="s">
        <v>52</v>
      </c>
      <c r="AB946" s="43" t="s">
        <v>53</v>
      </c>
      <c r="AC946" s="85">
        <v>1095</v>
      </c>
      <c r="AD946" s="141">
        <v>3</v>
      </c>
      <c r="AE946" s="142">
        <v>0</v>
      </c>
      <c r="AF946" s="69" t="str">
        <f t="shared" si="112"/>
        <v>3 years 0 days</v>
      </c>
      <c r="AG946" s="69">
        <v>3</v>
      </c>
      <c r="AH946" s="69">
        <v>0</v>
      </c>
      <c r="AI946" s="69">
        <v>4200</v>
      </c>
      <c r="AJ946" s="67">
        <v>4200</v>
      </c>
      <c r="AK946" s="69">
        <v>2025</v>
      </c>
      <c r="AL946" s="61">
        <v>0</v>
      </c>
      <c r="AM946" s="143"/>
    </row>
    <row r="947" spans="1:39" x14ac:dyDescent="0.35">
      <c r="A947" s="69" t="s">
        <v>4124</v>
      </c>
      <c r="B947" s="41">
        <v>1111103001</v>
      </c>
      <c r="C947" s="41"/>
      <c r="D947" s="69"/>
      <c r="E947" s="41">
        <v>0</v>
      </c>
      <c r="F947" s="41" t="s">
        <v>2751</v>
      </c>
      <c r="G947" s="69" t="s">
        <v>2750</v>
      </c>
      <c r="H947" s="41">
        <v>9012000062</v>
      </c>
      <c r="I947" s="41" t="s">
        <v>47</v>
      </c>
      <c r="J947" s="41">
        <v>1202010202</v>
      </c>
      <c r="K947" s="41"/>
      <c r="L947" s="52" t="s">
        <v>2933</v>
      </c>
      <c r="M947" s="69" t="s">
        <v>2934</v>
      </c>
      <c r="N947" s="69"/>
      <c r="O947" s="69">
        <v>1</v>
      </c>
      <c r="P947" s="69" t="s">
        <v>50</v>
      </c>
      <c r="Q947" s="69" t="s">
        <v>51</v>
      </c>
      <c r="R947" s="69"/>
      <c r="S947" s="48">
        <v>43649</v>
      </c>
      <c r="T947" s="48">
        <v>43649</v>
      </c>
      <c r="U947" s="69"/>
      <c r="V947" s="69"/>
      <c r="W947" s="69"/>
      <c r="X947" s="69"/>
      <c r="Y947" s="69" t="s">
        <v>4126</v>
      </c>
      <c r="Z947" s="52">
        <v>2100</v>
      </c>
      <c r="AA947" s="43" t="s">
        <v>52</v>
      </c>
      <c r="AB947" s="43" t="s">
        <v>53</v>
      </c>
      <c r="AC947" s="85">
        <v>1095</v>
      </c>
      <c r="AD947" s="141">
        <v>3</v>
      </c>
      <c r="AE947" s="142">
        <v>0</v>
      </c>
      <c r="AF947" s="69" t="str">
        <f t="shared" si="112"/>
        <v>3 years 0 days</v>
      </c>
      <c r="AG947" s="69">
        <v>3</v>
      </c>
      <c r="AH947" s="69">
        <v>0</v>
      </c>
      <c r="AI947" s="69">
        <v>2100</v>
      </c>
      <c r="AJ947" s="67">
        <v>2100</v>
      </c>
      <c r="AK947" s="69">
        <v>2025</v>
      </c>
      <c r="AL947" s="61">
        <v>0</v>
      </c>
      <c r="AM947" s="143"/>
    </row>
    <row r="948" spans="1:39" x14ac:dyDescent="0.35">
      <c r="A948" s="69" t="s">
        <v>4124</v>
      </c>
      <c r="B948" s="41">
        <v>1111103202</v>
      </c>
      <c r="C948" s="41"/>
      <c r="D948" s="69"/>
      <c r="E948" s="41">
        <v>0</v>
      </c>
      <c r="F948" s="41" t="s">
        <v>2751</v>
      </c>
      <c r="G948" s="69" t="s">
        <v>2750</v>
      </c>
      <c r="H948" s="41">
        <v>9012000063</v>
      </c>
      <c r="I948" s="41" t="s">
        <v>47</v>
      </c>
      <c r="J948" s="41">
        <v>1202010202</v>
      </c>
      <c r="K948" s="41"/>
      <c r="L948" s="52" t="s">
        <v>2936</v>
      </c>
      <c r="M948" s="69" t="s">
        <v>2937</v>
      </c>
      <c r="N948" s="69"/>
      <c r="O948" s="69">
        <v>1</v>
      </c>
      <c r="P948" s="69" t="s">
        <v>50</v>
      </c>
      <c r="Q948" s="69" t="s">
        <v>51</v>
      </c>
      <c r="R948" s="69"/>
      <c r="S948" s="48">
        <v>43830</v>
      </c>
      <c r="T948" s="48">
        <v>43830</v>
      </c>
      <c r="U948" s="69"/>
      <c r="V948" s="69"/>
      <c r="W948" s="69"/>
      <c r="X948" s="69"/>
      <c r="Y948" s="69" t="s">
        <v>4126</v>
      </c>
      <c r="Z948" s="52">
        <v>10000</v>
      </c>
      <c r="AA948" s="43" t="s">
        <v>52</v>
      </c>
      <c r="AB948" s="43" t="s">
        <v>53</v>
      </c>
      <c r="AC948" s="85">
        <v>1095</v>
      </c>
      <c r="AD948" s="141">
        <v>3</v>
      </c>
      <c r="AE948" s="142">
        <v>0</v>
      </c>
      <c r="AF948" s="69" t="str">
        <f t="shared" si="112"/>
        <v>3 years 0 days</v>
      </c>
      <c r="AG948" s="69">
        <v>3</v>
      </c>
      <c r="AH948" s="69">
        <v>0</v>
      </c>
      <c r="AI948" s="69">
        <v>10000</v>
      </c>
      <c r="AJ948" s="67">
        <v>10000</v>
      </c>
      <c r="AK948" s="69">
        <v>2025</v>
      </c>
      <c r="AL948" s="61">
        <v>0</v>
      </c>
      <c r="AM948" s="143"/>
    </row>
    <row r="949" spans="1:39" x14ac:dyDescent="0.35">
      <c r="A949" s="69" t="s">
        <v>4124</v>
      </c>
      <c r="B949" s="41">
        <v>1111103352</v>
      </c>
      <c r="C949" s="41"/>
      <c r="D949" s="69"/>
      <c r="E949" s="41">
        <v>0</v>
      </c>
      <c r="F949" s="41" t="s">
        <v>2751</v>
      </c>
      <c r="G949" s="69" t="s">
        <v>2750</v>
      </c>
      <c r="H949" s="41">
        <v>9012000064</v>
      </c>
      <c r="I949" s="41" t="s">
        <v>47</v>
      </c>
      <c r="J949" s="41">
        <v>1202010202</v>
      </c>
      <c r="K949" s="41"/>
      <c r="L949" s="52" t="s">
        <v>2939</v>
      </c>
      <c r="M949" s="69" t="s">
        <v>2940</v>
      </c>
      <c r="N949" s="69"/>
      <c r="O949" s="69">
        <v>1</v>
      </c>
      <c r="P949" s="69" t="s">
        <v>50</v>
      </c>
      <c r="Q949" s="69" t="s">
        <v>51</v>
      </c>
      <c r="R949" s="69"/>
      <c r="S949" s="48">
        <v>44041</v>
      </c>
      <c r="T949" s="48">
        <v>44041</v>
      </c>
      <c r="U949" s="69"/>
      <c r="V949" s="69"/>
      <c r="W949" s="69"/>
      <c r="X949" s="69"/>
      <c r="Y949" s="69" t="s">
        <v>4127</v>
      </c>
      <c r="Z949" s="52">
        <v>29750</v>
      </c>
      <c r="AA949" s="43" t="s">
        <v>52</v>
      </c>
      <c r="AB949" s="43" t="s">
        <v>53</v>
      </c>
      <c r="AC949" s="85">
        <v>1095</v>
      </c>
      <c r="AD949" s="141">
        <v>3</v>
      </c>
      <c r="AE949" s="142">
        <v>0</v>
      </c>
      <c r="AF949" s="69" t="str">
        <f t="shared" si="112"/>
        <v>3 years 0 days</v>
      </c>
      <c r="AG949" s="69">
        <v>3</v>
      </c>
      <c r="AH949" s="69">
        <v>0</v>
      </c>
      <c r="AI949" s="69">
        <v>29750</v>
      </c>
      <c r="AJ949" s="67">
        <v>29750</v>
      </c>
      <c r="AK949" s="69">
        <v>2025</v>
      </c>
      <c r="AL949" s="61">
        <v>0</v>
      </c>
      <c r="AM949" s="143"/>
    </row>
    <row r="950" spans="1:39" x14ac:dyDescent="0.35">
      <c r="A950" s="69" t="s">
        <v>4124</v>
      </c>
      <c r="B950" s="41">
        <v>1111103666</v>
      </c>
      <c r="C950" s="41"/>
      <c r="D950" s="69"/>
      <c r="E950" s="41">
        <v>0</v>
      </c>
      <c r="F950" s="41" t="s">
        <v>2751</v>
      </c>
      <c r="G950" s="69" t="s">
        <v>2750</v>
      </c>
      <c r="H950" s="41">
        <v>9012000065</v>
      </c>
      <c r="I950" s="41" t="s">
        <v>47</v>
      </c>
      <c r="J950" s="41">
        <v>1202010202</v>
      </c>
      <c r="K950" s="41"/>
      <c r="L950" s="52" t="s">
        <v>2942</v>
      </c>
      <c r="M950" s="69" t="s">
        <v>2943</v>
      </c>
      <c r="N950" s="69"/>
      <c r="O950" s="69">
        <v>1</v>
      </c>
      <c r="P950" s="69" t="s">
        <v>50</v>
      </c>
      <c r="Q950" s="69" t="s">
        <v>51</v>
      </c>
      <c r="R950" s="69"/>
      <c r="S950" s="48">
        <v>44316</v>
      </c>
      <c r="T950" s="48">
        <v>44316</v>
      </c>
      <c r="U950" s="69"/>
      <c r="V950" s="69"/>
      <c r="W950" s="69"/>
      <c r="X950" s="69"/>
      <c r="Y950" s="69" t="s">
        <v>4128</v>
      </c>
      <c r="Z950" s="52">
        <v>36300</v>
      </c>
      <c r="AA950" s="43" t="s">
        <v>52</v>
      </c>
      <c r="AB950" s="43" t="s">
        <v>53</v>
      </c>
      <c r="AC950" s="85">
        <v>1095</v>
      </c>
      <c r="AD950" s="141">
        <v>3</v>
      </c>
      <c r="AE950" s="142">
        <v>0</v>
      </c>
      <c r="AF950" s="69" t="str">
        <f t="shared" ref="AF950:AF955" si="113">_xlfn.CONCAT(AG950," years ",AH950," days")</f>
        <v>3 years 0 days</v>
      </c>
      <c r="AG950" s="69">
        <v>3</v>
      </c>
      <c r="AH950" s="69">
        <v>0</v>
      </c>
      <c r="AI950" s="69">
        <v>36300</v>
      </c>
      <c r="AJ950" s="67">
        <v>36300</v>
      </c>
      <c r="AK950" s="69">
        <v>2025</v>
      </c>
      <c r="AL950" s="61">
        <v>0</v>
      </c>
      <c r="AM950" s="143"/>
    </row>
    <row r="951" spans="1:39" x14ac:dyDescent="0.35">
      <c r="A951" s="69" t="s">
        <v>4124</v>
      </c>
      <c r="B951" s="41">
        <v>1111103716</v>
      </c>
      <c r="C951" s="41"/>
      <c r="D951" s="69"/>
      <c r="E951" s="41">
        <v>0</v>
      </c>
      <c r="F951" s="41" t="s">
        <v>2751</v>
      </c>
      <c r="G951" s="69" t="s">
        <v>2750</v>
      </c>
      <c r="H951" s="41">
        <v>9012000066</v>
      </c>
      <c r="I951" s="41" t="s">
        <v>47</v>
      </c>
      <c r="J951" s="41">
        <v>1202010202</v>
      </c>
      <c r="K951" s="41"/>
      <c r="L951" s="52" t="s">
        <v>2945</v>
      </c>
      <c r="M951" s="69" t="s">
        <v>2946</v>
      </c>
      <c r="N951" s="69"/>
      <c r="O951" s="69">
        <v>1</v>
      </c>
      <c r="P951" s="69" t="s">
        <v>50</v>
      </c>
      <c r="Q951" s="69" t="s">
        <v>51</v>
      </c>
      <c r="R951" s="69"/>
      <c r="S951" s="48">
        <v>44354</v>
      </c>
      <c r="T951" s="48">
        <v>44354</v>
      </c>
      <c r="U951" s="69"/>
      <c r="V951" s="69"/>
      <c r="W951" s="69"/>
      <c r="X951" s="69"/>
      <c r="Y951" s="69" t="s">
        <v>4128</v>
      </c>
      <c r="Z951" s="52">
        <v>37800</v>
      </c>
      <c r="AA951" s="43" t="s">
        <v>52</v>
      </c>
      <c r="AB951" s="43" t="s">
        <v>53</v>
      </c>
      <c r="AC951" s="85">
        <v>1095</v>
      </c>
      <c r="AD951" s="141">
        <v>3</v>
      </c>
      <c r="AE951" s="142">
        <v>0</v>
      </c>
      <c r="AF951" s="69" t="str">
        <f t="shared" si="113"/>
        <v>3 years 0 days</v>
      </c>
      <c r="AG951" s="69">
        <v>3</v>
      </c>
      <c r="AH951" s="69">
        <v>0</v>
      </c>
      <c r="AI951" s="69">
        <v>37800</v>
      </c>
      <c r="AJ951" s="67">
        <v>37800</v>
      </c>
      <c r="AK951" s="69">
        <v>2025</v>
      </c>
      <c r="AL951" s="61">
        <v>0</v>
      </c>
      <c r="AM951" s="143"/>
    </row>
    <row r="952" spans="1:39" x14ac:dyDescent="0.35">
      <c r="A952" s="69" t="s">
        <v>4124</v>
      </c>
      <c r="B952" s="41">
        <v>1111103943</v>
      </c>
      <c r="C952" s="41"/>
      <c r="D952" s="69"/>
      <c r="E952" s="41">
        <v>0</v>
      </c>
      <c r="F952" s="41" t="s">
        <v>2751</v>
      </c>
      <c r="G952" s="69" t="s">
        <v>2750</v>
      </c>
      <c r="H952" s="41">
        <v>9012000067</v>
      </c>
      <c r="I952" s="41" t="s">
        <v>47</v>
      </c>
      <c r="J952" s="41">
        <v>1202010202</v>
      </c>
      <c r="K952" s="41"/>
      <c r="L952" s="52" t="s">
        <v>2948</v>
      </c>
      <c r="M952" s="69" t="s">
        <v>2949</v>
      </c>
      <c r="N952" s="69"/>
      <c r="O952" s="69">
        <v>1</v>
      </c>
      <c r="P952" s="69" t="s">
        <v>50</v>
      </c>
      <c r="Q952" s="69" t="s">
        <v>51</v>
      </c>
      <c r="R952" s="69"/>
      <c r="S952" s="48">
        <v>44548</v>
      </c>
      <c r="T952" s="48">
        <v>44548</v>
      </c>
      <c r="U952" s="69"/>
      <c r="V952" s="69"/>
      <c r="W952" s="69"/>
      <c r="X952" s="69"/>
      <c r="Y952" s="69" t="s">
        <v>4128</v>
      </c>
      <c r="Z952" s="52">
        <v>56780</v>
      </c>
      <c r="AA952" s="43" t="s">
        <v>52</v>
      </c>
      <c r="AB952" s="43" t="s">
        <v>53</v>
      </c>
      <c r="AC952" s="85">
        <v>1095</v>
      </c>
      <c r="AD952" s="141">
        <v>3</v>
      </c>
      <c r="AE952" s="142">
        <v>0</v>
      </c>
      <c r="AF952" s="69" t="str">
        <f t="shared" si="113"/>
        <v>3 years 0 days</v>
      </c>
      <c r="AG952" s="69">
        <v>3</v>
      </c>
      <c r="AH952" s="69">
        <v>0</v>
      </c>
      <c r="AI952" s="69">
        <v>56780</v>
      </c>
      <c r="AJ952" s="67">
        <v>56780</v>
      </c>
      <c r="AK952" s="69">
        <v>2025</v>
      </c>
      <c r="AL952" s="61">
        <v>0</v>
      </c>
      <c r="AM952" s="143"/>
    </row>
    <row r="953" spans="1:39" x14ac:dyDescent="0.35">
      <c r="A953" s="69" t="s">
        <v>4124</v>
      </c>
      <c r="B953" s="41">
        <v>1111504462</v>
      </c>
      <c r="C953" s="41"/>
      <c r="D953" s="69"/>
      <c r="E953" s="41">
        <v>0</v>
      </c>
      <c r="F953" s="41" t="s">
        <v>2751</v>
      </c>
      <c r="G953" s="69" t="s">
        <v>2750</v>
      </c>
      <c r="H953" s="41">
        <v>9012000068</v>
      </c>
      <c r="I953" s="41" t="s">
        <v>47</v>
      </c>
      <c r="J953" s="41">
        <v>1202010202</v>
      </c>
      <c r="K953" s="41"/>
      <c r="L953" s="52" t="s">
        <v>2951</v>
      </c>
      <c r="M953" s="69" t="s">
        <v>2952</v>
      </c>
      <c r="N953" s="69"/>
      <c r="O953" s="69">
        <v>1</v>
      </c>
      <c r="P953" s="69" t="s">
        <v>50</v>
      </c>
      <c r="Q953" s="69" t="s">
        <v>51</v>
      </c>
      <c r="R953" s="69"/>
      <c r="S953" s="48">
        <v>42555</v>
      </c>
      <c r="T953" s="48">
        <v>43340</v>
      </c>
      <c r="U953" s="69"/>
      <c r="V953" s="69"/>
      <c r="W953" s="69"/>
      <c r="X953" s="69"/>
      <c r="Y953" s="69" t="s">
        <v>4125</v>
      </c>
      <c r="Z953" s="52">
        <v>6000</v>
      </c>
      <c r="AA953" s="43" t="s">
        <v>52</v>
      </c>
      <c r="AB953" s="43" t="s">
        <v>53</v>
      </c>
      <c r="AC953" s="85">
        <v>1022</v>
      </c>
      <c r="AD953" s="141">
        <v>2</v>
      </c>
      <c r="AE953" s="142">
        <v>10</v>
      </c>
      <c r="AF953" s="69" t="str">
        <f t="shared" si="113"/>
        <v>2 years 292 days</v>
      </c>
      <c r="AG953" s="69">
        <v>2</v>
      </c>
      <c r="AH953" s="69">
        <v>292</v>
      </c>
      <c r="AI953" s="69">
        <v>6000</v>
      </c>
      <c r="AJ953" s="67">
        <v>6000</v>
      </c>
      <c r="AK953" s="69">
        <v>2025</v>
      </c>
      <c r="AL953" s="61">
        <v>0</v>
      </c>
      <c r="AM953" s="143"/>
    </row>
    <row r="954" spans="1:39" x14ac:dyDescent="0.35">
      <c r="A954" s="69" t="s">
        <v>4124</v>
      </c>
      <c r="B954" s="41">
        <v>1111504440</v>
      </c>
      <c r="C954" s="41"/>
      <c r="D954" s="69"/>
      <c r="E954" s="41">
        <v>0</v>
      </c>
      <c r="F954" s="41" t="s">
        <v>2751</v>
      </c>
      <c r="G954" s="69" t="s">
        <v>2750</v>
      </c>
      <c r="H954" s="41">
        <v>9012000069</v>
      </c>
      <c r="I954" s="41" t="s">
        <v>47</v>
      </c>
      <c r="J954" s="41">
        <v>1202010202</v>
      </c>
      <c r="K954" s="41"/>
      <c r="L954" s="52" t="s">
        <v>2954</v>
      </c>
      <c r="M954" s="69" t="s">
        <v>2955</v>
      </c>
      <c r="N954" s="69"/>
      <c r="O954" s="69">
        <v>1</v>
      </c>
      <c r="P954" s="69" t="s">
        <v>50</v>
      </c>
      <c r="Q954" s="69" t="s">
        <v>51</v>
      </c>
      <c r="R954" s="69"/>
      <c r="S954" s="48">
        <v>43648</v>
      </c>
      <c r="T954" s="48">
        <v>43648</v>
      </c>
      <c r="U954" s="69"/>
      <c r="V954" s="69"/>
      <c r="W954" s="69"/>
      <c r="X954" s="69"/>
      <c r="Y954" s="69" t="s">
        <v>4126</v>
      </c>
      <c r="Z954" s="52">
        <v>10200</v>
      </c>
      <c r="AA954" s="43" t="s">
        <v>52</v>
      </c>
      <c r="AB954" s="43" t="s">
        <v>53</v>
      </c>
      <c r="AC954" s="85">
        <v>1095</v>
      </c>
      <c r="AD954" s="141">
        <v>3</v>
      </c>
      <c r="AE954" s="142">
        <v>0</v>
      </c>
      <c r="AF954" s="69" t="str">
        <f t="shared" si="113"/>
        <v>3 years 0 days</v>
      </c>
      <c r="AG954" s="69">
        <v>3</v>
      </c>
      <c r="AH954" s="69">
        <v>0</v>
      </c>
      <c r="AI954" s="69">
        <v>10200</v>
      </c>
      <c r="AJ954" s="67">
        <v>10200</v>
      </c>
      <c r="AK954" s="69">
        <v>2025</v>
      </c>
      <c r="AL954" s="61">
        <v>0</v>
      </c>
      <c r="AM954" s="143"/>
    </row>
    <row r="955" spans="1:39" x14ac:dyDescent="0.35">
      <c r="A955" s="69" t="s">
        <v>4124</v>
      </c>
      <c r="B955" s="41">
        <v>1111504474</v>
      </c>
      <c r="C955" s="41"/>
      <c r="D955" s="69"/>
      <c r="E955" s="41">
        <v>0</v>
      </c>
      <c r="F955" s="41" t="s">
        <v>2751</v>
      </c>
      <c r="G955" s="69" t="s">
        <v>2750</v>
      </c>
      <c r="H955" s="41">
        <v>9012000070</v>
      </c>
      <c r="I955" s="41" t="s">
        <v>47</v>
      </c>
      <c r="J955" s="41">
        <v>1202010202</v>
      </c>
      <c r="K955" s="41"/>
      <c r="L955" s="52" t="s">
        <v>2957</v>
      </c>
      <c r="M955" s="69" t="s">
        <v>2958</v>
      </c>
      <c r="N955" s="69"/>
      <c r="O955" s="69">
        <v>1</v>
      </c>
      <c r="P955" s="69" t="s">
        <v>50</v>
      </c>
      <c r="Q955" s="69" t="s">
        <v>51</v>
      </c>
      <c r="R955" s="69"/>
      <c r="S955" s="48">
        <v>42424</v>
      </c>
      <c r="T955" s="48">
        <v>43340</v>
      </c>
      <c r="U955" s="69"/>
      <c r="V955" s="69"/>
      <c r="W955" s="69"/>
      <c r="X955" s="69"/>
      <c r="Y955" s="69" t="s">
        <v>4125</v>
      </c>
      <c r="Z955" s="52">
        <v>4000</v>
      </c>
      <c r="AA955" s="43" t="s">
        <v>52</v>
      </c>
      <c r="AB955" s="43" t="s">
        <v>53</v>
      </c>
      <c r="AC955" s="85">
        <v>913</v>
      </c>
      <c r="AD955" s="141">
        <v>2</v>
      </c>
      <c r="AE955" s="142">
        <v>6</v>
      </c>
      <c r="AF955" s="69" t="str">
        <f t="shared" si="113"/>
        <v>2 years 183 days</v>
      </c>
      <c r="AG955" s="69">
        <v>2</v>
      </c>
      <c r="AH955" s="69">
        <v>183</v>
      </c>
      <c r="AI955" s="69">
        <v>4000</v>
      </c>
      <c r="AJ955" s="67">
        <v>4000</v>
      </c>
      <c r="AK955" s="69">
        <v>2025</v>
      </c>
      <c r="AL955" s="61">
        <v>0</v>
      </c>
      <c r="AM955" s="143"/>
    </row>
    <row r="956" spans="1:39" x14ac:dyDescent="0.35">
      <c r="A956" s="69" t="s">
        <v>4124</v>
      </c>
      <c r="B956" s="41">
        <v>1121400568</v>
      </c>
      <c r="C956" s="41"/>
      <c r="D956" s="69"/>
      <c r="E956" s="41">
        <v>0</v>
      </c>
      <c r="F956" s="41" t="s">
        <v>2961</v>
      </c>
      <c r="G956" s="69" t="s">
        <v>2960</v>
      </c>
      <c r="H956" s="41">
        <v>9013000001</v>
      </c>
      <c r="I956" s="41" t="s">
        <v>593</v>
      </c>
      <c r="J956" s="41">
        <v>1202020101</v>
      </c>
      <c r="K956" s="41" t="s">
        <v>2962</v>
      </c>
      <c r="L956" s="52" t="s">
        <v>2963</v>
      </c>
      <c r="M956" s="69" t="s">
        <v>49</v>
      </c>
      <c r="N956" s="69"/>
      <c r="O956" s="69">
        <v>1</v>
      </c>
      <c r="P956" s="69" t="s">
        <v>50</v>
      </c>
      <c r="Q956" s="69" t="s">
        <v>51</v>
      </c>
      <c r="R956" s="69"/>
      <c r="S956" s="48">
        <v>40570</v>
      </c>
      <c r="T956" s="48">
        <v>43340</v>
      </c>
      <c r="U956" s="69"/>
      <c r="V956" s="69"/>
      <c r="W956" s="69"/>
      <c r="X956" s="69"/>
      <c r="Y956" s="69" t="s">
        <v>4125</v>
      </c>
      <c r="Z956" s="52">
        <v>165000</v>
      </c>
      <c r="AA956" s="43" t="s">
        <v>52</v>
      </c>
      <c r="AB956" s="43" t="s">
        <v>53</v>
      </c>
      <c r="AC956" s="85">
        <v>183</v>
      </c>
      <c r="AD956" s="141">
        <v>0</v>
      </c>
      <c r="AE956" s="142">
        <v>6</v>
      </c>
      <c r="AF956" s="69" t="str">
        <f t="shared" ref="AF956:AF1019" si="114">_xlfn.CONCAT(AG956," years ",AH956," days")</f>
        <v>0 years 183 days</v>
      </c>
      <c r="AG956" s="69">
        <v>0</v>
      </c>
      <c r="AH956" s="69">
        <v>183</v>
      </c>
      <c r="AI956" s="69">
        <v>165000</v>
      </c>
      <c r="AJ956" s="67">
        <v>165000</v>
      </c>
      <c r="AK956" s="69">
        <v>2025</v>
      </c>
      <c r="AL956" s="61">
        <v>0</v>
      </c>
      <c r="AM956" s="143"/>
    </row>
    <row r="957" spans="1:39" x14ac:dyDescent="0.35">
      <c r="A957" s="69" t="s">
        <v>4124</v>
      </c>
      <c r="B957" s="41">
        <v>1121400567</v>
      </c>
      <c r="C957" s="41"/>
      <c r="D957" s="69"/>
      <c r="E957" s="41">
        <v>0</v>
      </c>
      <c r="F957" s="41" t="s">
        <v>2961</v>
      </c>
      <c r="G957" s="69" t="s">
        <v>2960</v>
      </c>
      <c r="H957" s="41">
        <v>9013000002</v>
      </c>
      <c r="I957" s="41" t="s">
        <v>593</v>
      </c>
      <c r="J957" s="41">
        <v>1202020101</v>
      </c>
      <c r="K957" s="41" t="s">
        <v>2980</v>
      </c>
      <c r="L957" s="52" t="s">
        <v>2981</v>
      </c>
      <c r="M957" s="69" t="s">
        <v>49</v>
      </c>
      <c r="N957" s="69"/>
      <c r="O957" s="69">
        <v>1</v>
      </c>
      <c r="P957" s="69" t="s">
        <v>50</v>
      </c>
      <c r="Q957" s="69" t="s">
        <v>51</v>
      </c>
      <c r="R957" s="69"/>
      <c r="S957" s="48">
        <v>40570</v>
      </c>
      <c r="T957" s="48">
        <v>43340</v>
      </c>
      <c r="U957" s="69"/>
      <c r="V957" s="69"/>
      <c r="W957" s="69"/>
      <c r="X957" s="69"/>
      <c r="Y957" s="69" t="s">
        <v>4125</v>
      </c>
      <c r="Z957" s="52">
        <v>57500</v>
      </c>
      <c r="AA957" s="43" t="s">
        <v>52</v>
      </c>
      <c r="AB957" s="43" t="s">
        <v>53</v>
      </c>
      <c r="AC957" s="85">
        <v>183</v>
      </c>
      <c r="AD957" s="141">
        <v>0</v>
      </c>
      <c r="AE957" s="142">
        <v>6</v>
      </c>
      <c r="AF957" s="69" t="str">
        <f t="shared" si="114"/>
        <v>0 years 183 days</v>
      </c>
      <c r="AG957" s="69">
        <v>0</v>
      </c>
      <c r="AH957" s="69">
        <v>183</v>
      </c>
      <c r="AI957" s="69">
        <v>57500</v>
      </c>
      <c r="AJ957" s="67">
        <v>57500</v>
      </c>
      <c r="AK957" s="69">
        <v>2025</v>
      </c>
      <c r="AL957" s="61">
        <v>0</v>
      </c>
      <c r="AM957" s="143"/>
    </row>
    <row r="958" spans="1:39" x14ac:dyDescent="0.35">
      <c r="A958" s="69" t="s">
        <v>4124</v>
      </c>
      <c r="B958" s="41">
        <v>1121400637</v>
      </c>
      <c r="C958" s="41"/>
      <c r="D958" s="69"/>
      <c r="E958" s="41">
        <v>0</v>
      </c>
      <c r="F958" s="41" t="s">
        <v>2961</v>
      </c>
      <c r="G958" s="69" t="s">
        <v>2960</v>
      </c>
      <c r="H958" s="41">
        <v>9013000003</v>
      </c>
      <c r="I958" s="41" t="s">
        <v>593</v>
      </c>
      <c r="J958" s="41">
        <v>1202020101</v>
      </c>
      <c r="K958" s="41" t="s">
        <v>2977</v>
      </c>
      <c r="L958" s="52" t="s">
        <v>2978</v>
      </c>
      <c r="M958" s="69" t="s">
        <v>49</v>
      </c>
      <c r="N958" s="69"/>
      <c r="O958" s="69">
        <v>1</v>
      </c>
      <c r="P958" s="69" t="s">
        <v>50</v>
      </c>
      <c r="Q958" s="69" t="s">
        <v>51</v>
      </c>
      <c r="R958" s="69"/>
      <c r="S958" s="48">
        <v>40761</v>
      </c>
      <c r="T958" s="48">
        <v>43340</v>
      </c>
      <c r="U958" s="69"/>
      <c r="V958" s="69"/>
      <c r="W958" s="69"/>
      <c r="X958" s="69"/>
      <c r="Y958" s="69" t="s">
        <v>4125</v>
      </c>
      <c r="Z958" s="52">
        <v>150000</v>
      </c>
      <c r="AA958" s="43" t="s">
        <v>52</v>
      </c>
      <c r="AB958" s="43" t="s">
        <v>53</v>
      </c>
      <c r="AC958" s="85">
        <v>183</v>
      </c>
      <c r="AD958" s="141">
        <v>0</v>
      </c>
      <c r="AE958" s="142">
        <v>6</v>
      </c>
      <c r="AF958" s="69" t="str">
        <f t="shared" si="114"/>
        <v>0 years 183 days</v>
      </c>
      <c r="AG958" s="69">
        <v>0</v>
      </c>
      <c r="AH958" s="69">
        <v>183</v>
      </c>
      <c r="AI958" s="69">
        <v>150000</v>
      </c>
      <c r="AJ958" s="67">
        <v>150000</v>
      </c>
      <c r="AK958" s="69">
        <v>2025</v>
      </c>
      <c r="AL958" s="61">
        <v>0</v>
      </c>
      <c r="AM958" s="143"/>
    </row>
    <row r="959" spans="1:39" x14ac:dyDescent="0.35">
      <c r="A959" s="69" t="s">
        <v>4124</v>
      </c>
      <c r="B959" s="41">
        <v>1121400725</v>
      </c>
      <c r="C959" s="41"/>
      <c r="D959" s="69"/>
      <c r="E959" s="41">
        <v>0</v>
      </c>
      <c r="F959" s="41" t="s">
        <v>2961</v>
      </c>
      <c r="G959" s="69" t="s">
        <v>2960</v>
      </c>
      <c r="H959" s="41">
        <v>9013000004</v>
      </c>
      <c r="I959" s="41" t="s">
        <v>593</v>
      </c>
      <c r="J959" s="41">
        <v>1202020101</v>
      </c>
      <c r="K959" s="41" t="s">
        <v>2965</v>
      </c>
      <c r="L959" s="52" t="s">
        <v>2966</v>
      </c>
      <c r="M959" s="69" t="s">
        <v>2967</v>
      </c>
      <c r="N959" s="69"/>
      <c r="O959" s="69">
        <v>1</v>
      </c>
      <c r="P959" s="69" t="s">
        <v>50</v>
      </c>
      <c r="Q959" s="69" t="s">
        <v>51</v>
      </c>
      <c r="R959" s="69"/>
      <c r="S959" s="48">
        <v>41035</v>
      </c>
      <c r="T959" s="48">
        <v>43340</v>
      </c>
      <c r="U959" s="69"/>
      <c r="V959" s="69"/>
      <c r="W959" s="69"/>
      <c r="X959" s="69"/>
      <c r="Y959" s="69" t="s">
        <v>4125</v>
      </c>
      <c r="Z959" s="52">
        <v>135000</v>
      </c>
      <c r="AA959" s="43" t="s">
        <v>52</v>
      </c>
      <c r="AB959" s="43" t="s">
        <v>53</v>
      </c>
      <c r="AC959" s="85">
        <v>183</v>
      </c>
      <c r="AD959" s="141">
        <v>0</v>
      </c>
      <c r="AE959" s="142">
        <v>6</v>
      </c>
      <c r="AF959" s="69" t="str">
        <f t="shared" si="114"/>
        <v>0 years 183 days</v>
      </c>
      <c r="AG959" s="69">
        <v>0</v>
      </c>
      <c r="AH959" s="69">
        <v>183</v>
      </c>
      <c r="AI959" s="69">
        <v>135000</v>
      </c>
      <c r="AJ959" s="67">
        <v>135000</v>
      </c>
      <c r="AK959" s="69">
        <v>2025</v>
      </c>
      <c r="AL959" s="61">
        <v>0</v>
      </c>
      <c r="AM959" s="143"/>
    </row>
    <row r="960" spans="1:39" x14ac:dyDescent="0.35">
      <c r="A960" s="69" t="s">
        <v>4124</v>
      </c>
      <c r="B960" s="41">
        <v>1121400734</v>
      </c>
      <c r="C960" s="41"/>
      <c r="D960" s="69"/>
      <c r="E960" s="41">
        <v>0</v>
      </c>
      <c r="F960" s="41" t="s">
        <v>2961</v>
      </c>
      <c r="G960" s="69" t="s">
        <v>2960</v>
      </c>
      <c r="H960" s="41">
        <v>9013000005</v>
      </c>
      <c r="I960" s="41" t="s">
        <v>593</v>
      </c>
      <c r="J960" s="41">
        <v>1202020101</v>
      </c>
      <c r="K960" s="41" t="s">
        <v>2969</v>
      </c>
      <c r="L960" s="52" t="s">
        <v>2970</v>
      </c>
      <c r="M960" s="69" t="s">
        <v>2971</v>
      </c>
      <c r="N960" s="69"/>
      <c r="O960" s="69">
        <v>1</v>
      </c>
      <c r="P960" s="69" t="s">
        <v>50</v>
      </c>
      <c r="Q960" s="69" t="s">
        <v>51</v>
      </c>
      <c r="R960" s="69"/>
      <c r="S960" s="48">
        <v>41067</v>
      </c>
      <c r="T960" s="48">
        <v>43340</v>
      </c>
      <c r="U960" s="69"/>
      <c r="V960" s="69"/>
      <c r="W960" s="69"/>
      <c r="X960" s="69"/>
      <c r="Y960" s="69" t="s">
        <v>4125</v>
      </c>
      <c r="Z960" s="52">
        <v>12000</v>
      </c>
      <c r="AA960" s="43" t="s">
        <v>52</v>
      </c>
      <c r="AB960" s="43" t="s">
        <v>53</v>
      </c>
      <c r="AC960" s="85">
        <v>183</v>
      </c>
      <c r="AD960" s="141">
        <v>0</v>
      </c>
      <c r="AE960" s="142">
        <v>6</v>
      </c>
      <c r="AF960" s="69" t="str">
        <f t="shared" si="114"/>
        <v>0 years 183 days</v>
      </c>
      <c r="AG960" s="69">
        <v>0</v>
      </c>
      <c r="AH960" s="69">
        <v>183</v>
      </c>
      <c r="AI960" s="69">
        <v>12000</v>
      </c>
      <c r="AJ960" s="67">
        <v>12000</v>
      </c>
      <c r="AK960" s="69">
        <v>2025</v>
      </c>
      <c r="AL960" s="61">
        <v>0</v>
      </c>
      <c r="AM960" s="143"/>
    </row>
    <row r="961" spans="1:39" x14ac:dyDescent="0.35">
      <c r="A961" s="69" t="s">
        <v>4124</v>
      </c>
      <c r="B961" s="41">
        <v>1121405112</v>
      </c>
      <c r="C961" s="41"/>
      <c r="D961" s="69"/>
      <c r="E961" s="41">
        <v>0</v>
      </c>
      <c r="F961" s="41" t="s">
        <v>2961</v>
      </c>
      <c r="G961" s="69" t="s">
        <v>2960</v>
      </c>
      <c r="H961" s="41">
        <v>9013000006</v>
      </c>
      <c r="I961" s="41" t="s">
        <v>593</v>
      </c>
      <c r="J961" s="41">
        <v>1202020101</v>
      </c>
      <c r="K961" s="41" t="s">
        <v>2973</v>
      </c>
      <c r="L961" s="52" t="s">
        <v>2974</v>
      </c>
      <c r="M961" s="69" t="s">
        <v>2975</v>
      </c>
      <c r="N961" s="69"/>
      <c r="O961" s="69">
        <v>1</v>
      </c>
      <c r="P961" s="69" t="s">
        <v>50</v>
      </c>
      <c r="Q961" s="69" t="s">
        <v>51</v>
      </c>
      <c r="R961" s="69"/>
      <c r="S961" s="48">
        <v>41890</v>
      </c>
      <c r="T961" s="48">
        <v>43340</v>
      </c>
      <c r="U961" s="69"/>
      <c r="V961" s="69"/>
      <c r="W961" s="69"/>
      <c r="X961" s="69"/>
      <c r="Y961" s="69" t="s">
        <v>4125</v>
      </c>
      <c r="Z961" s="52">
        <v>370000</v>
      </c>
      <c r="AA961" s="43" t="s">
        <v>52</v>
      </c>
      <c r="AB961" s="43" t="s">
        <v>53</v>
      </c>
      <c r="AC961" s="85">
        <v>365</v>
      </c>
      <c r="AD961" s="141">
        <v>1</v>
      </c>
      <c r="AE961" s="142">
        <v>0</v>
      </c>
      <c r="AF961" s="69" t="str">
        <f t="shared" si="114"/>
        <v>1 years 0 days</v>
      </c>
      <c r="AG961" s="69">
        <v>1</v>
      </c>
      <c r="AH961" s="69">
        <v>0</v>
      </c>
      <c r="AI961" s="69">
        <v>370000</v>
      </c>
      <c r="AJ961" s="67">
        <v>370000</v>
      </c>
      <c r="AK961" s="69">
        <v>2025</v>
      </c>
      <c r="AL961" s="61">
        <v>0</v>
      </c>
      <c r="AM961" s="143"/>
    </row>
    <row r="962" spans="1:39" x14ac:dyDescent="0.35">
      <c r="A962" s="69" t="s">
        <v>4124</v>
      </c>
      <c r="B962" s="41">
        <v>1121400844</v>
      </c>
      <c r="C962" s="41"/>
      <c r="D962" s="69"/>
      <c r="E962" s="41">
        <v>0</v>
      </c>
      <c r="F962" s="41" t="s">
        <v>2961</v>
      </c>
      <c r="G962" s="69" t="s">
        <v>2960</v>
      </c>
      <c r="H962" s="41">
        <v>9013000007</v>
      </c>
      <c r="I962" s="41" t="s">
        <v>593</v>
      </c>
      <c r="J962" s="41">
        <v>1202020101</v>
      </c>
      <c r="K962" s="41" t="s">
        <v>2983</v>
      </c>
      <c r="L962" s="52" t="s">
        <v>2984</v>
      </c>
      <c r="M962" s="69" t="s">
        <v>2985</v>
      </c>
      <c r="N962" s="69"/>
      <c r="O962" s="69">
        <v>1</v>
      </c>
      <c r="P962" s="69" t="s">
        <v>50</v>
      </c>
      <c r="Q962" s="69" t="s">
        <v>51</v>
      </c>
      <c r="R962" s="69"/>
      <c r="S962" s="48">
        <v>41230</v>
      </c>
      <c r="T962" s="48">
        <v>43340</v>
      </c>
      <c r="U962" s="69"/>
      <c r="V962" s="69"/>
      <c r="W962" s="69"/>
      <c r="X962" s="69"/>
      <c r="Y962" s="69" t="s">
        <v>4125</v>
      </c>
      <c r="Z962" s="52">
        <v>25000</v>
      </c>
      <c r="AA962" s="43" t="s">
        <v>52</v>
      </c>
      <c r="AB962" s="43" t="s">
        <v>53</v>
      </c>
      <c r="AC962" s="85">
        <v>183</v>
      </c>
      <c r="AD962" s="141">
        <v>0</v>
      </c>
      <c r="AE962" s="142">
        <v>6</v>
      </c>
      <c r="AF962" s="69" t="str">
        <f t="shared" si="114"/>
        <v>0 years 183 days</v>
      </c>
      <c r="AG962" s="69">
        <v>0</v>
      </c>
      <c r="AH962" s="69">
        <v>183</v>
      </c>
      <c r="AI962" s="69">
        <v>25000</v>
      </c>
      <c r="AJ962" s="67">
        <v>25000</v>
      </c>
      <c r="AK962" s="69">
        <v>2025</v>
      </c>
      <c r="AL962" s="61">
        <v>0</v>
      </c>
      <c r="AM962" s="143"/>
    </row>
    <row r="963" spans="1:39" x14ac:dyDescent="0.35">
      <c r="A963" s="69" t="s">
        <v>4124</v>
      </c>
      <c r="B963" s="41">
        <v>1121401752</v>
      </c>
      <c r="C963" s="41"/>
      <c r="D963" s="69"/>
      <c r="E963" s="41">
        <v>0</v>
      </c>
      <c r="F963" s="41" t="s">
        <v>2961</v>
      </c>
      <c r="G963" s="69" t="s">
        <v>2960</v>
      </c>
      <c r="H963" s="41">
        <v>9013000008</v>
      </c>
      <c r="I963" s="41" t="s">
        <v>593</v>
      </c>
      <c r="J963" s="41">
        <v>1202020101</v>
      </c>
      <c r="K963" s="41" t="s">
        <v>2987</v>
      </c>
      <c r="L963" s="52" t="s">
        <v>2988</v>
      </c>
      <c r="M963" s="69" t="s">
        <v>2989</v>
      </c>
      <c r="N963" s="69"/>
      <c r="O963" s="69">
        <v>1</v>
      </c>
      <c r="P963" s="69" t="s">
        <v>50</v>
      </c>
      <c r="Q963" s="69" t="s">
        <v>51</v>
      </c>
      <c r="R963" s="69"/>
      <c r="S963" s="48">
        <v>42299</v>
      </c>
      <c r="T963" s="48">
        <v>43340</v>
      </c>
      <c r="U963" s="69"/>
      <c r="V963" s="69"/>
      <c r="W963" s="69"/>
      <c r="X963" s="69"/>
      <c r="Y963" s="69" t="s">
        <v>4125</v>
      </c>
      <c r="Z963" s="52">
        <v>650000</v>
      </c>
      <c r="AA963" s="43" t="s">
        <v>52</v>
      </c>
      <c r="AB963" s="43" t="s">
        <v>53</v>
      </c>
      <c r="AC963" s="85">
        <v>767</v>
      </c>
      <c r="AD963" s="141">
        <v>2</v>
      </c>
      <c r="AE963" s="142">
        <v>1</v>
      </c>
      <c r="AF963" s="69" t="str">
        <f t="shared" si="114"/>
        <v>2 years 37 days</v>
      </c>
      <c r="AG963" s="69">
        <v>2</v>
      </c>
      <c r="AH963" s="69">
        <v>37</v>
      </c>
      <c r="AI963" s="69">
        <v>650000</v>
      </c>
      <c r="AJ963" s="67">
        <v>650000</v>
      </c>
      <c r="AK963" s="69">
        <v>2025</v>
      </c>
      <c r="AL963" s="61">
        <v>0</v>
      </c>
      <c r="AM963" s="143"/>
    </row>
    <row r="964" spans="1:39" x14ac:dyDescent="0.35">
      <c r="A964" s="69" t="s">
        <v>4124</v>
      </c>
      <c r="B964" s="41">
        <v>1121403009</v>
      </c>
      <c r="C964" s="41"/>
      <c r="D964" s="69"/>
      <c r="E964" s="41">
        <v>0</v>
      </c>
      <c r="F964" s="41" t="s">
        <v>2961</v>
      </c>
      <c r="G964" s="69" t="s">
        <v>2960</v>
      </c>
      <c r="H964" s="41">
        <v>9013000009</v>
      </c>
      <c r="I964" s="41" t="s">
        <v>593</v>
      </c>
      <c r="J964" s="41">
        <v>1202020101</v>
      </c>
      <c r="K964" s="41" t="s">
        <v>2991</v>
      </c>
      <c r="L964" s="52" t="s">
        <v>2992</v>
      </c>
      <c r="M964" s="69" t="s">
        <v>2993</v>
      </c>
      <c r="N964" s="69"/>
      <c r="O964" s="69">
        <v>1</v>
      </c>
      <c r="P964" s="69" t="s">
        <v>50</v>
      </c>
      <c r="Q964" s="69" t="s">
        <v>51</v>
      </c>
      <c r="R964" s="69"/>
      <c r="S964" s="48">
        <v>43650</v>
      </c>
      <c r="T964" s="48">
        <v>43650</v>
      </c>
      <c r="U964" s="69"/>
      <c r="V964" s="69"/>
      <c r="W964" s="69"/>
      <c r="X964" s="69"/>
      <c r="Y964" s="69" t="s">
        <v>4126</v>
      </c>
      <c r="Z964" s="52">
        <v>135000</v>
      </c>
      <c r="AA964" s="43" t="s">
        <v>52</v>
      </c>
      <c r="AB964" s="43" t="s">
        <v>53</v>
      </c>
      <c r="AC964" s="85">
        <v>1460</v>
      </c>
      <c r="AD964" s="141">
        <v>4</v>
      </c>
      <c r="AE964" s="142">
        <v>0</v>
      </c>
      <c r="AF964" s="69" t="str">
        <f t="shared" si="114"/>
        <v>4 years 0 days</v>
      </c>
      <c r="AG964" s="69">
        <v>4</v>
      </c>
      <c r="AH964" s="69">
        <v>0</v>
      </c>
      <c r="AI964" s="69">
        <v>135000</v>
      </c>
      <c r="AJ964" s="67">
        <v>135000</v>
      </c>
      <c r="AK964" s="69">
        <v>2025</v>
      </c>
      <c r="AL964" s="61">
        <v>0</v>
      </c>
      <c r="AM964" s="143"/>
    </row>
    <row r="965" spans="1:39" x14ac:dyDescent="0.35">
      <c r="A965" s="69" t="s">
        <v>4124</v>
      </c>
      <c r="B965" s="41">
        <v>1121400860</v>
      </c>
      <c r="C965" s="41"/>
      <c r="D965" s="69"/>
      <c r="E965" s="41">
        <v>0</v>
      </c>
      <c r="F965" s="41" t="s">
        <v>2961</v>
      </c>
      <c r="G965" s="69" t="s">
        <v>2960</v>
      </c>
      <c r="H965" s="41">
        <v>9013000010</v>
      </c>
      <c r="I965" s="41" t="s">
        <v>593</v>
      </c>
      <c r="J965" s="41">
        <v>1202020101</v>
      </c>
      <c r="K965" s="41" t="s">
        <v>2995</v>
      </c>
      <c r="L965" s="52" t="s">
        <v>2996</v>
      </c>
      <c r="M965" s="69" t="s">
        <v>49</v>
      </c>
      <c r="N965" s="69"/>
      <c r="O965" s="69">
        <v>1</v>
      </c>
      <c r="P965" s="69" t="s">
        <v>50</v>
      </c>
      <c r="Q965" s="69" t="s">
        <v>51</v>
      </c>
      <c r="R965" s="69"/>
      <c r="S965" s="48">
        <v>41258</v>
      </c>
      <c r="T965" s="48">
        <v>43340</v>
      </c>
      <c r="U965" s="69"/>
      <c r="V965" s="69"/>
      <c r="W965" s="69"/>
      <c r="X965" s="69"/>
      <c r="Y965" s="69" t="s">
        <v>4125</v>
      </c>
      <c r="Z965" s="52">
        <v>170000</v>
      </c>
      <c r="AA965" s="43" t="s">
        <v>52</v>
      </c>
      <c r="AB965" s="43" t="s">
        <v>53</v>
      </c>
      <c r="AC965" s="85">
        <v>183</v>
      </c>
      <c r="AD965" s="141">
        <v>0</v>
      </c>
      <c r="AE965" s="142">
        <v>6</v>
      </c>
      <c r="AF965" s="69" t="str">
        <f t="shared" si="114"/>
        <v>0 years 183 days</v>
      </c>
      <c r="AG965" s="69">
        <v>0</v>
      </c>
      <c r="AH965" s="69">
        <v>183</v>
      </c>
      <c r="AI965" s="69">
        <v>170000</v>
      </c>
      <c r="AJ965" s="67">
        <v>170000</v>
      </c>
      <c r="AK965" s="69">
        <v>2025</v>
      </c>
      <c r="AL965" s="61">
        <v>0</v>
      </c>
      <c r="AM965" s="143"/>
    </row>
    <row r="966" spans="1:39" x14ac:dyDescent="0.35">
      <c r="A966" s="69" t="s">
        <v>4124</v>
      </c>
      <c r="B966" s="41">
        <v>1121403253</v>
      </c>
      <c r="C966" s="41"/>
      <c r="D966" s="69"/>
      <c r="E966" s="41">
        <v>0</v>
      </c>
      <c r="F966" s="41" t="s">
        <v>2961</v>
      </c>
      <c r="G966" s="69" t="s">
        <v>2960</v>
      </c>
      <c r="H966" s="41">
        <v>9013000011</v>
      </c>
      <c r="I966" s="41" t="s">
        <v>593</v>
      </c>
      <c r="J966" s="41">
        <v>1202020101</v>
      </c>
      <c r="K966" s="41" t="s">
        <v>2998</v>
      </c>
      <c r="L966" s="52" t="s">
        <v>2999</v>
      </c>
      <c r="M966" s="69" t="s">
        <v>49</v>
      </c>
      <c r="N966" s="69"/>
      <c r="O966" s="69">
        <v>1</v>
      </c>
      <c r="P966" s="69" t="s">
        <v>50</v>
      </c>
      <c r="Q966" s="69" t="s">
        <v>51</v>
      </c>
      <c r="R966" s="69"/>
      <c r="S966" s="48">
        <v>40761</v>
      </c>
      <c r="T966" s="48">
        <v>43340</v>
      </c>
      <c r="U966" s="69"/>
      <c r="V966" s="69"/>
      <c r="W966" s="69"/>
      <c r="X966" s="69"/>
      <c r="Y966" s="69" t="s">
        <v>4125</v>
      </c>
      <c r="Z966" s="52">
        <v>150000</v>
      </c>
      <c r="AA966" s="43" t="s">
        <v>52</v>
      </c>
      <c r="AB966" s="43" t="s">
        <v>53</v>
      </c>
      <c r="AC966" s="85">
        <v>183</v>
      </c>
      <c r="AD966" s="141">
        <v>0</v>
      </c>
      <c r="AE966" s="142">
        <v>6</v>
      </c>
      <c r="AF966" s="69" t="str">
        <f t="shared" si="114"/>
        <v>0 years 183 days</v>
      </c>
      <c r="AG966" s="69">
        <v>0</v>
      </c>
      <c r="AH966" s="69">
        <v>183</v>
      </c>
      <c r="AI966" s="69">
        <v>150000</v>
      </c>
      <c r="AJ966" s="67">
        <v>150000</v>
      </c>
      <c r="AK966" s="69">
        <v>2025</v>
      </c>
      <c r="AL966" s="61">
        <v>0</v>
      </c>
      <c r="AM966" s="143"/>
    </row>
    <row r="967" spans="1:39" x14ac:dyDescent="0.35">
      <c r="A967" s="69" t="s">
        <v>4124</v>
      </c>
      <c r="B967" s="41">
        <v>1121401704</v>
      </c>
      <c r="C967" s="41"/>
      <c r="D967" s="69"/>
      <c r="E967" s="41">
        <v>0</v>
      </c>
      <c r="F967" s="41" t="s">
        <v>2961</v>
      </c>
      <c r="G967" s="69" t="s">
        <v>2960</v>
      </c>
      <c r="H967" s="41">
        <v>9013000012</v>
      </c>
      <c r="I967" s="41" t="s">
        <v>593</v>
      </c>
      <c r="J967" s="41">
        <v>1202020101</v>
      </c>
      <c r="K967" s="41" t="s">
        <v>3001</v>
      </c>
      <c r="L967" s="52" t="s">
        <v>3002</v>
      </c>
      <c r="M967" s="69" t="s">
        <v>3003</v>
      </c>
      <c r="N967" s="69"/>
      <c r="O967" s="69">
        <v>1</v>
      </c>
      <c r="P967" s="69" t="s">
        <v>50</v>
      </c>
      <c r="Q967" s="69" t="s">
        <v>51</v>
      </c>
      <c r="R967" s="69"/>
      <c r="S967" s="48">
        <v>42246</v>
      </c>
      <c r="T967" s="48">
        <v>43340</v>
      </c>
      <c r="U967" s="69"/>
      <c r="V967" s="69"/>
      <c r="W967" s="69"/>
      <c r="X967" s="69"/>
      <c r="Y967" s="69" t="s">
        <v>4125</v>
      </c>
      <c r="Z967" s="52">
        <v>41000</v>
      </c>
      <c r="AA967" s="43" t="s">
        <v>52</v>
      </c>
      <c r="AB967" s="43" t="s">
        <v>53</v>
      </c>
      <c r="AC967" s="85">
        <v>730</v>
      </c>
      <c r="AD967" s="141">
        <v>2</v>
      </c>
      <c r="AE967" s="142">
        <v>0</v>
      </c>
      <c r="AF967" s="69" t="str">
        <f t="shared" si="114"/>
        <v>2 years 0 days</v>
      </c>
      <c r="AG967" s="69">
        <v>2</v>
      </c>
      <c r="AH967" s="69">
        <v>0</v>
      </c>
      <c r="AI967" s="69">
        <v>41000</v>
      </c>
      <c r="AJ967" s="67">
        <v>41000</v>
      </c>
      <c r="AK967" s="69">
        <v>2025</v>
      </c>
      <c r="AL967" s="61">
        <v>0</v>
      </c>
      <c r="AM967" s="143"/>
    </row>
    <row r="968" spans="1:39" x14ac:dyDescent="0.35">
      <c r="A968" s="69" t="s">
        <v>4124</v>
      </c>
      <c r="B968" s="41">
        <v>1121401769</v>
      </c>
      <c r="C968" s="41"/>
      <c r="D968" s="69"/>
      <c r="E968" s="41">
        <v>0</v>
      </c>
      <c r="F968" s="41" t="s">
        <v>2961</v>
      </c>
      <c r="G968" s="69" t="s">
        <v>2960</v>
      </c>
      <c r="H968" s="41">
        <v>9013000013</v>
      </c>
      <c r="I968" s="41" t="s">
        <v>593</v>
      </c>
      <c r="J968" s="41">
        <v>1202020101</v>
      </c>
      <c r="K968" s="41" t="s">
        <v>3005</v>
      </c>
      <c r="L968" s="52" t="s">
        <v>3006</v>
      </c>
      <c r="M968" s="69" t="s">
        <v>3007</v>
      </c>
      <c r="N968" s="69"/>
      <c r="O968" s="69">
        <v>1</v>
      </c>
      <c r="P968" s="69" t="s">
        <v>50</v>
      </c>
      <c r="Q968" s="69" t="s">
        <v>51</v>
      </c>
      <c r="R968" s="69"/>
      <c r="S968" s="48">
        <v>42313</v>
      </c>
      <c r="T968" s="48">
        <v>43340</v>
      </c>
      <c r="U968" s="69"/>
      <c r="V968" s="69"/>
      <c r="W968" s="69"/>
      <c r="X968" s="69"/>
      <c r="Y968" s="69" t="s">
        <v>4125</v>
      </c>
      <c r="Z968" s="52">
        <v>660000</v>
      </c>
      <c r="AA968" s="43" t="s">
        <v>52</v>
      </c>
      <c r="AB968" s="43" t="s">
        <v>53</v>
      </c>
      <c r="AC968" s="85">
        <v>767</v>
      </c>
      <c r="AD968" s="141">
        <v>2</v>
      </c>
      <c r="AE968" s="142">
        <v>1</v>
      </c>
      <c r="AF968" s="69" t="str">
        <f t="shared" si="114"/>
        <v>2 years 37 days</v>
      </c>
      <c r="AG968" s="69">
        <v>2</v>
      </c>
      <c r="AH968" s="69">
        <v>37</v>
      </c>
      <c r="AI968" s="69">
        <v>660000</v>
      </c>
      <c r="AJ968" s="67">
        <v>660000</v>
      </c>
      <c r="AK968" s="69">
        <v>2025</v>
      </c>
      <c r="AL968" s="61">
        <v>0</v>
      </c>
      <c r="AM968" s="143"/>
    </row>
    <row r="969" spans="1:39" x14ac:dyDescent="0.35">
      <c r="A969" s="69" t="s">
        <v>4124</v>
      </c>
      <c r="B969" s="41">
        <v>1121205291</v>
      </c>
      <c r="C969" s="41"/>
      <c r="D969" s="69"/>
      <c r="E969" s="41">
        <v>0</v>
      </c>
      <c r="F969" s="41" t="s">
        <v>2961</v>
      </c>
      <c r="G969" s="69" t="s">
        <v>2960</v>
      </c>
      <c r="H969" s="41">
        <v>9013000014</v>
      </c>
      <c r="I969" s="41" t="s">
        <v>593</v>
      </c>
      <c r="J969" s="41">
        <v>1202020101</v>
      </c>
      <c r="K969" s="41" t="s">
        <v>3009</v>
      </c>
      <c r="L969" s="52" t="s">
        <v>3010</v>
      </c>
      <c r="M969" s="69" t="s">
        <v>3011</v>
      </c>
      <c r="N969" s="69"/>
      <c r="O969" s="69">
        <v>1</v>
      </c>
      <c r="P969" s="69" t="s">
        <v>50</v>
      </c>
      <c r="Q969" s="69" t="s">
        <v>51</v>
      </c>
      <c r="R969" s="69"/>
      <c r="S969" s="48">
        <v>45505</v>
      </c>
      <c r="T969" s="48">
        <v>45505</v>
      </c>
      <c r="U969" s="69"/>
      <c r="V969" s="69"/>
      <c r="W969" s="69"/>
      <c r="X969" s="69"/>
      <c r="Y969" s="69" t="s">
        <v>4130</v>
      </c>
      <c r="Z969" s="83">
        <v>120500</v>
      </c>
      <c r="AA969" s="43" t="s">
        <v>52</v>
      </c>
      <c r="AB969" s="43" t="s">
        <v>53</v>
      </c>
      <c r="AC969" s="85">
        <v>1460</v>
      </c>
      <c r="AD969" s="141">
        <v>4</v>
      </c>
      <c r="AE969" s="142">
        <v>0</v>
      </c>
      <c r="AF969" s="69" t="str">
        <f t="shared" si="114"/>
        <v>0 years 153 days</v>
      </c>
      <c r="AG969" s="69">
        <v>0</v>
      </c>
      <c r="AH969" s="69">
        <v>153</v>
      </c>
      <c r="AI969" s="69">
        <v>120500</v>
      </c>
      <c r="AJ969" s="67">
        <v>12628</v>
      </c>
      <c r="AK969" s="69">
        <v>2025</v>
      </c>
      <c r="AL969" s="61">
        <v>14938.438356164384</v>
      </c>
      <c r="AM969" s="143"/>
    </row>
    <row r="970" spans="1:39" x14ac:dyDescent="0.35">
      <c r="A970" s="69" t="s">
        <v>4124</v>
      </c>
      <c r="B970" s="41">
        <v>1121405415</v>
      </c>
      <c r="C970" s="41"/>
      <c r="D970" s="69"/>
      <c r="E970" s="41">
        <v>0</v>
      </c>
      <c r="F970" s="41" t="s">
        <v>2961</v>
      </c>
      <c r="G970" s="69" t="s">
        <v>2960</v>
      </c>
      <c r="H970" s="41">
        <v>9013000015</v>
      </c>
      <c r="I970" s="41" t="s">
        <v>593</v>
      </c>
      <c r="J970" s="41">
        <v>1202020101</v>
      </c>
      <c r="K970" s="41" t="s">
        <v>3013</v>
      </c>
      <c r="L970" s="52" t="s">
        <v>3014</v>
      </c>
      <c r="M970" s="69" t="s">
        <v>3015</v>
      </c>
      <c r="N970" s="69"/>
      <c r="O970" s="69">
        <v>1</v>
      </c>
      <c r="P970" s="69" t="s">
        <v>50</v>
      </c>
      <c r="Q970" s="69" t="s">
        <v>51</v>
      </c>
      <c r="R970" s="69"/>
      <c r="S970" s="48">
        <v>45809</v>
      </c>
      <c r="T970" s="48">
        <v>45809</v>
      </c>
      <c r="U970" s="69"/>
      <c r="V970" s="69"/>
      <c r="W970" s="69"/>
      <c r="X970" s="69"/>
      <c r="Y970" s="69" t="s">
        <v>4132</v>
      </c>
      <c r="Z970" s="83">
        <v>0</v>
      </c>
      <c r="AA970" s="43" t="s">
        <v>52</v>
      </c>
      <c r="AB970" s="43" t="s">
        <v>53</v>
      </c>
      <c r="AC970" s="85">
        <v>1460</v>
      </c>
      <c r="AD970" s="141">
        <v>4</v>
      </c>
      <c r="AE970" s="142">
        <v>0</v>
      </c>
      <c r="AF970" s="69" t="str">
        <f t="shared" si="114"/>
        <v>0 years 0 days</v>
      </c>
      <c r="AG970" s="69">
        <v>0</v>
      </c>
      <c r="AH970" s="69">
        <v>0</v>
      </c>
      <c r="AI970" s="69">
        <v>166000</v>
      </c>
      <c r="AJ970" s="67">
        <v>0</v>
      </c>
      <c r="AK970" s="69">
        <v>2025</v>
      </c>
      <c r="AL970" s="61">
        <v>3410.9589041095892</v>
      </c>
      <c r="AM970" s="143"/>
    </row>
    <row r="971" spans="1:39" x14ac:dyDescent="0.35">
      <c r="A971" s="69" t="s">
        <v>4124</v>
      </c>
      <c r="B971" s="41">
        <v>1121400532</v>
      </c>
      <c r="C971" s="41"/>
      <c r="D971" s="69"/>
      <c r="E971" s="41">
        <v>0</v>
      </c>
      <c r="F971" s="41" t="s">
        <v>2961</v>
      </c>
      <c r="G971" s="69" t="s">
        <v>2960</v>
      </c>
      <c r="H971" s="41">
        <v>9013000016</v>
      </c>
      <c r="I971" s="41" t="s">
        <v>593</v>
      </c>
      <c r="J971" s="41">
        <v>1202020101</v>
      </c>
      <c r="K971" s="41" t="s">
        <v>3017</v>
      </c>
      <c r="L971" s="52" t="s">
        <v>3018</v>
      </c>
      <c r="M971" s="69" t="s">
        <v>49</v>
      </c>
      <c r="N971" s="69"/>
      <c r="O971" s="69">
        <v>1</v>
      </c>
      <c r="P971" s="69" t="s">
        <v>50</v>
      </c>
      <c r="Q971" s="69" t="s">
        <v>51</v>
      </c>
      <c r="R971" s="69"/>
      <c r="S971" s="48">
        <v>40495</v>
      </c>
      <c r="T971" s="48">
        <v>43340</v>
      </c>
      <c r="U971" s="69"/>
      <c r="V971" s="69"/>
      <c r="W971" s="69"/>
      <c r="X971" s="69"/>
      <c r="Y971" s="69" t="s">
        <v>4125</v>
      </c>
      <c r="Z971" s="52">
        <v>150000</v>
      </c>
      <c r="AA971" s="43" t="s">
        <v>52</v>
      </c>
      <c r="AB971" s="43" t="s">
        <v>53</v>
      </c>
      <c r="AC971" s="85">
        <v>183</v>
      </c>
      <c r="AD971" s="141">
        <v>0</v>
      </c>
      <c r="AE971" s="142">
        <v>6</v>
      </c>
      <c r="AF971" s="69" t="str">
        <f t="shared" si="114"/>
        <v>0 years 183 days</v>
      </c>
      <c r="AG971" s="69">
        <v>0</v>
      </c>
      <c r="AH971" s="69">
        <v>183</v>
      </c>
      <c r="AI971" s="69">
        <v>150000</v>
      </c>
      <c r="AJ971" s="67">
        <v>150000</v>
      </c>
      <c r="AK971" s="69">
        <v>2025</v>
      </c>
      <c r="AL971" s="61">
        <v>0</v>
      </c>
      <c r="AM971" s="143"/>
    </row>
    <row r="972" spans="1:39" x14ac:dyDescent="0.35">
      <c r="A972" s="69" t="s">
        <v>4124</v>
      </c>
      <c r="B972" s="41">
        <v>1121403610</v>
      </c>
      <c r="C972" s="41"/>
      <c r="D972" s="69"/>
      <c r="E972" s="41">
        <v>0</v>
      </c>
      <c r="F972" s="41" t="s">
        <v>2961</v>
      </c>
      <c r="G972" s="69" t="s">
        <v>2960</v>
      </c>
      <c r="H972" s="41">
        <v>9013000017</v>
      </c>
      <c r="I972" s="41" t="s">
        <v>593</v>
      </c>
      <c r="J972" s="41">
        <v>1202020101</v>
      </c>
      <c r="K972" s="41" t="s">
        <v>3020</v>
      </c>
      <c r="L972" s="52" t="s">
        <v>3021</v>
      </c>
      <c r="M972" s="69" t="s">
        <v>3022</v>
      </c>
      <c r="N972" s="69"/>
      <c r="O972" s="69">
        <v>1</v>
      </c>
      <c r="P972" s="69" t="s">
        <v>50</v>
      </c>
      <c r="Q972" s="69" t="s">
        <v>51</v>
      </c>
      <c r="R972" s="69"/>
      <c r="S972" s="48">
        <v>44275</v>
      </c>
      <c r="T972" s="48">
        <v>44275</v>
      </c>
      <c r="U972" s="69"/>
      <c r="V972" s="69"/>
      <c r="W972" s="69"/>
      <c r="X972" s="69"/>
      <c r="Y972" s="69" t="s">
        <v>4128</v>
      </c>
      <c r="Z972" s="52">
        <v>1375000</v>
      </c>
      <c r="AA972" s="43" t="s">
        <v>52</v>
      </c>
      <c r="AB972" s="43" t="s">
        <v>53</v>
      </c>
      <c r="AC972" s="85">
        <v>1460</v>
      </c>
      <c r="AD972" s="141">
        <v>4</v>
      </c>
      <c r="AE972" s="142">
        <v>0</v>
      </c>
      <c r="AF972" s="69" t="str">
        <f t="shared" si="114"/>
        <v>3 years 288 days</v>
      </c>
      <c r="AG972" s="69">
        <v>3</v>
      </c>
      <c r="AH972" s="69">
        <v>288</v>
      </c>
      <c r="AI972" s="69">
        <v>1375000</v>
      </c>
      <c r="AJ972" s="67">
        <v>1302483</v>
      </c>
      <c r="AK972" s="69">
        <v>2025</v>
      </c>
      <c r="AL972" s="61">
        <v>72517</v>
      </c>
      <c r="AM972" s="143"/>
    </row>
    <row r="973" spans="1:39" x14ac:dyDescent="0.35">
      <c r="A973" s="69" t="s">
        <v>4124</v>
      </c>
      <c r="B973" s="41">
        <v>1121400511</v>
      </c>
      <c r="C973" s="41"/>
      <c r="D973" s="69"/>
      <c r="E973" s="41">
        <v>0</v>
      </c>
      <c r="F973" s="41" t="s">
        <v>2961</v>
      </c>
      <c r="G973" s="69" t="s">
        <v>2960</v>
      </c>
      <c r="H973" s="41">
        <v>9013000018</v>
      </c>
      <c r="I973" s="41" t="s">
        <v>593</v>
      </c>
      <c r="J973" s="41">
        <v>1202020101</v>
      </c>
      <c r="K973" s="41" t="s">
        <v>3024</v>
      </c>
      <c r="L973" s="52" t="s">
        <v>3025</v>
      </c>
      <c r="M973" s="69" t="s">
        <v>49</v>
      </c>
      <c r="N973" s="69"/>
      <c r="O973" s="69">
        <v>1</v>
      </c>
      <c r="P973" s="69" t="s">
        <v>50</v>
      </c>
      <c r="Q973" s="69" t="s">
        <v>51</v>
      </c>
      <c r="R973" s="69"/>
      <c r="S973" s="48">
        <v>40480</v>
      </c>
      <c r="T973" s="48">
        <v>43340</v>
      </c>
      <c r="U973" s="69"/>
      <c r="V973" s="69"/>
      <c r="W973" s="69"/>
      <c r="X973" s="69"/>
      <c r="Y973" s="69" t="s">
        <v>4125</v>
      </c>
      <c r="Z973" s="52">
        <v>155000</v>
      </c>
      <c r="AA973" s="43" t="s">
        <v>52</v>
      </c>
      <c r="AB973" s="43" t="s">
        <v>53</v>
      </c>
      <c r="AC973" s="85">
        <v>183</v>
      </c>
      <c r="AD973" s="141">
        <v>0</v>
      </c>
      <c r="AE973" s="142">
        <v>6</v>
      </c>
      <c r="AF973" s="69" t="str">
        <f t="shared" si="114"/>
        <v>0 years 183 days</v>
      </c>
      <c r="AG973" s="69">
        <v>0</v>
      </c>
      <c r="AH973" s="69">
        <v>183</v>
      </c>
      <c r="AI973" s="69">
        <v>155000</v>
      </c>
      <c r="AJ973" s="67">
        <v>155000</v>
      </c>
      <c r="AK973" s="69">
        <v>2025</v>
      </c>
      <c r="AL973" s="61">
        <v>0</v>
      </c>
      <c r="AM973" s="143"/>
    </row>
    <row r="974" spans="1:39" x14ac:dyDescent="0.35">
      <c r="A974" s="69" t="s">
        <v>4124</v>
      </c>
      <c r="B974" s="41">
        <v>1121403007</v>
      </c>
      <c r="C974" s="41"/>
      <c r="D974" s="69"/>
      <c r="E974" s="41">
        <v>0</v>
      </c>
      <c r="F974" s="41" t="s">
        <v>2961</v>
      </c>
      <c r="G974" s="69" t="s">
        <v>2960</v>
      </c>
      <c r="H974" s="41">
        <v>9013000019</v>
      </c>
      <c r="I974" s="41" t="s">
        <v>593</v>
      </c>
      <c r="J974" s="41">
        <v>1202020101</v>
      </c>
      <c r="K974" s="41" t="s">
        <v>3027</v>
      </c>
      <c r="L974" s="52" t="s">
        <v>3028</v>
      </c>
      <c r="M974" s="69" t="s">
        <v>3029</v>
      </c>
      <c r="N974" s="69"/>
      <c r="O974" s="69">
        <v>1</v>
      </c>
      <c r="P974" s="69" t="s">
        <v>50</v>
      </c>
      <c r="Q974" s="69" t="s">
        <v>51</v>
      </c>
      <c r="R974" s="69"/>
      <c r="S974" s="48">
        <v>43650</v>
      </c>
      <c r="T974" s="48">
        <v>43650</v>
      </c>
      <c r="U974" s="69"/>
      <c r="V974" s="69"/>
      <c r="W974" s="69"/>
      <c r="X974" s="69"/>
      <c r="Y974" s="69" t="s">
        <v>4126</v>
      </c>
      <c r="Z974" s="52">
        <v>135000</v>
      </c>
      <c r="AA974" s="43" t="s">
        <v>52</v>
      </c>
      <c r="AB974" s="43" t="s">
        <v>53</v>
      </c>
      <c r="AC974" s="85">
        <v>1460</v>
      </c>
      <c r="AD974" s="141">
        <v>4</v>
      </c>
      <c r="AE974" s="142">
        <v>0</v>
      </c>
      <c r="AF974" s="69" t="str">
        <f t="shared" si="114"/>
        <v>4 years 0 days</v>
      </c>
      <c r="AG974" s="69">
        <v>4</v>
      </c>
      <c r="AH974" s="69">
        <v>0</v>
      </c>
      <c r="AI974" s="69">
        <v>135000</v>
      </c>
      <c r="AJ974" s="67">
        <v>135000</v>
      </c>
      <c r="AK974" s="69">
        <v>2025</v>
      </c>
      <c r="AL974" s="61">
        <v>0</v>
      </c>
      <c r="AM974" s="143"/>
    </row>
    <row r="975" spans="1:39" x14ac:dyDescent="0.35">
      <c r="A975" s="69" t="s">
        <v>4124</v>
      </c>
      <c r="B975" s="41">
        <v>1121400512</v>
      </c>
      <c r="C975" s="41"/>
      <c r="D975" s="69"/>
      <c r="E975" s="41">
        <v>0</v>
      </c>
      <c r="F975" s="41" t="s">
        <v>2961</v>
      </c>
      <c r="G975" s="69" t="s">
        <v>2960</v>
      </c>
      <c r="H975" s="41">
        <v>9013000020</v>
      </c>
      <c r="I975" s="41" t="s">
        <v>593</v>
      </c>
      <c r="J975" s="41">
        <v>1202020101</v>
      </c>
      <c r="K975" s="41" t="s">
        <v>3031</v>
      </c>
      <c r="L975" s="52" t="s">
        <v>3032</v>
      </c>
      <c r="M975" s="69" t="s">
        <v>49</v>
      </c>
      <c r="N975" s="69"/>
      <c r="O975" s="69">
        <v>1</v>
      </c>
      <c r="P975" s="69" t="s">
        <v>50</v>
      </c>
      <c r="Q975" s="69" t="s">
        <v>51</v>
      </c>
      <c r="R975" s="69"/>
      <c r="S975" s="48">
        <v>40480</v>
      </c>
      <c r="T975" s="48">
        <v>43340</v>
      </c>
      <c r="U975" s="69"/>
      <c r="V975" s="69"/>
      <c r="W975" s="69"/>
      <c r="X975" s="69"/>
      <c r="Y975" s="69" t="s">
        <v>4125</v>
      </c>
      <c r="Z975" s="52">
        <v>155000</v>
      </c>
      <c r="AA975" s="43" t="s">
        <v>52</v>
      </c>
      <c r="AB975" s="43" t="s">
        <v>53</v>
      </c>
      <c r="AC975" s="85">
        <v>183</v>
      </c>
      <c r="AD975" s="141">
        <v>0</v>
      </c>
      <c r="AE975" s="142">
        <v>6</v>
      </c>
      <c r="AF975" s="69" t="str">
        <f t="shared" si="114"/>
        <v>0 years 183 days</v>
      </c>
      <c r="AG975" s="69">
        <v>0</v>
      </c>
      <c r="AH975" s="69">
        <v>183</v>
      </c>
      <c r="AI975" s="69">
        <v>155000</v>
      </c>
      <c r="AJ975" s="67">
        <v>155000</v>
      </c>
      <c r="AK975" s="69">
        <v>2025</v>
      </c>
      <c r="AL975" s="61">
        <v>0</v>
      </c>
      <c r="AM975" s="143"/>
    </row>
    <row r="976" spans="1:39" x14ac:dyDescent="0.35">
      <c r="A976" s="69" t="s">
        <v>4124</v>
      </c>
      <c r="B976" s="41">
        <v>1121404072</v>
      </c>
      <c r="C976" s="41"/>
      <c r="D976" s="69"/>
      <c r="E976" s="41">
        <v>0</v>
      </c>
      <c r="F976" s="41" t="s">
        <v>2961</v>
      </c>
      <c r="G976" s="69" t="s">
        <v>2960</v>
      </c>
      <c r="H976" s="41">
        <v>9013000021</v>
      </c>
      <c r="I976" s="41" t="s">
        <v>593</v>
      </c>
      <c r="J976" s="41">
        <v>1202020101</v>
      </c>
      <c r="K976" s="41" t="s">
        <v>3034</v>
      </c>
      <c r="L976" s="52" t="s">
        <v>3035</v>
      </c>
      <c r="M976" s="69" t="s">
        <v>3036</v>
      </c>
      <c r="N976" s="69"/>
      <c r="O976" s="69">
        <v>1</v>
      </c>
      <c r="P976" s="69" t="s">
        <v>50</v>
      </c>
      <c r="Q976" s="69" t="s">
        <v>51</v>
      </c>
      <c r="R976" s="69"/>
      <c r="S976" s="48">
        <v>43908</v>
      </c>
      <c r="T976" s="48">
        <v>43908</v>
      </c>
      <c r="U976" s="69"/>
      <c r="V976" s="69"/>
      <c r="W976" s="69"/>
      <c r="X976" s="69"/>
      <c r="Y976" s="69" t="s">
        <v>4127</v>
      </c>
      <c r="Z976" s="52">
        <v>135000</v>
      </c>
      <c r="AA976" s="43" t="s">
        <v>52</v>
      </c>
      <c r="AB976" s="43" t="s">
        <v>53</v>
      </c>
      <c r="AC976" s="85">
        <v>1460</v>
      </c>
      <c r="AD976" s="141">
        <v>4</v>
      </c>
      <c r="AE976" s="142">
        <v>0</v>
      </c>
      <c r="AF976" s="69" t="str">
        <f t="shared" si="114"/>
        <v>4 years 0 days</v>
      </c>
      <c r="AG976" s="69">
        <v>4</v>
      </c>
      <c r="AH976" s="69">
        <v>0</v>
      </c>
      <c r="AI976" s="69">
        <v>135000</v>
      </c>
      <c r="AJ976" s="67">
        <v>135000</v>
      </c>
      <c r="AK976" s="69">
        <v>2025</v>
      </c>
      <c r="AL976" s="61">
        <v>0</v>
      </c>
      <c r="AM976" s="143"/>
    </row>
    <row r="977" spans="1:39" x14ac:dyDescent="0.35">
      <c r="A977" s="69" t="s">
        <v>4124</v>
      </c>
      <c r="B977" s="41">
        <v>1121401065</v>
      </c>
      <c r="C977" s="41"/>
      <c r="D977" s="69"/>
      <c r="E977" s="41">
        <v>0</v>
      </c>
      <c r="F977" s="41" t="s">
        <v>2961</v>
      </c>
      <c r="G977" s="69" t="s">
        <v>2960</v>
      </c>
      <c r="H977" s="41">
        <v>9013000022</v>
      </c>
      <c r="I977" s="41" t="s">
        <v>593</v>
      </c>
      <c r="J977" s="41">
        <v>1202020101</v>
      </c>
      <c r="K977" s="41" t="s">
        <v>3038</v>
      </c>
      <c r="L977" s="52" t="s">
        <v>3039</v>
      </c>
      <c r="M977" s="69" t="s">
        <v>3040</v>
      </c>
      <c r="N977" s="69"/>
      <c r="O977" s="69">
        <v>1</v>
      </c>
      <c r="P977" s="69" t="s">
        <v>50</v>
      </c>
      <c r="Q977" s="69" t="s">
        <v>51</v>
      </c>
      <c r="R977" s="69"/>
      <c r="S977" s="48">
        <v>41407</v>
      </c>
      <c r="T977" s="48">
        <v>43340</v>
      </c>
      <c r="U977" s="69"/>
      <c r="V977" s="69"/>
      <c r="W977" s="69"/>
      <c r="X977" s="69"/>
      <c r="Y977" s="69" t="s">
        <v>4125</v>
      </c>
      <c r="Z977" s="52">
        <v>160000</v>
      </c>
      <c r="AA977" s="43" t="s">
        <v>52</v>
      </c>
      <c r="AB977" s="43" t="s">
        <v>53</v>
      </c>
      <c r="AC977" s="85">
        <v>183</v>
      </c>
      <c r="AD977" s="141">
        <v>0</v>
      </c>
      <c r="AE977" s="142">
        <v>6</v>
      </c>
      <c r="AF977" s="69" t="str">
        <f t="shared" si="114"/>
        <v>0 years 183 days</v>
      </c>
      <c r="AG977" s="69">
        <v>0</v>
      </c>
      <c r="AH977" s="69">
        <v>183</v>
      </c>
      <c r="AI977" s="69">
        <v>160000</v>
      </c>
      <c r="AJ977" s="67">
        <v>160000</v>
      </c>
      <c r="AK977" s="69">
        <v>2025</v>
      </c>
      <c r="AL977" s="61">
        <v>0</v>
      </c>
      <c r="AM977" s="143"/>
    </row>
    <row r="978" spans="1:39" x14ac:dyDescent="0.35">
      <c r="A978" s="69" t="s">
        <v>4124</v>
      </c>
      <c r="B978" s="41">
        <v>1121403299</v>
      </c>
      <c r="C978" s="41"/>
      <c r="D978" s="69"/>
      <c r="E978" s="41">
        <v>0</v>
      </c>
      <c r="F978" s="41" t="s">
        <v>2961</v>
      </c>
      <c r="G978" s="69" t="s">
        <v>2960</v>
      </c>
      <c r="H978" s="41">
        <v>9013000023</v>
      </c>
      <c r="I978" s="41" t="s">
        <v>593</v>
      </c>
      <c r="J978" s="41">
        <v>1202020101</v>
      </c>
      <c r="K978" s="41" t="s">
        <v>3042</v>
      </c>
      <c r="L978" s="52" t="s">
        <v>3043</v>
      </c>
      <c r="M978" s="69" t="s">
        <v>3044</v>
      </c>
      <c r="N978" s="69"/>
      <c r="O978" s="69">
        <v>1</v>
      </c>
      <c r="P978" s="69" t="s">
        <v>50</v>
      </c>
      <c r="Q978" s="69" t="s">
        <v>51</v>
      </c>
      <c r="R978" s="69"/>
      <c r="S978" s="48">
        <v>43973</v>
      </c>
      <c r="T978" s="48">
        <v>43973</v>
      </c>
      <c r="U978" s="69"/>
      <c r="V978" s="69"/>
      <c r="W978" s="69"/>
      <c r="X978" s="69"/>
      <c r="Y978" s="69" t="s">
        <v>4127</v>
      </c>
      <c r="Z978" s="52">
        <v>135000</v>
      </c>
      <c r="AA978" s="43" t="s">
        <v>52</v>
      </c>
      <c r="AB978" s="43" t="s">
        <v>53</v>
      </c>
      <c r="AC978" s="85">
        <v>1460</v>
      </c>
      <c r="AD978" s="141">
        <v>4</v>
      </c>
      <c r="AE978" s="142">
        <v>0</v>
      </c>
      <c r="AF978" s="69" t="str">
        <f t="shared" si="114"/>
        <v>4 years 0 days</v>
      </c>
      <c r="AG978" s="69">
        <v>4</v>
      </c>
      <c r="AH978" s="69">
        <v>0</v>
      </c>
      <c r="AI978" s="69">
        <v>135000</v>
      </c>
      <c r="AJ978" s="67">
        <v>135000</v>
      </c>
      <c r="AK978" s="69">
        <v>2025</v>
      </c>
      <c r="AL978" s="61">
        <v>0</v>
      </c>
      <c r="AM978" s="143"/>
    </row>
    <row r="979" spans="1:39" x14ac:dyDescent="0.35">
      <c r="A979" s="69" t="s">
        <v>4124</v>
      </c>
      <c r="B979" s="41">
        <v>1121401161</v>
      </c>
      <c r="C979" s="41"/>
      <c r="D979" s="69"/>
      <c r="E979" s="41">
        <v>0</v>
      </c>
      <c r="F979" s="41" t="s">
        <v>2961</v>
      </c>
      <c r="G979" s="69" t="s">
        <v>2960</v>
      </c>
      <c r="H979" s="41">
        <v>9013000024</v>
      </c>
      <c r="I979" s="41" t="s">
        <v>593</v>
      </c>
      <c r="J979" s="41">
        <v>1202020101</v>
      </c>
      <c r="K979" s="41" t="s">
        <v>3046</v>
      </c>
      <c r="L979" s="52" t="s">
        <v>3047</v>
      </c>
      <c r="M979" s="69" t="s">
        <v>49</v>
      </c>
      <c r="N979" s="69"/>
      <c r="O979" s="69">
        <v>1</v>
      </c>
      <c r="P979" s="69" t="s">
        <v>50</v>
      </c>
      <c r="Q979" s="69" t="s">
        <v>51</v>
      </c>
      <c r="R979" s="69"/>
      <c r="S979" s="48">
        <v>41502</v>
      </c>
      <c r="T979" s="48">
        <v>43340</v>
      </c>
      <c r="U979" s="69"/>
      <c r="V979" s="69"/>
      <c r="W979" s="69"/>
      <c r="X979" s="69"/>
      <c r="Y979" s="69" t="s">
        <v>4125</v>
      </c>
      <c r="Z979" s="52">
        <v>13500</v>
      </c>
      <c r="AA979" s="43" t="s">
        <v>52</v>
      </c>
      <c r="AB979" s="43" t="s">
        <v>53</v>
      </c>
      <c r="AC979" s="85">
        <v>183</v>
      </c>
      <c r="AD979" s="141">
        <v>0</v>
      </c>
      <c r="AE979" s="142">
        <v>6</v>
      </c>
      <c r="AF979" s="69" t="str">
        <f t="shared" si="114"/>
        <v>0 years 183 days</v>
      </c>
      <c r="AG979" s="69">
        <v>0</v>
      </c>
      <c r="AH979" s="69">
        <v>183</v>
      </c>
      <c r="AI979" s="69">
        <v>13500</v>
      </c>
      <c r="AJ979" s="67">
        <v>13500</v>
      </c>
      <c r="AK979" s="69">
        <v>2025</v>
      </c>
      <c r="AL979" s="61">
        <v>0</v>
      </c>
      <c r="AM979" s="143"/>
    </row>
    <row r="980" spans="1:39" x14ac:dyDescent="0.35">
      <c r="A980" s="69" t="s">
        <v>4124</v>
      </c>
      <c r="B980" s="41">
        <v>1121400693</v>
      </c>
      <c r="C980" s="41"/>
      <c r="D980" s="69"/>
      <c r="E980" s="41">
        <v>0</v>
      </c>
      <c r="F980" s="41" t="s">
        <v>2961</v>
      </c>
      <c r="G980" s="69" t="s">
        <v>2960</v>
      </c>
      <c r="H980" s="41">
        <v>9013000025</v>
      </c>
      <c r="I980" s="41" t="s">
        <v>593</v>
      </c>
      <c r="J980" s="41">
        <v>1202020101</v>
      </c>
      <c r="K980" s="41" t="s">
        <v>3049</v>
      </c>
      <c r="L980" s="52" t="s">
        <v>3050</v>
      </c>
      <c r="M980" s="69" t="s">
        <v>49</v>
      </c>
      <c r="N980" s="69"/>
      <c r="O980" s="69">
        <v>1</v>
      </c>
      <c r="P980" s="69" t="s">
        <v>50</v>
      </c>
      <c r="Q980" s="69" t="s">
        <v>51</v>
      </c>
      <c r="R980" s="69"/>
      <c r="S980" s="48">
        <v>40931</v>
      </c>
      <c r="T980" s="48">
        <v>43340</v>
      </c>
      <c r="U980" s="69"/>
      <c r="V980" s="69"/>
      <c r="W980" s="69"/>
      <c r="X980" s="69"/>
      <c r="Y980" s="69" t="s">
        <v>4125</v>
      </c>
      <c r="Z980" s="52">
        <v>29000</v>
      </c>
      <c r="AA980" s="43" t="s">
        <v>52</v>
      </c>
      <c r="AB980" s="43" t="s">
        <v>53</v>
      </c>
      <c r="AC980" s="85">
        <v>183</v>
      </c>
      <c r="AD980" s="141">
        <v>0</v>
      </c>
      <c r="AE980" s="142">
        <v>6</v>
      </c>
      <c r="AF980" s="69" t="str">
        <f t="shared" si="114"/>
        <v>0 years 183 days</v>
      </c>
      <c r="AG980" s="69">
        <v>0</v>
      </c>
      <c r="AH980" s="69">
        <v>183</v>
      </c>
      <c r="AI980" s="69">
        <v>29000</v>
      </c>
      <c r="AJ980" s="67">
        <v>29000</v>
      </c>
      <c r="AK980" s="69">
        <v>2025</v>
      </c>
      <c r="AL980" s="61">
        <v>0</v>
      </c>
      <c r="AM980" s="143"/>
    </row>
    <row r="981" spans="1:39" x14ac:dyDescent="0.35">
      <c r="A981" s="69" t="s">
        <v>4124</v>
      </c>
      <c r="B981" s="41">
        <v>1121402926</v>
      </c>
      <c r="C981" s="41"/>
      <c r="D981" s="69"/>
      <c r="E981" s="41">
        <v>0</v>
      </c>
      <c r="F981" s="41" t="s">
        <v>2961</v>
      </c>
      <c r="G981" s="69" t="s">
        <v>2960</v>
      </c>
      <c r="H981" s="41">
        <v>9013000026</v>
      </c>
      <c r="I981" s="41" t="s">
        <v>593</v>
      </c>
      <c r="J981" s="41">
        <v>1202020101</v>
      </c>
      <c r="K981" s="41" t="s">
        <v>3052</v>
      </c>
      <c r="L981" s="52" t="s">
        <v>3053</v>
      </c>
      <c r="M981" s="69" t="s">
        <v>3054</v>
      </c>
      <c r="N981" s="69"/>
      <c r="O981" s="69">
        <v>1</v>
      </c>
      <c r="P981" s="69" t="s">
        <v>50</v>
      </c>
      <c r="Q981" s="69" t="s">
        <v>51</v>
      </c>
      <c r="R981" s="69"/>
      <c r="S981" s="48">
        <v>43558</v>
      </c>
      <c r="T981" s="48">
        <v>43558</v>
      </c>
      <c r="U981" s="69"/>
      <c r="V981" s="69"/>
      <c r="W981" s="69"/>
      <c r="X981" s="69"/>
      <c r="Y981" s="69" t="s">
        <v>4126</v>
      </c>
      <c r="Z981" s="52">
        <v>106000</v>
      </c>
      <c r="AA981" s="43" t="s">
        <v>52</v>
      </c>
      <c r="AB981" s="43" t="s">
        <v>53</v>
      </c>
      <c r="AC981" s="85">
        <v>1460</v>
      </c>
      <c r="AD981" s="141">
        <v>4</v>
      </c>
      <c r="AE981" s="142">
        <v>0</v>
      </c>
      <c r="AF981" s="69" t="str">
        <f t="shared" si="114"/>
        <v>4 years 0 days</v>
      </c>
      <c r="AG981" s="69">
        <v>4</v>
      </c>
      <c r="AH981" s="69">
        <v>0</v>
      </c>
      <c r="AI981" s="69">
        <v>106000</v>
      </c>
      <c r="AJ981" s="67">
        <v>106000</v>
      </c>
      <c r="AK981" s="69">
        <v>2025</v>
      </c>
      <c r="AL981" s="61">
        <v>0</v>
      </c>
      <c r="AM981" s="143"/>
    </row>
    <row r="982" spans="1:39" x14ac:dyDescent="0.35">
      <c r="A982" s="69" t="s">
        <v>4124</v>
      </c>
      <c r="B982" s="41">
        <v>1121404098</v>
      </c>
      <c r="C982" s="41"/>
      <c r="D982" s="69"/>
      <c r="E982" s="41">
        <v>0</v>
      </c>
      <c r="F982" s="41" t="s">
        <v>2961</v>
      </c>
      <c r="G982" s="69" t="s">
        <v>2960</v>
      </c>
      <c r="H982" s="41">
        <v>9013000027</v>
      </c>
      <c r="I982" s="41" t="s">
        <v>593</v>
      </c>
      <c r="J982" s="41">
        <v>1202020101</v>
      </c>
      <c r="K982" s="41" t="s">
        <v>3056</v>
      </c>
      <c r="L982" s="52" t="s">
        <v>3057</v>
      </c>
      <c r="M982" s="69" t="s">
        <v>3058</v>
      </c>
      <c r="N982" s="69"/>
      <c r="O982" s="69">
        <v>2</v>
      </c>
      <c r="P982" s="69" t="s">
        <v>50</v>
      </c>
      <c r="Q982" s="69" t="s">
        <v>51</v>
      </c>
      <c r="R982" s="69"/>
      <c r="S982" s="48">
        <v>44693</v>
      </c>
      <c r="T982" s="48">
        <v>44693</v>
      </c>
      <c r="U982" s="69"/>
      <c r="V982" s="69"/>
      <c r="W982" s="69"/>
      <c r="X982" s="69"/>
      <c r="Y982" s="69" t="s">
        <v>4131</v>
      </c>
      <c r="Z982" s="52">
        <v>270000</v>
      </c>
      <c r="AA982" s="43" t="s">
        <v>52</v>
      </c>
      <c r="AB982" s="43" t="s">
        <v>53</v>
      </c>
      <c r="AC982" s="85">
        <v>1460</v>
      </c>
      <c r="AD982" s="141">
        <v>4</v>
      </c>
      <c r="AE982" s="142">
        <v>0</v>
      </c>
      <c r="AF982" s="69" t="str">
        <f t="shared" si="114"/>
        <v>2 years 235 days</v>
      </c>
      <c r="AG982" s="69">
        <v>2</v>
      </c>
      <c r="AH982" s="69">
        <v>235</v>
      </c>
      <c r="AI982" s="69">
        <v>270000</v>
      </c>
      <c r="AJ982" s="67">
        <v>178459</v>
      </c>
      <c r="AK982" s="69">
        <v>2025</v>
      </c>
      <c r="AL982" s="61">
        <v>33472.506849315076</v>
      </c>
      <c r="AM982" s="143"/>
    </row>
    <row r="983" spans="1:39" x14ac:dyDescent="0.35">
      <c r="A983" s="69" t="s">
        <v>4124</v>
      </c>
      <c r="B983" s="41">
        <v>1121401539</v>
      </c>
      <c r="C983" s="41"/>
      <c r="D983" s="69"/>
      <c r="E983" s="41">
        <v>0</v>
      </c>
      <c r="F983" s="41" t="s">
        <v>2961</v>
      </c>
      <c r="G983" s="69" t="s">
        <v>2960</v>
      </c>
      <c r="H983" s="41">
        <v>9013000028</v>
      </c>
      <c r="I983" s="41" t="s">
        <v>593</v>
      </c>
      <c r="J983" s="41">
        <v>1202020101</v>
      </c>
      <c r="K983" s="41" t="s">
        <v>3060</v>
      </c>
      <c r="L983" s="52" t="s">
        <v>3061</v>
      </c>
      <c r="M983" s="69" t="s">
        <v>3062</v>
      </c>
      <c r="N983" s="69"/>
      <c r="O983" s="69">
        <v>1</v>
      </c>
      <c r="P983" s="69" t="s">
        <v>50</v>
      </c>
      <c r="Q983" s="69" t="s">
        <v>51</v>
      </c>
      <c r="R983" s="69"/>
      <c r="S983" s="48">
        <v>41949</v>
      </c>
      <c r="T983" s="48">
        <v>43340</v>
      </c>
      <c r="U983" s="69"/>
      <c r="V983" s="69"/>
      <c r="W983" s="69"/>
      <c r="X983" s="69"/>
      <c r="Y983" s="69" t="s">
        <v>4125</v>
      </c>
      <c r="Z983" s="52">
        <v>360000</v>
      </c>
      <c r="AA983" s="43" t="s">
        <v>52</v>
      </c>
      <c r="AB983" s="43" t="s">
        <v>53</v>
      </c>
      <c r="AC983" s="85">
        <v>438</v>
      </c>
      <c r="AD983" s="141">
        <v>1</v>
      </c>
      <c r="AE983" s="142">
        <v>2</v>
      </c>
      <c r="AF983" s="69" t="str">
        <f t="shared" si="114"/>
        <v>1 years 73 days</v>
      </c>
      <c r="AG983" s="69">
        <v>1</v>
      </c>
      <c r="AH983" s="69">
        <v>73</v>
      </c>
      <c r="AI983" s="69">
        <v>360000</v>
      </c>
      <c r="AJ983" s="67">
        <v>360000</v>
      </c>
      <c r="AK983" s="69">
        <v>2025</v>
      </c>
      <c r="AL983" s="61">
        <v>0</v>
      </c>
      <c r="AM983" s="143"/>
    </row>
    <row r="984" spans="1:39" x14ac:dyDescent="0.35">
      <c r="A984" s="69" t="s">
        <v>4124</v>
      </c>
      <c r="B984" s="41">
        <v>1121403693</v>
      </c>
      <c r="C984" s="41"/>
      <c r="D984" s="69"/>
      <c r="E984" s="41">
        <v>0</v>
      </c>
      <c r="F984" s="41" t="s">
        <v>2961</v>
      </c>
      <c r="G984" s="69" t="s">
        <v>2960</v>
      </c>
      <c r="H984" s="41">
        <v>9013000029</v>
      </c>
      <c r="I984" s="41" t="s">
        <v>593</v>
      </c>
      <c r="J984" s="41">
        <v>1202020101</v>
      </c>
      <c r="K984" s="41" t="s">
        <v>3064</v>
      </c>
      <c r="L984" s="52" t="s">
        <v>3065</v>
      </c>
      <c r="M984" s="69" t="s">
        <v>3066</v>
      </c>
      <c r="N984" s="69"/>
      <c r="O984" s="69">
        <v>1</v>
      </c>
      <c r="P984" s="69" t="s">
        <v>50</v>
      </c>
      <c r="Q984" s="69" t="s">
        <v>51</v>
      </c>
      <c r="R984" s="69"/>
      <c r="S984" s="48">
        <v>44334</v>
      </c>
      <c r="T984" s="48">
        <v>44334</v>
      </c>
      <c r="U984" s="69"/>
      <c r="V984" s="69"/>
      <c r="W984" s="69"/>
      <c r="X984" s="69"/>
      <c r="Y984" s="69" t="s">
        <v>4128</v>
      </c>
      <c r="Z984" s="52">
        <v>135000</v>
      </c>
      <c r="AA984" s="43" t="s">
        <v>52</v>
      </c>
      <c r="AB984" s="43" t="s">
        <v>53</v>
      </c>
      <c r="AC984" s="85">
        <v>1460</v>
      </c>
      <c r="AD984" s="141">
        <v>4</v>
      </c>
      <c r="AE984" s="142">
        <v>0</v>
      </c>
      <c r="AF984" s="69" t="str">
        <f t="shared" si="114"/>
        <v>3 years 229 days</v>
      </c>
      <c r="AG984" s="69">
        <v>3</v>
      </c>
      <c r="AH984" s="69">
        <v>229</v>
      </c>
      <c r="AI984" s="69">
        <v>135000</v>
      </c>
      <c r="AJ984" s="67">
        <v>122425</v>
      </c>
      <c r="AK984" s="69">
        <v>2025</v>
      </c>
      <c r="AL984" s="61">
        <v>12575</v>
      </c>
      <c r="AM984" s="143"/>
    </row>
    <row r="985" spans="1:39" x14ac:dyDescent="0.35">
      <c r="A985" s="69" t="s">
        <v>4124</v>
      </c>
      <c r="B985" s="41">
        <v>1121403297</v>
      </c>
      <c r="C985" s="41"/>
      <c r="D985" s="69"/>
      <c r="E985" s="41">
        <v>0</v>
      </c>
      <c r="F985" s="41" t="s">
        <v>2961</v>
      </c>
      <c r="G985" s="69" t="s">
        <v>2960</v>
      </c>
      <c r="H985" s="41">
        <v>9013000030</v>
      </c>
      <c r="I985" s="41" t="s">
        <v>593</v>
      </c>
      <c r="J985" s="41">
        <v>1202020101</v>
      </c>
      <c r="K985" s="41" t="s">
        <v>3068</v>
      </c>
      <c r="L985" s="52" t="s">
        <v>3069</v>
      </c>
      <c r="M985" s="69" t="s">
        <v>3044</v>
      </c>
      <c r="N985" s="69"/>
      <c r="O985" s="69">
        <v>1</v>
      </c>
      <c r="P985" s="69" t="s">
        <v>50</v>
      </c>
      <c r="Q985" s="69" t="s">
        <v>51</v>
      </c>
      <c r="R985" s="69"/>
      <c r="S985" s="48">
        <v>43964</v>
      </c>
      <c r="T985" s="48">
        <v>43964</v>
      </c>
      <c r="U985" s="69"/>
      <c r="V985" s="69"/>
      <c r="W985" s="69"/>
      <c r="X985" s="69"/>
      <c r="Y985" s="69" t="s">
        <v>4127</v>
      </c>
      <c r="Z985" s="52">
        <v>135000</v>
      </c>
      <c r="AA985" s="43" t="s">
        <v>52</v>
      </c>
      <c r="AB985" s="43" t="s">
        <v>53</v>
      </c>
      <c r="AC985" s="85">
        <v>1460</v>
      </c>
      <c r="AD985" s="141">
        <v>4</v>
      </c>
      <c r="AE985" s="142">
        <v>0</v>
      </c>
      <c r="AF985" s="69" t="str">
        <f t="shared" si="114"/>
        <v>4 years 0 days</v>
      </c>
      <c r="AG985" s="69">
        <v>4</v>
      </c>
      <c r="AH985" s="69">
        <v>0</v>
      </c>
      <c r="AI985" s="69">
        <v>135000</v>
      </c>
      <c r="AJ985" s="67">
        <v>135000</v>
      </c>
      <c r="AK985" s="69">
        <v>2025</v>
      </c>
      <c r="AL985" s="61">
        <v>0</v>
      </c>
      <c r="AM985" s="143"/>
    </row>
    <row r="986" spans="1:39" x14ac:dyDescent="0.35">
      <c r="A986" s="69" t="s">
        <v>4124</v>
      </c>
      <c r="B986" s="41">
        <v>1121403004</v>
      </c>
      <c r="C986" s="41"/>
      <c r="D986" s="69"/>
      <c r="E986" s="41">
        <v>0</v>
      </c>
      <c r="F986" s="41" t="s">
        <v>2961</v>
      </c>
      <c r="G986" s="69" t="s">
        <v>2960</v>
      </c>
      <c r="H986" s="41">
        <v>9013000031</v>
      </c>
      <c r="I986" s="41" t="s">
        <v>593</v>
      </c>
      <c r="J986" s="41">
        <v>1202020101</v>
      </c>
      <c r="K986" s="41" t="s">
        <v>3071</v>
      </c>
      <c r="L986" s="52" t="s">
        <v>3072</v>
      </c>
      <c r="M986" s="69" t="s">
        <v>3073</v>
      </c>
      <c r="N986" s="69"/>
      <c r="O986" s="69">
        <v>1</v>
      </c>
      <c r="P986" s="69" t="s">
        <v>50</v>
      </c>
      <c r="Q986" s="69" t="s">
        <v>51</v>
      </c>
      <c r="R986" s="69"/>
      <c r="S986" s="48">
        <v>43650</v>
      </c>
      <c r="T986" s="48">
        <v>43650</v>
      </c>
      <c r="U986" s="69"/>
      <c r="V986" s="69"/>
      <c r="W986" s="69"/>
      <c r="X986" s="69"/>
      <c r="Y986" s="69" t="s">
        <v>4126</v>
      </c>
      <c r="Z986" s="52">
        <v>135000</v>
      </c>
      <c r="AA986" s="43" t="s">
        <v>52</v>
      </c>
      <c r="AB986" s="43" t="s">
        <v>53</v>
      </c>
      <c r="AC986" s="85">
        <v>1460</v>
      </c>
      <c r="AD986" s="141">
        <v>4</v>
      </c>
      <c r="AE986" s="142">
        <v>0</v>
      </c>
      <c r="AF986" s="69" t="str">
        <f t="shared" si="114"/>
        <v>4 years 0 days</v>
      </c>
      <c r="AG986" s="69">
        <v>4</v>
      </c>
      <c r="AH986" s="69">
        <v>0</v>
      </c>
      <c r="AI986" s="69">
        <v>135000</v>
      </c>
      <c r="AJ986" s="67">
        <v>135000</v>
      </c>
      <c r="AK986" s="69">
        <v>2025</v>
      </c>
      <c r="AL986" s="61">
        <v>0</v>
      </c>
      <c r="AM986" s="143"/>
    </row>
    <row r="987" spans="1:39" x14ac:dyDescent="0.35">
      <c r="A987" s="69" t="s">
        <v>4124</v>
      </c>
      <c r="B987" s="41">
        <v>1121400529</v>
      </c>
      <c r="C987" s="41"/>
      <c r="D987" s="69"/>
      <c r="E987" s="41">
        <v>0</v>
      </c>
      <c r="F987" s="41" t="s">
        <v>2961</v>
      </c>
      <c r="G987" s="69" t="s">
        <v>2960</v>
      </c>
      <c r="H987" s="41">
        <v>9013000032</v>
      </c>
      <c r="I987" s="41" t="s">
        <v>593</v>
      </c>
      <c r="J987" s="41">
        <v>1202020101</v>
      </c>
      <c r="K987" s="41" t="s">
        <v>3075</v>
      </c>
      <c r="L987" s="52" t="s">
        <v>3076</v>
      </c>
      <c r="M987" s="69" t="s">
        <v>49</v>
      </c>
      <c r="N987" s="69"/>
      <c r="O987" s="69">
        <v>1</v>
      </c>
      <c r="P987" s="69" t="s">
        <v>50</v>
      </c>
      <c r="Q987" s="69" t="s">
        <v>51</v>
      </c>
      <c r="R987" s="69"/>
      <c r="S987" s="48">
        <v>40494</v>
      </c>
      <c r="T987" s="48">
        <v>43340</v>
      </c>
      <c r="U987" s="69"/>
      <c r="V987" s="69"/>
      <c r="W987" s="69"/>
      <c r="X987" s="69"/>
      <c r="Y987" s="69" t="s">
        <v>4125</v>
      </c>
      <c r="Z987" s="52">
        <v>155000</v>
      </c>
      <c r="AA987" s="43" t="s">
        <v>52</v>
      </c>
      <c r="AB987" s="43" t="s">
        <v>53</v>
      </c>
      <c r="AC987" s="85">
        <v>183</v>
      </c>
      <c r="AD987" s="141">
        <v>0</v>
      </c>
      <c r="AE987" s="142">
        <v>6</v>
      </c>
      <c r="AF987" s="69" t="str">
        <f t="shared" si="114"/>
        <v>0 years 183 days</v>
      </c>
      <c r="AG987" s="69">
        <v>0</v>
      </c>
      <c r="AH987" s="69">
        <v>183</v>
      </c>
      <c r="AI987" s="69">
        <v>155000</v>
      </c>
      <c r="AJ987" s="67">
        <v>155000</v>
      </c>
      <c r="AK987" s="69">
        <v>2025</v>
      </c>
      <c r="AL987" s="61">
        <v>0</v>
      </c>
      <c r="AM987" s="143"/>
    </row>
    <row r="988" spans="1:39" x14ac:dyDescent="0.35">
      <c r="A988" s="69" t="s">
        <v>4124</v>
      </c>
      <c r="B988" s="41">
        <v>1121402379</v>
      </c>
      <c r="C988" s="41"/>
      <c r="D988" s="69"/>
      <c r="E988" s="41">
        <v>0</v>
      </c>
      <c r="F988" s="41" t="s">
        <v>2961</v>
      </c>
      <c r="G988" s="69" t="s">
        <v>2960</v>
      </c>
      <c r="H988" s="41">
        <v>9013000033</v>
      </c>
      <c r="I988" s="41" t="s">
        <v>593</v>
      </c>
      <c r="J988" s="41">
        <v>1202020101</v>
      </c>
      <c r="K988" s="41" t="s">
        <v>3078</v>
      </c>
      <c r="L988" s="52" t="s">
        <v>3079</v>
      </c>
      <c r="M988" s="69" t="s">
        <v>49</v>
      </c>
      <c r="N988" s="69"/>
      <c r="O988" s="69">
        <v>1</v>
      </c>
      <c r="P988" s="69" t="s">
        <v>50</v>
      </c>
      <c r="Q988" s="69" t="s">
        <v>51</v>
      </c>
      <c r="R988" s="69"/>
      <c r="S988" s="48">
        <v>42928</v>
      </c>
      <c r="T988" s="48">
        <v>43340</v>
      </c>
      <c r="U988" s="69"/>
      <c r="V988" s="69"/>
      <c r="W988" s="69"/>
      <c r="X988" s="69"/>
      <c r="Y988" s="69" t="s">
        <v>4125</v>
      </c>
      <c r="Z988" s="52">
        <v>82500</v>
      </c>
      <c r="AA988" s="43" t="s">
        <v>52</v>
      </c>
      <c r="AB988" s="43" t="s">
        <v>53</v>
      </c>
      <c r="AC988" s="85">
        <v>1387</v>
      </c>
      <c r="AD988" s="141">
        <v>3</v>
      </c>
      <c r="AE988" s="142">
        <v>10</v>
      </c>
      <c r="AF988" s="69" t="str">
        <f t="shared" si="114"/>
        <v>3 years 292 days</v>
      </c>
      <c r="AG988" s="69">
        <v>3</v>
      </c>
      <c r="AH988" s="69">
        <v>292</v>
      </c>
      <c r="AI988" s="69">
        <v>82500</v>
      </c>
      <c r="AJ988" s="67">
        <v>82500</v>
      </c>
      <c r="AK988" s="69">
        <v>2025</v>
      </c>
      <c r="AL988" s="61">
        <v>0</v>
      </c>
      <c r="AM988" s="143"/>
    </row>
    <row r="989" spans="1:39" x14ac:dyDescent="0.35">
      <c r="A989" s="69" t="s">
        <v>4124</v>
      </c>
      <c r="B989" s="41">
        <v>1121403483</v>
      </c>
      <c r="C989" s="41"/>
      <c r="D989" s="69"/>
      <c r="E989" s="41">
        <v>0</v>
      </c>
      <c r="F989" s="41" t="s">
        <v>2961</v>
      </c>
      <c r="G989" s="69" t="s">
        <v>2960</v>
      </c>
      <c r="H989" s="41">
        <v>9013000034</v>
      </c>
      <c r="I989" s="41" t="s">
        <v>593</v>
      </c>
      <c r="J989" s="41">
        <v>1202020101</v>
      </c>
      <c r="K989" s="41" t="s">
        <v>3081</v>
      </c>
      <c r="L989" s="52" t="s">
        <v>3082</v>
      </c>
      <c r="M989" s="69" t="s">
        <v>3083</v>
      </c>
      <c r="N989" s="69"/>
      <c r="O989" s="69">
        <v>1</v>
      </c>
      <c r="P989" s="69" t="s">
        <v>50</v>
      </c>
      <c r="Q989" s="69" t="s">
        <v>51</v>
      </c>
      <c r="R989" s="69"/>
      <c r="S989" s="48">
        <v>44175</v>
      </c>
      <c r="T989" s="48">
        <v>44175</v>
      </c>
      <c r="U989" s="69"/>
      <c r="V989" s="69"/>
      <c r="W989" s="69"/>
      <c r="X989" s="69"/>
      <c r="Y989" s="69" t="s">
        <v>4127</v>
      </c>
      <c r="Z989" s="52">
        <v>135000</v>
      </c>
      <c r="AA989" s="43" t="s">
        <v>52</v>
      </c>
      <c r="AB989" s="43" t="s">
        <v>53</v>
      </c>
      <c r="AC989" s="85">
        <v>1460</v>
      </c>
      <c r="AD989" s="141">
        <v>4</v>
      </c>
      <c r="AE989" s="142">
        <v>0</v>
      </c>
      <c r="AF989" s="69" t="str">
        <f t="shared" si="114"/>
        <v>4 years 0 days</v>
      </c>
      <c r="AG989" s="69">
        <v>4</v>
      </c>
      <c r="AH989" s="69">
        <v>0</v>
      </c>
      <c r="AI989" s="69">
        <v>135000</v>
      </c>
      <c r="AJ989" s="67">
        <v>135000</v>
      </c>
      <c r="AK989" s="69">
        <v>2025</v>
      </c>
      <c r="AL989" s="61">
        <v>0</v>
      </c>
      <c r="AM989" s="143"/>
    </row>
    <row r="990" spans="1:39" x14ac:dyDescent="0.35">
      <c r="A990" s="69" t="s">
        <v>4124</v>
      </c>
      <c r="B990" s="41">
        <v>1121401288</v>
      </c>
      <c r="C990" s="41"/>
      <c r="D990" s="69"/>
      <c r="E990" s="41">
        <v>0</v>
      </c>
      <c r="F990" s="41" t="s">
        <v>2961</v>
      </c>
      <c r="G990" s="69" t="s">
        <v>2960</v>
      </c>
      <c r="H990" s="41">
        <v>9013000035</v>
      </c>
      <c r="I990" s="41" t="s">
        <v>593</v>
      </c>
      <c r="J990" s="41">
        <v>1202020101</v>
      </c>
      <c r="K990" s="41" t="s">
        <v>3085</v>
      </c>
      <c r="L990" s="52" t="s">
        <v>3086</v>
      </c>
      <c r="M990" s="69" t="s">
        <v>3087</v>
      </c>
      <c r="N990" s="69"/>
      <c r="O990" s="69">
        <v>1</v>
      </c>
      <c r="P990" s="69" t="s">
        <v>50</v>
      </c>
      <c r="Q990" s="69" t="s">
        <v>51</v>
      </c>
      <c r="R990" s="69"/>
      <c r="S990" s="48">
        <v>41630</v>
      </c>
      <c r="T990" s="48">
        <v>43340</v>
      </c>
      <c r="U990" s="69"/>
      <c r="V990" s="69"/>
      <c r="W990" s="69"/>
      <c r="X990" s="69"/>
      <c r="Y990" s="69" t="s">
        <v>4125</v>
      </c>
      <c r="Z990" s="52">
        <v>14000</v>
      </c>
      <c r="AA990" s="43" t="s">
        <v>52</v>
      </c>
      <c r="AB990" s="43" t="s">
        <v>53</v>
      </c>
      <c r="AC990" s="85">
        <v>183</v>
      </c>
      <c r="AD990" s="141">
        <v>0</v>
      </c>
      <c r="AE990" s="142">
        <v>6</v>
      </c>
      <c r="AF990" s="69" t="str">
        <f t="shared" si="114"/>
        <v>0 years 183 days</v>
      </c>
      <c r="AG990" s="69">
        <v>0</v>
      </c>
      <c r="AH990" s="69">
        <v>183</v>
      </c>
      <c r="AI990" s="69">
        <v>14000</v>
      </c>
      <c r="AJ990" s="67">
        <v>14000</v>
      </c>
      <c r="AK990" s="69">
        <v>2025</v>
      </c>
      <c r="AL990" s="61">
        <v>0</v>
      </c>
      <c r="AM990" s="143"/>
    </row>
    <row r="991" spans="1:39" x14ac:dyDescent="0.35">
      <c r="A991" s="69" t="s">
        <v>4124</v>
      </c>
      <c r="B991" s="41">
        <v>1121400528</v>
      </c>
      <c r="C991" s="41"/>
      <c r="D991" s="69"/>
      <c r="E991" s="41">
        <v>0</v>
      </c>
      <c r="F991" s="41" t="s">
        <v>2961</v>
      </c>
      <c r="G991" s="69" t="s">
        <v>2960</v>
      </c>
      <c r="H991" s="41">
        <v>9013000036</v>
      </c>
      <c r="I991" s="41" t="s">
        <v>593</v>
      </c>
      <c r="J991" s="41">
        <v>1202020101</v>
      </c>
      <c r="K991" s="41" t="s">
        <v>3089</v>
      </c>
      <c r="L991" s="52" t="s">
        <v>3090</v>
      </c>
      <c r="M991" s="69" t="s">
        <v>49</v>
      </c>
      <c r="N991" s="69"/>
      <c r="O991" s="69">
        <v>1</v>
      </c>
      <c r="P991" s="69" t="s">
        <v>50</v>
      </c>
      <c r="Q991" s="69" t="s">
        <v>51</v>
      </c>
      <c r="R991" s="69"/>
      <c r="S991" s="48">
        <v>40494</v>
      </c>
      <c r="T991" s="48">
        <v>43340</v>
      </c>
      <c r="U991" s="69"/>
      <c r="V991" s="69"/>
      <c r="W991" s="69"/>
      <c r="X991" s="69"/>
      <c r="Y991" s="69" t="s">
        <v>4125</v>
      </c>
      <c r="Z991" s="52">
        <v>155000</v>
      </c>
      <c r="AA991" s="43" t="s">
        <v>52</v>
      </c>
      <c r="AB991" s="43" t="s">
        <v>53</v>
      </c>
      <c r="AC991" s="85">
        <v>183</v>
      </c>
      <c r="AD991" s="141">
        <v>0</v>
      </c>
      <c r="AE991" s="142">
        <v>6</v>
      </c>
      <c r="AF991" s="69" t="str">
        <f t="shared" si="114"/>
        <v>0 years 183 days</v>
      </c>
      <c r="AG991" s="69">
        <v>0</v>
      </c>
      <c r="AH991" s="69">
        <v>183</v>
      </c>
      <c r="AI991" s="69">
        <v>155000</v>
      </c>
      <c r="AJ991" s="67">
        <v>155000</v>
      </c>
      <c r="AK991" s="69">
        <v>2025</v>
      </c>
      <c r="AL991" s="61">
        <v>0</v>
      </c>
      <c r="AM991" s="143"/>
    </row>
    <row r="992" spans="1:39" x14ac:dyDescent="0.35">
      <c r="A992" s="69" t="s">
        <v>4124</v>
      </c>
      <c r="B992" s="41">
        <v>1121400699</v>
      </c>
      <c r="C992" s="41"/>
      <c r="D992" s="69"/>
      <c r="E992" s="41">
        <v>0</v>
      </c>
      <c r="F992" s="41" t="s">
        <v>2961</v>
      </c>
      <c r="G992" s="69" t="s">
        <v>2960</v>
      </c>
      <c r="H992" s="41">
        <v>9013000037</v>
      </c>
      <c r="I992" s="41" t="s">
        <v>593</v>
      </c>
      <c r="J992" s="41">
        <v>1202020101</v>
      </c>
      <c r="K992" s="41" t="s">
        <v>3092</v>
      </c>
      <c r="L992" s="52" t="s">
        <v>3093</v>
      </c>
      <c r="M992" s="69" t="s">
        <v>3094</v>
      </c>
      <c r="N992" s="69"/>
      <c r="O992" s="69">
        <v>1</v>
      </c>
      <c r="P992" s="69" t="s">
        <v>50</v>
      </c>
      <c r="Q992" s="69" t="s">
        <v>51</v>
      </c>
      <c r="R992" s="69"/>
      <c r="S992" s="48">
        <v>40962</v>
      </c>
      <c r="T992" s="48">
        <v>43340</v>
      </c>
      <c r="U992" s="69"/>
      <c r="V992" s="69"/>
      <c r="W992" s="69"/>
      <c r="X992" s="69"/>
      <c r="Y992" s="69" t="s">
        <v>4125</v>
      </c>
      <c r="Z992" s="52">
        <v>12000</v>
      </c>
      <c r="AA992" s="43" t="s">
        <v>52</v>
      </c>
      <c r="AB992" s="43" t="s">
        <v>53</v>
      </c>
      <c r="AC992" s="85">
        <v>183</v>
      </c>
      <c r="AD992" s="141">
        <v>0</v>
      </c>
      <c r="AE992" s="142">
        <v>6</v>
      </c>
      <c r="AF992" s="69" t="str">
        <f t="shared" si="114"/>
        <v>0 years 183 days</v>
      </c>
      <c r="AG992" s="69">
        <v>0</v>
      </c>
      <c r="AH992" s="69">
        <v>183</v>
      </c>
      <c r="AI992" s="69">
        <v>12000</v>
      </c>
      <c r="AJ992" s="67">
        <v>12000</v>
      </c>
      <c r="AK992" s="69">
        <v>2025</v>
      </c>
      <c r="AL992" s="61">
        <v>0</v>
      </c>
      <c r="AM992" s="143"/>
    </row>
    <row r="993" spans="1:39" x14ac:dyDescent="0.35">
      <c r="A993" s="69" t="s">
        <v>4124</v>
      </c>
      <c r="B993" s="41">
        <v>1121401233</v>
      </c>
      <c r="C993" s="41"/>
      <c r="D993" s="69"/>
      <c r="E993" s="41">
        <v>0</v>
      </c>
      <c r="F993" s="41" t="s">
        <v>2961</v>
      </c>
      <c r="G993" s="69" t="s">
        <v>2960</v>
      </c>
      <c r="H993" s="41">
        <v>9013000038</v>
      </c>
      <c r="I993" s="41" t="s">
        <v>593</v>
      </c>
      <c r="J993" s="41">
        <v>1202020101</v>
      </c>
      <c r="K993" s="41" t="s">
        <v>3096</v>
      </c>
      <c r="L993" s="52" t="s">
        <v>3097</v>
      </c>
      <c r="M993" s="69" t="s">
        <v>3098</v>
      </c>
      <c r="N993" s="69"/>
      <c r="O993" s="69">
        <v>1</v>
      </c>
      <c r="P993" s="69" t="s">
        <v>50</v>
      </c>
      <c r="Q993" s="69" t="s">
        <v>51</v>
      </c>
      <c r="R993" s="69"/>
      <c r="S993" s="48">
        <v>41570</v>
      </c>
      <c r="T993" s="48">
        <v>43340</v>
      </c>
      <c r="U993" s="69"/>
      <c r="V993" s="69"/>
      <c r="W993" s="69"/>
      <c r="X993" s="69"/>
      <c r="Y993" s="69" t="s">
        <v>4125</v>
      </c>
      <c r="Z993" s="52">
        <v>13500</v>
      </c>
      <c r="AA993" s="43" t="s">
        <v>52</v>
      </c>
      <c r="AB993" s="43" t="s">
        <v>53</v>
      </c>
      <c r="AC993" s="85">
        <v>183</v>
      </c>
      <c r="AD993" s="141">
        <v>0</v>
      </c>
      <c r="AE993" s="142">
        <v>6</v>
      </c>
      <c r="AF993" s="69" t="str">
        <f t="shared" si="114"/>
        <v>0 years 183 days</v>
      </c>
      <c r="AG993" s="69">
        <v>0</v>
      </c>
      <c r="AH993" s="69">
        <v>183</v>
      </c>
      <c r="AI993" s="69">
        <v>13500</v>
      </c>
      <c r="AJ993" s="67">
        <v>13500</v>
      </c>
      <c r="AK993" s="69">
        <v>2025</v>
      </c>
      <c r="AL993" s="61">
        <v>0</v>
      </c>
      <c r="AM993" s="143"/>
    </row>
    <row r="994" spans="1:39" x14ac:dyDescent="0.35">
      <c r="A994" s="69" t="s">
        <v>4124</v>
      </c>
      <c r="B994" s="41">
        <v>1121402230</v>
      </c>
      <c r="C994" s="41"/>
      <c r="D994" s="69"/>
      <c r="E994" s="41">
        <v>0</v>
      </c>
      <c r="F994" s="41" t="s">
        <v>2961</v>
      </c>
      <c r="G994" s="69" t="s">
        <v>2960</v>
      </c>
      <c r="H994" s="41">
        <v>9013000039</v>
      </c>
      <c r="I994" s="41" t="s">
        <v>593</v>
      </c>
      <c r="J994" s="41">
        <v>1202020101</v>
      </c>
      <c r="K994" s="41" t="s">
        <v>3100</v>
      </c>
      <c r="L994" s="52" t="s">
        <v>3101</v>
      </c>
      <c r="M994" s="69" t="s">
        <v>49</v>
      </c>
      <c r="N994" s="69"/>
      <c r="O994" s="69">
        <v>1</v>
      </c>
      <c r="P994" s="69" t="s">
        <v>50</v>
      </c>
      <c r="Q994" s="69" t="s">
        <v>51</v>
      </c>
      <c r="R994" s="69"/>
      <c r="S994" s="48">
        <v>42751</v>
      </c>
      <c r="T994" s="48">
        <v>43340</v>
      </c>
      <c r="U994" s="69"/>
      <c r="V994" s="69"/>
      <c r="W994" s="69"/>
      <c r="X994" s="69"/>
      <c r="Y994" s="69" t="s">
        <v>4125</v>
      </c>
      <c r="Z994" s="52">
        <v>72500</v>
      </c>
      <c r="AA994" s="43" t="s">
        <v>52</v>
      </c>
      <c r="AB994" s="43" t="s">
        <v>53</v>
      </c>
      <c r="AC994" s="85">
        <v>1205</v>
      </c>
      <c r="AD994" s="141">
        <v>3</v>
      </c>
      <c r="AE994" s="142">
        <v>4</v>
      </c>
      <c r="AF994" s="69" t="str">
        <f t="shared" si="114"/>
        <v>3 years 110 days</v>
      </c>
      <c r="AG994" s="69">
        <v>3</v>
      </c>
      <c r="AH994" s="69">
        <v>110</v>
      </c>
      <c r="AI994" s="69">
        <v>72500</v>
      </c>
      <c r="AJ994" s="67">
        <v>72500</v>
      </c>
      <c r="AK994" s="69">
        <v>2025</v>
      </c>
      <c r="AL994" s="61">
        <v>0</v>
      </c>
      <c r="AM994" s="143"/>
    </row>
    <row r="995" spans="1:39" x14ac:dyDescent="0.35">
      <c r="A995" s="69" t="s">
        <v>4124</v>
      </c>
      <c r="B995" s="41">
        <v>1121400562</v>
      </c>
      <c r="C995" s="41"/>
      <c r="D995" s="69"/>
      <c r="E995" s="41">
        <v>0</v>
      </c>
      <c r="F995" s="41" t="s">
        <v>2961</v>
      </c>
      <c r="G995" s="69" t="s">
        <v>2960</v>
      </c>
      <c r="H995" s="41">
        <v>9013000040</v>
      </c>
      <c r="I995" s="41" t="s">
        <v>593</v>
      </c>
      <c r="J995" s="41">
        <v>1202020101</v>
      </c>
      <c r="K995" s="41" t="s">
        <v>3103</v>
      </c>
      <c r="L995" s="52" t="s">
        <v>3104</v>
      </c>
      <c r="M995" s="69" t="s">
        <v>49</v>
      </c>
      <c r="N995" s="69"/>
      <c r="O995" s="69">
        <v>1</v>
      </c>
      <c r="P995" s="69" t="s">
        <v>50</v>
      </c>
      <c r="Q995" s="69" t="s">
        <v>51</v>
      </c>
      <c r="R995" s="69"/>
      <c r="S995" s="48">
        <v>40562</v>
      </c>
      <c r="T995" s="48">
        <v>43340</v>
      </c>
      <c r="U995" s="69"/>
      <c r="V995" s="69"/>
      <c r="W995" s="69"/>
      <c r="X995" s="69"/>
      <c r="Y995" s="69" t="s">
        <v>4125</v>
      </c>
      <c r="Z995" s="52">
        <v>170000</v>
      </c>
      <c r="AA995" s="43" t="s">
        <v>52</v>
      </c>
      <c r="AB995" s="43" t="s">
        <v>53</v>
      </c>
      <c r="AC995" s="85">
        <v>183</v>
      </c>
      <c r="AD995" s="141">
        <v>0</v>
      </c>
      <c r="AE995" s="142">
        <v>6</v>
      </c>
      <c r="AF995" s="69" t="str">
        <f t="shared" si="114"/>
        <v>0 years 183 days</v>
      </c>
      <c r="AG995" s="69">
        <v>0</v>
      </c>
      <c r="AH995" s="69">
        <v>183</v>
      </c>
      <c r="AI995" s="69">
        <v>170000</v>
      </c>
      <c r="AJ995" s="67">
        <v>170000</v>
      </c>
      <c r="AK995" s="69">
        <v>2025</v>
      </c>
      <c r="AL995" s="61">
        <v>0</v>
      </c>
      <c r="AM995" s="143"/>
    </row>
    <row r="996" spans="1:39" x14ac:dyDescent="0.35">
      <c r="A996" s="69" t="s">
        <v>4124</v>
      </c>
      <c r="B996" s="41">
        <v>1121403659</v>
      </c>
      <c r="C996" s="41"/>
      <c r="D996" s="69"/>
      <c r="E996" s="41">
        <v>0</v>
      </c>
      <c r="F996" s="41" t="s">
        <v>2961</v>
      </c>
      <c r="G996" s="69" t="s">
        <v>2960</v>
      </c>
      <c r="H996" s="41">
        <v>9013000041</v>
      </c>
      <c r="I996" s="41" t="s">
        <v>593</v>
      </c>
      <c r="J996" s="41">
        <v>1202020101</v>
      </c>
      <c r="K996" s="41" t="s">
        <v>3106</v>
      </c>
      <c r="L996" s="52" t="s">
        <v>3107</v>
      </c>
      <c r="M996" s="69" t="s">
        <v>3108</v>
      </c>
      <c r="N996" s="69"/>
      <c r="O996" s="69">
        <v>1</v>
      </c>
      <c r="P996" s="69" t="s">
        <v>50</v>
      </c>
      <c r="Q996" s="69" t="s">
        <v>51</v>
      </c>
      <c r="R996" s="69"/>
      <c r="S996" s="48">
        <v>44314</v>
      </c>
      <c r="T996" s="48">
        <v>44314</v>
      </c>
      <c r="U996" s="69"/>
      <c r="V996" s="69"/>
      <c r="W996" s="69"/>
      <c r="X996" s="69"/>
      <c r="Y996" s="69" t="s">
        <v>4128</v>
      </c>
      <c r="Z996" s="52">
        <v>135000</v>
      </c>
      <c r="AA996" s="43" t="s">
        <v>52</v>
      </c>
      <c r="AB996" s="43" t="s">
        <v>53</v>
      </c>
      <c r="AC996" s="85">
        <v>1460</v>
      </c>
      <c r="AD996" s="141">
        <v>4</v>
      </c>
      <c r="AE996" s="142">
        <v>0</v>
      </c>
      <c r="AF996" s="69" t="str">
        <f t="shared" si="114"/>
        <v>3 years 249 days</v>
      </c>
      <c r="AG996" s="69">
        <v>3</v>
      </c>
      <c r="AH996" s="69">
        <v>249</v>
      </c>
      <c r="AI996" s="69">
        <v>135000</v>
      </c>
      <c r="AJ996" s="67">
        <v>124274</v>
      </c>
      <c r="AK996" s="69">
        <v>2025</v>
      </c>
      <c r="AL996" s="61">
        <v>10726</v>
      </c>
      <c r="AM996" s="143"/>
    </row>
    <row r="997" spans="1:39" x14ac:dyDescent="0.35">
      <c r="A997" s="69" t="s">
        <v>4124</v>
      </c>
      <c r="B997" s="41">
        <v>1121400554</v>
      </c>
      <c r="C997" s="41"/>
      <c r="D997" s="69"/>
      <c r="E997" s="41">
        <v>0</v>
      </c>
      <c r="F997" s="41" t="s">
        <v>2961</v>
      </c>
      <c r="G997" s="69" t="s">
        <v>2960</v>
      </c>
      <c r="H997" s="41">
        <v>9013000042</v>
      </c>
      <c r="I997" s="41" t="s">
        <v>593</v>
      </c>
      <c r="J997" s="41">
        <v>1202020101</v>
      </c>
      <c r="K997" s="41" t="s">
        <v>3110</v>
      </c>
      <c r="L997" s="52" t="s">
        <v>3111</v>
      </c>
      <c r="M997" s="69" t="s">
        <v>49</v>
      </c>
      <c r="N997" s="69"/>
      <c r="O997" s="69">
        <v>1</v>
      </c>
      <c r="P997" s="69" t="s">
        <v>50</v>
      </c>
      <c r="Q997" s="69" t="s">
        <v>51</v>
      </c>
      <c r="R997" s="69"/>
      <c r="S997" s="48">
        <v>40529</v>
      </c>
      <c r="T997" s="48">
        <v>43340</v>
      </c>
      <c r="U997" s="69"/>
      <c r="V997" s="69"/>
      <c r="W997" s="69"/>
      <c r="X997" s="69"/>
      <c r="Y997" s="69" t="s">
        <v>4125</v>
      </c>
      <c r="Z997" s="52">
        <v>155000</v>
      </c>
      <c r="AA997" s="43" t="s">
        <v>52</v>
      </c>
      <c r="AB997" s="43" t="s">
        <v>53</v>
      </c>
      <c r="AC997" s="85">
        <v>183</v>
      </c>
      <c r="AD997" s="141">
        <v>0</v>
      </c>
      <c r="AE997" s="142">
        <v>6</v>
      </c>
      <c r="AF997" s="69" t="str">
        <f t="shared" si="114"/>
        <v>0 years 183 days</v>
      </c>
      <c r="AG997" s="69">
        <v>0</v>
      </c>
      <c r="AH997" s="69">
        <v>183</v>
      </c>
      <c r="AI997" s="69">
        <v>155000</v>
      </c>
      <c r="AJ997" s="67">
        <v>155000</v>
      </c>
      <c r="AK997" s="69">
        <v>2025</v>
      </c>
      <c r="AL997" s="61">
        <v>0</v>
      </c>
      <c r="AM997" s="143"/>
    </row>
    <row r="998" spans="1:39" x14ac:dyDescent="0.35">
      <c r="A998" s="69" t="s">
        <v>4124</v>
      </c>
      <c r="B998" s="41">
        <v>1121400638</v>
      </c>
      <c r="C998" s="41"/>
      <c r="D998" s="69"/>
      <c r="E998" s="41">
        <v>0</v>
      </c>
      <c r="F998" s="41" t="s">
        <v>2961</v>
      </c>
      <c r="G998" s="69" t="s">
        <v>2960</v>
      </c>
      <c r="H998" s="41">
        <v>9013000043</v>
      </c>
      <c r="I998" s="41" t="s">
        <v>593</v>
      </c>
      <c r="J998" s="41">
        <v>1202020101</v>
      </c>
      <c r="K998" s="41" t="s">
        <v>3113</v>
      </c>
      <c r="L998" s="52" t="s">
        <v>3114</v>
      </c>
      <c r="M998" s="69" t="s">
        <v>49</v>
      </c>
      <c r="N998" s="69"/>
      <c r="O998" s="69">
        <v>1</v>
      </c>
      <c r="P998" s="69" t="s">
        <v>50</v>
      </c>
      <c r="Q998" s="69" t="s">
        <v>51</v>
      </c>
      <c r="R998" s="69"/>
      <c r="S998" s="48">
        <v>40761</v>
      </c>
      <c r="T998" s="48">
        <v>43340</v>
      </c>
      <c r="U998" s="69"/>
      <c r="V998" s="69"/>
      <c r="W998" s="69"/>
      <c r="X998" s="69"/>
      <c r="Y998" s="69" t="s">
        <v>4125</v>
      </c>
      <c r="Z998" s="52">
        <v>150000</v>
      </c>
      <c r="AA998" s="43" t="s">
        <v>52</v>
      </c>
      <c r="AB998" s="43" t="s">
        <v>53</v>
      </c>
      <c r="AC998" s="85">
        <v>183</v>
      </c>
      <c r="AD998" s="141">
        <v>0</v>
      </c>
      <c r="AE998" s="142">
        <v>6</v>
      </c>
      <c r="AF998" s="69" t="str">
        <f t="shared" si="114"/>
        <v>0 years 183 days</v>
      </c>
      <c r="AG998" s="69">
        <v>0</v>
      </c>
      <c r="AH998" s="69">
        <v>183</v>
      </c>
      <c r="AI998" s="69">
        <v>150000</v>
      </c>
      <c r="AJ998" s="67">
        <v>150000</v>
      </c>
      <c r="AK998" s="69">
        <v>2025</v>
      </c>
      <c r="AL998" s="61">
        <v>0</v>
      </c>
      <c r="AM998" s="143"/>
    </row>
    <row r="999" spans="1:39" x14ac:dyDescent="0.35">
      <c r="A999" s="69" t="s">
        <v>4124</v>
      </c>
      <c r="B999" s="41">
        <v>1121405124</v>
      </c>
      <c r="C999" s="41"/>
      <c r="D999" s="69"/>
      <c r="E999" s="41">
        <v>0</v>
      </c>
      <c r="F999" s="41" t="s">
        <v>2961</v>
      </c>
      <c r="G999" s="69" t="s">
        <v>2960</v>
      </c>
      <c r="H999" s="41">
        <v>9013000044</v>
      </c>
      <c r="I999" s="41" t="s">
        <v>593</v>
      </c>
      <c r="J999" s="41">
        <v>1202020101</v>
      </c>
      <c r="K999" s="41" t="s">
        <v>3116</v>
      </c>
      <c r="L999" s="52" t="s">
        <v>3117</v>
      </c>
      <c r="M999" s="69" t="s">
        <v>3118</v>
      </c>
      <c r="N999" s="69"/>
      <c r="O999" s="69">
        <v>1</v>
      </c>
      <c r="P999" s="69" t="s">
        <v>50</v>
      </c>
      <c r="Q999" s="69" t="s">
        <v>51</v>
      </c>
      <c r="R999" s="69"/>
      <c r="S999" s="48">
        <v>45375</v>
      </c>
      <c r="T999" s="48">
        <v>45375</v>
      </c>
      <c r="U999" s="69"/>
      <c r="V999" s="69"/>
      <c r="W999" s="69"/>
      <c r="X999" s="69"/>
      <c r="Y999" s="69" t="s">
        <v>4130</v>
      </c>
      <c r="Z999" s="52">
        <v>121550</v>
      </c>
      <c r="AA999" s="43" t="s">
        <v>52</v>
      </c>
      <c r="AB999" s="43" t="s">
        <v>53</v>
      </c>
      <c r="AC999" s="85">
        <v>1460</v>
      </c>
      <c r="AD999" s="141">
        <v>4</v>
      </c>
      <c r="AE999" s="142">
        <v>0</v>
      </c>
      <c r="AF999" s="69" t="str">
        <f t="shared" si="114"/>
        <v>0 years 283 days</v>
      </c>
      <c r="AG999" s="69">
        <v>0</v>
      </c>
      <c r="AH999" s="69">
        <v>283</v>
      </c>
      <c r="AI999" s="69">
        <v>121550</v>
      </c>
      <c r="AJ999" s="67">
        <v>23561</v>
      </c>
      <c r="AK999" s="69">
        <v>2025</v>
      </c>
      <c r="AL999" s="61">
        <v>15068.589041095889</v>
      </c>
      <c r="AM999" s="143"/>
    </row>
    <row r="1000" spans="1:39" x14ac:dyDescent="0.35">
      <c r="A1000" s="69" t="s">
        <v>4124</v>
      </c>
      <c r="B1000" s="41">
        <v>1121403810</v>
      </c>
      <c r="C1000" s="41"/>
      <c r="D1000" s="69"/>
      <c r="E1000" s="41">
        <v>0</v>
      </c>
      <c r="F1000" s="41" t="s">
        <v>2961</v>
      </c>
      <c r="G1000" s="69" t="s">
        <v>2960</v>
      </c>
      <c r="H1000" s="41">
        <v>9013000045</v>
      </c>
      <c r="I1000" s="41" t="s">
        <v>593</v>
      </c>
      <c r="J1000" s="41">
        <v>1202020101</v>
      </c>
      <c r="K1000" s="41" t="s">
        <v>3120</v>
      </c>
      <c r="L1000" s="52" t="s">
        <v>3121</v>
      </c>
      <c r="M1000" s="69" t="s">
        <v>3122</v>
      </c>
      <c r="N1000" s="69"/>
      <c r="O1000" s="69">
        <v>1</v>
      </c>
      <c r="P1000" s="69" t="s">
        <v>50</v>
      </c>
      <c r="Q1000" s="69" t="s">
        <v>51</v>
      </c>
      <c r="R1000" s="69"/>
      <c r="S1000" s="48">
        <v>44423</v>
      </c>
      <c r="T1000" s="48">
        <v>44423</v>
      </c>
      <c r="U1000" s="69"/>
      <c r="V1000" s="69"/>
      <c r="W1000" s="69"/>
      <c r="X1000" s="69"/>
      <c r="Y1000" s="69" t="s">
        <v>4128</v>
      </c>
      <c r="Z1000" s="52">
        <v>135000</v>
      </c>
      <c r="AA1000" s="43" t="s">
        <v>52</v>
      </c>
      <c r="AB1000" s="43" t="s">
        <v>53</v>
      </c>
      <c r="AC1000" s="85">
        <v>1460</v>
      </c>
      <c r="AD1000" s="141">
        <v>4</v>
      </c>
      <c r="AE1000" s="142">
        <v>0</v>
      </c>
      <c r="AF1000" s="69" t="str">
        <f t="shared" si="114"/>
        <v>3 years 140 days</v>
      </c>
      <c r="AG1000" s="69">
        <v>3</v>
      </c>
      <c r="AH1000" s="69">
        <v>140</v>
      </c>
      <c r="AI1000" s="69">
        <v>135000</v>
      </c>
      <c r="AJ1000" s="67">
        <v>114195</v>
      </c>
      <c r="AK1000" s="69">
        <v>2025</v>
      </c>
      <c r="AL1000" s="61">
        <v>16736.506849315076</v>
      </c>
      <c r="AM1000" s="143"/>
    </row>
    <row r="1001" spans="1:39" x14ac:dyDescent="0.35">
      <c r="A1001" s="69" t="s">
        <v>4124</v>
      </c>
      <c r="B1001" s="41">
        <v>1121402231</v>
      </c>
      <c r="C1001" s="41"/>
      <c r="D1001" s="69"/>
      <c r="E1001" s="41">
        <v>0</v>
      </c>
      <c r="F1001" s="41" t="s">
        <v>2961</v>
      </c>
      <c r="G1001" s="69" t="s">
        <v>2960</v>
      </c>
      <c r="H1001" s="41">
        <v>9013000046</v>
      </c>
      <c r="I1001" s="41" t="s">
        <v>593</v>
      </c>
      <c r="J1001" s="41">
        <v>1202020101</v>
      </c>
      <c r="K1001" s="41" t="s">
        <v>3124</v>
      </c>
      <c r="L1001" s="52" t="s">
        <v>3125</v>
      </c>
      <c r="M1001" s="69" t="s">
        <v>49</v>
      </c>
      <c r="N1001" s="69"/>
      <c r="O1001" s="69">
        <v>1</v>
      </c>
      <c r="P1001" s="69" t="s">
        <v>50</v>
      </c>
      <c r="Q1001" s="69" t="s">
        <v>51</v>
      </c>
      <c r="R1001" s="69"/>
      <c r="S1001" s="48">
        <v>42751</v>
      </c>
      <c r="T1001" s="48">
        <v>43340</v>
      </c>
      <c r="U1001" s="69"/>
      <c r="V1001" s="69"/>
      <c r="W1001" s="69"/>
      <c r="X1001" s="69"/>
      <c r="Y1001" s="69" t="s">
        <v>4125</v>
      </c>
      <c r="Z1001" s="52">
        <v>65000</v>
      </c>
      <c r="AA1001" s="43" t="s">
        <v>52</v>
      </c>
      <c r="AB1001" s="43" t="s">
        <v>53</v>
      </c>
      <c r="AC1001" s="85">
        <v>1205</v>
      </c>
      <c r="AD1001" s="141">
        <v>3</v>
      </c>
      <c r="AE1001" s="142">
        <v>4</v>
      </c>
      <c r="AF1001" s="69" t="str">
        <f t="shared" si="114"/>
        <v>3 years 110 days</v>
      </c>
      <c r="AG1001" s="69">
        <v>3</v>
      </c>
      <c r="AH1001" s="69">
        <v>110</v>
      </c>
      <c r="AI1001" s="69">
        <v>65000</v>
      </c>
      <c r="AJ1001" s="67">
        <v>65000</v>
      </c>
      <c r="AK1001" s="69">
        <v>2025</v>
      </c>
      <c r="AL1001" s="61">
        <v>0</v>
      </c>
      <c r="AM1001" s="143"/>
    </row>
    <row r="1002" spans="1:39" x14ac:dyDescent="0.35">
      <c r="A1002" s="69" t="s">
        <v>4124</v>
      </c>
      <c r="B1002" s="41">
        <v>1121400678</v>
      </c>
      <c r="C1002" s="41"/>
      <c r="D1002" s="69"/>
      <c r="E1002" s="41">
        <v>0</v>
      </c>
      <c r="F1002" s="41" t="s">
        <v>2961</v>
      </c>
      <c r="G1002" s="69" t="s">
        <v>2960</v>
      </c>
      <c r="H1002" s="41">
        <v>9013000047</v>
      </c>
      <c r="I1002" s="41" t="s">
        <v>593</v>
      </c>
      <c r="J1002" s="41">
        <v>1202020101</v>
      </c>
      <c r="K1002" s="41" t="s">
        <v>3127</v>
      </c>
      <c r="L1002" s="52" t="s">
        <v>3128</v>
      </c>
      <c r="M1002" s="69" t="s">
        <v>3129</v>
      </c>
      <c r="N1002" s="69"/>
      <c r="O1002" s="69">
        <v>1</v>
      </c>
      <c r="P1002" s="69" t="s">
        <v>50</v>
      </c>
      <c r="Q1002" s="69" t="s">
        <v>51</v>
      </c>
      <c r="R1002" s="69"/>
      <c r="S1002" s="48">
        <v>40870</v>
      </c>
      <c r="T1002" s="48">
        <v>43340</v>
      </c>
      <c r="U1002" s="69"/>
      <c r="V1002" s="69"/>
      <c r="W1002" s="69"/>
      <c r="X1002" s="69"/>
      <c r="Y1002" s="69" t="s">
        <v>4125</v>
      </c>
      <c r="Z1002" s="52">
        <v>12000</v>
      </c>
      <c r="AA1002" s="43" t="s">
        <v>52</v>
      </c>
      <c r="AB1002" s="43" t="s">
        <v>53</v>
      </c>
      <c r="AC1002" s="85">
        <v>183</v>
      </c>
      <c r="AD1002" s="141">
        <v>0</v>
      </c>
      <c r="AE1002" s="142">
        <v>6</v>
      </c>
      <c r="AF1002" s="69" t="str">
        <f t="shared" si="114"/>
        <v>0 years 183 days</v>
      </c>
      <c r="AG1002" s="69">
        <v>0</v>
      </c>
      <c r="AH1002" s="69">
        <v>183</v>
      </c>
      <c r="AI1002" s="69">
        <v>12000</v>
      </c>
      <c r="AJ1002" s="67">
        <v>12000</v>
      </c>
      <c r="AK1002" s="69">
        <v>2025</v>
      </c>
      <c r="AL1002" s="61">
        <v>0</v>
      </c>
      <c r="AM1002" s="143"/>
    </row>
    <row r="1003" spans="1:39" x14ac:dyDescent="0.35">
      <c r="A1003" s="69" t="s">
        <v>4124</v>
      </c>
      <c r="B1003" s="41">
        <v>1121401774</v>
      </c>
      <c r="C1003" s="41"/>
      <c r="D1003" s="69"/>
      <c r="E1003" s="41">
        <v>0</v>
      </c>
      <c r="F1003" s="41" t="s">
        <v>2961</v>
      </c>
      <c r="G1003" s="69" t="s">
        <v>2960</v>
      </c>
      <c r="H1003" s="41">
        <v>9013000048</v>
      </c>
      <c r="I1003" s="41" t="s">
        <v>593</v>
      </c>
      <c r="J1003" s="41">
        <v>1202020101</v>
      </c>
      <c r="K1003" s="41" t="s">
        <v>3131</v>
      </c>
      <c r="L1003" s="52" t="s">
        <v>3132</v>
      </c>
      <c r="M1003" s="69" t="s">
        <v>3133</v>
      </c>
      <c r="N1003" s="69"/>
      <c r="O1003" s="69">
        <v>2</v>
      </c>
      <c r="P1003" s="69" t="s">
        <v>50</v>
      </c>
      <c r="Q1003" s="69" t="s">
        <v>51</v>
      </c>
      <c r="R1003" s="69"/>
      <c r="S1003" s="48">
        <v>42318</v>
      </c>
      <c r="T1003" s="48">
        <v>43340</v>
      </c>
      <c r="U1003" s="69"/>
      <c r="V1003" s="69"/>
      <c r="W1003" s="69"/>
      <c r="X1003" s="69"/>
      <c r="Y1003" s="69" t="s">
        <v>4125</v>
      </c>
      <c r="Z1003" s="52">
        <v>1250000</v>
      </c>
      <c r="AA1003" s="43" t="s">
        <v>52</v>
      </c>
      <c r="AB1003" s="43" t="s">
        <v>53</v>
      </c>
      <c r="AC1003" s="85">
        <v>730</v>
      </c>
      <c r="AD1003" s="141">
        <v>2</v>
      </c>
      <c r="AE1003" s="142">
        <v>0</v>
      </c>
      <c r="AF1003" s="69" t="str">
        <f t="shared" si="114"/>
        <v>2 years 0 days</v>
      </c>
      <c r="AG1003" s="69">
        <v>2</v>
      </c>
      <c r="AH1003" s="69">
        <v>0</v>
      </c>
      <c r="AI1003" s="69">
        <v>1250000</v>
      </c>
      <c r="AJ1003" s="67">
        <v>1250000</v>
      </c>
      <c r="AK1003" s="69">
        <v>2025</v>
      </c>
      <c r="AL1003" s="61">
        <v>0</v>
      </c>
      <c r="AM1003" s="143"/>
    </row>
    <row r="1004" spans="1:39" x14ac:dyDescent="0.35">
      <c r="A1004" s="69" t="s">
        <v>4124</v>
      </c>
      <c r="B1004" s="41">
        <v>1121403885</v>
      </c>
      <c r="C1004" s="41"/>
      <c r="D1004" s="69"/>
      <c r="E1004" s="41">
        <v>0</v>
      </c>
      <c r="F1004" s="41" t="s">
        <v>2961</v>
      </c>
      <c r="G1004" s="69" t="s">
        <v>2960</v>
      </c>
      <c r="H1004" s="41">
        <v>9013000049</v>
      </c>
      <c r="I1004" s="41" t="s">
        <v>593</v>
      </c>
      <c r="J1004" s="41">
        <v>1202020101</v>
      </c>
      <c r="K1004" s="41" t="s">
        <v>3135</v>
      </c>
      <c r="L1004" s="52" t="s">
        <v>3136</v>
      </c>
      <c r="M1004" s="69" t="s">
        <v>3122</v>
      </c>
      <c r="N1004" s="69"/>
      <c r="O1004" s="69">
        <v>1</v>
      </c>
      <c r="P1004" s="69" t="s">
        <v>50</v>
      </c>
      <c r="Q1004" s="69" t="s">
        <v>51</v>
      </c>
      <c r="R1004" s="69"/>
      <c r="S1004" s="48">
        <v>44497</v>
      </c>
      <c r="T1004" s="48">
        <v>44497</v>
      </c>
      <c r="U1004" s="69"/>
      <c r="V1004" s="69"/>
      <c r="W1004" s="69"/>
      <c r="X1004" s="69"/>
      <c r="Y1004" s="69" t="s">
        <v>4128</v>
      </c>
      <c r="Z1004" s="52">
        <v>135000</v>
      </c>
      <c r="AA1004" s="43" t="s">
        <v>52</v>
      </c>
      <c r="AB1004" s="43" t="s">
        <v>53</v>
      </c>
      <c r="AC1004" s="85">
        <v>1460</v>
      </c>
      <c r="AD1004" s="141">
        <v>4</v>
      </c>
      <c r="AE1004" s="142">
        <v>0</v>
      </c>
      <c r="AF1004" s="69" t="str">
        <f t="shared" si="114"/>
        <v>3 years 66 days</v>
      </c>
      <c r="AG1004" s="69">
        <v>3</v>
      </c>
      <c r="AH1004" s="69">
        <v>66</v>
      </c>
      <c r="AI1004" s="69">
        <v>135000</v>
      </c>
      <c r="AJ1004" s="67">
        <v>107353</v>
      </c>
      <c r="AK1004" s="69">
        <v>2025</v>
      </c>
      <c r="AL1004" s="61">
        <v>16736.041095890396</v>
      </c>
      <c r="AM1004" s="143"/>
    </row>
    <row r="1005" spans="1:39" x14ac:dyDescent="0.35">
      <c r="A1005" s="69" t="s">
        <v>4124</v>
      </c>
      <c r="B1005" s="41">
        <v>1121402220</v>
      </c>
      <c r="C1005" s="41"/>
      <c r="D1005" s="69"/>
      <c r="E1005" s="41">
        <v>0</v>
      </c>
      <c r="F1005" s="41" t="s">
        <v>2961</v>
      </c>
      <c r="G1005" s="69" t="s">
        <v>2960</v>
      </c>
      <c r="H1005" s="41">
        <v>9013000050</v>
      </c>
      <c r="I1005" s="41" t="s">
        <v>593</v>
      </c>
      <c r="J1005" s="41">
        <v>1202020101</v>
      </c>
      <c r="K1005" s="41" t="s">
        <v>3138</v>
      </c>
      <c r="L1005" s="52" t="s">
        <v>3139</v>
      </c>
      <c r="M1005" s="69" t="s">
        <v>49</v>
      </c>
      <c r="N1005" s="69"/>
      <c r="O1005" s="69">
        <v>1</v>
      </c>
      <c r="P1005" s="69" t="s">
        <v>50</v>
      </c>
      <c r="Q1005" s="69" t="s">
        <v>51</v>
      </c>
      <c r="R1005" s="69"/>
      <c r="S1005" s="48">
        <v>42740</v>
      </c>
      <c r="T1005" s="48">
        <v>43340</v>
      </c>
      <c r="U1005" s="69"/>
      <c r="V1005" s="69"/>
      <c r="W1005" s="69"/>
      <c r="X1005" s="69"/>
      <c r="Y1005" s="69" t="s">
        <v>4125</v>
      </c>
      <c r="Z1005" s="52">
        <v>72500</v>
      </c>
      <c r="AA1005" s="43" t="s">
        <v>52</v>
      </c>
      <c r="AB1005" s="43" t="s">
        <v>53</v>
      </c>
      <c r="AC1005" s="85">
        <v>1205</v>
      </c>
      <c r="AD1005" s="141">
        <v>3</v>
      </c>
      <c r="AE1005" s="142">
        <v>4</v>
      </c>
      <c r="AF1005" s="69" t="str">
        <f t="shared" si="114"/>
        <v>3 years 110 days</v>
      </c>
      <c r="AG1005" s="69">
        <v>3</v>
      </c>
      <c r="AH1005" s="69">
        <v>110</v>
      </c>
      <c r="AI1005" s="69">
        <v>72500</v>
      </c>
      <c r="AJ1005" s="67">
        <v>72500</v>
      </c>
      <c r="AK1005" s="69">
        <v>2025</v>
      </c>
      <c r="AL1005" s="61">
        <v>0</v>
      </c>
      <c r="AM1005" s="143"/>
    </row>
    <row r="1006" spans="1:39" x14ac:dyDescent="0.35">
      <c r="A1006" s="69" t="s">
        <v>4124</v>
      </c>
      <c r="B1006" s="41">
        <v>1121400509</v>
      </c>
      <c r="C1006" s="41"/>
      <c r="D1006" s="69"/>
      <c r="E1006" s="41">
        <v>0</v>
      </c>
      <c r="F1006" s="41" t="s">
        <v>2961</v>
      </c>
      <c r="G1006" s="69" t="s">
        <v>2960</v>
      </c>
      <c r="H1006" s="41">
        <v>9013000051</v>
      </c>
      <c r="I1006" s="41" t="s">
        <v>593</v>
      </c>
      <c r="J1006" s="41">
        <v>1202020101</v>
      </c>
      <c r="K1006" s="41" t="s">
        <v>3141</v>
      </c>
      <c r="L1006" s="52" t="s">
        <v>3142</v>
      </c>
      <c r="M1006" s="69" t="s">
        <v>49</v>
      </c>
      <c r="N1006" s="69"/>
      <c r="O1006" s="69">
        <v>1</v>
      </c>
      <c r="P1006" s="69" t="s">
        <v>50</v>
      </c>
      <c r="Q1006" s="69" t="s">
        <v>51</v>
      </c>
      <c r="R1006" s="69"/>
      <c r="S1006" s="48">
        <v>40479</v>
      </c>
      <c r="T1006" s="48">
        <v>43340</v>
      </c>
      <c r="U1006" s="69"/>
      <c r="V1006" s="69"/>
      <c r="W1006" s="69"/>
      <c r="X1006" s="69"/>
      <c r="Y1006" s="69" t="s">
        <v>4125</v>
      </c>
      <c r="Z1006" s="52">
        <v>155000</v>
      </c>
      <c r="AA1006" s="43" t="s">
        <v>52</v>
      </c>
      <c r="AB1006" s="43" t="s">
        <v>53</v>
      </c>
      <c r="AC1006" s="85">
        <v>183</v>
      </c>
      <c r="AD1006" s="141">
        <v>0</v>
      </c>
      <c r="AE1006" s="142">
        <v>6</v>
      </c>
      <c r="AF1006" s="69" t="str">
        <f t="shared" si="114"/>
        <v>0 years 183 days</v>
      </c>
      <c r="AG1006" s="69">
        <v>0</v>
      </c>
      <c r="AH1006" s="69">
        <v>183</v>
      </c>
      <c r="AI1006" s="69">
        <v>155000</v>
      </c>
      <c r="AJ1006" s="67">
        <v>155000</v>
      </c>
      <c r="AK1006" s="69">
        <v>2025</v>
      </c>
      <c r="AL1006" s="61">
        <v>0</v>
      </c>
      <c r="AM1006" s="143"/>
    </row>
    <row r="1007" spans="1:39" x14ac:dyDescent="0.35">
      <c r="A1007" s="69" t="s">
        <v>4124</v>
      </c>
      <c r="B1007" s="41">
        <v>1121403201</v>
      </c>
      <c r="C1007" s="41"/>
      <c r="D1007" s="69"/>
      <c r="E1007" s="41">
        <v>0</v>
      </c>
      <c r="F1007" s="41" t="s">
        <v>2961</v>
      </c>
      <c r="G1007" s="69" t="s">
        <v>2960</v>
      </c>
      <c r="H1007" s="41">
        <v>9013000052</v>
      </c>
      <c r="I1007" s="41" t="s">
        <v>593</v>
      </c>
      <c r="J1007" s="41">
        <v>1202020101</v>
      </c>
      <c r="K1007" s="41" t="s">
        <v>3144</v>
      </c>
      <c r="L1007" s="52" t="s">
        <v>3145</v>
      </c>
      <c r="M1007" s="69" t="s">
        <v>3108</v>
      </c>
      <c r="N1007" s="69"/>
      <c r="O1007" s="69">
        <v>1</v>
      </c>
      <c r="P1007" s="69" t="s">
        <v>50</v>
      </c>
      <c r="Q1007" s="69" t="s">
        <v>51</v>
      </c>
      <c r="R1007" s="69"/>
      <c r="S1007" s="48">
        <v>43829</v>
      </c>
      <c r="T1007" s="48">
        <v>43829</v>
      </c>
      <c r="U1007" s="69"/>
      <c r="V1007" s="69"/>
      <c r="W1007" s="69"/>
      <c r="X1007" s="69"/>
      <c r="Y1007" s="69" t="s">
        <v>4126</v>
      </c>
      <c r="Z1007" s="52">
        <v>135000</v>
      </c>
      <c r="AA1007" s="43" t="s">
        <v>52</v>
      </c>
      <c r="AB1007" s="43" t="s">
        <v>53</v>
      </c>
      <c r="AC1007" s="85">
        <v>1460</v>
      </c>
      <c r="AD1007" s="141">
        <v>4</v>
      </c>
      <c r="AE1007" s="142">
        <v>0</v>
      </c>
      <c r="AF1007" s="69" t="str">
        <f t="shared" si="114"/>
        <v>4 years 0 days</v>
      </c>
      <c r="AG1007" s="69">
        <v>4</v>
      </c>
      <c r="AH1007" s="69">
        <v>0</v>
      </c>
      <c r="AI1007" s="69">
        <v>135000</v>
      </c>
      <c r="AJ1007" s="67">
        <v>135000</v>
      </c>
      <c r="AK1007" s="69">
        <v>2025</v>
      </c>
      <c r="AL1007" s="61">
        <v>0</v>
      </c>
      <c r="AM1007" s="143"/>
    </row>
    <row r="1008" spans="1:39" x14ac:dyDescent="0.35">
      <c r="A1008" s="69" t="s">
        <v>4124</v>
      </c>
      <c r="B1008" s="41">
        <v>1121400579</v>
      </c>
      <c r="C1008" s="41"/>
      <c r="D1008" s="69"/>
      <c r="E1008" s="41">
        <v>0</v>
      </c>
      <c r="F1008" s="41" t="s">
        <v>2961</v>
      </c>
      <c r="G1008" s="69" t="s">
        <v>2960</v>
      </c>
      <c r="H1008" s="41">
        <v>9013000053</v>
      </c>
      <c r="I1008" s="41" t="s">
        <v>593</v>
      </c>
      <c r="J1008" s="41">
        <v>1202020101</v>
      </c>
      <c r="K1008" s="41" t="s">
        <v>3147</v>
      </c>
      <c r="L1008" s="52" t="s">
        <v>3148</v>
      </c>
      <c r="M1008" s="69" t="s">
        <v>49</v>
      </c>
      <c r="N1008" s="69"/>
      <c r="O1008" s="69">
        <v>1</v>
      </c>
      <c r="P1008" s="69" t="s">
        <v>50</v>
      </c>
      <c r="Q1008" s="69" t="s">
        <v>51</v>
      </c>
      <c r="R1008" s="69"/>
      <c r="S1008" s="48">
        <v>40585</v>
      </c>
      <c r="T1008" s="48">
        <v>43340</v>
      </c>
      <c r="U1008" s="69"/>
      <c r="V1008" s="69"/>
      <c r="W1008" s="69"/>
      <c r="X1008" s="69"/>
      <c r="Y1008" s="69" t="s">
        <v>4125</v>
      </c>
      <c r="Z1008" s="52">
        <v>7750</v>
      </c>
      <c r="AA1008" s="43" t="s">
        <v>52</v>
      </c>
      <c r="AB1008" s="43" t="s">
        <v>53</v>
      </c>
      <c r="AC1008" s="85">
        <v>183</v>
      </c>
      <c r="AD1008" s="141">
        <v>0</v>
      </c>
      <c r="AE1008" s="142">
        <v>6</v>
      </c>
      <c r="AF1008" s="69" t="str">
        <f t="shared" si="114"/>
        <v>0 years 183 days</v>
      </c>
      <c r="AG1008" s="69">
        <v>0</v>
      </c>
      <c r="AH1008" s="69">
        <v>183</v>
      </c>
      <c r="AI1008" s="69">
        <v>7750</v>
      </c>
      <c r="AJ1008" s="67">
        <v>7750</v>
      </c>
      <c r="AK1008" s="69">
        <v>2025</v>
      </c>
      <c r="AL1008" s="61">
        <v>0</v>
      </c>
      <c r="AM1008" s="143"/>
    </row>
    <row r="1009" spans="1:39" x14ac:dyDescent="0.35">
      <c r="A1009" s="69" t="s">
        <v>4124</v>
      </c>
      <c r="B1009" s="41">
        <v>1121403413</v>
      </c>
      <c r="C1009" s="41"/>
      <c r="D1009" s="69"/>
      <c r="E1009" s="41">
        <v>0</v>
      </c>
      <c r="F1009" s="41" t="s">
        <v>2961</v>
      </c>
      <c r="G1009" s="69" t="s">
        <v>2960</v>
      </c>
      <c r="H1009" s="41">
        <v>9013000054</v>
      </c>
      <c r="I1009" s="41" t="s">
        <v>593</v>
      </c>
      <c r="J1009" s="41">
        <v>1202020101</v>
      </c>
      <c r="K1009" s="41" t="s">
        <v>3150</v>
      </c>
      <c r="L1009" s="52" t="s">
        <v>3151</v>
      </c>
      <c r="M1009" s="69" t="s">
        <v>3152</v>
      </c>
      <c r="N1009" s="69"/>
      <c r="O1009" s="69">
        <v>1</v>
      </c>
      <c r="P1009" s="69" t="s">
        <v>50</v>
      </c>
      <c r="Q1009" s="69" t="s">
        <v>51</v>
      </c>
      <c r="R1009" s="69"/>
      <c r="S1009" s="48">
        <v>44114</v>
      </c>
      <c r="T1009" s="48">
        <v>44114</v>
      </c>
      <c r="U1009" s="69"/>
      <c r="V1009" s="69"/>
      <c r="W1009" s="69"/>
      <c r="X1009" s="69"/>
      <c r="Y1009" s="69" t="s">
        <v>4127</v>
      </c>
      <c r="Z1009" s="52">
        <v>135000</v>
      </c>
      <c r="AA1009" s="43" t="s">
        <v>52</v>
      </c>
      <c r="AB1009" s="43" t="s">
        <v>53</v>
      </c>
      <c r="AC1009" s="85">
        <v>1460</v>
      </c>
      <c r="AD1009" s="141">
        <v>4</v>
      </c>
      <c r="AE1009" s="142">
        <v>0</v>
      </c>
      <c r="AF1009" s="69" t="str">
        <f t="shared" si="114"/>
        <v>4 years 0 days</v>
      </c>
      <c r="AG1009" s="69">
        <v>4</v>
      </c>
      <c r="AH1009" s="69">
        <v>0</v>
      </c>
      <c r="AI1009" s="69">
        <v>135000</v>
      </c>
      <c r="AJ1009" s="67">
        <v>135000</v>
      </c>
      <c r="AK1009" s="69">
        <v>2025</v>
      </c>
      <c r="AL1009" s="61">
        <v>0</v>
      </c>
      <c r="AM1009" s="143"/>
    </row>
    <row r="1010" spans="1:39" x14ac:dyDescent="0.35">
      <c r="A1010" s="69" t="s">
        <v>4124</v>
      </c>
      <c r="B1010" s="41">
        <v>1121405300</v>
      </c>
      <c r="C1010" s="41"/>
      <c r="D1010" s="69"/>
      <c r="E1010" s="41">
        <v>0</v>
      </c>
      <c r="F1010" s="41" t="s">
        <v>2961</v>
      </c>
      <c r="G1010" s="69" t="s">
        <v>2960</v>
      </c>
      <c r="H1010" s="41">
        <v>9013000055</v>
      </c>
      <c r="I1010" s="41" t="s">
        <v>593</v>
      </c>
      <c r="J1010" s="41">
        <v>1202020101</v>
      </c>
      <c r="K1010" s="41" t="s">
        <v>3154</v>
      </c>
      <c r="L1010" s="52" t="s">
        <v>3155</v>
      </c>
      <c r="M1010" s="69" t="s">
        <v>3156</v>
      </c>
      <c r="N1010" s="69"/>
      <c r="O1010" s="69">
        <v>1</v>
      </c>
      <c r="P1010" s="69" t="s">
        <v>50</v>
      </c>
      <c r="Q1010" s="69" t="s">
        <v>51</v>
      </c>
      <c r="R1010" s="69"/>
      <c r="S1010" s="48">
        <v>45536</v>
      </c>
      <c r="T1010" s="48">
        <v>45536</v>
      </c>
      <c r="U1010" s="69"/>
      <c r="V1010" s="69"/>
      <c r="W1010" s="69"/>
      <c r="X1010" s="69"/>
      <c r="Y1010" s="69" t="s">
        <v>4130</v>
      </c>
      <c r="Z1010" s="83">
        <v>140000</v>
      </c>
      <c r="AA1010" s="43" t="s">
        <v>52</v>
      </c>
      <c r="AB1010" s="43" t="s">
        <v>53</v>
      </c>
      <c r="AC1010" s="85">
        <v>1460</v>
      </c>
      <c r="AD1010" s="141">
        <v>4</v>
      </c>
      <c r="AE1010" s="142">
        <v>0</v>
      </c>
      <c r="AF1010" s="69" t="str">
        <f t="shared" si="114"/>
        <v>0 years 122 days</v>
      </c>
      <c r="AG1010" s="69">
        <v>0</v>
      </c>
      <c r="AH1010" s="69">
        <v>122</v>
      </c>
      <c r="AI1010" s="69">
        <v>140000</v>
      </c>
      <c r="AJ1010" s="67">
        <v>11699</v>
      </c>
      <c r="AK1010" s="69">
        <v>2025</v>
      </c>
      <c r="AL1010" s="61">
        <v>17355.794520547945</v>
      </c>
      <c r="AM1010" s="143"/>
    </row>
    <row r="1011" spans="1:39" x14ac:dyDescent="0.35">
      <c r="A1011" s="69" t="s">
        <v>4124</v>
      </c>
      <c r="B1011" s="41">
        <v>1121400442</v>
      </c>
      <c r="C1011" s="41"/>
      <c r="D1011" s="69"/>
      <c r="E1011" s="41">
        <v>0</v>
      </c>
      <c r="F1011" s="41" t="s">
        <v>2961</v>
      </c>
      <c r="G1011" s="69" t="s">
        <v>2960</v>
      </c>
      <c r="H1011" s="41">
        <v>9013000056</v>
      </c>
      <c r="I1011" s="41" t="s">
        <v>593</v>
      </c>
      <c r="J1011" s="41">
        <v>1202020101</v>
      </c>
      <c r="K1011" s="41" t="s">
        <v>3158</v>
      </c>
      <c r="L1011" s="52" t="s">
        <v>3159</v>
      </c>
      <c r="M1011" s="69" t="s">
        <v>49</v>
      </c>
      <c r="N1011" s="69"/>
      <c r="O1011" s="69">
        <v>1</v>
      </c>
      <c r="P1011" s="69" t="s">
        <v>50</v>
      </c>
      <c r="Q1011" s="69" t="s">
        <v>51</v>
      </c>
      <c r="R1011" s="69"/>
      <c r="S1011" s="48">
        <v>40294</v>
      </c>
      <c r="T1011" s="48">
        <v>43340</v>
      </c>
      <c r="U1011" s="69"/>
      <c r="V1011" s="69"/>
      <c r="W1011" s="69"/>
      <c r="X1011" s="69"/>
      <c r="Y1011" s="69" t="s">
        <v>4125</v>
      </c>
      <c r="Z1011" s="52">
        <v>36000</v>
      </c>
      <c r="AA1011" s="43" t="s">
        <v>52</v>
      </c>
      <c r="AB1011" s="43" t="s">
        <v>53</v>
      </c>
      <c r="AC1011" s="85">
        <v>183</v>
      </c>
      <c r="AD1011" s="141">
        <v>0</v>
      </c>
      <c r="AE1011" s="142">
        <v>6</v>
      </c>
      <c r="AF1011" s="69" t="str">
        <f t="shared" si="114"/>
        <v>0 years 183 days</v>
      </c>
      <c r="AG1011" s="69">
        <v>0</v>
      </c>
      <c r="AH1011" s="69">
        <v>183</v>
      </c>
      <c r="AI1011" s="69">
        <v>36000</v>
      </c>
      <c r="AJ1011" s="67">
        <v>36000</v>
      </c>
      <c r="AK1011" s="69">
        <v>2025</v>
      </c>
      <c r="AL1011" s="61">
        <v>0</v>
      </c>
      <c r="AM1011" s="143"/>
    </row>
    <row r="1012" spans="1:39" x14ac:dyDescent="0.35">
      <c r="A1012" s="69" t="s">
        <v>4124</v>
      </c>
      <c r="B1012" s="41">
        <v>1121400668</v>
      </c>
      <c r="C1012" s="41"/>
      <c r="D1012" s="69"/>
      <c r="E1012" s="41">
        <v>0</v>
      </c>
      <c r="F1012" s="41" t="s">
        <v>2961</v>
      </c>
      <c r="G1012" s="69" t="s">
        <v>2960</v>
      </c>
      <c r="H1012" s="41">
        <v>9013000057</v>
      </c>
      <c r="I1012" s="41" t="s">
        <v>593</v>
      </c>
      <c r="J1012" s="41">
        <v>1202020101</v>
      </c>
      <c r="K1012" s="41" t="s">
        <v>3161</v>
      </c>
      <c r="L1012" s="52" t="s">
        <v>3162</v>
      </c>
      <c r="M1012" s="69" t="s">
        <v>49</v>
      </c>
      <c r="N1012" s="69"/>
      <c r="O1012" s="69">
        <v>1</v>
      </c>
      <c r="P1012" s="69" t="s">
        <v>50</v>
      </c>
      <c r="Q1012" s="69" t="s">
        <v>51</v>
      </c>
      <c r="R1012" s="69"/>
      <c r="S1012" s="48">
        <v>40831</v>
      </c>
      <c r="T1012" s="48">
        <v>43340</v>
      </c>
      <c r="U1012" s="69"/>
      <c r="V1012" s="69"/>
      <c r="W1012" s="69"/>
      <c r="X1012" s="69"/>
      <c r="Y1012" s="69" t="s">
        <v>4125</v>
      </c>
      <c r="Z1012" s="52">
        <v>155000</v>
      </c>
      <c r="AA1012" s="43" t="s">
        <v>52</v>
      </c>
      <c r="AB1012" s="43" t="s">
        <v>53</v>
      </c>
      <c r="AC1012" s="85">
        <v>183</v>
      </c>
      <c r="AD1012" s="141">
        <v>0</v>
      </c>
      <c r="AE1012" s="142">
        <v>6</v>
      </c>
      <c r="AF1012" s="69" t="str">
        <f t="shared" si="114"/>
        <v>0 years 183 days</v>
      </c>
      <c r="AG1012" s="69">
        <v>0</v>
      </c>
      <c r="AH1012" s="69">
        <v>183</v>
      </c>
      <c r="AI1012" s="69">
        <v>155000</v>
      </c>
      <c r="AJ1012" s="67">
        <v>155000</v>
      </c>
      <c r="AK1012" s="69">
        <v>2025</v>
      </c>
      <c r="AL1012" s="61">
        <v>0</v>
      </c>
      <c r="AM1012" s="143"/>
    </row>
    <row r="1013" spans="1:39" x14ac:dyDescent="0.35">
      <c r="A1013" s="69" t="s">
        <v>4124</v>
      </c>
      <c r="B1013" s="41">
        <v>1121401630</v>
      </c>
      <c r="C1013" s="41"/>
      <c r="D1013" s="69"/>
      <c r="E1013" s="41">
        <v>0</v>
      </c>
      <c r="F1013" s="41" t="s">
        <v>2961</v>
      </c>
      <c r="G1013" s="69" t="s">
        <v>2960</v>
      </c>
      <c r="H1013" s="41">
        <v>9013000058</v>
      </c>
      <c r="I1013" s="41" t="s">
        <v>593</v>
      </c>
      <c r="J1013" s="41">
        <v>1202020101</v>
      </c>
      <c r="K1013" s="41" t="s">
        <v>3164</v>
      </c>
      <c r="L1013" s="52" t="s">
        <v>3165</v>
      </c>
      <c r="M1013" s="69" t="s">
        <v>3166</v>
      </c>
      <c r="N1013" s="69"/>
      <c r="O1013" s="69">
        <v>3</v>
      </c>
      <c r="P1013" s="69" t="s">
        <v>50</v>
      </c>
      <c r="Q1013" s="69" t="s">
        <v>51</v>
      </c>
      <c r="R1013" s="69"/>
      <c r="S1013" s="48">
        <v>42119</v>
      </c>
      <c r="T1013" s="48">
        <v>43340</v>
      </c>
      <c r="U1013" s="69"/>
      <c r="V1013" s="69"/>
      <c r="W1013" s="69"/>
      <c r="X1013" s="69"/>
      <c r="Y1013" s="69" t="s">
        <v>4125</v>
      </c>
      <c r="Z1013" s="52">
        <v>100000</v>
      </c>
      <c r="AA1013" s="43" t="s">
        <v>52</v>
      </c>
      <c r="AB1013" s="43" t="s">
        <v>53</v>
      </c>
      <c r="AC1013" s="85">
        <v>584</v>
      </c>
      <c r="AD1013" s="141">
        <v>1</v>
      </c>
      <c r="AE1013" s="142">
        <v>7</v>
      </c>
      <c r="AF1013" s="69" t="str">
        <f t="shared" si="114"/>
        <v>1 years 219 days</v>
      </c>
      <c r="AG1013" s="69">
        <v>1</v>
      </c>
      <c r="AH1013" s="69">
        <v>219</v>
      </c>
      <c r="AI1013" s="69">
        <v>100000</v>
      </c>
      <c r="AJ1013" s="67">
        <v>100000</v>
      </c>
      <c r="AK1013" s="69">
        <v>2025</v>
      </c>
      <c r="AL1013" s="61">
        <v>0</v>
      </c>
      <c r="AM1013" s="143"/>
    </row>
    <row r="1014" spans="1:39" x14ac:dyDescent="0.35">
      <c r="A1014" s="69" t="s">
        <v>4124</v>
      </c>
      <c r="B1014" s="41">
        <v>1121403298</v>
      </c>
      <c r="C1014" s="41"/>
      <c r="D1014" s="69"/>
      <c r="E1014" s="41">
        <v>0</v>
      </c>
      <c r="F1014" s="41" t="s">
        <v>2961</v>
      </c>
      <c r="G1014" s="69" t="s">
        <v>2960</v>
      </c>
      <c r="H1014" s="41">
        <v>9013000059</v>
      </c>
      <c r="I1014" s="41" t="s">
        <v>593</v>
      </c>
      <c r="J1014" s="41">
        <v>1202020101</v>
      </c>
      <c r="K1014" s="41" t="s">
        <v>3168</v>
      </c>
      <c r="L1014" s="52" t="s">
        <v>3169</v>
      </c>
      <c r="M1014" s="69" t="s">
        <v>3170</v>
      </c>
      <c r="N1014" s="69"/>
      <c r="O1014" s="69">
        <v>1</v>
      </c>
      <c r="P1014" s="69" t="s">
        <v>50</v>
      </c>
      <c r="Q1014" s="69" t="s">
        <v>51</v>
      </c>
      <c r="R1014" s="69"/>
      <c r="S1014" s="48">
        <v>43966</v>
      </c>
      <c r="T1014" s="48">
        <v>43966</v>
      </c>
      <c r="U1014" s="69"/>
      <c r="V1014" s="69"/>
      <c r="W1014" s="69"/>
      <c r="X1014" s="69"/>
      <c r="Y1014" s="69" t="s">
        <v>4127</v>
      </c>
      <c r="Z1014" s="52">
        <v>135000</v>
      </c>
      <c r="AA1014" s="43" t="s">
        <v>52</v>
      </c>
      <c r="AB1014" s="43" t="s">
        <v>53</v>
      </c>
      <c r="AC1014" s="85">
        <v>1460</v>
      </c>
      <c r="AD1014" s="141">
        <v>4</v>
      </c>
      <c r="AE1014" s="142">
        <v>0</v>
      </c>
      <c r="AF1014" s="69" t="str">
        <f t="shared" si="114"/>
        <v>4 years 0 days</v>
      </c>
      <c r="AG1014" s="69">
        <v>4</v>
      </c>
      <c r="AH1014" s="69">
        <v>0</v>
      </c>
      <c r="AI1014" s="69">
        <v>135000</v>
      </c>
      <c r="AJ1014" s="67">
        <v>135000</v>
      </c>
      <c r="AK1014" s="69">
        <v>2025</v>
      </c>
      <c r="AL1014" s="61">
        <v>0</v>
      </c>
      <c r="AM1014" s="143"/>
    </row>
    <row r="1015" spans="1:39" x14ac:dyDescent="0.35">
      <c r="A1015" s="69" t="s">
        <v>4124</v>
      </c>
      <c r="B1015" s="41">
        <v>1121402376</v>
      </c>
      <c r="C1015" s="41"/>
      <c r="D1015" s="69"/>
      <c r="E1015" s="41">
        <v>0</v>
      </c>
      <c r="F1015" s="41" t="s">
        <v>2961</v>
      </c>
      <c r="G1015" s="69" t="s">
        <v>2960</v>
      </c>
      <c r="H1015" s="41">
        <v>9013000060</v>
      </c>
      <c r="I1015" s="41" t="s">
        <v>593</v>
      </c>
      <c r="J1015" s="41">
        <v>1202020101</v>
      </c>
      <c r="K1015" s="41" t="s">
        <v>3172</v>
      </c>
      <c r="L1015" s="52" t="s">
        <v>3173</v>
      </c>
      <c r="M1015" s="69" t="s">
        <v>49</v>
      </c>
      <c r="N1015" s="69"/>
      <c r="O1015" s="69">
        <v>1</v>
      </c>
      <c r="P1015" s="69" t="s">
        <v>50</v>
      </c>
      <c r="Q1015" s="69" t="s">
        <v>51</v>
      </c>
      <c r="R1015" s="69"/>
      <c r="S1015" s="48">
        <v>42921</v>
      </c>
      <c r="T1015" s="48">
        <v>43340</v>
      </c>
      <c r="U1015" s="69"/>
      <c r="V1015" s="69"/>
      <c r="W1015" s="69"/>
      <c r="X1015" s="69"/>
      <c r="Y1015" s="69" t="s">
        <v>4125</v>
      </c>
      <c r="Z1015" s="52">
        <v>82500</v>
      </c>
      <c r="AA1015" s="43" t="s">
        <v>52</v>
      </c>
      <c r="AB1015" s="43" t="s">
        <v>53</v>
      </c>
      <c r="AC1015" s="85">
        <v>1387</v>
      </c>
      <c r="AD1015" s="141">
        <v>3</v>
      </c>
      <c r="AE1015" s="142">
        <v>10</v>
      </c>
      <c r="AF1015" s="69" t="str">
        <f t="shared" si="114"/>
        <v>3 years 292 days</v>
      </c>
      <c r="AG1015" s="69">
        <v>3</v>
      </c>
      <c r="AH1015" s="69">
        <v>292</v>
      </c>
      <c r="AI1015" s="69">
        <v>82500</v>
      </c>
      <c r="AJ1015" s="67">
        <v>82500</v>
      </c>
      <c r="AK1015" s="69">
        <v>2025</v>
      </c>
      <c r="AL1015" s="61">
        <v>0</v>
      </c>
      <c r="AM1015" s="143"/>
    </row>
    <row r="1016" spans="1:39" x14ac:dyDescent="0.35">
      <c r="A1016" s="69" t="s">
        <v>4124</v>
      </c>
      <c r="B1016" s="41">
        <v>1121404639</v>
      </c>
      <c r="C1016" s="41"/>
      <c r="D1016" s="69"/>
      <c r="E1016" s="41">
        <v>0</v>
      </c>
      <c r="F1016" s="41" t="s">
        <v>2961</v>
      </c>
      <c r="G1016" s="69" t="s">
        <v>2960</v>
      </c>
      <c r="H1016" s="41">
        <v>9013000061</v>
      </c>
      <c r="I1016" s="41" t="s">
        <v>593</v>
      </c>
      <c r="J1016" s="41">
        <v>1202020101</v>
      </c>
      <c r="K1016" s="41" t="s">
        <v>3175</v>
      </c>
      <c r="L1016" s="52" t="s">
        <v>3176</v>
      </c>
      <c r="M1016" s="69" t="s">
        <v>3177</v>
      </c>
      <c r="N1016" s="69"/>
      <c r="O1016" s="69">
        <v>1</v>
      </c>
      <c r="P1016" s="69" t="s">
        <v>50</v>
      </c>
      <c r="Q1016" s="69" t="s">
        <v>51</v>
      </c>
      <c r="R1016" s="69"/>
      <c r="S1016" s="48">
        <v>44986</v>
      </c>
      <c r="T1016" s="48">
        <v>44986</v>
      </c>
      <c r="U1016" s="69"/>
      <c r="V1016" s="69"/>
      <c r="W1016" s="69"/>
      <c r="X1016" s="69"/>
      <c r="Y1016" s="69" t="s">
        <v>4129</v>
      </c>
      <c r="Z1016" s="52">
        <v>143000</v>
      </c>
      <c r="AA1016" s="43" t="s">
        <v>52</v>
      </c>
      <c r="AB1016" s="43" t="s">
        <v>53</v>
      </c>
      <c r="AC1016" s="85">
        <v>1460</v>
      </c>
      <c r="AD1016" s="141">
        <v>4</v>
      </c>
      <c r="AE1016" s="142">
        <v>0</v>
      </c>
      <c r="AF1016" s="69" t="str">
        <f t="shared" si="114"/>
        <v>1 years 307 days</v>
      </c>
      <c r="AG1016" s="69">
        <v>1</v>
      </c>
      <c r="AH1016" s="69">
        <v>307</v>
      </c>
      <c r="AI1016" s="69">
        <v>143000</v>
      </c>
      <c r="AJ1016" s="67">
        <v>65819</v>
      </c>
      <c r="AK1016" s="69">
        <v>2025</v>
      </c>
      <c r="AL1016" s="61">
        <v>17728.260273972599</v>
      </c>
      <c r="AM1016" s="143"/>
    </row>
    <row r="1017" spans="1:39" x14ac:dyDescent="0.35">
      <c r="A1017" s="69" t="s">
        <v>4124</v>
      </c>
      <c r="B1017" s="41">
        <v>1121400718</v>
      </c>
      <c r="C1017" s="41"/>
      <c r="D1017" s="69"/>
      <c r="E1017" s="41">
        <v>0</v>
      </c>
      <c r="F1017" s="41" t="s">
        <v>2961</v>
      </c>
      <c r="G1017" s="69" t="s">
        <v>2960</v>
      </c>
      <c r="H1017" s="41">
        <v>9013000062</v>
      </c>
      <c r="I1017" s="41" t="s">
        <v>593</v>
      </c>
      <c r="J1017" s="41">
        <v>1202020101</v>
      </c>
      <c r="K1017" s="41" t="s">
        <v>3179</v>
      </c>
      <c r="L1017" s="52" t="s">
        <v>3180</v>
      </c>
      <c r="M1017" s="69" t="s">
        <v>3181</v>
      </c>
      <c r="N1017" s="69"/>
      <c r="O1017" s="69">
        <v>1</v>
      </c>
      <c r="P1017" s="69" t="s">
        <v>50</v>
      </c>
      <c r="Q1017" s="69" t="s">
        <v>51</v>
      </c>
      <c r="R1017" s="69"/>
      <c r="S1017" s="48">
        <v>41011</v>
      </c>
      <c r="T1017" s="48">
        <v>43340</v>
      </c>
      <c r="U1017" s="69"/>
      <c r="V1017" s="69"/>
      <c r="W1017" s="69"/>
      <c r="X1017" s="69"/>
      <c r="Y1017" s="69" t="s">
        <v>4125</v>
      </c>
      <c r="Z1017" s="52">
        <v>30000</v>
      </c>
      <c r="AA1017" s="43" t="s">
        <v>52</v>
      </c>
      <c r="AB1017" s="43" t="s">
        <v>53</v>
      </c>
      <c r="AC1017" s="85">
        <v>183</v>
      </c>
      <c r="AD1017" s="141">
        <v>0</v>
      </c>
      <c r="AE1017" s="142">
        <v>6</v>
      </c>
      <c r="AF1017" s="69" t="str">
        <f t="shared" si="114"/>
        <v>0 years 183 days</v>
      </c>
      <c r="AG1017" s="69">
        <v>0</v>
      </c>
      <c r="AH1017" s="69">
        <v>183</v>
      </c>
      <c r="AI1017" s="69">
        <v>30000</v>
      </c>
      <c r="AJ1017" s="67">
        <v>30000</v>
      </c>
      <c r="AK1017" s="69">
        <v>2025</v>
      </c>
      <c r="AL1017" s="61">
        <v>0</v>
      </c>
      <c r="AM1017" s="143"/>
    </row>
    <row r="1018" spans="1:39" x14ac:dyDescent="0.35">
      <c r="A1018" s="69" t="s">
        <v>4124</v>
      </c>
      <c r="B1018" s="41">
        <v>1121404490</v>
      </c>
      <c r="C1018" s="41"/>
      <c r="D1018" s="69"/>
      <c r="E1018" s="41">
        <v>0</v>
      </c>
      <c r="F1018" s="41" t="s">
        <v>2961</v>
      </c>
      <c r="G1018" s="69" t="s">
        <v>2960</v>
      </c>
      <c r="H1018" s="41">
        <v>9013000063</v>
      </c>
      <c r="I1018" s="41" t="s">
        <v>593</v>
      </c>
      <c r="J1018" s="41">
        <v>1202020101</v>
      </c>
      <c r="K1018" s="41" t="s">
        <v>3183</v>
      </c>
      <c r="L1018" s="52" t="s">
        <v>3184</v>
      </c>
      <c r="M1018" s="69" t="s">
        <v>3185</v>
      </c>
      <c r="N1018" s="69"/>
      <c r="O1018" s="69">
        <v>1</v>
      </c>
      <c r="P1018" s="69" t="s">
        <v>50</v>
      </c>
      <c r="Q1018" s="69" t="s">
        <v>51</v>
      </c>
      <c r="R1018" s="69"/>
      <c r="S1018" s="48">
        <v>44896</v>
      </c>
      <c r="T1018" s="48">
        <v>44896</v>
      </c>
      <c r="U1018" s="69"/>
      <c r="V1018" s="69"/>
      <c r="W1018" s="69"/>
      <c r="X1018" s="69"/>
      <c r="Y1018" s="69" t="s">
        <v>4131</v>
      </c>
      <c r="Z1018" s="52">
        <v>16000</v>
      </c>
      <c r="AA1018" s="43" t="s">
        <v>52</v>
      </c>
      <c r="AB1018" s="43" t="s">
        <v>53</v>
      </c>
      <c r="AC1018" s="85">
        <v>1460</v>
      </c>
      <c r="AD1018" s="141">
        <v>4</v>
      </c>
      <c r="AE1018" s="142">
        <v>0</v>
      </c>
      <c r="AF1018" s="69" t="str">
        <f t="shared" si="114"/>
        <v>2 years 32 days</v>
      </c>
      <c r="AG1018" s="69">
        <v>2</v>
      </c>
      <c r="AH1018" s="69">
        <v>32</v>
      </c>
      <c r="AI1018" s="69">
        <v>16000</v>
      </c>
      <c r="AJ1018" s="67">
        <v>8351</v>
      </c>
      <c r="AK1018" s="69">
        <v>2025</v>
      </c>
      <c r="AL1018" s="61">
        <v>1983.2465753424658</v>
      </c>
      <c r="AM1018" s="143"/>
    </row>
    <row r="1019" spans="1:39" x14ac:dyDescent="0.35">
      <c r="A1019" s="69" t="s">
        <v>4124</v>
      </c>
      <c r="B1019" s="41">
        <v>1121403199</v>
      </c>
      <c r="C1019" s="41"/>
      <c r="D1019" s="69"/>
      <c r="E1019" s="41">
        <v>0</v>
      </c>
      <c r="F1019" s="41" t="s">
        <v>2961</v>
      </c>
      <c r="G1019" s="69" t="s">
        <v>2960</v>
      </c>
      <c r="H1019" s="41">
        <v>9013000064</v>
      </c>
      <c r="I1019" s="41" t="s">
        <v>593</v>
      </c>
      <c r="J1019" s="41">
        <v>1202020101</v>
      </c>
      <c r="K1019" s="41" t="s">
        <v>3187</v>
      </c>
      <c r="L1019" s="52" t="s">
        <v>3188</v>
      </c>
      <c r="M1019" s="69" t="s">
        <v>3108</v>
      </c>
      <c r="N1019" s="69"/>
      <c r="O1019" s="69">
        <v>1</v>
      </c>
      <c r="P1019" s="69" t="s">
        <v>50</v>
      </c>
      <c r="Q1019" s="69" t="s">
        <v>51</v>
      </c>
      <c r="R1019" s="69"/>
      <c r="S1019" s="48">
        <v>43829</v>
      </c>
      <c r="T1019" s="48">
        <v>43829</v>
      </c>
      <c r="U1019" s="69"/>
      <c r="V1019" s="69"/>
      <c r="W1019" s="69"/>
      <c r="X1019" s="69"/>
      <c r="Y1019" s="69" t="s">
        <v>4126</v>
      </c>
      <c r="Z1019" s="52">
        <v>135000</v>
      </c>
      <c r="AA1019" s="43" t="s">
        <v>52</v>
      </c>
      <c r="AB1019" s="43" t="s">
        <v>53</v>
      </c>
      <c r="AC1019" s="85">
        <v>1460</v>
      </c>
      <c r="AD1019" s="141">
        <v>4</v>
      </c>
      <c r="AE1019" s="142">
        <v>0</v>
      </c>
      <c r="AF1019" s="69" t="str">
        <f t="shared" si="114"/>
        <v>4 years 0 days</v>
      </c>
      <c r="AG1019" s="69">
        <v>4</v>
      </c>
      <c r="AH1019" s="69">
        <v>0</v>
      </c>
      <c r="AI1019" s="69">
        <v>135000</v>
      </c>
      <c r="AJ1019" s="67">
        <v>135000</v>
      </c>
      <c r="AK1019" s="69">
        <v>2025</v>
      </c>
      <c r="AL1019" s="61">
        <v>0</v>
      </c>
      <c r="AM1019" s="143"/>
    </row>
    <row r="1020" spans="1:39" x14ac:dyDescent="0.35">
      <c r="A1020" s="69" t="s">
        <v>4124</v>
      </c>
      <c r="B1020" s="41">
        <v>1121403200</v>
      </c>
      <c r="C1020" s="41"/>
      <c r="D1020" s="69"/>
      <c r="E1020" s="41">
        <v>0</v>
      </c>
      <c r="F1020" s="41" t="s">
        <v>2961</v>
      </c>
      <c r="G1020" s="69" t="s">
        <v>2960</v>
      </c>
      <c r="H1020" s="41">
        <v>9013000065</v>
      </c>
      <c r="I1020" s="41" t="s">
        <v>593</v>
      </c>
      <c r="J1020" s="41">
        <v>1202020101</v>
      </c>
      <c r="K1020" s="41" t="s">
        <v>3190</v>
      </c>
      <c r="L1020" s="52" t="s">
        <v>3191</v>
      </c>
      <c r="M1020" s="69" t="s">
        <v>3108</v>
      </c>
      <c r="N1020" s="69"/>
      <c r="O1020" s="69">
        <v>1</v>
      </c>
      <c r="P1020" s="69" t="s">
        <v>50</v>
      </c>
      <c r="Q1020" s="69" t="s">
        <v>51</v>
      </c>
      <c r="R1020" s="69"/>
      <c r="S1020" s="48">
        <v>43829</v>
      </c>
      <c r="T1020" s="48">
        <v>43829</v>
      </c>
      <c r="U1020" s="69"/>
      <c r="V1020" s="69"/>
      <c r="W1020" s="69"/>
      <c r="X1020" s="69"/>
      <c r="Y1020" s="69" t="s">
        <v>4126</v>
      </c>
      <c r="Z1020" s="52">
        <v>135000</v>
      </c>
      <c r="AA1020" s="43" t="s">
        <v>52</v>
      </c>
      <c r="AB1020" s="43" t="s">
        <v>53</v>
      </c>
      <c r="AC1020" s="85">
        <v>1460</v>
      </c>
      <c r="AD1020" s="141">
        <v>4</v>
      </c>
      <c r="AE1020" s="142">
        <v>0</v>
      </c>
      <c r="AF1020" s="69" t="str">
        <f t="shared" ref="AF1020:AF1083" si="115">_xlfn.CONCAT(AG1020," years ",AH1020," days")</f>
        <v>4 years 0 days</v>
      </c>
      <c r="AG1020" s="69">
        <v>4</v>
      </c>
      <c r="AH1020" s="69">
        <v>0</v>
      </c>
      <c r="AI1020" s="69">
        <v>135000</v>
      </c>
      <c r="AJ1020" s="67">
        <v>135000</v>
      </c>
      <c r="AK1020" s="69">
        <v>2025</v>
      </c>
      <c r="AL1020" s="61">
        <v>0</v>
      </c>
      <c r="AM1020" s="143"/>
    </row>
    <row r="1021" spans="1:39" x14ac:dyDescent="0.35">
      <c r="A1021" s="69" t="s">
        <v>4124</v>
      </c>
      <c r="B1021" s="41">
        <v>1121401780</v>
      </c>
      <c r="C1021" s="41"/>
      <c r="D1021" s="69"/>
      <c r="E1021" s="41">
        <v>0</v>
      </c>
      <c r="F1021" s="41" t="s">
        <v>2961</v>
      </c>
      <c r="G1021" s="69" t="s">
        <v>2960</v>
      </c>
      <c r="H1021" s="41">
        <v>9013000066</v>
      </c>
      <c r="I1021" s="41" t="s">
        <v>593</v>
      </c>
      <c r="J1021" s="41">
        <v>1202020101</v>
      </c>
      <c r="K1021" s="41" t="s">
        <v>3193</v>
      </c>
      <c r="L1021" s="52" t="s">
        <v>3194</v>
      </c>
      <c r="M1021" s="69" t="s">
        <v>49</v>
      </c>
      <c r="N1021" s="69"/>
      <c r="O1021" s="69">
        <v>1</v>
      </c>
      <c r="P1021" s="69" t="s">
        <v>50</v>
      </c>
      <c r="Q1021" s="69" t="s">
        <v>51</v>
      </c>
      <c r="R1021" s="69"/>
      <c r="S1021" s="48">
        <v>42328</v>
      </c>
      <c r="T1021" s="48">
        <v>43340</v>
      </c>
      <c r="U1021" s="69"/>
      <c r="V1021" s="69"/>
      <c r="W1021" s="69"/>
      <c r="X1021" s="69"/>
      <c r="Y1021" s="69" t="s">
        <v>4125</v>
      </c>
      <c r="Z1021" s="52">
        <v>42000</v>
      </c>
      <c r="AA1021" s="43" t="s">
        <v>52</v>
      </c>
      <c r="AB1021" s="43" t="s">
        <v>53</v>
      </c>
      <c r="AC1021" s="85">
        <v>767</v>
      </c>
      <c r="AD1021" s="141">
        <v>2</v>
      </c>
      <c r="AE1021" s="142">
        <v>1</v>
      </c>
      <c r="AF1021" s="69" t="str">
        <f t="shared" si="115"/>
        <v>2 years 37 days</v>
      </c>
      <c r="AG1021" s="69">
        <v>2</v>
      </c>
      <c r="AH1021" s="69">
        <v>37</v>
      </c>
      <c r="AI1021" s="69">
        <v>42000</v>
      </c>
      <c r="AJ1021" s="67">
        <v>42000</v>
      </c>
      <c r="AK1021" s="69">
        <v>2025</v>
      </c>
      <c r="AL1021" s="61">
        <v>0</v>
      </c>
      <c r="AM1021" s="143"/>
    </row>
    <row r="1022" spans="1:39" x14ac:dyDescent="0.35">
      <c r="A1022" s="69" t="s">
        <v>4124</v>
      </c>
      <c r="B1022" s="41">
        <v>1121402460</v>
      </c>
      <c r="C1022" s="41"/>
      <c r="D1022" s="69"/>
      <c r="E1022" s="41">
        <v>0</v>
      </c>
      <c r="F1022" s="41" t="s">
        <v>2961</v>
      </c>
      <c r="G1022" s="69" t="s">
        <v>2960</v>
      </c>
      <c r="H1022" s="41">
        <v>9013000067</v>
      </c>
      <c r="I1022" s="41" t="s">
        <v>593</v>
      </c>
      <c r="J1022" s="41">
        <v>1202020101</v>
      </c>
      <c r="K1022" s="41" t="s">
        <v>3196</v>
      </c>
      <c r="L1022" s="52" t="s">
        <v>3197</v>
      </c>
      <c r="M1022" s="69" t="s">
        <v>49</v>
      </c>
      <c r="N1022" s="69"/>
      <c r="O1022" s="69">
        <v>1</v>
      </c>
      <c r="P1022" s="69" t="s">
        <v>50</v>
      </c>
      <c r="Q1022" s="69" t="s">
        <v>51</v>
      </c>
      <c r="R1022" s="69"/>
      <c r="S1022" s="48">
        <v>43068</v>
      </c>
      <c r="T1022" s="48">
        <v>43340</v>
      </c>
      <c r="U1022" s="69"/>
      <c r="V1022" s="69"/>
      <c r="W1022" s="69"/>
      <c r="X1022" s="69"/>
      <c r="Y1022" s="69" t="s">
        <v>4125</v>
      </c>
      <c r="Z1022" s="52">
        <v>90000</v>
      </c>
      <c r="AA1022" s="43" t="s">
        <v>52</v>
      </c>
      <c r="AB1022" s="43" t="s">
        <v>53</v>
      </c>
      <c r="AC1022" s="85">
        <v>1533</v>
      </c>
      <c r="AD1022" s="141">
        <v>4</v>
      </c>
      <c r="AE1022" s="142">
        <v>2</v>
      </c>
      <c r="AF1022" s="69" t="str">
        <f t="shared" si="115"/>
        <v>4 years 73 days</v>
      </c>
      <c r="AG1022" s="69">
        <v>4</v>
      </c>
      <c r="AH1022" s="69">
        <v>73</v>
      </c>
      <c r="AI1022" s="69">
        <v>90000</v>
      </c>
      <c r="AJ1022" s="67">
        <v>90000</v>
      </c>
      <c r="AK1022" s="69">
        <v>2025</v>
      </c>
      <c r="AL1022" s="61">
        <v>0</v>
      </c>
      <c r="AM1022" s="143"/>
    </row>
    <row r="1023" spans="1:39" x14ac:dyDescent="0.35">
      <c r="A1023" s="69" t="s">
        <v>4124</v>
      </c>
      <c r="B1023" s="41">
        <v>1121403687</v>
      </c>
      <c r="C1023" s="41"/>
      <c r="D1023" s="69"/>
      <c r="E1023" s="41">
        <v>0</v>
      </c>
      <c r="F1023" s="41" t="s">
        <v>2961</v>
      </c>
      <c r="G1023" s="69" t="s">
        <v>2960</v>
      </c>
      <c r="H1023" s="41">
        <v>9013000068</v>
      </c>
      <c r="I1023" s="41" t="s">
        <v>593</v>
      </c>
      <c r="J1023" s="41">
        <v>1202020101</v>
      </c>
      <c r="K1023" s="41" t="s">
        <v>3199</v>
      </c>
      <c r="L1023" s="52" t="s">
        <v>3200</v>
      </c>
      <c r="M1023" s="69" t="s">
        <v>3201</v>
      </c>
      <c r="N1023" s="69"/>
      <c r="O1023" s="69">
        <v>1</v>
      </c>
      <c r="P1023" s="69" t="s">
        <v>50</v>
      </c>
      <c r="Q1023" s="69" t="s">
        <v>51</v>
      </c>
      <c r="R1023" s="69"/>
      <c r="S1023" s="48">
        <v>44328</v>
      </c>
      <c r="T1023" s="48">
        <v>44328</v>
      </c>
      <c r="U1023" s="69"/>
      <c r="V1023" s="69"/>
      <c r="W1023" s="69"/>
      <c r="X1023" s="69"/>
      <c r="Y1023" s="69" t="s">
        <v>4128</v>
      </c>
      <c r="Z1023" s="52">
        <v>135000</v>
      </c>
      <c r="AA1023" s="43" t="s">
        <v>52</v>
      </c>
      <c r="AB1023" s="43" t="s">
        <v>53</v>
      </c>
      <c r="AC1023" s="85">
        <v>1460</v>
      </c>
      <c r="AD1023" s="141">
        <v>4</v>
      </c>
      <c r="AE1023" s="142">
        <v>0</v>
      </c>
      <c r="AF1023" s="69" t="str">
        <f t="shared" si="115"/>
        <v>3 years 235 days</v>
      </c>
      <c r="AG1023" s="69">
        <v>3</v>
      </c>
      <c r="AH1023" s="69">
        <v>235</v>
      </c>
      <c r="AI1023" s="69">
        <v>135000</v>
      </c>
      <c r="AJ1023" s="67">
        <v>122979</v>
      </c>
      <c r="AK1023" s="69">
        <v>2025</v>
      </c>
      <c r="AL1023" s="61">
        <v>12021</v>
      </c>
      <c r="AM1023" s="143"/>
    </row>
    <row r="1024" spans="1:39" x14ac:dyDescent="0.35">
      <c r="A1024" s="69" t="s">
        <v>4124</v>
      </c>
      <c r="B1024" s="41">
        <v>1121400647</v>
      </c>
      <c r="C1024" s="41"/>
      <c r="D1024" s="69"/>
      <c r="E1024" s="41">
        <v>0</v>
      </c>
      <c r="F1024" s="41" t="s">
        <v>2961</v>
      </c>
      <c r="G1024" s="69" t="s">
        <v>2960</v>
      </c>
      <c r="H1024" s="41">
        <v>9013000069</v>
      </c>
      <c r="I1024" s="41" t="s">
        <v>593</v>
      </c>
      <c r="J1024" s="41">
        <v>1202020101</v>
      </c>
      <c r="K1024" s="41" t="s">
        <v>3203</v>
      </c>
      <c r="L1024" s="52" t="s">
        <v>3204</v>
      </c>
      <c r="M1024" s="69" t="s">
        <v>49</v>
      </c>
      <c r="N1024" s="69"/>
      <c r="O1024" s="69">
        <v>1</v>
      </c>
      <c r="P1024" s="69" t="s">
        <v>50</v>
      </c>
      <c r="Q1024" s="69" t="s">
        <v>51</v>
      </c>
      <c r="R1024" s="69"/>
      <c r="S1024" s="48">
        <v>40794</v>
      </c>
      <c r="T1024" s="48">
        <v>43340</v>
      </c>
      <c r="U1024" s="69"/>
      <c r="V1024" s="69"/>
      <c r="W1024" s="69"/>
      <c r="X1024" s="69"/>
      <c r="Y1024" s="69" t="s">
        <v>4125</v>
      </c>
      <c r="Z1024" s="52">
        <v>125000</v>
      </c>
      <c r="AA1024" s="43" t="s">
        <v>52</v>
      </c>
      <c r="AB1024" s="43" t="s">
        <v>53</v>
      </c>
      <c r="AC1024" s="85">
        <v>183</v>
      </c>
      <c r="AD1024" s="141">
        <v>0</v>
      </c>
      <c r="AE1024" s="142">
        <v>6</v>
      </c>
      <c r="AF1024" s="69" t="str">
        <f t="shared" si="115"/>
        <v>0 years 183 days</v>
      </c>
      <c r="AG1024" s="69">
        <v>0</v>
      </c>
      <c r="AH1024" s="69">
        <v>183</v>
      </c>
      <c r="AI1024" s="69">
        <v>125000</v>
      </c>
      <c r="AJ1024" s="67">
        <v>125000</v>
      </c>
      <c r="AK1024" s="69">
        <v>2025</v>
      </c>
      <c r="AL1024" s="61">
        <v>0</v>
      </c>
      <c r="AM1024" s="143"/>
    </row>
    <row r="1025" spans="1:39" x14ac:dyDescent="0.35">
      <c r="A1025" s="69" t="s">
        <v>4124</v>
      </c>
      <c r="B1025" s="41">
        <v>1121404026</v>
      </c>
      <c r="C1025" s="41"/>
      <c r="D1025" s="69"/>
      <c r="E1025" s="41">
        <v>0</v>
      </c>
      <c r="F1025" s="41" t="s">
        <v>2961</v>
      </c>
      <c r="G1025" s="69" t="s">
        <v>2960</v>
      </c>
      <c r="H1025" s="41">
        <v>9013000070</v>
      </c>
      <c r="I1025" s="41" t="s">
        <v>593</v>
      </c>
      <c r="J1025" s="41">
        <v>1202020101</v>
      </c>
      <c r="K1025" s="41" t="s">
        <v>3206</v>
      </c>
      <c r="L1025" s="52" t="s">
        <v>3207</v>
      </c>
      <c r="M1025" s="69" t="s">
        <v>3208</v>
      </c>
      <c r="N1025" s="69"/>
      <c r="O1025" s="69">
        <v>1</v>
      </c>
      <c r="P1025" s="69" t="s">
        <v>50</v>
      </c>
      <c r="Q1025" s="69" t="s">
        <v>51</v>
      </c>
      <c r="R1025" s="69"/>
      <c r="S1025" s="48">
        <v>44621</v>
      </c>
      <c r="T1025" s="48">
        <v>44621</v>
      </c>
      <c r="U1025" s="69"/>
      <c r="V1025" s="69"/>
      <c r="W1025" s="69"/>
      <c r="X1025" s="69"/>
      <c r="Y1025" s="69" t="s">
        <v>4131</v>
      </c>
      <c r="Z1025" s="52">
        <v>135000</v>
      </c>
      <c r="AA1025" s="43" t="s">
        <v>52</v>
      </c>
      <c r="AB1025" s="43" t="s">
        <v>53</v>
      </c>
      <c r="AC1025" s="85">
        <v>1460</v>
      </c>
      <c r="AD1025" s="141">
        <v>4</v>
      </c>
      <c r="AE1025" s="142">
        <v>0</v>
      </c>
      <c r="AF1025" s="69" t="str">
        <f t="shared" si="115"/>
        <v>2 years 307 days</v>
      </c>
      <c r="AG1025" s="69">
        <v>2</v>
      </c>
      <c r="AH1025" s="69">
        <v>307</v>
      </c>
      <c r="AI1025" s="69">
        <v>135000</v>
      </c>
      <c r="AJ1025" s="67">
        <v>94167</v>
      </c>
      <c r="AK1025" s="69">
        <v>2025</v>
      </c>
      <c r="AL1025" s="61">
        <v>16736.42465753424</v>
      </c>
      <c r="AM1025" s="143"/>
    </row>
    <row r="1026" spans="1:39" x14ac:dyDescent="0.35">
      <c r="A1026" s="69" t="s">
        <v>4124</v>
      </c>
      <c r="B1026" s="41">
        <v>1121404918</v>
      </c>
      <c r="C1026" s="41"/>
      <c r="D1026" s="69"/>
      <c r="E1026" s="41">
        <v>0</v>
      </c>
      <c r="F1026" s="41" t="s">
        <v>2961</v>
      </c>
      <c r="G1026" s="69" t="s">
        <v>2960</v>
      </c>
      <c r="H1026" s="41">
        <v>9013000071</v>
      </c>
      <c r="I1026" s="41" t="s">
        <v>593</v>
      </c>
      <c r="J1026" s="41">
        <v>1202020101</v>
      </c>
      <c r="K1026" s="41" t="s">
        <v>3210</v>
      </c>
      <c r="L1026" s="52" t="s">
        <v>3211</v>
      </c>
      <c r="M1026" s="69" t="s">
        <v>3212</v>
      </c>
      <c r="N1026" s="69"/>
      <c r="O1026" s="69">
        <v>2</v>
      </c>
      <c r="P1026" s="69" t="s">
        <v>50</v>
      </c>
      <c r="Q1026" s="69" t="s">
        <v>51</v>
      </c>
      <c r="R1026" s="69"/>
      <c r="S1026" s="48">
        <v>45199</v>
      </c>
      <c r="T1026" s="48">
        <v>45199</v>
      </c>
      <c r="U1026" s="69"/>
      <c r="V1026" s="69"/>
      <c r="W1026" s="69"/>
      <c r="X1026" s="69"/>
      <c r="Y1026" s="69" t="s">
        <v>4129</v>
      </c>
      <c r="Z1026" s="52">
        <v>220000</v>
      </c>
      <c r="AA1026" s="43" t="s">
        <v>52</v>
      </c>
      <c r="AB1026" s="43" t="s">
        <v>53</v>
      </c>
      <c r="AC1026" s="85">
        <v>1460</v>
      </c>
      <c r="AD1026" s="141">
        <v>4</v>
      </c>
      <c r="AE1026" s="142">
        <v>0</v>
      </c>
      <c r="AF1026" s="69" t="str">
        <f t="shared" si="115"/>
        <v>1 years 94 days</v>
      </c>
      <c r="AG1026" s="69">
        <v>1</v>
      </c>
      <c r="AH1026" s="69">
        <v>94</v>
      </c>
      <c r="AI1026" s="69">
        <v>220000</v>
      </c>
      <c r="AJ1026" s="67">
        <v>69164</v>
      </c>
      <c r="AK1026" s="69">
        <v>2025</v>
      </c>
      <c r="AL1026" s="61">
        <v>27274.356164383556</v>
      </c>
      <c r="AM1026" s="143"/>
    </row>
    <row r="1027" spans="1:39" x14ac:dyDescent="0.35">
      <c r="A1027" s="69" t="s">
        <v>4124</v>
      </c>
      <c r="B1027" s="41">
        <v>1121400649</v>
      </c>
      <c r="C1027" s="41"/>
      <c r="D1027" s="69"/>
      <c r="E1027" s="41">
        <v>0</v>
      </c>
      <c r="F1027" s="41" t="s">
        <v>2961</v>
      </c>
      <c r="G1027" s="69" t="s">
        <v>2960</v>
      </c>
      <c r="H1027" s="41">
        <v>9013000072</v>
      </c>
      <c r="I1027" s="41" t="s">
        <v>593</v>
      </c>
      <c r="J1027" s="41">
        <v>1202020101</v>
      </c>
      <c r="K1027" s="41" t="s">
        <v>3214</v>
      </c>
      <c r="L1027" s="52" t="s">
        <v>3215</v>
      </c>
      <c r="M1027" s="69" t="s">
        <v>49</v>
      </c>
      <c r="N1027" s="69"/>
      <c r="O1027" s="69">
        <v>1</v>
      </c>
      <c r="P1027" s="69" t="s">
        <v>50</v>
      </c>
      <c r="Q1027" s="69" t="s">
        <v>51</v>
      </c>
      <c r="R1027" s="69"/>
      <c r="S1027" s="48">
        <v>40794</v>
      </c>
      <c r="T1027" s="48">
        <v>43340</v>
      </c>
      <c r="U1027" s="69"/>
      <c r="V1027" s="69"/>
      <c r="W1027" s="69"/>
      <c r="X1027" s="69"/>
      <c r="Y1027" s="69" t="s">
        <v>4125</v>
      </c>
      <c r="Z1027" s="52">
        <v>50000</v>
      </c>
      <c r="AA1027" s="43" t="s">
        <v>52</v>
      </c>
      <c r="AB1027" s="43" t="s">
        <v>53</v>
      </c>
      <c r="AC1027" s="85">
        <v>183</v>
      </c>
      <c r="AD1027" s="141">
        <v>0</v>
      </c>
      <c r="AE1027" s="142">
        <v>6</v>
      </c>
      <c r="AF1027" s="69" t="str">
        <f t="shared" si="115"/>
        <v>0 years 183 days</v>
      </c>
      <c r="AG1027" s="69">
        <v>0</v>
      </c>
      <c r="AH1027" s="69">
        <v>183</v>
      </c>
      <c r="AI1027" s="69">
        <v>50000</v>
      </c>
      <c r="AJ1027" s="67">
        <v>50000</v>
      </c>
      <c r="AK1027" s="69">
        <v>2025</v>
      </c>
      <c r="AL1027" s="61">
        <v>0</v>
      </c>
      <c r="AM1027" s="143"/>
    </row>
    <row r="1028" spans="1:39" x14ac:dyDescent="0.35">
      <c r="A1028" s="69" t="s">
        <v>4124</v>
      </c>
      <c r="B1028" s="41">
        <v>1121400648</v>
      </c>
      <c r="C1028" s="41"/>
      <c r="D1028" s="69"/>
      <c r="E1028" s="41">
        <v>0</v>
      </c>
      <c r="F1028" s="41" t="s">
        <v>2961</v>
      </c>
      <c r="G1028" s="69" t="s">
        <v>2960</v>
      </c>
      <c r="H1028" s="41">
        <v>9013000073</v>
      </c>
      <c r="I1028" s="41" t="s">
        <v>593</v>
      </c>
      <c r="J1028" s="41">
        <v>1202020101</v>
      </c>
      <c r="K1028" s="41" t="s">
        <v>3217</v>
      </c>
      <c r="L1028" s="52" t="s">
        <v>3218</v>
      </c>
      <c r="M1028" s="69" t="s">
        <v>49</v>
      </c>
      <c r="N1028" s="69"/>
      <c r="O1028" s="69">
        <v>1</v>
      </c>
      <c r="P1028" s="69" t="s">
        <v>50</v>
      </c>
      <c r="Q1028" s="69" t="s">
        <v>51</v>
      </c>
      <c r="R1028" s="69"/>
      <c r="S1028" s="48">
        <v>40794</v>
      </c>
      <c r="T1028" s="48">
        <v>43340</v>
      </c>
      <c r="U1028" s="69"/>
      <c r="V1028" s="69"/>
      <c r="W1028" s="69"/>
      <c r="X1028" s="69"/>
      <c r="Y1028" s="69" t="s">
        <v>4125</v>
      </c>
      <c r="Z1028" s="52">
        <v>125000</v>
      </c>
      <c r="AA1028" s="43" t="s">
        <v>52</v>
      </c>
      <c r="AB1028" s="43" t="s">
        <v>53</v>
      </c>
      <c r="AC1028" s="85">
        <v>183</v>
      </c>
      <c r="AD1028" s="141">
        <v>0</v>
      </c>
      <c r="AE1028" s="142">
        <v>6</v>
      </c>
      <c r="AF1028" s="69" t="str">
        <f t="shared" si="115"/>
        <v>0 years 183 days</v>
      </c>
      <c r="AG1028" s="69">
        <v>0</v>
      </c>
      <c r="AH1028" s="69">
        <v>183</v>
      </c>
      <c r="AI1028" s="69">
        <v>125000</v>
      </c>
      <c r="AJ1028" s="67">
        <v>125000</v>
      </c>
      <c r="AK1028" s="69">
        <v>2025</v>
      </c>
      <c r="AL1028" s="61">
        <v>0</v>
      </c>
      <c r="AM1028" s="143"/>
    </row>
    <row r="1029" spans="1:39" x14ac:dyDescent="0.35">
      <c r="A1029" s="69" t="s">
        <v>4124</v>
      </c>
      <c r="B1029" s="41">
        <v>1121401887</v>
      </c>
      <c r="C1029" s="41"/>
      <c r="D1029" s="69"/>
      <c r="E1029" s="41">
        <v>0</v>
      </c>
      <c r="F1029" s="41" t="s">
        <v>2961</v>
      </c>
      <c r="G1029" s="69" t="s">
        <v>2960</v>
      </c>
      <c r="H1029" s="41">
        <v>9013000074</v>
      </c>
      <c r="I1029" s="41" t="s">
        <v>593</v>
      </c>
      <c r="J1029" s="41">
        <v>1202020101</v>
      </c>
      <c r="K1029" s="41" t="s">
        <v>3220</v>
      </c>
      <c r="L1029" s="52" t="s">
        <v>3221</v>
      </c>
      <c r="M1029" s="69" t="s">
        <v>49</v>
      </c>
      <c r="N1029" s="69"/>
      <c r="O1029" s="69">
        <v>1</v>
      </c>
      <c r="P1029" s="69" t="s">
        <v>50</v>
      </c>
      <c r="Q1029" s="69" t="s">
        <v>51</v>
      </c>
      <c r="R1029" s="69"/>
      <c r="S1029" s="48">
        <v>42480</v>
      </c>
      <c r="T1029" s="48">
        <v>43340</v>
      </c>
      <c r="U1029" s="69"/>
      <c r="V1029" s="69"/>
      <c r="W1029" s="69"/>
      <c r="X1029" s="69"/>
      <c r="Y1029" s="69" t="s">
        <v>4125</v>
      </c>
      <c r="Z1029" s="52">
        <v>62500</v>
      </c>
      <c r="AA1029" s="43" t="s">
        <v>52</v>
      </c>
      <c r="AB1029" s="43" t="s">
        <v>53</v>
      </c>
      <c r="AC1029" s="85">
        <v>949</v>
      </c>
      <c r="AD1029" s="141">
        <v>2</v>
      </c>
      <c r="AE1029" s="142">
        <v>7</v>
      </c>
      <c r="AF1029" s="69" t="str">
        <f t="shared" si="115"/>
        <v>2 years 219 days</v>
      </c>
      <c r="AG1029" s="69">
        <v>2</v>
      </c>
      <c r="AH1029" s="69">
        <v>219</v>
      </c>
      <c r="AI1029" s="69">
        <v>62500</v>
      </c>
      <c r="AJ1029" s="67">
        <v>62500</v>
      </c>
      <c r="AK1029" s="69">
        <v>2025</v>
      </c>
      <c r="AL1029" s="61">
        <v>0</v>
      </c>
      <c r="AM1029" s="143"/>
    </row>
    <row r="1030" spans="1:39" x14ac:dyDescent="0.35">
      <c r="A1030" s="69" t="s">
        <v>4124</v>
      </c>
      <c r="B1030" s="41">
        <v>1121404919</v>
      </c>
      <c r="C1030" s="41"/>
      <c r="D1030" s="69"/>
      <c r="E1030" s="41">
        <v>0</v>
      </c>
      <c r="F1030" s="41" t="s">
        <v>2961</v>
      </c>
      <c r="G1030" s="69" t="s">
        <v>2960</v>
      </c>
      <c r="H1030" s="41">
        <v>9013000075</v>
      </c>
      <c r="I1030" s="41" t="s">
        <v>593</v>
      </c>
      <c r="J1030" s="41">
        <v>1202020101</v>
      </c>
      <c r="K1030" s="41" t="s">
        <v>3223</v>
      </c>
      <c r="L1030" s="52" t="s">
        <v>3224</v>
      </c>
      <c r="M1030" s="69" t="s">
        <v>3225</v>
      </c>
      <c r="N1030" s="69"/>
      <c r="O1030" s="69">
        <v>2</v>
      </c>
      <c r="P1030" s="69" t="s">
        <v>50</v>
      </c>
      <c r="Q1030" s="69" t="s">
        <v>51</v>
      </c>
      <c r="R1030" s="69"/>
      <c r="S1030" s="48">
        <v>45199</v>
      </c>
      <c r="T1030" s="48">
        <v>45199</v>
      </c>
      <c r="U1030" s="69"/>
      <c r="V1030" s="69"/>
      <c r="W1030" s="69"/>
      <c r="X1030" s="69"/>
      <c r="Y1030" s="69" t="s">
        <v>4129</v>
      </c>
      <c r="Z1030" s="52">
        <v>220000</v>
      </c>
      <c r="AA1030" s="43" t="s">
        <v>52</v>
      </c>
      <c r="AB1030" s="43" t="s">
        <v>53</v>
      </c>
      <c r="AC1030" s="85">
        <v>1460</v>
      </c>
      <c r="AD1030" s="141">
        <v>4</v>
      </c>
      <c r="AE1030" s="142">
        <v>0</v>
      </c>
      <c r="AF1030" s="69" t="str">
        <f t="shared" si="115"/>
        <v>1 years 94 days</v>
      </c>
      <c r="AG1030" s="69">
        <v>1</v>
      </c>
      <c r="AH1030" s="69">
        <v>94</v>
      </c>
      <c r="AI1030" s="69">
        <v>220000</v>
      </c>
      <c r="AJ1030" s="67">
        <v>69164</v>
      </c>
      <c r="AK1030" s="69">
        <v>2025</v>
      </c>
      <c r="AL1030" s="61">
        <v>27274.356164383556</v>
      </c>
      <c r="AM1030" s="143"/>
    </row>
    <row r="1031" spans="1:39" x14ac:dyDescent="0.35">
      <c r="A1031" s="69" t="s">
        <v>4124</v>
      </c>
      <c r="B1031" s="41">
        <v>1121401246</v>
      </c>
      <c r="C1031" s="41"/>
      <c r="D1031" s="69"/>
      <c r="E1031" s="41">
        <v>0</v>
      </c>
      <c r="F1031" s="41" t="s">
        <v>2961</v>
      </c>
      <c r="G1031" s="69" t="s">
        <v>2960</v>
      </c>
      <c r="H1031" s="41">
        <v>9013000076</v>
      </c>
      <c r="I1031" s="41" t="s">
        <v>593</v>
      </c>
      <c r="J1031" s="41">
        <v>1202020101</v>
      </c>
      <c r="K1031" s="41" t="s">
        <v>3227</v>
      </c>
      <c r="L1031" s="52" t="s">
        <v>3228</v>
      </c>
      <c r="M1031" s="69" t="s">
        <v>3229</v>
      </c>
      <c r="N1031" s="69"/>
      <c r="O1031" s="69">
        <v>1</v>
      </c>
      <c r="P1031" s="69" t="s">
        <v>50</v>
      </c>
      <c r="Q1031" s="69" t="s">
        <v>51</v>
      </c>
      <c r="R1031" s="69"/>
      <c r="S1031" s="48">
        <v>41585</v>
      </c>
      <c r="T1031" s="48">
        <v>43340</v>
      </c>
      <c r="U1031" s="69"/>
      <c r="V1031" s="69"/>
      <c r="W1031" s="69"/>
      <c r="X1031" s="69"/>
      <c r="Y1031" s="69" t="s">
        <v>4125</v>
      </c>
      <c r="Z1031" s="52">
        <v>145000</v>
      </c>
      <c r="AA1031" s="43" t="s">
        <v>52</v>
      </c>
      <c r="AB1031" s="43" t="s">
        <v>53</v>
      </c>
      <c r="AC1031" s="85">
        <v>183</v>
      </c>
      <c r="AD1031" s="141">
        <v>0</v>
      </c>
      <c r="AE1031" s="142">
        <v>6</v>
      </c>
      <c r="AF1031" s="69" t="str">
        <f t="shared" si="115"/>
        <v>0 years 183 days</v>
      </c>
      <c r="AG1031" s="69">
        <v>0</v>
      </c>
      <c r="AH1031" s="69">
        <v>183</v>
      </c>
      <c r="AI1031" s="69">
        <v>145000</v>
      </c>
      <c r="AJ1031" s="67">
        <v>145000</v>
      </c>
      <c r="AK1031" s="69">
        <v>2025</v>
      </c>
      <c r="AL1031" s="61">
        <v>0</v>
      </c>
      <c r="AM1031" s="143"/>
    </row>
    <row r="1032" spans="1:39" x14ac:dyDescent="0.35">
      <c r="A1032" s="69" t="s">
        <v>4124</v>
      </c>
      <c r="B1032" s="41">
        <v>1121401074</v>
      </c>
      <c r="C1032" s="41"/>
      <c r="D1032" s="69"/>
      <c r="E1032" s="41">
        <v>0</v>
      </c>
      <c r="F1032" s="41" t="s">
        <v>2961</v>
      </c>
      <c r="G1032" s="69" t="s">
        <v>2960</v>
      </c>
      <c r="H1032" s="41">
        <v>9013000077</v>
      </c>
      <c r="I1032" s="41" t="s">
        <v>593</v>
      </c>
      <c r="J1032" s="41">
        <v>1202020101</v>
      </c>
      <c r="K1032" s="41" t="s">
        <v>3231</v>
      </c>
      <c r="L1032" s="52" t="s">
        <v>3232</v>
      </c>
      <c r="M1032" s="69" t="s">
        <v>3233</v>
      </c>
      <c r="N1032" s="69"/>
      <c r="O1032" s="69">
        <v>1</v>
      </c>
      <c r="P1032" s="69" t="s">
        <v>50</v>
      </c>
      <c r="Q1032" s="69" t="s">
        <v>51</v>
      </c>
      <c r="R1032" s="69"/>
      <c r="S1032" s="48">
        <v>41419</v>
      </c>
      <c r="T1032" s="48">
        <v>43340</v>
      </c>
      <c r="U1032" s="69"/>
      <c r="V1032" s="69"/>
      <c r="W1032" s="69"/>
      <c r="X1032" s="69"/>
      <c r="Y1032" s="69" t="s">
        <v>4125</v>
      </c>
      <c r="Z1032" s="52">
        <v>13000</v>
      </c>
      <c r="AA1032" s="43" t="s">
        <v>52</v>
      </c>
      <c r="AB1032" s="43" t="s">
        <v>53</v>
      </c>
      <c r="AC1032" s="85">
        <v>183</v>
      </c>
      <c r="AD1032" s="141">
        <v>0</v>
      </c>
      <c r="AE1032" s="142">
        <v>6</v>
      </c>
      <c r="AF1032" s="69" t="str">
        <f t="shared" si="115"/>
        <v>0 years 183 days</v>
      </c>
      <c r="AG1032" s="69">
        <v>0</v>
      </c>
      <c r="AH1032" s="69">
        <v>183</v>
      </c>
      <c r="AI1032" s="69">
        <v>13000</v>
      </c>
      <c r="AJ1032" s="67">
        <v>13000</v>
      </c>
      <c r="AK1032" s="69">
        <v>2025</v>
      </c>
      <c r="AL1032" s="61">
        <v>0</v>
      </c>
      <c r="AM1032" s="143"/>
    </row>
    <row r="1033" spans="1:39" x14ac:dyDescent="0.35">
      <c r="A1033" s="69" t="s">
        <v>4124</v>
      </c>
      <c r="B1033" s="41">
        <v>1121400691</v>
      </c>
      <c r="C1033" s="41"/>
      <c r="D1033" s="69"/>
      <c r="E1033" s="41">
        <v>0</v>
      </c>
      <c r="F1033" s="41" t="s">
        <v>2961</v>
      </c>
      <c r="G1033" s="69" t="s">
        <v>2960</v>
      </c>
      <c r="H1033" s="41">
        <v>9013000078</v>
      </c>
      <c r="I1033" s="41" t="s">
        <v>593</v>
      </c>
      <c r="J1033" s="41">
        <v>1202020101</v>
      </c>
      <c r="K1033" s="41" t="s">
        <v>3235</v>
      </c>
      <c r="L1033" s="52" t="s">
        <v>3236</v>
      </c>
      <c r="M1033" s="69" t="s">
        <v>3237</v>
      </c>
      <c r="N1033" s="69"/>
      <c r="O1033" s="69">
        <v>1</v>
      </c>
      <c r="P1033" s="69" t="s">
        <v>50</v>
      </c>
      <c r="Q1033" s="69" t="s">
        <v>51</v>
      </c>
      <c r="R1033" s="69"/>
      <c r="S1033" s="48">
        <v>40912</v>
      </c>
      <c r="T1033" s="48">
        <v>43340</v>
      </c>
      <c r="U1033" s="69"/>
      <c r="V1033" s="69"/>
      <c r="W1033" s="69"/>
      <c r="X1033" s="69"/>
      <c r="Y1033" s="69" t="s">
        <v>4125</v>
      </c>
      <c r="Z1033" s="52">
        <v>11500</v>
      </c>
      <c r="AA1033" s="43" t="s">
        <v>52</v>
      </c>
      <c r="AB1033" s="43" t="s">
        <v>53</v>
      </c>
      <c r="AC1033" s="85">
        <v>183</v>
      </c>
      <c r="AD1033" s="141">
        <v>0</v>
      </c>
      <c r="AE1033" s="142">
        <v>6</v>
      </c>
      <c r="AF1033" s="69" t="str">
        <f t="shared" si="115"/>
        <v>0 years 183 days</v>
      </c>
      <c r="AG1033" s="69">
        <v>0</v>
      </c>
      <c r="AH1033" s="69">
        <v>183</v>
      </c>
      <c r="AI1033" s="69">
        <v>11500</v>
      </c>
      <c r="AJ1033" s="67">
        <v>11500</v>
      </c>
      <c r="AK1033" s="69">
        <v>2025</v>
      </c>
      <c r="AL1033" s="61">
        <v>0</v>
      </c>
      <c r="AM1033" s="143"/>
    </row>
    <row r="1034" spans="1:39" x14ac:dyDescent="0.35">
      <c r="A1034" s="69" t="s">
        <v>4124</v>
      </c>
      <c r="B1034" s="41">
        <v>1121401789</v>
      </c>
      <c r="C1034" s="41"/>
      <c r="D1034" s="69"/>
      <c r="E1034" s="41">
        <v>0</v>
      </c>
      <c r="F1034" s="41" t="s">
        <v>2961</v>
      </c>
      <c r="G1034" s="69" t="s">
        <v>2960</v>
      </c>
      <c r="H1034" s="41">
        <v>9013000079</v>
      </c>
      <c r="I1034" s="41" t="s">
        <v>593</v>
      </c>
      <c r="J1034" s="41">
        <v>1202020101</v>
      </c>
      <c r="K1034" s="41" t="s">
        <v>3239</v>
      </c>
      <c r="L1034" s="52" t="s">
        <v>3240</v>
      </c>
      <c r="M1034" s="69" t="s">
        <v>3241</v>
      </c>
      <c r="N1034" s="69"/>
      <c r="O1034" s="69">
        <v>1</v>
      </c>
      <c r="P1034" s="69" t="s">
        <v>50</v>
      </c>
      <c r="Q1034" s="69" t="s">
        <v>51</v>
      </c>
      <c r="R1034" s="69"/>
      <c r="S1034" s="48">
        <v>42343</v>
      </c>
      <c r="T1034" s="48">
        <v>43340</v>
      </c>
      <c r="U1034" s="69"/>
      <c r="V1034" s="69"/>
      <c r="W1034" s="69"/>
      <c r="X1034" s="69"/>
      <c r="Y1034" s="69" t="s">
        <v>4125</v>
      </c>
      <c r="Z1034" s="52">
        <v>87500</v>
      </c>
      <c r="AA1034" s="43" t="s">
        <v>52</v>
      </c>
      <c r="AB1034" s="43" t="s">
        <v>53</v>
      </c>
      <c r="AC1034" s="85">
        <v>803</v>
      </c>
      <c r="AD1034" s="141">
        <v>2</v>
      </c>
      <c r="AE1034" s="142">
        <v>2</v>
      </c>
      <c r="AF1034" s="69" t="str">
        <f t="shared" si="115"/>
        <v>2 years 73 days</v>
      </c>
      <c r="AG1034" s="69">
        <v>2</v>
      </c>
      <c r="AH1034" s="69">
        <v>73</v>
      </c>
      <c r="AI1034" s="69">
        <v>87500</v>
      </c>
      <c r="AJ1034" s="67">
        <v>87500</v>
      </c>
      <c r="AK1034" s="69">
        <v>2025</v>
      </c>
      <c r="AL1034" s="61">
        <v>0</v>
      </c>
      <c r="AM1034" s="143"/>
    </row>
    <row r="1035" spans="1:39" x14ac:dyDescent="0.35">
      <c r="A1035" s="69" t="s">
        <v>4124</v>
      </c>
      <c r="B1035" s="41">
        <v>1121401499</v>
      </c>
      <c r="C1035" s="41"/>
      <c r="D1035" s="69"/>
      <c r="E1035" s="41">
        <v>0</v>
      </c>
      <c r="F1035" s="41" t="s">
        <v>2961</v>
      </c>
      <c r="G1035" s="69" t="s">
        <v>2960</v>
      </c>
      <c r="H1035" s="41">
        <v>9013000080</v>
      </c>
      <c r="I1035" s="41" t="s">
        <v>593</v>
      </c>
      <c r="J1035" s="41">
        <v>1202020101</v>
      </c>
      <c r="K1035" s="41" t="s">
        <v>3243</v>
      </c>
      <c r="L1035" s="52" t="s">
        <v>3244</v>
      </c>
      <c r="M1035" s="69" t="s">
        <v>3245</v>
      </c>
      <c r="N1035" s="69"/>
      <c r="O1035" s="69">
        <v>1</v>
      </c>
      <c r="P1035" s="69" t="s">
        <v>50</v>
      </c>
      <c r="Q1035" s="69" t="s">
        <v>51</v>
      </c>
      <c r="R1035" s="69"/>
      <c r="S1035" s="48">
        <v>41903</v>
      </c>
      <c r="T1035" s="48">
        <v>43340</v>
      </c>
      <c r="U1035" s="69"/>
      <c r="V1035" s="69"/>
      <c r="W1035" s="69"/>
      <c r="X1035" s="69"/>
      <c r="Y1035" s="69" t="s">
        <v>4125</v>
      </c>
      <c r="Z1035" s="52">
        <v>320000</v>
      </c>
      <c r="AA1035" s="43" t="s">
        <v>52</v>
      </c>
      <c r="AB1035" s="43" t="s">
        <v>53</v>
      </c>
      <c r="AC1035" s="85">
        <v>402</v>
      </c>
      <c r="AD1035" s="141">
        <v>1</v>
      </c>
      <c r="AE1035" s="142">
        <v>1</v>
      </c>
      <c r="AF1035" s="69" t="str">
        <f t="shared" si="115"/>
        <v>1 years 37 days</v>
      </c>
      <c r="AG1035" s="69">
        <v>1</v>
      </c>
      <c r="AH1035" s="69">
        <v>37</v>
      </c>
      <c r="AI1035" s="69">
        <v>320000</v>
      </c>
      <c r="AJ1035" s="67">
        <v>320000</v>
      </c>
      <c r="AK1035" s="69">
        <v>2025</v>
      </c>
      <c r="AL1035" s="61">
        <v>0</v>
      </c>
      <c r="AM1035" s="143"/>
    </row>
    <row r="1036" spans="1:39" x14ac:dyDescent="0.35">
      <c r="A1036" s="69" t="s">
        <v>4124</v>
      </c>
      <c r="B1036" s="41">
        <v>1121400745</v>
      </c>
      <c r="C1036" s="41"/>
      <c r="D1036" s="69"/>
      <c r="E1036" s="41">
        <v>0</v>
      </c>
      <c r="F1036" s="41" t="s">
        <v>2961</v>
      </c>
      <c r="G1036" s="69" t="s">
        <v>2960</v>
      </c>
      <c r="H1036" s="41">
        <v>9013000081</v>
      </c>
      <c r="I1036" s="41" t="s">
        <v>593</v>
      </c>
      <c r="J1036" s="41">
        <v>1202020101</v>
      </c>
      <c r="K1036" s="41" t="s">
        <v>3247</v>
      </c>
      <c r="L1036" s="52" t="s">
        <v>3248</v>
      </c>
      <c r="M1036" s="69" t="s">
        <v>3249</v>
      </c>
      <c r="N1036" s="69"/>
      <c r="O1036" s="69">
        <v>1</v>
      </c>
      <c r="P1036" s="69" t="s">
        <v>50</v>
      </c>
      <c r="Q1036" s="69" t="s">
        <v>51</v>
      </c>
      <c r="R1036" s="69"/>
      <c r="S1036" s="48">
        <v>41093</v>
      </c>
      <c r="T1036" s="48">
        <v>43340</v>
      </c>
      <c r="U1036" s="69"/>
      <c r="V1036" s="69"/>
      <c r="W1036" s="69"/>
      <c r="X1036" s="69"/>
      <c r="Y1036" s="69" t="s">
        <v>4125</v>
      </c>
      <c r="Z1036" s="52">
        <v>12000</v>
      </c>
      <c r="AA1036" s="43" t="s">
        <v>52</v>
      </c>
      <c r="AB1036" s="43" t="s">
        <v>53</v>
      </c>
      <c r="AC1036" s="85">
        <v>183</v>
      </c>
      <c r="AD1036" s="141">
        <v>0</v>
      </c>
      <c r="AE1036" s="142">
        <v>6</v>
      </c>
      <c r="AF1036" s="69" t="str">
        <f t="shared" si="115"/>
        <v>0 years 183 days</v>
      </c>
      <c r="AG1036" s="69">
        <v>0</v>
      </c>
      <c r="AH1036" s="69">
        <v>183</v>
      </c>
      <c r="AI1036" s="69">
        <v>12000</v>
      </c>
      <c r="AJ1036" s="67">
        <v>12000</v>
      </c>
      <c r="AK1036" s="69">
        <v>2025</v>
      </c>
      <c r="AL1036" s="61">
        <v>0</v>
      </c>
      <c r="AM1036" s="143"/>
    </row>
    <row r="1037" spans="1:39" x14ac:dyDescent="0.35">
      <c r="A1037" s="69" t="s">
        <v>4124</v>
      </c>
      <c r="B1037" s="41">
        <v>1121400456</v>
      </c>
      <c r="C1037" s="41"/>
      <c r="D1037" s="69"/>
      <c r="E1037" s="41">
        <v>0</v>
      </c>
      <c r="F1037" s="41" t="s">
        <v>2961</v>
      </c>
      <c r="G1037" s="69" t="s">
        <v>2960</v>
      </c>
      <c r="H1037" s="41">
        <v>9013000082</v>
      </c>
      <c r="I1037" s="41" t="s">
        <v>593</v>
      </c>
      <c r="J1037" s="41">
        <v>1202020101</v>
      </c>
      <c r="K1037" s="41" t="s">
        <v>3251</v>
      </c>
      <c r="L1037" s="52" t="s">
        <v>3252</v>
      </c>
      <c r="M1037" s="69" t="s">
        <v>49</v>
      </c>
      <c r="N1037" s="69"/>
      <c r="O1037" s="69">
        <v>1</v>
      </c>
      <c r="P1037" s="69" t="s">
        <v>50</v>
      </c>
      <c r="Q1037" s="69" t="s">
        <v>51</v>
      </c>
      <c r="R1037" s="69"/>
      <c r="S1037" s="48">
        <v>40327</v>
      </c>
      <c r="T1037" s="48">
        <v>43340</v>
      </c>
      <c r="U1037" s="69"/>
      <c r="V1037" s="69"/>
      <c r="W1037" s="69"/>
      <c r="X1037" s="69"/>
      <c r="Y1037" s="69" t="s">
        <v>4125</v>
      </c>
      <c r="Z1037" s="52">
        <v>140000</v>
      </c>
      <c r="AA1037" s="43" t="s">
        <v>52</v>
      </c>
      <c r="AB1037" s="43" t="s">
        <v>53</v>
      </c>
      <c r="AC1037" s="85">
        <v>183</v>
      </c>
      <c r="AD1037" s="141">
        <v>0</v>
      </c>
      <c r="AE1037" s="142">
        <v>6</v>
      </c>
      <c r="AF1037" s="69" t="str">
        <f t="shared" si="115"/>
        <v>0 years 183 days</v>
      </c>
      <c r="AG1037" s="69">
        <v>0</v>
      </c>
      <c r="AH1037" s="69">
        <v>183</v>
      </c>
      <c r="AI1037" s="69">
        <v>140000</v>
      </c>
      <c r="AJ1037" s="67">
        <v>140000</v>
      </c>
      <c r="AK1037" s="69">
        <v>2025</v>
      </c>
      <c r="AL1037" s="61">
        <v>0</v>
      </c>
      <c r="AM1037" s="143"/>
    </row>
    <row r="1038" spans="1:39" x14ac:dyDescent="0.35">
      <c r="A1038" s="69" t="s">
        <v>4124</v>
      </c>
      <c r="B1038" s="41">
        <v>1121403382</v>
      </c>
      <c r="C1038" s="41"/>
      <c r="D1038" s="69"/>
      <c r="E1038" s="41">
        <v>0</v>
      </c>
      <c r="F1038" s="41" t="s">
        <v>2961</v>
      </c>
      <c r="G1038" s="69" t="s">
        <v>2960</v>
      </c>
      <c r="H1038" s="41">
        <v>9013000083</v>
      </c>
      <c r="I1038" s="41" t="s">
        <v>593</v>
      </c>
      <c r="J1038" s="41">
        <v>1202020101</v>
      </c>
      <c r="K1038" s="41" t="s">
        <v>3254</v>
      </c>
      <c r="L1038" s="52" t="s">
        <v>3255</v>
      </c>
      <c r="M1038" s="69" t="s">
        <v>3256</v>
      </c>
      <c r="N1038" s="69"/>
      <c r="O1038" s="69">
        <v>1</v>
      </c>
      <c r="P1038" s="69" t="s">
        <v>50</v>
      </c>
      <c r="Q1038" s="69" t="s">
        <v>51</v>
      </c>
      <c r="R1038" s="69"/>
      <c r="S1038" s="48">
        <v>44086</v>
      </c>
      <c r="T1038" s="48">
        <v>44086</v>
      </c>
      <c r="U1038" s="69"/>
      <c r="V1038" s="69"/>
      <c r="W1038" s="69"/>
      <c r="X1038" s="69"/>
      <c r="Y1038" s="69" t="s">
        <v>4127</v>
      </c>
      <c r="Z1038" s="52">
        <v>135000</v>
      </c>
      <c r="AA1038" s="43" t="s">
        <v>52</v>
      </c>
      <c r="AB1038" s="43" t="s">
        <v>53</v>
      </c>
      <c r="AC1038" s="85">
        <v>1460</v>
      </c>
      <c r="AD1038" s="141">
        <v>4</v>
      </c>
      <c r="AE1038" s="142">
        <v>0</v>
      </c>
      <c r="AF1038" s="69" t="str">
        <f t="shared" si="115"/>
        <v>4 years 0 days</v>
      </c>
      <c r="AG1038" s="69">
        <v>4</v>
      </c>
      <c r="AH1038" s="69">
        <v>0</v>
      </c>
      <c r="AI1038" s="69">
        <v>135000</v>
      </c>
      <c r="AJ1038" s="67">
        <v>135000</v>
      </c>
      <c r="AK1038" s="69">
        <v>2025</v>
      </c>
      <c r="AL1038" s="61">
        <v>0</v>
      </c>
      <c r="AM1038" s="143"/>
    </row>
    <row r="1039" spans="1:39" x14ac:dyDescent="0.35">
      <c r="A1039" s="69" t="s">
        <v>4124</v>
      </c>
      <c r="B1039" s="41">
        <v>1121403689</v>
      </c>
      <c r="C1039" s="41"/>
      <c r="D1039" s="69"/>
      <c r="E1039" s="41">
        <v>0</v>
      </c>
      <c r="F1039" s="41" t="s">
        <v>2961</v>
      </c>
      <c r="G1039" s="69" t="s">
        <v>2960</v>
      </c>
      <c r="H1039" s="41">
        <v>9013000084</v>
      </c>
      <c r="I1039" s="41" t="s">
        <v>593</v>
      </c>
      <c r="J1039" s="41">
        <v>1202020101</v>
      </c>
      <c r="K1039" s="41" t="s">
        <v>3258</v>
      </c>
      <c r="L1039" s="52" t="s">
        <v>3259</v>
      </c>
      <c r="M1039" s="69" t="s">
        <v>3260</v>
      </c>
      <c r="N1039" s="69"/>
      <c r="O1039" s="69">
        <v>1</v>
      </c>
      <c r="P1039" s="69" t="s">
        <v>50</v>
      </c>
      <c r="Q1039" s="69" t="s">
        <v>51</v>
      </c>
      <c r="R1039" s="69"/>
      <c r="S1039" s="48">
        <v>44331</v>
      </c>
      <c r="T1039" s="48">
        <v>44331</v>
      </c>
      <c r="U1039" s="69"/>
      <c r="V1039" s="69"/>
      <c r="W1039" s="69"/>
      <c r="X1039" s="69"/>
      <c r="Y1039" s="69" t="s">
        <v>4128</v>
      </c>
      <c r="Z1039" s="52">
        <v>135000</v>
      </c>
      <c r="AA1039" s="43" t="s">
        <v>52</v>
      </c>
      <c r="AB1039" s="43" t="s">
        <v>53</v>
      </c>
      <c r="AC1039" s="85">
        <v>1460</v>
      </c>
      <c r="AD1039" s="141">
        <v>4</v>
      </c>
      <c r="AE1039" s="142">
        <v>0</v>
      </c>
      <c r="AF1039" s="69" t="str">
        <f t="shared" si="115"/>
        <v>3 years 232 days</v>
      </c>
      <c r="AG1039" s="69">
        <v>3</v>
      </c>
      <c r="AH1039" s="69">
        <v>232</v>
      </c>
      <c r="AI1039" s="69">
        <v>135000</v>
      </c>
      <c r="AJ1039" s="67">
        <v>122702</v>
      </c>
      <c r="AK1039" s="69">
        <v>2025</v>
      </c>
      <c r="AL1039" s="61">
        <v>12298</v>
      </c>
      <c r="AM1039" s="143"/>
    </row>
    <row r="1040" spans="1:39" x14ac:dyDescent="0.35">
      <c r="A1040" s="69" t="s">
        <v>4124</v>
      </c>
      <c r="B1040" s="41">
        <v>1121404486</v>
      </c>
      <c r="C1040" s="41"/>
      <c r="D1040" s="69"/>
      <c r="E1040" s="41">
        <v>0</v>
      </c>
      <c r="F1040" s="41" t="s">
        <v>2961</v>
      </c>
      <c r="G1040" s="69" t="s">
        <v>2960</v>
      </c>
      <c r="H1040" s="41">
        <v>9013000085</v>
      </c>
      <c r="I1040" s="41" t="s">
        <v>593</v>
      </c>
      <c r="J1040" s="41">
        <v>1202020101</v>
      </c>
      <c r="K1040" s="41" t="s">
        <v>3262</v>
      </c>
      <c r="L1040" s="52" t="s">
        <v>3263</v>
      </c>
      <c r="M1040" s="69" t="s">
        <v>3264</v>
      </c>
      <c r="N1040" s="69"/>
      <c r="O1040" s="69">
        <v>2</v>
      </c>
      <c r="P1040" s="69" t="s">
        <v>50</v>
      </c>
      <c r="Q1040" s="69" t="s">
        <v>51</v>
      </c>
      <c r="R1040" s="69"/>
      <c r="S1040" s="48">
        <v>44896</v>
      </c>
      <c r="T1040" s="48">
        <v>44896</v>
      </c>
      <c r="U1040" s="69"/>
      <c r="V1040" s="69"/>
      <c r="W1040" s="69"/>
      <c r="X1040" s="69"/>
      <c r="Y1040" s="69" t="s">
        <v>4131</v>
      </c>
      <c r="Z1040" s="52">
        <v>310000</v>
      </c>
      <c r="AA1040" s="43" t="s">
        <v>52</v>
      </c>
      <c r="AB1040" s="43" t="s">
        <v>53</v>
      </c>
      <c r="AC1040" s="85">
        <v>1460</v>
      </c>
      <c r="AD1040" s="141">
        <v>4</v>
      </c>
      <c r="AE1040" s="142">
        <v>0</v>
      </c>
      <c r="AF1040" s="69" t="str">
        <f t="shared" si="115"/>
        <v>2 years 32 days</v>
      </c>
      <c r="AG1040" s="69">
        <v>2</v>
      </c>
      <c r="AH1040" s="69">
        <v>32</v>
      </c>
      <c r="AI1040" s="69">
        <v>310000</v>
      </c>
      <c r="AJ1040" s="67">
        <v>161795</v>
      </c>
      <c r="AK1040" s="69">
        <v>2025</v>
      </c>
      <c r="AL1040" s="61">
        <v>38431.027397260274</v>
      </c>
      <c r="AM1040" s="143"/>
    </row>
    <row r="1041" spans="1:39" x14ac:dyDescent="0.35">
      <c r="A1041" s="69" t="s">
        <v>4124</v>
      </c>
      <c r="B1041" s="41">
        <v>1121400639</v>
      </c>
      <c r="C1041" s="41"/>
      <c r="D1041" s="69"/>
      <c r="E1041" s="41">
        <v>0</v>
      </c>
      <c r="F1041" s="41" t="s">
        <v>2961</v>
      </c>
      <c r="G1041" s="69" t="s">
        <v>2960</v>
      </c>
      <c r="H1041" s="41">
        <v>9013000086</v>
      </c>
      <c r="I1041" s="41" t="s">
        <v>593</v>
      </c>
      <c r="J1041" s="41">
        <v>1202020101</v>
      </c>
      <c r="K1041" s="41" t="s">
        <v>3266</v>
      </c>
      <c r="L1041" s="52" t="s">
        <v>3267</v>
      </c>
      <c r="M1041" s="69" t="s">
        <v>49</v>
      </c>
      <c r="N1041" s="69"/>
      <c r="O1041" s="69">
        <v>1</v>
      </c>
      <c r="P1041" s="69" t="s">
        <v>50</v>
      </c>
      <c r="Q1041" s="69" t="s">
        <v>51</v>
      </c>
      <c r="R1041" s="69"/>
      <c r="S1041" s="48">
        <v>40761</v>
      </c>
      <c r="T1041" s="48">
        <v>43340</v>
      </c>
      <c r="U1041" s="69"/>
      <c r="V1041" s="69"/>
      <c r="W1041" s="69"/>
      <c r="X1041" s="69"/>
      <c r="Y1041" s="69" t="s">
        <v>4125</v>
      </c>
      <c r="Z1041" s="52">
        <v>67500</v>
      </c>
      <c r="AA1041" s="43" t="s">
        <v>52</v>
      </c>
      <c r="AB1041" s="43" t="s">
        <v>53</v>
      </c>
      <c r="AC1041" s="85">
        <v>183</v>
      </c>
      <c r="AD1041" s="141">
        <v>0</v>
      </c>
      <c r="AE1041" s="142">
        <v>6</v>
      </c>
      <c r="AF1041" s="69" t="str">
        <f t="shared" si="115"/>
        <v>0 years 183 days</v>
      </c>
      <c r="AG1041" s="69">
        <v>0</v>
      </c>
      <c r="AH1041" s="69">
        <v>183</v>
      </c>
      <c r="AI1041" s="69">
        <v>67500</v>
      </c>
      <c r="AJ1041" s="67">
        <v>67500</v>
      </c>
      <c r="AK1041" s="69">
        <v>2025</v>
      </c>
      <c r="AL1041" s="61">
        <v>0</v>
      </c>
      <c r="AM1041" s="143"/>
    </row>
    <row r="1042" spans="1:39" x14ac:dyDescent="0.35">
      <c r="A1042" s="69" t="s">
        <v>4124</v>
      </c>
      <c r="B1042" s="41">
        <v>1121400695</v>
      </c>
      <c r="C1042" s="41"/>
      <c r="D1042" s="69"/>
      <c r="E1042" s="41">
        <v>0</v>
      </c>
      <c r="F1042" s="41" t="s">
        <v>2961</v>
      </c>
      <c r="G1042" s="69" t="s">
        <v>2960</v>
      </c>
      <c r="H1042" s="41">
        <v>9013000087</v>
      </c>
      <c r="I1042" s="41" t="s">
        <v>593</v>
      </c>
      <c r="J1042" s="41">
        <v>1202020101</v>
      </c>
      <c r="K1042" s="41" t="s">
        <v>3269</v>
      </c>
      <c r="L1042" s="52" t="s">
        <v>3270</v>
      </c>
      <c r="M1042" s="69" t="s">
        <v>3271</v>
      </c>
      <c r="N1042" s="69"/>
      <c r="O1042" s="69">
        <v>1</v>
      </c>
      <c r="P1042" s="69" t="s">
        <v>50</v>
      </c>
      <c r="Q1042" s="69" t="s">
        <v>51</v>
      </c>
      <c r="R1042" s="69"/>
      <c r="S1042" s="48">
        <v>40931</v>
      </c>
      <c r="T1042" s="48">
        <v>43340</v>
      </c>
      <c r="U1042" s="69"/>
      <c r="V1042" s="69"/>
      <c r="W1042" s="69"/>
      <c r="X1042" s="69"/>
      <c r="Y1042" s="69" t="s">
        <v>4125</v>
      </c>
      <c r="Z1042" s="52">
        <v>11500</v>
      </c>
      <c r="AA1042" s="43" t="s">
        <v>52</v>
      </c>
      <c r="AB1042" s="43" t="s">
        <v>53</v>
      </c>
      <c r="AC1042" s="85">
        <v>183</v>
      </c>
      <c r="AD1042" s="141">
        <v>0</v>
      </c>
      <c r="AE1042" s="142">
        <v>6</v>
      </c>
      <c r="AF1042" s="69" t="str">
        <f t="shared" si="115"/>
        <v>0 years 183 days</v>
      </c>
      <c r="AG1042" s="69">
        <v>0</v>
      </c>
      <c r="AH1042" s="69">
        <v>183</v>
      </c>
      <c r="AI1042" s="69">
        <v>11500</v>
      </c>
      <c r="AJ1042" s="67">
        <v>11500</v>
      </c>
      <c r="AK1042" s="69">
        <v>2025</v>
      </c>
      <c r="AL1042" s="61">
        <v>0</v>
      </c>
      <c r="AM1042" s="143"/>
    </row>
    <row r="1043" spans="1:39" x14ac:dyDescent="0.35">
      <c r="A1043" s="69" t="s">
        <v>4124</v>
      </c>
      <c r="B1043" s="41">
        <v>1121400800</v>
      </c>
      <c r="C1043" s="41"/>
      <c r="D1043" s="69"/>
      <c r="E1043" s="41">
        <v>0</v>
      </c>
      <c r="F1043" s="41" t="s">
        <v>2961</v>
      </c>
      <c r="G1043" s="69" t="s">
        <v>2960</v>
      </c>
      <c r="H1043" s="41">
        <v>9013000088</v>
      </c>
      <c r="I1043" s="41" t="s">
        <v>593</v>
      </c>
      <c r="J1043" s="41">
        <v>1202020101</v>
      </c>
      <c r="K1043" s="41" t="s">
        <v>3273</v>
      </c>
      <c r="L1043" s="52" t="s">
        <v>3274</v>
      </c>
      <c r="M1043" s="69" t="s">
        <v>3275</v>
      </c>
      <c r="N1043" s="69"/>
      <c r="O1043" s="69">
        <v>1</v>
      </c>
      <c r="P1043" s="69" t="s">
        <v>50</v>
      </c>
      <c r="Q1043" s="69" t="s">
        <v>51</v>
      </c>
      <c r="R1043" s="69"/>
      <c r="S1043" s="48">
        <v>41191</v>
      </c>
      <c r="T1043" s="48">
        <v>43340</v>
      </c>
      <c r="U1043" s="69"/>
      <c r="V1043" s="69"/>
      <c r="W1043" s="69"/>
      <c r="X1043" s="69"/>
      <c r="Y1043" s="69" t="s">
        <v>4125</v>
      </c>
      <c r="Z1043" s="52">
        <v>12500</v>
      </c>
      <c r="AA1043" s="43" t="s">
        <v>52</v>
      </c>
      <c r="AB1043" s="43" t="s">
        <v>53</v>
      </c>
      <c r="AC1043" s="85">
        <v>183</v>
      </c>
      <c r="AD1043" s="141">
        <v>0</v>
      </c>
      <c r="AE1043" s="142">
        <v>6</v>
      </c>
      <c r="AF1043" s="69" t="str">
        <f t="shared" si="115"/>
        <v>0 years 183 days</v>
      </c>
      <c r="AG1043" s="69">
        <v>0</v>
      </c>
      <c r="AH1043" s="69">
        <v>183</v>
      </c>
      <c r="AI1043" s="69">
        <v>12500</v>
      </c>
      <c r="AJ1043" s="67">
        <v>12500</v>
      </c>
      <c r="AK1043" s="69">
        <v>2025</v>
      </c>
      <c r="AL1043" s="61">
        <v>0</v>
      </c>
      <c r="AM1043" s="143"/>
    </row>
    <row r="1044" spans="1:39" x14ac:dyDescent="0.35">
      <c r="A1044" s="69" t="s">
        <v>4124</v>
      </c>
      <c r="B1044" s="41">
        <v>1121402465</v>
      </c>
      <c r="C1044" s="41"/>
      <c r="D1044" s="69"/>
      <c r="E1044" s="41">
        <v>0</v>
      </c>
      <c r="F1044" s="41" t="s">
        <v>2961</v>
      </c>
      <c r="G1044" s="69" t="s">
        <v>2960</v>
      </c>
      <c r="H1044" s="41">
        <v>9013000089</v>
      </c>
      <c r="I1044" s="41" t="s">
        <v>593</v>
      </c>
      <c r="J1044" s="41">
        <v>1202020101</v>
      </c>
      <c r="K1044" s="41" t="s">
        <v>3277</v>
      </c>
      <c r="L1044" s="52" t="s">
        <v>3278</v>
      </c>
      <c r="M1044" s="69" t="s">
        <v>49</v>
      </c>
      <c r="N1044" s="69"/>
      <c r="O1044" s="69">
        <v>1</v>
      </c>
      <c r="P1044" s="69" t="s">
        <v>50</v>
      </c>
      <c r="Q1044" s="69" t="s">
        <v>51</v>
      </c>
      <c r="R1044" s="69"/>
      <c r="S1044" s="48">
        <v>43071</v>
      </c>
      <c r="T1044" s="48">
        <v>43340</v>
      </c>
      <c r="U1044" s="69"/>
      <c r="V1044" s="69"/>
      <c r="W1044" s="69"/>
      <c r="X1044" s="69"/>
      <c r="Y1044" s="69" t="s">
        <v>4125</v>
      </c>
      <c r="Z1044" s="52">
        <v>34000</v>
      </c>
      <c r="AA1044" s="43" t="s">
        <v>52</v>
      </c>
      <c r="AB1044" s="43" t="s">
        <v>53</v>
      </c>
      <c r="AC1044" s="85">
        <v>1533</v>
      </c>
      <c r="AD1044" s="141">
        <v>4</v>
      </c>
      <c r="AE1044" s="142">
        <v>2</v>
      </c>
      <c r="AF1044" s="69" t="str">
        <f t="shared" si="115"/>
        <v>4 years 73 days</v>
      </c>
      <c r="AG1044" s="69">
        <v>4</v>
      </c>
      <c r="AH1044" s="69">
        <v>73</v>
      </c>
      <c r="AI1044" s="69">
        <v>34000</v>
      </c>
      <c r="AJ1044" s="67">
        <v>34000</v>
      </c>
      <c r="AK1044" s="69">
        <v>2025</v>
      </c>
      <c r="AL1044" s="61">
        <v>0</v>
      </c>
      <c r="AM1044" s="143"/>
    </row>
    <row r="1045" spans="1:39" x14ac:dyDescent="0.35">
      <c r="A1045" s="69" t="s">
        <v>4124</v>
      </c>
      <c r="B1045" s="41">
        <v>1121403742</v>
      </c>
      <c r="C1045" s="41"/>
      <c r="D1045" s="69"/>
      <c r="E1045" s="41">
        <v>0</v>
      </c>
      <c r="F1045" s="41" t="s">
        <v>2961</v>
      </c>
      <c r="G1045" s="69" t="s">
        <v>2960</v>
      </c>
      <c r="H1045" s="41">
        <v>9013000090</v>
      </c>
      <c r="I1045" s="41" t="s">
        <v>593</v>
      </c>
      <c r="J1045" s="41">
        <v>1202020101</v>
      </c>
      <c r="K1045" s="41" t="s">
        <v>3280</v>
      </c>
      <c r="L1045" s="52" t="s">
        <v>3281</v>
      </c>
      <c r="M1045" s="69" t="s">
        <v>3122</v>
      </c>
      <c r="N1045" s="69"/>
      <c r="O1045" s="69">
        <v>1</v>
      </c>
      <c r="P1045" s="69" t="s">
        <v>50</v>
      </c>
      <c r="Q1045" s="69" t="s">
        <v>51</v>
      </c>
      <c r="R1045" s="69"/>
      <c r="S1045" s="48">
        <v>44371</v>
      </c>
      <c r="T1045" s="48">
        <v>44371</v>
      </c>
      <c r="U1045" s="69"/>
      <c r="V1045" s="69"/>
      <c r="W1045" s="69"/>
      <c r="X1045" s="69"/>
      <c r="Y1045" s="69" t="s">
        <v>4128</v>
      </c>
      <c r="Z1045" s="52">
        <v>135000</v>
      </c>
      <c r="AA1045" s="43" t="s">
        <v>52</v>
      </c>
      <c r="AB1045" s="43" t="s">
        <v>53</v>
      </c>
      <c r="AC1045" s="85">
        <v>1460</v>
      </c>
      <c r="AD1045" s="141">
        <v>4</v>
      </c>
      <c r="AE1045" s="142">
        <v>0</v>
      </c>
      <c r="AF1045" s="69" t="str">
        <f t="shared" si="115"/>
        <v>3 years 192 days</v>
      </c>
      <c r="AG1045" s="69">
        <v>3</v>
      </c>
      <c r="AH1045" s="69">
        <v>192</v>
      </c>
      <c r="AI1045" s="69">
        <v>135000</v>
      </c>
      <c r="AJ1045" s="67">
        <v>119003</v>
      </c>
      <c r="AK1045" s="69">
        <v>2025</v>
      </c>
      <c r="AL1045" s="61">
        <v>15997</v>
      </c>
      <c r="AM1045" s="143"/>
    </row>
    <row r="1046" spans="1:39" x14ac:dyDescent="0.35">
      <c r="A1046" s="69" t="s">
        <v>4124</v>
      </c>
      <c r="B1046" s="41">
        <v>1121400683</v>
      </c>
      <c r="C1046" s="41"/>
      <c r="D1046" s="69"/>
      <c r="E1046" s="41">
        <v>0</v>
      </c>
      <c r="F1046" s="41" t="s">
        <v>2961</v>
      </c>
      <c r="G1046" s="69" t="s">
        <v>2960</v>
      </c>
      <c r="H1046" s="41">
        <v>9013000091</v>
      </c>
      <c r="I1046" s="41" t="s">
        <v>593</v>
      </c>
      <c r="J1046" s="41">
        <v>1202020101</v>
      </c>
      <c r="K1046" s="41" t="s">
        <v>3283</v>
      </c>
      <c r="L1046" s="52" t="s">
        <v>3284</v>
      </c>
      <c r="M1046" s="69" t="s">
        <v>49</v>
      </c>
      <c r="N1046" s="69"/>
      <c r="O1046" s="69">
        <v>1</v>
      </c>
      <c r="P1046" s="69" t="s">
        <v>50</v>
      </c>
      <c r="Q1046" s="69" t="s">
        <v>51</v>
      </c>
      <c r="R1046" s="69"/>
      <c r="S1046" s="48">
        <v>40898</v>
      </c>
      <c r="T1046" s="48">
        <v>43340</v>
      </c>
      <c r="U1046" s="69"/>
      <c r="V1046" s="69"/>
      <c r="W1046" s="69"/>
      <c r="X1046" s="69"/>
      <c r="Y1046" s="69" t="s">
        <v>4125</v>
      </c>
      <c r="Z1046" s="52">
        <v>140000</v>
      </c>
      <c r="AA1046" s="43" t="s">
        <v>52</v>
      </c>
      <c r="AB1046" s="43" t="s">
        <v>53</v>
      </c>
      <c r="AC1046" s="85">
        <v>183</v>
      </c>
      <c r="AD1046" s="141">
        <v>0</v>
      </c>
      <c r="AE1046" s="142">
        <v>6</v>
      </c>
      <c r="AF1046" s="69" t="str">
        <f t="shared" si="115"/>
        <v>0 years 183 days</v>
      </c>
      <c r="AG1046" s="69">
        <v>0</v>
      </c>
      <c r="AH1046" s="69">
        <v>183</v>
      </c>
      <c r="AI1046" s="69">
        <v>140000</v>
      </c>
      <c r="AJ1046" s="67">
        <v>140000</v>
      </c>
      <c r="AK1046" s="69">
        <v>2025</v>
      </c>
      <c r="AL1046" s="61">
        <v>0</v>
      </c>
      <c r="AM1046" s="143"/>
    </row>
    <row r="1047" spans="1:39" x14ac:dyDescent="0.35">
      <c r="A1047" s="69" t="s">
        <v>4124</v>
      </c>
      <c r="B1047" s="41">
        <v>1121400715</v>
      </c>
      <c r="C1047" s="41"/>
      <c r="D1047" s="69"/>
      <c r="E1047" s="41">
        <v>0</v>
      </c>
      <c r="F1047" s="41" t="s">
        <v>2961</v>
      </c>
      <c r="G1047" s="69" t="s">
        <v>2960</v>
      </c>
      <c r="H1047" s="41">
        <v>9013000092</v>
      </c>
      <c r="I1047" s="41" t="s">
        <v>593</v>
      </c>
      <c r="J1047" s="41">
        <v>1202020101</v>
      </c>
      <c r="K1047" s="41" t="s">
        <v>3286</v>
      </c>
      <c r="L1047" s="52" t="s">
        <v>3287</v>
      </c>
      <c r="M1047" s="69" t="s">
        <v>3288</v>
      </c>
      <c r="N1047" s="69"/>
      <c r="O1047" s="69">
        <v>1</v>
      </c>
      <c r="P1047" s="69" t="s">
        <v>50</v>
      </c>
      <c r="Q1047" s="69" t="s">
        <v>51</v>
      </c>
      <c r="R1047" s="69"/>
      <c r="S1047" s="48">
        <v>41000</v>
      </c>
      <c r="T1047" s="48">
        <v>43340</v>
      </c>
      <c r="U1047" s="69"/>
      <c r="V1047" s="69"/>
      <c r="W1047" s="69"/>
      <c r="X1047" s="69"/>
      <c r="Y1047" s="69" t="s">
        <v>4125</v>
      </c>
      <c r="Z1047" s="52">
        <v>12000</v>
      </c>
      <c r="AA1047" s="43" t="s">
        <v>52</v>
      </c>
      <c r="AB1047" s="43" t="s">
        <v>53</v>
      </c>
      <c r="AC1047" s="85">
        <v>183</v>
      </c>
      <c r="AD1047" s="141">
        <v>0</v>
      </c>
      <c r="AE1047" s="142">
        <v>6</v>
      </c>
      <c r="AF1047" s="69" t="str">
        <f t="shared" si="115"/>
        <v>0 years 183 days</v>
      </c>
      <c r="AG1047" s="69">
        <v>0</v>
      </c>
      <c r="AH1047" s="69">
        <v>183</v>
      </c>
      <c r="AI1047" s="69">
        <v>12000</v>
      </c>
      <c r="AJ1047" s="67">
        <v>12000</v>
      </c>
      <c r="AK1047" s="69">
        <v>2025</v>
      </c>
      <c r="AL1047" s="61">
        <v>0</v>
      </c>
      <c r="AM1047" s="143"/>
    </row>
    <row r="1048" spans="1:39" x14ac:dyDescent="0.35">
      <c r="A1048" s="69" t="s">
        <v>4124</v>
      </c>
      <c r="B1048" s="41">
        <v>1121405104</v>
      </c>
      <c r="C1048" s="41"/>
      <c r="D1048" s="69"/>
      <c r="E1048" s="41">
        <v>0</v>
      </c>
      <c r="F1048" s="41" t="s">
        <v>2961</v>
      </c>
      <c r="G1048" s="69" t="s">
        <v>2960</v>
      </c>
      <c r="H1048" s="41">
        <v>9013000093</v>
      </c>
      <c r="I1048" s="41" t="s">
        <v>593</v>
      </c>
      <c r="J1048" s="41">
        <v>1202020101</v>
      </c>
      <c r="K1048" s="41" t="s">
        <v>3290</v>
      </c>
      <c r="L1048" s="52" t="s">
        <v>3291</v>
      </c>
      <c r="M1048" s="69" t="s">
        <v>3292</v>
      </c>
      <c r="N1048" s="69"/>
      <c r="O1048" s="69">
        <v>2</v>
      </c>
      <c r="P1048" s="69" t="s">
        <v>50</v>
      </c>
      <c r="Q1048" s="69" t="s">
        <v>51</v>
      </c>
      <c r="R1048" s="69"/>
      <c r="S1048" s="48">
        <v>45355</v>
      </c>
      <c r="T1048" s="48">
        <v>45355</v>
      </c>
      <c r="U1048" s="69"/>
      <c r="V1048" s="69"/>
      <c r="W1048" s="69"/>
      <c r="X1048" s="69"/>
      <c r="Y1048" s="69" t="s">
        <v>4130</v>
      </c>
      <c r="Z1048" s="52">
        <v>306180</v>
      </c>
      <c r="AA1048" s="43" t="s">
        <v>52</v>
      </c>
      <c r="AB1048" s="43" t="s">
        <v>53</v>
      </c>
      <c r="AC1048" s="85">
        <v>1460</v>
      </c>
      <c r="AD1048" s="141">
        <v>4</v>
      </c>
      <c r="AE1048" s="142">
        <v>0</v>
      </c>
      <c r="AF1048" s="69" t="str">
        <f t="shared" si="115"/>
        <v>0 years 303 days</v>
      </c>
      <c r="AG1048" s="69">
        <v>0</v>
      </c>
      <c r="AH1048" s="69">
        <v>303</v>
      </c>
      <c r="AI1048" s="69">
        <v>306180</v>
      </c>
      <c r="AJ1048" s="67">
        <v>63543</v>
      </c>
      <c r="AK1048" s="69">
        <v>2025</v>
      </c>
      <c r="AL1048" s="61">
        <v>37957.767123287675</v>
      </c>
      <c r="AM1048" s="143"/>
    </row>
    <row r="1049" spans="1:39" x14ac:dyDescent="0.35">
      <c r="A1049" s="69" t="s">
        <v>4124</v>
      </c>
      <c r="B1049" s="41">
        <v>1121403704</v>
      </c>
      <c r="C1049" s="41"/>
      <c r="D1049" s="69"/>
      <c r="E1049" s="41">
        <v>0</v>
      </c>
      <c r="F1049" s="41" t="s">
        <v>2961</v>
      </c>
      <c r="G1049" s="69" t="s">
        <v>2960</v>
      </c>
      <c r="H1049" s="41">
        <v>9013000094</v>
      </c>
      <c r="I1049" s="41" t="s">
        <v>593</v>
      </c>
      <c r="J1049" s="41">
        <v>1202020101</v>
      </c>
      <c r="K1049" s="41" t="s">
        <v>3294</v>
      </c>
      <c r="L1049" s="52" t="s">
        <v>3295</v>
      </c>
      <c r="M1049" s="69" t="s">
        <v>49</v>
      </c>
      <c r="N1049" s="69"/>
      <c r="O1049" s="69">
        <v>1</v>
      </c>
      <c r="P1049" s="69" t="s">
        <v>50</v>
      </c>
      <c r="Q1049" s="69" t="s">
        <v>51</v>
      </c>
      <c r="R1049" s="69"/>
      <c r="S1049" s="48">
        <v>42278</v>
      </c>
      <c r="T1049" s="48">
        <v>43340</v>
      </c>
      <c r="U1049" s="69"/>
      <c r="V1049" s="69"/>
      <c r="W1049" s="69"/>
      <c r="X1049" s="69"/>
      <c r="Y1049" s="69" t="s">
        <v>4125</v>
      </c>
      <c r="Z1049" s="52">
        <v>490000</v>
      </c>
      <c r="AA1049" s="43" t="s">
        <v>52</v>
      </c>
      <c r="AB1049" s="43" t="s">
        <v>53</v>
      </c>
      <c r="AC1049" s="85">
        <v>694</v>
      </c>
      <c r="AD1049" s="141">
        <v>1</v>
      </c>
      <c r="AE1049" s="142">
        <v>11</v>
      </c>
      <c r="AF1049" s="69" t="str">
        <f t="shared" si="115"/>
        <v>1 years 329 days</v>
      </c>
      <c r="AG1049" s="69">
        <v>1</v>
      </c>
      <c r="AH1049" s="69">
        <v>329</v>
      </c>
      <c r="AI1049" s="69">
        <v>490000</v>
      </c>
      <c r="AJ1049" s="67">
        <v>490000</v>
      </c>
      <c r="AK1049" s="69">
        <v>2025</v>
      </c>
      <c r="AL1049" s="61">
        <v>0</v>
      </c>
      <c r="AM1049" s="143"/>
    </row>
    <row r="1050" spans="1:39" x14ac:dyDescent="0.35">
      <c r="A1050" s="69" t="s">
        <v>4124</v>
      </c>
      <c r="B1050" s="41">
        <v>1121403252</v>
      </c>
      <c r="C1050" s="41"/>
      <c r="D1050" s="69"/>
      <c r="E1050" s="41">
        <v>0</v>
      </c>
      <c r="F1050" s="41" t="s">
        <v>2961</v>
      </c>
      <c r="G1050" s="69" t="s">
        <v>2960</v>
      </c>
      <c r="H1050" s="41">
        <v>9013000095</v>
      </c>
      <c r="I1050" s="41" t="s">
        <v>593</v>
      </c>
      <c r="J1050" s="41">
        <v>1202020101</v>
      </c>
      <c r="K1050" s="41" t="s">
        <v>3297</v>
      </c>
      <c r="L1050" s="52" t="s">
        <v>3298</v>
      </c>
      <c r="M1050" s="69" t="s">
        <v>3299</v>
      </c>
      <c r="N1050" s="69"/>
      <c r="O1050" s="69">
        <v>1</v>
      </c>
      <c r="P1050" s="69" t="s">
        <v>50</v>
      </c>
      <c r="Q1050" s="69" t="s">
        <v>51</v>
      </c>
      <c r="R1050" s="69"/>
      <c r="S1050" s="48">
        <v>43877</v>
      </c>
      <c r="T1050" s="48">
        <v>43877</v>
      </c>
      <c r="U1050" s="69"/>
      <c r="V1050" s="69"/>
      <c r="W1050" s="69"/>
      <c r="X1050" s="69"/>
      <c r="Y1050" s="69" t="s">
        <v>4127</v>
      </c>
      <c r="Z1050" s="52">
        <v>135000</v>
      </c>
      <c r="AA1050" s="43" t="s">
        <v>52</v>
      </c>
      <c r="AB1050" s="43" t="s">
        <v>53</v>
      </c>
      <c r="AC1050" s="85">
        <v>1460</v>
      </c>
      <c r="AD1050" s="141">
        <v>4</v>
      </c>
      <c r="AE1050" s="142">
        <v>0</v>
      </c>
      <c r="AF1050" s="69" t="str">
        <f t="shared" si="115"/>
        <v>4 years 0 days</v>
      </c>
      <c r="AG1050" s="69">
        <v>4</v>
      </c>
      <c r="AH1050" s="69">
        <v>0</v>
      </c>
      <c r="AI1050" s="69">
        <v>135000</v>
      </c>
      <c r="AJ1050" s="67">
        <v>135000</v>
      </c>
      <c r="AK1050" s="69">
        <v>2025</v>
      </c>
      <c r="AL1050" s="61">
        <v>0</v>
      </c>
      <c r="AM1050" s="143"/>
    </row>
    <row r="1051" spans="1:39" x14ac:dyDescent="0.35">
      <c r="A1051" s="69" t="s">
        <v>4124</v>
      </c>
      <c r="B1051" s="41">
        <v>1121401348</v>
      </c>
      <c r="C1051" s="41"/>
      <c r="D1051" s="69"/>
      <c r="E1051" s="41">
        <v>0</v>
      </c>
      <c r="F1051" s="41" t="s">
        <v>2961</v>
      </c>
      <c r="G1051" s="69" t="s">
        <v>2960</v>
      </c>
      <c r="H1051" s="41">
        <v>9013000096</v>
      </c>
      <c r="I1051" s="41" t="s">
        <v>593</v>
      </c>
      <c r="J1051" s="41">
        <v>1202020101</v>
      </c>
      <c r="K1051" s="41" t="s">
        <v>3301</v>
      </c>
      <c r="L1051" s="52" t="s">
        <v>3302</v>
      </c>
      <c r="M1051" s="69" t="s">
        <v>3303</v>
      </c>
      <c r="N1051" s="69"/>
      <c r="O1051" s="69">
        <v>1</v>
      </c>
      <c r="P1051" s="69" t="s">
        <v>50</v>
      </c>
      <c r="Q1051" s="69" t="s">
        <v>51</v>
      </c>
      <c r="R1051" s="69"/>
      <c r="S1051" s="48">
        <v>41703</v>
      </c>
      <c r="T1051" s="48">
        <v>43340</v>
      </c>
      <c r="U1051" s="69"/>
      <c r="V1051" s="69"/>
      <c r="W1051" s="69"/>
      <c r="X1051" s="69"/>
      <c r="Y1051" s="69" t="s">
        <v>4125</v>
      </c>
      <c r="Z1051" s="52">
        <v>180000</v>
      </c>
      <c r="AA1051" s="43" t="s">
        <v>52</v>
      </c>
      <c r="AB1051" s="43" t="s">
        <v>53</v>
      </c>
      <c r="AC1051" s="85">
        <v>183</v>
      </c>
      <c r="AD1051" s="141">
        <v>0</v>
      </c>
      <c r="AE1051" s="142">
        <v>6</v>
      </c>
      <c r="AF1051" s="69" t="str">
        <f t="shared" si="115"/>
        <v>0 years 183 days</v>
      </c>
      <c r="AG1051" s="69">
        <v>0</v>
      </c>
      <c r="AH1051" s="69">
        <v>183</v>
      </c>
      <c r="AI1051" s="69">
        <v>180000</v>
      </c>
      <c r="AJ1051" s="67">
        <v>180000</v>
      </c>
      <c r="AK1051" s="69">
        <v>2025</v>
      </c>
      <c r="AL1051" s="61">
        <v>0</v>
      </c>
      <c r="AM1051" s="143"/>
    </row>
    <row r="1052" spans="1:39" x14ac:dyDescent="0.35">
      <c r="A1052" s="69" t="s">
        <v>4124</v>
      </c>
      <c r="B1052" s="41">
        <v>1121401522</v>
      </c>
      <c r="C1052" s="41"/>
      <c r="D1052" s="69"/>
      <c r="E1052" s="41">
        <v>0</v>
      </c>
      <c r="F1052" s="41" t="s">
        <v>2961</v>
      </c>
      <c r="G1052" s="69" t="s">
        <v>2960</v>
      </c>
      <c r="H1052" s="41">
        <v>9013000097</v>
      </c>
      <c r="I1052" s="41" t="s">
        <v>593</v>
      </c>
      <c r="J1052" s="41">
        <v>1202020101</v>
      </c>
      <c r="K1052" s="41" t="s">
        <v>3305</v>
      </c>
      <c r="L1052" s="52" t="s">
        <v>3306</v>
      </c>
      <c r="M1052" s="69" t="s">
        <v>3307</v>
      </c>
      <c r="N1052" s="69"/>
      <c r="O1052" s="69">
        <v>1</v>
      </c>
      <c r="P1052" s="69" t="s">
        <v>50</v>
      </c>
      <c r="Q1052" s="69" t="s">
        <v>51</v>
      </c>
      <c r="R1052" s="69"/>
      <c r="S1052" s="48">
        <v>41942</v>
      </c>
      <c r="T1052" s="48">
        <v>43340</v>
      </c>
      <c r="U1052" s="69"/>
      <c r="V1052" s="69"/>
      <c r="W1052" s="69"/>
      <c r="X1052" s="69"/>
      <c r="Y1052" s="69" t="s">
        <v>4125</v>
      </c>
      <c r="Z1052" s="52">
        <v>310000</v>
      </c>
      <c r="AA1052" s="43" t="s">
        <v>52</v>
      </c>
      <c r="AB1052" s="43" t="s">
        <v>53</v>
      </c>
      <c r="AC1052" s="85">
        <v>402</v>
      </c>
      <c r="AD1052" s="141">
        <v>1</v>
      </c>
      <c r="AE1052" s="142">
        <v>1</v>
      </c>
      <c r="AF1052" s="69" t="str">
        <f t="shared" si="115"/>
        <v>1 years 37 days</v>
      </c>
      <c r="AG1052" s="69">
        <v>1</v>
      </c>
      <c r="AH1052" s="69">
        <v>37</v>
      </c>
      <c r="AI1052" s="69">
        <v>310000</v>
      </c>
      <c r="AJ1052" s="67">
        <v>310000</v>
      </c>
      <c r="AK1052" s="69">
        <v>2025</v>
      </c>
      <c r="AL1052" s="61">
        <v>0</v>
      </c>
      <c r="AM1052" s="143"/>
    </row>
    <row r="1053" spans="1:39" x14ac:dyDescent="0.35">
      <c r="A1053" s="69" t="s">
        <v>4124</v>
      </c>
      <c r="B1053" s="41">
        <v>1121405365</v>
      </c>
      <c r="C1053" s="41"/>
      <c r="D1053" s="69"/>
      <c r="E1053" s="41">
        <v>0</v>
      </c>
      <c r="F1053" s="41" t="s">
        <v>2961</v>
      </c>
      <c r="G1053" s="69" t="s">
        <v>2960</v>
      </c>
      <c r="H1053" s="41">
        <v>9013000098</v>
      </c>
      <c r="I1053" s="41" t="s">
        <v>593</v>
      </c>
      <c r="J1053" s="41">
        <v>1202020101</v>
      </c>
      <c r="K1053" s="41" t="s">
        <v>3309</v>
      </c>
      <c r="L1053" s="52" t="s">
        <v>3310</v>
      </c>
      <c r="M1053" s="69" t="s">
        <v>3311</v>
      </c>
      <c r="N1053" s="69"/>
      <c r="O1053" s="69">
        <v>1</v>
      </c>
      <c r="P1053" s="69" t="s">
        <v>50</v>
      </c>
      <c r="Q1053" s="69" t="s">
        <v>51</v>
      </c>
      <c r="R1053" s="69"/>
      <c r="S1053" s="48">
        <v>45678</v>
      </c>
      <c r="T1053" s="48">
        <v>45678</v>
      </c>
      <c r="U1053" s="69"/>
      <c r="V1053" s="69"/>
      <c r="W1053" s="69"/>
      <c r="X1053" s="69"/>
      <c r="Y1053" s="69" t="s">
        <v>4132</v>
      </c>
      <c r="Z1053" s="83">
        <v>131130</v>
      </c>
      <c r="AA1053" s="43" t="s">
        <v>52</v>
      </c>
      <c r="AB1053" s="43" t="s">
        <v>53</v>
      </c>
      <c r="AC1053" s="85">
        <v>1460</v>
      </c>
      <c r="AD1053" s="141">
        <v>4</v>
      </c>
      <c r="AE1053" s="142">
        <v>0</v>
      </c>
      <c r="AF1053" s="69" t="str">
        <f t="shared" si="115"/>
        <v>0 years 0 days</v>
      </c>
      <c r="AG1053" s="69">
        <v>0</v>
      </c>
      <c r="AH1053" s="69">
        <v>0</v>
      </c>
      <c r="AI1053" s="69">
        <v>131130</v>
      </c>
      <c r="AJ1053" s="67">
        <v>0</v>
      </c>
      <c r="AK1053" s="69">
        <v>2025</v>
      </c>
      <c r="AL1053" s="61">
        <v>14460.226027397261</v>
      </c>
      <c r="AM1053" s="143"/>
    </row>
    <row r="1054" spans="1:39" x14ac:dyDescent="0.35">
      <c r="A1054" s="69" t="s">
        <v>4124</v>
      </c>
      <c r="B1054" s="41">
        <v>1121400682</v>
      </c>
      <c r="C1054" s="41"/>
      <c r="D1054" s="69"/>
      <c r="E1054" s="41">
        <v>0</v>
      </c>
      <c r="F1054" s="41" t="s">
        <v>2961</v>
      </c>
      <c r="G1054" s="69" t="s">
        <v>2960</v>
      </c>
      <c r="H1054" s="41">
        <v>9013000099</v>
      </c>
      <c r="I1054" s="41" t="s">
        <v>593</v>
      </c>
      <c r="J1054" s="41">
        <v>1202020101</v>
      </c>
      <c r="K1054" s="41" t="s">
        <v>3313</v>
      </c>
      <c r="L1054" s="52" t="s">
        <v>3314</v>
      </c>
      <c r="M1054" s="69" t="s">
        <v>49</v>
      </c>
      <c r="N1054" s="69"/>
      <c r="O1054" s="69">
        <v>1</v>
      </c>
      <c r="P1054" s="69" t="s">
        <v>50</v>
      </c>
      <c r="Q1054" s="69" t="s">
        <v>51</v>
      </c>
      <c r="R1054" s="69"/>
      <c r="S1054" s="48">
        <v>40894</v>
      </c>
      <c r="T1054" s="48">
        <v>43340</v>
      </c>
      <c r="U1054" s="69"/>
      <c r="V1054" s="69"/>
      <c r="W1054" s="69"/>
      <c r="X1054" s="69"/>
      <c r="Y1054" s="69" t="s">
        <v>4125</v>
      </c>
      <c r="Z1054" s="52">
        <v>135000</v>
      </c>
      <c r="AA1054" s="43" t="s">
        <v>52</v>
      </c>
      <c r="AB1054" s="43" t="s">
        <v>53</v>
      </c>
      <c r="AC1054" s="85">
        <v>183</v>
      </c>
      <c r="AD1054" s="141">
        <v>0</v>
      </c>
      <c r="AE1054" s="142">
        <v>6</v>
      </c>
      <c r="AF1054" s="69" t="str">
        <f t="shared" si="115"/>
        <v>0 years 183 days</v>
      </c>
      <c r="AG1054" s="69">
        <v>0</v>
      </c>
      <c r="AH1054" s="69">
        <v>183</v>
      </c>
      <c r="AI1054" s="69">
        <v>135000</v>
      </c>
      <c r="AJ1054" s="67">
        <v>135000</v>
      </c>
      <c r="AK1054" s="69">
        <v>2025</v>
      </c>
      <c r="AL1054" s="61">
        <v>0</v>
      </c>
      <c r="AM1054" s="143"/>
    </row>
    <row r="1055" spans="1:39" x14ac:dyDescent="0.35">
      <c r="A1055" s="69" t="s">
        <v>4124</v>
      </c>
      <c r="B1055" s="41">
        <v>1121404962</v>
      </c>
      <c r="C1055" s="41"/>
      <c r="D1055" s="69"/>
      <c r="E1055" s="41">
        <v>0</v>
      </c>
      <c r="F1055" s="41" t="s">
        <v>2961</v>
      </c>
      <c r="G1055" s="69" t="s">
        <v>2960</v>
      </c>
      <c r="H1055" s="41">
        <v>9013000100</v>
      </c>
      <c r="I1055" s="41" t="s">
        <v>593</v>
      </c>
      <c r="J1055" s="41">
        <v>1202020101</v>
      </c>
      <c r="K1055" s="41" t="s">
        <v>3316</v>
      </c>
      <c r="L1055" s="52" t="s">
        <v>3317</v>
      </c>
      <c r="M1055" s="69" t="s">
        <v>3318</v>
      </c>
      <c r="N1055" s="69"/>
      <c r="O1055" s="69">
        <v>1</v>
      </c>
      <c r="P1055" s="69" t="s">
        <v>50</v>
      </c>
      <c r="Q1055" s="69" t="s">
        <v>51</v>
      </c>
      <c r="R1055" s="69"/>
      <c r="S1055" s="48">
        <v>45231</v>
      </c>
      <c r="T1055" s="48">
        <v>45231</v>
      </c>
      <c r="U1055" s="69"/>
      <c r="V1055" s="69"/>
      <c r="W1055" s="69"/>
      <c r="X1055" s="69"/>
      <c r="Y1055" s="69" t="s">
        <v>4129</v>
      </c>
      <c r="Z1055" s="52">
        <v>120700</v>
      </c>
      <c r="AA1055" s="43" t="s">
        <v>52</v>
      </c>
      <c r="AB1055" s="43" t="s">
        <v>53</v>
      </c>
      <c r="AC1055" s="85">
        <v>1460</v>
      </c>
      <c r="AD1055" s="141">
        <v>4</v>
      </c>
      <c r="AE1055" s="142">
        <v>0</v>
      </c>
      <c r="AF1055" s="69" t="str">
        <f t="shared" si="115"/>
        <v>1 years 62 days</v>
      </c>
      <c r="AG1055" s="69">
        <v>1</v>
      </c>
      <c r="AH1055" s="69">
        <v>62</v>
      </c>
      <c r="AI1055" s="69">
        <v>120700</v>
      </c>
      <c r="AJ1055" s="67">
        <v>35301</v>
      </c>
      <c r="AK1055" s="69">
        <v>2025</v>
      </c>
      <c r="AL1055" s="61">
        <v>14963.109589041094</v>
      </c>
      <c r="AM1055" s="143"/>
    </row>
    <row r="1056" spans="1:39" x14ac:dyDescent="0.35">
      <c r="A1056" s="69" t="s">
        <v>4124</v>
      </c>
      <c r="B1056" s="41">
        <v>1121402325</v>
      </c>
      <c r="C1056" s="41"/>
      <c r="D1056" s="69"/>
      <c r="E1056" s="41">
        <v>0</v>
      </c>
      <c r="F1056" s="41" t="s">
        <v>2961</v>
      </c>
      <c r="G1056" s="69" t="s">
        <v>2960</v>
      </c>
      <c r="H1056" s="41">
        <v>9013000101</v>
      </c>
      <c r="I1056" s="41" t="s">
        <v>593</v>
      </c>
      <c r="J1056" s="41">
        <v>1202020101</v>
      </c>
      <c r="K1056" s="41" t="s">
        <v>3320</v>
      </c>
      <c r="L1056" s="52" t="s">
        <v>3321</v>
      </c>
      <c r="M1056" s="69" t="s">
        <v>49</v>
      </c>
      <c r="N1056" s="69"/>
      <c r="O1056" s="69">
        <v>1</v>
      </c>
      <c r="P1056" s="69" t="s">
        <v>50</v>
      </c>
      <c r="Q1056" s="69" t="s">
        <v>51</v>
      </c>
      <c r="R1056" s="69"/>
      <c r="S1056" s="48">
        <v>42842</v>
      </c>
      <c r="T1056" s="48">
        <v>43340</v>
      </c>
      <c r="U1056" s="69"/>
      <c r="V1056" s="69"/>
      <c r="W1056" s="69"/>
      <c r="X1056" s="69"/>
      <c r="Y1056" s="69" t="s">
        <v>4125</v>
      </c>
      <c r="Z1056" s="52">
        <v>910000</v>
      </c>
      <c r="AA1056" s="43" t="s">
        <v>52</v>
      </c>
      <c r="AB1056" s="43" t="s">
        <v>53</v>
      </c>
      <c r="AC1056" s="85">
        <v>1314</v>
      </c>
      <c r="AD1056" s="141">
        <v>3</v>
      </c>
      <c r="AE1056" s="142">
        <v>7</v>
      </c>
      <c r="AF1056" s="69" t="str">
        <f t="shared" si="115"/>
        <v>3 years 219 days</v>
      </c>
      <c r="AG1056" s="69">
        <v>3</v>
      </c>
      <c r="AH1056" s="69">
        <v>219</v>
      </c>
      <c r="AI1056" s="69">
        <v>910000</v>
      </c>
      <c r="AJ1056" s="67">
        <v>910000</v>
      </c>
      <c r="AK1056" s="69">
        <v>2025</v>
      </c>
      <c r="AL1056" s="61">
        <v>0</v>
      </c>
      <c r="AM1056" s="143"/>
    </row>
    <row r="1057" spans="1:39" x14ac:dyDescent="0.35">
      <c r="A1057" s="69" t="s">
        <v>4124</v>
      </c>
      <c r="B1057" s="41">
        <v>1121404025</v>
      </c>
      <c r="C1057" s="41"/>
      <c r="D1057" s="69"/>
      <c r="E1057" s="41">
        <v>0</v>
      </c>
      <c r="F1057" s="41" t="s">
        <v>2961</v>
      </c>
      <c r="G1057" s="69" t="s">
        <v>2960</v>
      </c>
      <c r="H1057" s="41">
        <v>9013000102</v>
      </c>
      <c r="I1057" s="41" t="s">
        <v>593</v>
      </c>
      <c r="J1057" s="41">
        <v>1202020101</v>
      </c>
      <c r="K1057" s="41" t="s">
        <v>3323</v>
      </c>
      <c r="L1057" s="52" t="s">
        <v>3324</v>
      </c>
      <c r="M1057" s="69" t="s">
        <v>3325</v>
      </c>
      <c r="N1057" s="69"/>
      <c r="O1057" s="69">
        <v>1</v>
      </c>
      <c r="P1057" s="69" t="s">
        <v>50</v>
      </c>
      <c r="Q1057" s="69" t="s">
        <v>51</v>
      </c>
      <c r="R1057" s="69"/>
      <c r="S1057" s="48">
        <v>44621</v>
      </c>
      <c r="T1057" s="48">
        <v>44621</v>
      </c>
      <c r="U1057" s="69"/>
      <c r="V1057" s="69"/>
      <c r="W1057" s="69"/>
      <c r="X1057" s="69"/>
      <c r="Y1057" s="69" t="s">
        <v>4131</v>
      </c>
      <c r="Z1057" s="52">
        <v>135000</v>
      </c>
      <c r="AA1057" s="43" t="s">
        <v>52</v>
      </c>
      <c r="AB1057" s="43" t="s">
        <v>53</v>
      </c>
      <c r="AC1057" s="85">
        <v>1460</v>
      </c>
      <c r="AD1057" s="141">
        <v>4</v>
      </c>
      <c r="AE1057" s="142">
        <v>0</v>
      </c>
      <c r="AF1057" s="69" t="str">
        <f t="shared" si="115"/>
        <v>2 years 307 days</v>
      </c>
      <c r="AG1057" s="69">
        <v>2</v>
      </c>
      <c r="AH1057" s="69">
        <v>307</v>
      </c>
      <c r="AI1057" s="69">
        <v>135000</v>
      </c>
      <c r="AJ1057" s="67">
        <v>94167</v>
      </c>
      <c r="AK1057" s="69">
        <v>2025</v>
      </c>
      <c r="AL1057" s="61">
        <v>16736.42465753424</v>
      </c>
      <c r="AM1057" s="143"/>
    </row>
    <row r="1058" spans="1:39" x14ac:dyDescent="0.35">
      <c r="A1058" s="69" t="s">
        <v>4124</v>
      </c>
      <c r="B1058" s="41">
        <v>1121403084</v>
      </c>
      <c r="C1058" s="41"/>
      <c r="D1058" s="69"/>
      <c r="E1058" s="41">
        <v>0</v>
      </c>
      <c r="F1058" s="41" t="s">
        <v>2961</v>
      </c>
      <c r="G1058" s="69" t="s">
        <v>2960</v>
      </c>
      <c r="H1058" s="41">
        <v>9013000103</v>
      </c>
      <c r="I1058" s="41" t="s">
        <v>593</v>
      </c>
      <c r="J1058" s="41">
        <v>1202020101</v>
      </c>
      <c r="K1058" s="41" t="s">
        <v>3327</v>
      </c>
      <c r="L1058" s="52" t="s">
        <v>3328</v>
      </c>
      <c r="M1058" s="69" t="s">
        <v>3329</v>
      </c>
      <c r="N1058" s="69"/>
      <c r="O1058" s="69">
        <v>1</v>
      </c>
      <c r="P1058" s="69" t="s">
        <v>50</v>
      </c>
      <c r="Q1058" s="69" t="s">
        <v>51</v>
      </c>
      <c r="R1058" s="69"/>
      <c r="S1058" s="48">
        <v>43769</v>
      </c>
      <c r="T1058" s="48">
        <v>43769</v>
      </c>
      <c r="U1058" s="69"/>
      <c r="V1058" s="69"/>
      <c r="W1058" s="69"/>
      <c r="X1058" s="69"/>
      <c r="Y1058" s="69" t="s">
        <v>4126</v>
      </c>
      <c r="Z1058" s="52">
        <v>135000</v>
      </c>
      <c r="AA1058" s="43" t="s">
        <v>52</v>
      </c>
      <c r="AB1058" s="43" t="s">
        <v>53</v>
      </c>
      <c r="AC1058" s="85">
        <v>1460</v>
      </c>
      <c r="AD1058" s="141">
        <v>4</v>
      </c>
      <c r="AE1058" s="142">
        <v>0</v>
      </c>
      <c r="AF1058" s="69" t="str">
        <f t="shared" si="115"/>
        <v>4 years 0 days</v>
      </c>
      <c r="AG1058" s="69">
        <v>4</v>
      </c>
      <c r="AH1058" s="69">
        <v>0</v>
      </c>
      <c r="AI1058" s="69">
        <v>135000</v>
      </c>
      <c r="AJ1058" s="67">
        <v>135000</v>
      </c>
      <c r="AK1058" s="69">
        <v>2025</v>
      </c>
      <c r="AL1058" s="61">
        <v>0</v>
      </c>
      <c r="AM1058" s="143"/>
    </row>
    <row r="1059" spans="1:39" x14ac:dyDescent="0.35">
      <c r="A1059" s="69" t="s">
        <v>4124</v>
      </c>
      <c r="B1059" s="41">
        <v>1121402594</v>
      </c>
      <c r="C1059" s="41"/>
      <c r="D1059" s="69"/>
      <c r="E1059" s="41">
        <v>0</v>
      </c>
      <c r="F1059" s="41" t="s">
        <v>2961</v>
      </c>
      <c r="G1059" s="69" t="s">
        <v>2960</v>
      </c>
      <c r="H1059" s="41">
        <v>9013000104</v>
      </c>
      <c r="I1059" s="41" t="s">
        <v>593</v>
      </c>
      <c r="J1059" s="41">
        <v>1202020101</v>
      </c>
      <c r="K1059" s="41" t="s">
        <v>3331</v>
      </c>
      <c r="L1059" s="52" t="s">
        <v>3332</v>
      </c>
      <c r="M1059" s="69" t="s">
        <v>3303</v>
      </c>
      <c r="N1059" s="69"/>
      <c r="O1059" s="69">
        <v>1</v>
      </c>
      <c r="P1059" s="69" t="s">
        <v>50</v>
      </c>
      <c r="Q1059" s="69" t="s">
        <v>51</v>
      </c>
      <c r="R1059" s="69"/>
      <c r="S1059" s="48">
        <v>43275</v>
      </c>
      <c r="T1059" s="48">
        <v>43340</v>
      </c>
      <c r="U1059" s="69"/>
      <c r="V1059" s="69"/>
      <c r="W1059" s="69"/>
      <c r="X1059" s="69"/>
      <c r="Y1059" s="69" t="s">
        <v>4125</v>
      </c>
      <c r="Z1059" s="52">
        <v>1225000</v>
      </c>
      <c r="AA1059" s="43" t="s">
        <v>52</v>
      </c>
      <c r="AB1059" s="43" t="s">
        <v>53</v>
      </c>
      <c r="AC1059" s="85">
        <v>1716</v>
      </c>
      <c r="AD1059" s="141">
        <v>4</v>
      </c>
      <c r="AE1059" s="142">
        <v>9</v>
      </c>
      <c r="AF1059" s="69" t="str">
        <f t="shared" si="115"/>
        <v>4 years 256 days</v>
      </c>
      <c r="AG1059" s="69">
        <v>4</v>
      </c>
      <c r="AH1059" s="69">
        <v>256</v>
      </c>
      <c r="AI1059" s="69">
        <v>1225000</v>
      </c>
      <c r="AJ1059" s="67">
        <v>1225000</v>
      </c>
      <c r="AK1059" s="69">
        <v>2025</v>
      </c>
      <c r="AL1059" s="61">
        <v>0</v>
      </c>
      <c r="AM1059" s="143"/>
    </row>
    <row r="1060" spans="1:39" x14ac:dyDescent="0.35">
      <c r="A1060" s="69" t="s">
        <v>4124</v>
      </c>
      <c r="B1060" s="41">
        <v>1121403284</v>
      </c>
      <c r="C1060" s="41"/>
      <c r="D1060" s="69"/>
      <c r="E1060" s="41">
        <v>0</v>
      </c>
      <c r="F1060" s="41" t="s">
        <v>2961</v>
      </c>
      <c r="G1060" s="69" t="s">
        <v>2960</v>
      </c>
      <c r="H1060" s="41">
        <v>9013000105</v>
      </c>
      <c r="I1060" s="41" t="s">
        <v>593</v>
      </c>
      <c r="J1060" s="41">
        <v>1202020101</v>
      </c>
      <c r="K1060" s="41" t="s">
        <v>3334</v>
      </c>
      <c r="L1060" s="52" t="s">
        <v>3335</v>
      </c>
      <c r="M1060" s="69" t="s">
        <v>3336</v>
      </c>
      <c r="N1060" s="69"/>
      <c r="O1060" s="69">
        <v>1</v>
      </c>
      <c r="P1060" s="69" t="s">
        <v>50</v>
      </c>
      <c r="Q1060" s="69" t="s">
        <v>51</v>
      </c>
      <c r="R1060" s="69"/>
      <c r="S1060" s="48">
        <v>43913</v>
      </c>
      <c r="T1060" s="48">
        <v>43913</v>
      </c>
      <c r="U1060" s="69"/>
      <c r="V1060" s="69"/>
      <c r="W1060" s="69"/>
      <c r="X1060" s="69"/>
      <c r="Y1060" s="69" t="s">
        <v>4127</v>
      </c>
      <c r="Z1060" s="52">
        <v>135000</v>
      </c>
      <c r="AA1060" s="43" t="s">
        <v>52</v>
      </c>
      <c r="AB1060" s="43" t="s">
        <v>53</v>
      </c>
      <c r="AC1060" s="85">
        <v>1460</v>
      </c>
      <c r="AD1060" s="141">
        <v>4</v>
      </c>
      <c r="AE1060" s="142">
        <v>0</v>
      </c>
      <c r="AF1060" s="69" t="str">
        <f t="shared" si="115"/>
        <v>4 years 0 days</v>
      </c>
      <c r="AG1060" s="69">
        <v>4</v>
      </c>
      <c r="AH1060" s="69">
        <v>0</v>
      </c>
      <c r="AI1060" s="69">
        <v>135000</v>
      </c>
      <c r="AJ1060" s="67">
        <v>135000</v>
      </c>
      <c r="AK1060" s="69">
        <v>2025</v>
      </c>
      <c r="AL1060" s="61">
        <v>0</v>
      </c>
      <c r="AM1060" s="143"/>
    </row>
    <row r="1061" spans="1:39" x14ac:dyDescent="0.35">
      <c r="A1061" s="69" t="s">
        <v>4124</v>
      </c>
      <c r="B1061" s="41">
        <v>1121404738</v>
      </c>
      <c r="C1061" s="41"/>
      <c r="D1061" s="69"/>
      <c r="E1061" s="41">
        <v>0</v>
      </c>
      <c r="F1061" s="41" t="s">
        <v>2961</v>
      </c>
      <c r="G1061" s="69" t="s">
        <v>2960</v>
      </c>
      <c r="H1061" s="41">
        <v>9013000106</v>
      </c>
      <c r="I1061" s="41" t="s">
        <v>593</v>
      </c>
      <c r="J1061" s="41">
        <v>1202020101</v>
      </c>
      <c r="K1061" s="41" t="s">
        <v>3338</v>
      </c>
      <c r="L1061" s="52" t="s">
        <v>3339</v>
      </c>
      <c r="M1061" s="69" t="s">
        <v>3340</v>
      </c>
      <c r="N1061" s="69"/>
      <c r="O1061" s="69">
        <v>1</v>
      </c>
      <c r="P1061" s="69" t="s">
        <v>50</v>
      </c>
      <c r="Q1061" s="69" t="s">
        <v>51</v>
      </c>
      <c r="R1061" s="69"/>
      <c r="S1061" s="48">
        <v>45051</v>
      </c>
      <c r="T1061" s="48">
        <v>45051</v>
      </c>
      <c r="U1061" s="69"/>
      <c r="V1061" s="69"/>
      <c r="W1061" s="69"/>
      <c r="X1061" s="69"/>
      <c r="Y1061" s="69" t="s">
        <v>4129</v>
      </c>
      <c r="Z1061" s="52">
        <v>143000</v>
      </c>
      <c r="AA1061" s="43" t="s">
        <v>52</v>
      </c>
      <c r="AB1061" s="43" t="s">
        <v>53</v>
      </c>
      <c r="AC1061" s="85">
        <v>1460</v>
      </c>
      <c r="AD1061" s="141">
        <v>4</v>
      </c>
      <c r="AE1061" s="142">
        <v>0</v>
      </c>
      <c r="AF1061" s="69" t="str">
        <f t="shared" si="115"/>
        <v>1 years 242 days</v>
      </c>
      <c r="AG1061" s="69">
        <v>1</v>
      </c>
      <c r="AH1061" s="69">
        <v>242</v>
      </c>
      <c r="AI1061" s="69">
        <v>143000</v>
      </c>
      <c r="AJ1061" s="67">
        <v>59453</v>
      </c>
      <c r="AK1061" s="69">
        <v>2025</v>
      </c>
      <c r="AL1061" s="61">
        <v>17727.821917808222</v>
      </c>
      <c r="AM1061" s="143"/>
    </row>
    <row r="1062" spans="1:39" x14ac:dyDescent="0.35">
      <c r="A1062" s="69" t="s">
        <v>4124</v>
      </c>
      <c r="B1062" s="41">
        <v>1121403195</v>
      </c>
      <c r="C1062" s="41"/>
      <c r="D1062" s="69"/>
      <c r="E1062" s="41">
        <v>0</v>
      </c>
      <c r="F1062" s="41" t="s">
        <v>2961</v>
      </c>
      <c r="G1062" s="69" t="s">
        <v>2960</v>
      </c>
      <c r="H1062" s="41">
        <v>9013000107</v>
      </c>
      <c r="I1062" s="41" t="s">
        <v>593</v>
      </c>
      <c r="J1062" s="41">
        <v>1202020101</v>
      </c>
      <c r="K1062" s="41" t="s">
        <v>3342</v>
      </c>
      <c r="L1062" s="52" t="s">
        <v>3343</v>
      </c>
      <c r="M1062" s="69" t="s">
        <v>3036</v>
      </c>
      <c r="N1062" s="69"/>
      <c r="O1062" s="69">
        <v>1</v>
      </c>
      <c r="P1062" s="69" t="s">
        <v>50</v>
      </c>
      <c r="Q1062" s="69" t="s">
        <v>51</v>
      </c>
      <c r="R1062" s="69"/>
      <c r="S1062" s="48">
        <v>43825</v>
      </c>
      <c r="T1062" s="48">
        <v>43825</v>
      </c>
      <c r="U1062" s="69"/>
      <c r="V1062" s="69"/>
      <c r="W1062" s="69"/>
      <c r="X1062" s="69"/>
      <c r="Y1062" s="69" t="s">
        <v>4126</v>
      </c>
      <c r="Z1062" s="52">
        <v>135000</v>
      </c>
      <c r="AA1062" s="43" t="s">
        <v>52</v>
      </c>
      <c r="AB1062" s="43" t="s">
        <v>53</v>
      </c>
      <c r="AC1062" s="85">
        <v>1460</v>
      </c>
      <c r="AD1062" s="141">
        <v>4</v>
      </c>
      <c r="AE1062" s="142">
        <v>0</v>
      </c>
      <c r="AF1062" s="69" t="str">
        <f t="shared" si="115"/>
        <v>4 years 0 days</v>
      </c>
      <c r="AG1062" s="69">
        <v>4</v>
      </c>
      <c r="AH1062" s="69">
        <v>0</v>
      </c>
      <c r="AI1062" s="69">
        <v>135000</v>
      </c>
      <c r="AJ1062" s="67">
        <v>135000</v>
      </c>
      <c r="AK1062" s="69">
        <v>2025</v>
      </c>
      <c r="AL1062" s="61">
        <v>0</v>
      </c>
      <c r="AM1062" s="143"/>
    </row>
    <row r="1063" spans="1:39" x14ac:dyDescent="0.35">
      <c r="A1063" s="69" t="s">
        <v>4124</v>
      </c>
      <c r="B1063" s="41">
        <v>1121402514</v>
      </c>
      <c r="C1063" s="41"/>
      <c r="D1063" s="69"/>
      <c r="E1063" s="41">
        <v>0</v>
      </c>
      <c r="F1063" s="41" t="s">
        <v>2961</v>
      </c>
      <c r="G1063" s="69" t="s">
        <v>2960</v>
      </c>
      <c r="H1063" s="41">
        <v>9013000108</v>
      </c>
      <c r="I1063" s="41" t="s">
        <v>593</v>
      </c>
      <c r="J1063" s="41">
        <v>1202020101</v>
      </c>
      <c r="K1063" s="41" t="s">
        <v>3345</v>
      </c>
      <c r="L1063" s="52" t="s">
        <v>3346</v>
      </c>
      <c r="M1063" s="69" t="s">
        <v>3347</v>
      </c>
      <c r="N1063" s="69"/>
      <c r="O1063" s="69">
        <v>1</v>
      </c>
      <c r="P1063" s="69" t="s">
        <v>50</v>
      </c>
      <c r="Q1063" s="69" t="s">
        <v>51</v>
      </c>
      <c r="R1063" s="69"/>
      <c r="S1063" s="48">
        <v>43161</v>
      </c>
      <c r="T1063" s="48">
        <v>43340</v>
      </c>
      <c r="U1063" s="69"/>
      <c r="V1063" s="69"/>
      <c r="W1063" s="69"/>
      <c r="X1063" s="69"/>
      <c r="Y1063" s="69" t="s">
        <v>4125</v>
      </c>
      <c r="Z1063" s="52">
        <v>1475000</v>
      </c>
      <c r="AA1063" s="43" t="s">
        <v>52</v>
      </c>
      <c r="AB1063" s="43" t="s">
        <v>53</v>
      </c>
      <c r="AC1063" s="85">
        <v>1643</v>
      </c>
      <c r="AD1063" s="141">
        <v>4</v>
      </c>
      <c r="AE1063" s="142">
        <v>6</v>
      </c>
      <c r="AF1063" s="69" t="str">
        <f t="shared" si="115"/>
        <v>4 years 183 days</v>
      </c>
      <c r="AG1063" s="69">
        <v>4</v>
      </c>
      <c r="AH1063" s="69">
        <v>183</v>
      </c>
      <c r="AI1063" s="69">
        <v>1475000</v>
      </c>
      <c r="AJ1063" s="67">
        <v>1475000</v>
      </c>
      <c r="AK1063" s="69">
        <v>2025</v>
      </c>
      <c r="AL1063" s="61">
        <v>0</v>
      </c>
      <c r="AM1063" s="143"/>
    </row>
    <row r="1064" spans="1:39" x14ac:dyDescent="0.35">
      <c r="A1064" s="69" t="s">
        <v>4124</v>
      </c>
      <c r="B1064" s="41">
        <v>1121403005</v>
      </c>
      <c r="C1064" s="41"/>
      <c r="D1064" s="69"/>
      <c r="E1064" s="41">
        <v>0</v>
      </c>
      <c r="F1064" s="41" t="s">
        <v>2961</v>
      </c>
      <c r="G1064" s="69" t="s">
        <v>2960</v>
      </c>
      <c r="H1064" s="41">
        <v>9013000109</v>
      </c>
      <c r="I1064" s="41" t="s">
        <v>593</v>
      </c>
      <c r="J1064" s="41">
        <v>1202020101</v>
      </c>
      <c r="K1064" s="41" t="s">
        <v>3349</v>
      </c>
      <c r="L1064" s="52" t="s">
        <v>3350</v>
      </c>
      <c r="M1064" s="69" t="s">
        <v>3351</v>
      </c>
      <c r="N1064" s="69"/>
      <c r="O1064" s="69">
        <v>1</v>
      </c>
      <c r="P1064" s="69" t="s">
        <v>50</v>
      </c>
      <c r="Q1064" s="69" t="s">
        <v>51</v>
      </c>
      <c r="R1064" s="69"/>
      <c r="S1064" s="48">
        <v>43650</v>
      </c>
      <c r="T1064" s="48">
        <v>43650</v>
      </c>
      <c r="U1064" s="69"/>
      <c r="V1064" s="69"/>
      <c r="W1064" s="69"/>
      <c r="X1064" s="69"/>
      <c r="Y1064" s="69" t="s">
        <v>4126</v>
      </c>
      <c r="Z1064" s="52">
        <v>135000</v>
      </c>
      <c r="AA1064" s="43" t="s">
        <v>52</v>
      </c>
      <c r="AB1064" s="43" t="s">
        <v>53</v>
      </c>
      <c r="AC1064" s="85">
        <v>1460</v>
      </c>
      <c r="AD1064" s="141">
        <v>4</v>
      </c>
      <c r="AE1064" s="142">
        <v>0</v>
      </c>
      <c r="AF1064" s="69" t="str">
        <f t="shared" si="115"/>
        <v>4 years 0 days</v>
      </c>
      <c r="AG1064" s="69">
        <v>4</v>
      </c>
      <c r="AH1064" s="69">
        <v>0</v>
      </c>
      <c r="AI1064" s="69">
        <v>135000</v>
      </c>
      <c r="AJ1064" s="67">
        <v>135000</v>
      </c>
      <c r="AK1064" s="69">
        <v>2025</v>
      </c>
      <c r="AL1064" s="61">
        <v>0</v>
      </c>
      <c r="AM1064" s="143"/>
    </row>
    <row r="1065" spans="1:39" x14ac:dyDescent="0.35">
      <c r="A1065" s="69" t="s">
        <v>4124</v>
      </c>
      <c r="B1065" s="41">
        <v>1121403116</v>
      </c>
      <c r="C1065" s="41"/>
      <c r="D1065" s="69"/>
      <c r="E1065" s="41">
        <v>0</v>
      </c>
      <c r="F1065" s="41" t="s">
        <v>2961</v>
      </c>
      <c r="G1065" s="69" t="s">
        <v>2960</v>
      </c>
      <c r="H1065" s="41">
        <v>9013000110</v>
      </c>
      <c r="I1065" s="41" t="s">
        <v>593</v>
      </c>
      <c r="J1065" s="41">
        <v>1202020101</v>
      </c>
      <c r="K1065" s="41" t="s">
        <v>3353</v>
      </c>
      <c r="L1065" s="52" t="s">
        <v>3354</v>
      </c>
      <c r="M1065" s="69" t="s">
        <v>3355</v>
      </c>
      <c r="N1065" s="69"/>
      <c r="O1065" s="69">
        <v>1</v>
      </c>
      <c r="P1065" s="69" t="s">
        <v>50</v>
      </c>
      <c r="Q1065" s="69" t="s">
        <v>51</v>
      </c>
      <c r="R1065" s="69"/>
      <c r="S1065" s="48">
        <v>43799</v>
      </c>
      <c r="T1065" s="48">
        <v>43799</v>
      </c>
      <c r="U1065" s="69"/>
      <c r="V1065" s="69"/>
      <c r="W1065" s="69"/>
      <c r="X1065" s="69"/>
      <c r="Y1065" s="69" t="s">
        <v>4126</v>
      </c>
      <c r="Z1065" s="52">
        <v>135000</v>
      </c>
      <c r="AA1065" s="43" t="s">
        <v>52</v>
      </c>
      <c r="AB1065" s="43" t="s">
        <v>53</v>
      </c>
      <c r="AC1065" s="85">
        <v>1460</v>
      </c>
      <c r="AD1065" s="141">
        <v>4</v>
      </c>
      <c r="AE1065" s="142">
        <v>0</v>
      </c>
      <c r="AF1065" s="69" t="str">
        <f t="shared" si="115"/>
        <v>4 years 0 days</v>
      </c>
      <c r="AG1065" s="69">
        <v>4</v>
      </c>
      <c r="AH1065" s="69">
        <v>0</v>
      </c>
      <c r="AI1065" s="69">
        <v>135000</v>
      </c>
      <c r="AJ1065" s="67">
        <v>135000</v>
      </c>
      <c r="AK1065" s="69">
        <v>2025</v>
      </c>
      <c r="AL1065" s="61">
        <v>0</v>
      </c>
      <c r="AM1065" s="143"/>
    </row>
    <row r="1066" spans="1:39" x14ac:dyDescent="0.35">
      <c r="A1066" s="69" t="s">
        <v>4124</v>
      </c>
      <c r="B1066" s="41">
        <v>1121404071</v>
      </c>
      <c r="C1066" s="41"/>
      <c r="D1066" s="69"/>
      <c r="E1066" s="41">
        <v>0</v>
      </c>
      <c r="F1066" s="41" t="s">
        <v>2961</v>
      </c>
      <c r="G1066" s="69" t="s">
        <v>2960</v>
      </c>
      <c r="H1066" s="41">
        <v>9013000111</v>
      </c>
      <c r="I1066" s="41" t="s">
        <v>593</v>
      </c>
      <c r="J1066" s="41">
        <v>1202020101</v>
      </c>
      <c r="K1066" s="41" t="s">
        <v>3357</v>
      </c>
      <c r="L1066" s="52" t="s">
        <v>3358</v>
      </c>
      <c r="M1066" s="69" t="s">
        <v>3359</v>
      </c>
      <c r="N1066" s="69"/>
      <c r="O1066" s="69">
        <v>1</v>
      </c>
      <c r="P1066" s="69" t="s">
        <v>50</v>
      </c>
      <c r="Q1066" s="69" t="s">
        <v>51</v>
      </c>
      <c r="R1066" s="69"/>
      <c r="S1066" s="48">
        <v>43873</v>
      </c>
      <c r="T1066" s="48">
        <v>43873</v>
      </c>
      <c r="U1066" s="69"/>
      <c r="V1066" s="69"/>
      <c r="W1066" s="69"/>
      <c r="X1066" s="69"/>
      <c r="Y1066" s="69" t="s">
        <v>4127</v>
      </c>
      <c r="Z1066" s="52">
        <v>135000</v>
      </c>
      <c r="AA1066" s="43" t="s">
        <v>52</v>
      </c>
      <c r="AB1066" s="43" t="s">
        <v>53</v>
      </c>
      <c r="AC1066" s="85">
        <v>1460</v>
      </c>
      <c r="AD1066" s="141">
        <v>4</v>
      </c>
      <c r="AE1066" s="142">
        <v>0</v>
      </c>
      <c r="AF1066" s="69" t="str">
        <f t="shared" si="115"/>
        <v>4 years 0 days</v>
      </c>
      <c r="AG1066" s="69">
        <v>4</v>
      </c>
      <c r="AH1066" s="69">
        <v>0</v>
      </c>
      <c r="AI1066" s="69">
        <v>135000</v>
      </c>
      <c r="AJ1066" s="67">
        <v>135000</v>
      </c>
      <c r="AK1066" s="69">
        <v>2025</v>
      </c>
      <c r="AL1066" s="61">
        <v>0</v>
      </c>
      <c r="AM1066" s="143"/>
    </row>
    <row r="1067" spans="1:39" x14ac:dyDescent="0.35">
      <c r="A1067" s="69" t="s">
        <v>4124</v>
      </c>
      <c r="B1067" s="41">
        <v>1121402459</v>
      </c>
      <c r="C1067" s="41"/>
      <c r="D1067" s="69"/>
      <c r="E1067" s="41">
        <v>0</v>
      </c>
      <c r="F1067" s="41" t="s">
        <v>2961</v>
      </c>
      <c r="G1067" s="69" t="s">
        <v>2960</v>
      </c>
      <c r="H1067" s="41">
        <v>9013000112</v>
      </c>
      <c r="I1067" s="41" t="s">
        <v>593</v>
      </c>
      <c r="J1067" s="41">
        <v>1202020101</v>
      </c>
      <c r="K1067" s="41" t="s">
        <v>3361</v>
      </c>
      <c r="L1067" s="52" t="s">
        <v>3362</v>
      </c>
      <c r="M1067" s="69" t="s">
        <v>49</v>
      </c>
      <c r="N1067" s="69"/>
      <c r="O1067" s="69">
        <v>1</v>
      </c>
      <c r="P1067" s="69" t="s">
        <v>50</v>
      </c>
      <c r="Q1067" s="69" t="s">
        <v>51</v>
      </c>
      <c r="R1067" s="69"/>
      <c r="S1067" s="48">
        <v>43064</v>
      </c>
      <c r="T1067" s="48">
        <v>43340</v>
      </c>
      <c r="U1067" s="69"/>
      <c r="V1067" s="69"/>
      <c r="W1067" s="69"/>
      <c r="X1067" s="69"/>
      <c r="Y1067" s="69" t="s">
        <v>4125</v>
      </c>
      <c r="Z1067" s="52">
        <v>1400000</v>
      </c>
      <c r="AA1067" s="43" t="s">
        <v>52</v>
      </c>
      <c r="AB1067" s="43" t="s">
        <v>53</v>
      </c>
      <c r="AC1067" s="85">
        <v>1533</v>
      </c>
      <c r="AD1067" s="141">
        <v>4</v>
      </c>
      <c r="AE1067" s="142">
        <v>2</v>
      </c>
      <c r="AF1067" s="69" t="str">
        <f t="shared" si="115"/>
        <v>4 years 73 days</v>
      </c>
      <c r="AG1067" s="69">
        <v>4</v>
      </c>
      <c r="AH1067" s="69">
        <v>73</v>
      </c>
      <c r="AI1067" s="69">
        <v>1400000</v>
      </c>
      <c r="AJ1067" s="67">
        <v>1400000</v>
      </c>
      <c r="AK1067" s="69">
        <v>2025</v>
      </c>
      <c r="AL1067" s="61">
        <v>0</v>
      </c>
      <c r="AM1067" s="143"/>
    </row>
    <row r="1068" spans="1:39" x14ac:dyDescent="0.35">
      <c r="A1068" s="69" t="s">
        <v>4124</v>
      </c>
      <c r="B1068" s="41">
        <v>1121402193</v>
      </c>
      <c r="C1068" s="41"/>
      <c r="D1068" s="69"/>
      <c r="E1068" s="41">
        <v>0</v>
      </c>
      <c r="F1068" s="41" t="s">
        <v>2961</v>
      </c>
      <c r="G1068" s="69" t="s">
        <v>2960</v>
      </c>
      <c r="H1068" s="41">
        <v>9013000113</v>
      </c>
      <c r="I1068" s="41" t="s">
        <v>593</v>
      </c>
      <c r="J1068" s="41">
        <v>1202020101</v>
      </c>
      <c r="K1068" s="41" t="s">
        <v>3364</v>
      </c>
      <c r="L1068" s="52" t="s">
        <v>3365</v>
      </c>
      <c r="M1068" s="69" t="s">
        <v>49</v>
      </c>
      <c r="N1068" s="69"/>
      <c r="O1068" s="69">
        <v>1</v>
      </c>
      <c r="P1068" s="69" t="s">
        <v>50</v>
      </c>
      <c r="Q1068" s="69" t="s">
        <v>51</v>
      </c>
      <c r="R1068" s="69"/>
      <c r="S1068" s="48">
        <v>42714</v>
      </c>
      <c r="T1068" s="48">
        <v>43340</v>
      </c>
      <c r="U1068" s="69"/>
      <c r="V1068" s="69"/>
      <c r="W1068" s="69"/>
      <c r="X1068" s="69"/>
      <c r="Y1068" s="69" t="s">
        <v>4125</v>
      </c>
      <c r="Z1068" s="52">
        <v>72500</v>
      </c>
      <c r="AA1068" s="43" t="s">
        <v>52</v>
      </c>
      <c r="AB1068" s="43" t="s">
        <v>53</v>
      </c>
      <c r="AC1068" s="85">
        <v>1205</v>
      </c>
      <c r="AD1068" s="141">
        <v>3</v>
      </c>
      <c r="AE1068" s="142">
        <v>4</v>
      </c>
      <c r="AF1068" s="69" t="str">
        <f t="shared" si="115"/>
        <v>3 years 110 days</v>
      </c>
      <c r="AG1068" s="69">
        <v>3</v>
      </c>
      <c r="AH1068" s="69">
        <v>110</v>
      </c>
      <c r="AI1068" s="69">
        <v>72500</v>
      </c>
      <c r="AJ1068" s="67">
        <v>72500</v>
      </c>
      <c r="AK1068" s="69">
        <v>2025</v>
      </c>
      <c r="AL1068" s="61">
        <v>0</v>
      </c>
      <c r="AM1068" s="143"/>
    </row>
    <row r="1069" spans="1:39" x14ac:dyDescent="0.35">
      <c r="A1069" s="69" t="s">
        <v>4124</v>
      </c>
      <c r="B1069" s="41">
        <v>1121402264</v>
      </c>
      <c r="C1069" s="41"/>
      <c r="D1069" s="69"/>
      <c r="E1069" s="41">
        <v>0</v>
      </c>
      <c r="F1069" s="41" t="s">
        <v>2961</v>
      </c>
      <c r="G1069" s="69" t="s">
        <v>2960</v>
      </c>
      <c r="H1069" s="41">
        <v>9013000114</v>
      </c>
      <c r="I1069" s="41" t="s">
        <v>593</v>
      </c>
      <c r="J1069" s="41">
        <v>1202020101</v>
      </c>
      <c r="K1069" s="41" t="s">
        <v>3367</v>
      </c>
      <c r="L1069" s="52" t="s">
        <v>3368</v>
      </c>
      <c r="M1069" s="69" t="s">
        <v>49</v>
      </c>
      <c r="N1069" s="69"/>
      <c r="O1069" s="69">
        <v>1</v>
      </c>
      <c r="P1069" s="69" t="s">
        <v>50</v>
      </c>
      <c r="Q1069" s="69" t="s">
        <v>51</v>
      </c>
      <c r="R1069" s="69"/>
      <c r="S1069" s="48">
        <v>42794</v>
      </c>
      <c r="T1069" s="48">
        <v>43340</v>
      </c>
      <c r="U1069" s="69"/>
      <c r="V1069" s="69"/>
      <c r="W1069" s="69"/>
      <c r="X1069" s="69"/>
      <c r="Y1069" s="69" t="s">
        <v>4125</v>
      </c>
      <c r="Z1069" s="52">
        <v>77500</v>
      </c>
      <c r="AA1069" s="43" t="s">
        <v>52</v>
      </c>
      <c r="AB1069" s="43" t="s">
        <v>53</v>
      </c>
      <c r="AC1069" s="85">
        <v>1278</v>
      </c>
      <c r="AD1069" s="141">
        <v>3</v>
      </c>
      <c r="AE1069" s="142">
        <v>6</v>
      </c>
      <c r="AF1069" s="69" t="str">
        <f t="shared" si="115"/>
        <v>3 years 183 days</v>
      </c>
      <c r="AG1069" s="69">
        <v>3</v>
      </c>
      <c r="AH1069" s="69">
        <v>183</v>
      </c>
      <c r="AI1069" s="69">
        <v>77500</v>
      </c>
      <c r="AJ1069" s="67">
        <v>77500</v>
      </c>
      <c r="AK1069" s="69">
        <v>2025</v>
      </c>
      <c r="AL1069" s="61">
        <v>0</v>
      </c>
      <c r="AM1069" s="143"/>
    </row>
    <row r="1070" spans="1:39" x14ac:dyDescent="0.35">
      <c r="A1070" s="69" t="s">
        <v>4124</v>
      </c>
      <c r="B1070" s="41">
        <v>1121402847</v>
      </c>
      <c r="C1070" s="41"/>
      <c r="D1070" s="69"/>
      <c r="E1070" s="41">
        <v>0</v>
      </c>
      <c r="F1070" s="41" t="s">
        <v>2961</v>
      </c>
      <c r="G1070" s="69" t="s">
        <v>2960</v>
      </c>
      <c r="H1070" s="41">
        <v>9013000115</v>
      </c>
      <c r="I1070" s="41" t="s">
        <v>593</v>
      </c>
      <c r="J1070" s="41">
        <v>1202020101</v>
      </c>
      <c r="K1070" s="41" t="s">
        <v>3370</v>
      </c>
      <c r="L1070" s="52" t="s">
        <v>3371</v>
      </c>
      <c r="M1070" s="69" t="s">
        <v>3372</v>
      </c>
      <c r="N1070" s="69"/>
      <c r="O1070" s="69">
        <v>1</v>
      </c>
      <c r="P1070" s="69" t="s">
        <v>50</v>
      </c>
      <c r="Q1070" s="69" t="s">
        <v>51</v>
      </c>
      <c r="R1070" s="69"/>
      <c r="S1070" s="48">
        <v>43503</v>
      </c>
      <c r="T1070" s="48">
        <v>43503</v>
      </c>
      <c r="U1070" s="69"/>
      <c r="V1070" s="69"/>
      <c r="W1070" s="69"/>
      <c r="X1070" s="69"/>
      <c r="Y1070" s="69" t="s">
        <v>4126</v>
      </c>
      <c r="Z1070" s="52">
        <v>106000</v>
      </c>
      <c r="AA1070" s="43" t="s">
        <v>52</v>
      </c>
      <c r="AB1070" s="43" t="s">
        <v>53</v>
      </c>
      <c r="AC1070" s="85">
        <v>1460</v>
      </c>
      <c r="AD1070" s="141">
        <v>4</v>
      </c>
      <c r="AE1070" s="142">
        <v>0</v>
      </c>
      <c r="AF1070" s="69" t="str">
        <f t="shared" si="115"/>
        <v>4 years 0 days</v>
      </c>
      <c r="AG1070" s="69">
        <v>4</v>
      </c>
      <c r="AH1070" s="69">
        <v>0</v>
      </c>
      <c r="AI1070" s="69">
        <v>106000</v>
      </c>
      <c r="AJ1070" s="67">
        <v>106000</v>
      </c>
      <c r="AK1070" s="69">
        <v>2025</v>
      </c>
      <c r="AL1070" s="61">
        <v>0</v>
      </c>
      <c r="AM1070" s="143"/>
    </row>
    <row r="1071" spans="1:39" x14ac:dyDescent="0.35">
      <c r="A1071" s="69" t="s">
        <v>4124</v>
      </c>
      <c r="B1071" s="41">
        <v>1121401557</v>
      </c>
      <c r="C1071" s="41"/>
      <c r="D1071" s="69"/>
      <c r="E1071" s="41">
        <v>0</v>
      </c>
      <c r="F1071" s="41" t="s">
        <v>2961</v>
      </c>
      <c r="G1071" s="69" t="s">
        <v>2960</v>
      </c>
      <c r="H1071" s="41">
        <v>9013000116</v>
      </c>
      <c r="I1071" s="41" t="s">
        <v>593</v>
      </c>
      <c r="J1071" s="41">
        <v>1202020101</v>
      </c>
      <c r="K1071" s="41" t="s">
        <v>3374</v>
      </c>
      <c r="L1071" s="52" t="s">
        <v>3375</v>
      </c>
      <c r="M1071" s="69" t="s">
        <v>3376</v>
      </c>
      <c r="N1071" s="69"/>
      <c r="O1071" s="69">
        <v>1</v>
      </c>
      <c r="P1071" s="69" t="s">
        <v>50</v>
      </c>
      <c r="Q1071" s="69" t="s">
        <v>51</v>
      </c>
      <c r="R1071" s="69"/>
      <c r="S1071" s="48">
        <v>41969</v>
      </c>
      <c r="T1071" s="48">
        <v>43340</v>
      </c>
      <c r="U1071" s="69"/>
      <c r="V1071" s="69"/>
      <c r="W1071" s="69"/>
      <c r="X1071" s="69"/>
      <c r="Y1071" s="69" t="s">
        <v>4125</v>
      </c>
      <c r="Z1071" s="52">
        <v>225000</v>
      </c>
      <c r="AA1071" s="43" t="s">
        <v>52</v>
      </c>
      <c r="AB1071" s="43" t="s">
        <v>53</v>
      </c>
      <c r="AC1071" s="85">
        <v>438</v>
      </c>
      <c r="AD1071" s="141">
        <v>1</v>
      </c>
      <c r="AE1071" s="142">
        <v>2</v>
      </c>
      <c r="AF1071" s="69" t="str">
        <f t="shared" si="115"/>
        <v>1 years 73 days</v>
      </c>
      <c r="AG1071" s="69">
        <v>1</v>
      </c>
      <c r="AH1071" s="69">
        <v>73</v>
      </c>
      <c r="AI1071" s="69">
        <v>225000</v>
      </c>
      <c r="AJ1071" s="67">
        <v>225000</v>
      </c>
      <c r="AK1071" s="69">
        <v>2025</v>
      </c>
      <c r="AL1071" s="61">
        <v>0</v>
      </c>
      <c r="AM1071" s="143"/>
    </row>
    <row r="1072" spans="1:39" x14ac:dyDescent="0.35">
      <c r="A1072" s="69" t="s">
        <v>4124</v>
      </c>
      <c r="B1072" s="41">
        <v>1121402582</v>
      </c>
      <c r="C1072" s="41"/>
      <c r="D1072" s="69"/>
      <c r="E1072" s="41">
        <v>0</v>
      </c>
      <c r="F1072" s="41" t="s">
        <v>2961</v>
      </c>
      <c r="G1072" s="69" t="s">
        <v>2960</v>
      </c>
      <c r="H1072" s="41">
        <v>9013000117</v>
      </c>
      <c r="I1072" s="41" t="s">
        <v>593</v>
      </c>
      <c r="J1072" s="41">
        <v>1202020101</v>
      </c>
      <c r="K1072" s="41" t="s">
        <v>3378</v>
      </c>
      <c r="L1072" s="52" t="s">
        <v>3379</v>
      </c>
      <c r="M1072" s="69" t="s">
        <v>49</v>
      </c>
      <c r="N1072" s="69"/>
      <c r="O1072" s="69">
        <v>1</v>
      </c>
      <c r="P1072" s="69" t="s">
        <v>50</v>
      </c>
      <c r="Q1072" s="69" t="s">
        <v>51</v>
      </c>
      <c r="R1072" s="69"/>
      <c r="S1072" s="48">
        <v>43265</v>
      </c>
      <c r="T1072" s="48">
        <v>43340</v>
      </c>
      <c r="U1072" s="69"/>
      <c r="V1072" s="69"/>
      <c r="W1072" s="69"/>
      <c r="X1072" s="69"/>
      <c r="Y1072" s="69" t="s">
        <v>4125</v>
      </c>
      <c r="Z1072" s="52">
        <v>1150000</v>
      </c>
      <c r="AA1072" s="43" t="s">
        <v>52</v>
      </c>
      <c r="AB1072" s="43" t="s">
        <v>53</v>
      </c>
      <c r="AC1072" s="85">
        <v>1752</v>
      </c>
      <c r="AD1072" s="141">
        <v>4</v>
      </c>
      <c r="AE1072" s="142">
        <v>10</v>
      </c>
      <c r="AF1072" s="69" t="str">
        <f t="shared" si="115"/>
        <v>4 years 292 days</v>
      </c>
      <c r="AG1072" s="69">
        <v>4</v>
      </c>
      <c r="AH1072" s="69">
        <v>292</v>
      </c>
      <c r="AI1072" s="69">
        <v>1150000</v>
      </c>
      <c r="AJ1072" s="67">
        <v>1150000</v>
      </c>
      <c r="AK1072" s="69">
        <v>2025</v>
      </c>
      <c r="AL1072" s="61">
        <v>0</v>
      </c>
      <c r="AM1072" s="143"/>
    </row>
    <row r="1073" spans="1:39" x14ac:dyDescent="0.35">
      <c r="A1073" s="69" t="s">
        <v>4124</v>
      </c>
      <c r="B1073" s="41">
        <v>1121404068</v>
      </c>
      <c r="C1073" s="41"/>
      <c r="D1073" s="69"/>
      <c r="E1073" s="41">
        <v>0</v>
      </c>
      <c r="F1073" s="41" t="s">
        <v>2961</v>
      </c>
      <c r="G1073" s="69" t="s">
        <v>2960</v>
      </c>
      <c r="H1073" s="41">
        <v>9013000118</v>
      </c>
      <c r="I1073" s="41" t="s">
        <v>593</v>
      </c>
      <c r="J1073" s="41">
        <v>1202020101</v>
      </c>
      <c r="K1073" s="41" t="s">
        <v>3381</v>
      </c>
      <c r="L1073" s="52" t="s">
        <v>3382</v>
      </c>
      <c r="M1073" s="69" t="s">
        <v>3383</v>
      </c>
      <c r="N1073" s="69"/>
      <c r="O1073" s="69">
        <v>1</v>
      </c>
      <c r="P1073" s="69" t="s">
        <v>50</v>
      </c>
      <c r="Q1073" s="69" t="s">
        <v>51</v>
      </c>
      <c r="R1073" s="69"/>
      <c r="S1073" s="48">
        <v>43206</v>
      </c>
      <c r="T1073" s="48">
        <v>43340</v>
      </c>
      <c r="U1073" s="69"/>
      <c r="V1073" s="69"/>
      <c r="W1073" s="69"/>
      <c r="X1073" s="69"/>
      <c r="Y1073" s="69" t="s">
        <v>4125</v>
      </c>
      <c r="Z1073" s="52">
        <v>1500000</v>
      </c>
      <c r="AA1073" s="43" t="s">
        <v>52</v>
      </c>
      <c r="AB1073" s="43" t="s">
        <v>53</v>
      </c>
      <c r="AC1073" s="85">
        <v>1679</v>
      </c>
      <c r="AD1073" s="141">
        <v>4</v>
      </c>
      <c r="AE1073" s="142">
        <v>7</v>
      </c>
      <c r="AF1073" s="69" t="str">
        <f t="shared" si="115"/>
        <v>4 years 219 days</v>
      </c>
      <c r="AG1073" s="69">
        <v>4</v>
      </c>
      <c r="AH1073" s="69">
        <v>219</v>
      </c>
      <c r="AI1073" s="69">
        <v>1500000</v>
      </c>
      <c r="AJ1073" s="67">
        <v>1500000</v>
      </c>
      <c r="AK1073" s="69">
        <v>2025</v>
      </c>
      <c r="AL1073" s="61">
        <v>0</v>
      </c>
      <c r="AM1073" s="143"/>
    </row>
    <row r="1074" spans="1:39" x14ac:dyDescent="0.35">
      <c r="A1074" s="69" t="s">
        <v>4124</v>
      </c>
      <c r="B1074" s="41">
        <v>1121402616</v>
      </c>
      <c r="C1074" s="41"/>
      <c r="D1074" s="69"/>
      <c r="E1074" s="41">
        <v>0</v>
      </c>
      <c r="F1074" s="41" t="s">
        <v>2961</v>
      </c>
      <c r="G1074" s="69" t="s">
        <v>2960</v>
      </c>
      <c r="H1074" s="41">
        <v>9013000119</v>
      </c>
      <c r="I1074" s="41" t="s">
        <v>593</v>
      </c>
      <c r="J1074" s="41">
        <v>1202020101</v>
      </c>
      <c r="K1074" s="41" t="s">
        <v>3385</v>
      </c>
      <c r="L1074" s="52" t="s">
        <v>3386</v>
      </c>
      <c r="M1074" s="69" t="s">
        <v>3387</v>
      </c>
      <c r="N1074" s="69"/>
      <c r="O1074" s="69">
        <v>1</v>
      </c>
      <c r="P1074" s="69" t="s">
        <v>50</v>
      </c>
      <c r="Q1074" s="69" t="s">
        <v>51</v>
      </c>
      <c r="R1074" s="69"/>
      <c r="S1074" s="48">
        <v>43298</v>
      </c>
      <c r="T1074" s="48">
        <v>43340</v>
      </c>
      <c r="U1074" s="69"/>
      <c r="V1074" s="69"/>
      <c r="W1074" s="69"/>
      <c r="X1074" s="69"/>
      <c r="Y1074" s="69" t="s">
        <v>4125</v>
      </c>
      <c r="Z1074" s="52">
        <v>125000</v>
      </c>
      <c r="AA1074" s="43" t="s">
        <v>52</v>
      </c>
      <c r="AB1074" s="43" t="s">
        <v>53</v>
      </c>
      <c r="AC1074" s="85">
        <v>1789</v>
      </c>
      <c r="AD1074" s="141">
        <v>4</v>
      </c>
      <c r="AE1074" s="142">
        <v>11</v>
      </c>
      <c r="AF1074" s="69" t="str">
        <f t="shared" si="115"/>
        <v>4 years 329 days</v>
      </c>
      <c r="AG1074" s="69">
        <v>4</v>
      </c>
      <c r="AH1074" s="69">
        <v>329</v>
      </c>
      <c r="AI1074" s="69">
        <v>125000</v>
      </c>
      <c r="AJ1074" s="67">
        <v>125000</v>
      </c>
      <c r="AK1074" s="69">
        <v>2025</v>
      </c>
      <c r="AL1074" s="61">
        <v>0</v>
      </c>
      <c r="AM1074" s="143"/>
    </row>
    <row r="1075" spans="1:39" x14ac:dyDescent="0.35">
      <c r="A1075" s="69" t="s">
        <v>4124</v>
      </c>
      <c r="B1075" s="41">
        <v>1121405301</v>
      </c>
      <c r="C1075" s="41"/>
      <c r="D1075" s="69"/>
      <c r="E1075" s="41">
        <v>0</v>
      </c>
      <c r="F1075" s="41" t="s">
        <v>2961</v>
      </c>
      <c r="G1075" s="69" t="s">
        <v>2960</v>
      </c>
      <c r="H1075" s="41">
        <v>9013000120</v>
      </c>
      <c r="I1075" s="41" t="s">
        <v>593</v>
      </c>
      <c r="J1075" s="41">
        <v>1202020101</v>
      </c>
      <c r="K1075" s="41" t="s">
        <v>3389</v>
      </c>
      <c r="L1075" s="52" t="s">
        <v>3390</v>
      </c>
      <c r="M1075" s="69" t="s">
        <v>3391</v>
      </c>
      <c r="N1075" s="69"/>
      <c r="O1075" s="69">
        <v>2</v>
      </c>
      <c r="P1075" s="69" t="s">
        <v>50</v>
      </c>
      <c r="Q1075" s="69" t="s">
        <v>51</v>
      </c>
      <c r="R1075" s="69"/>
      <c r="S1075" s="48">
        <v>45557</v>
      </c>
      <c r="T1075" s="48">
        <v>45557</v>
      </c>
      <c r="U1075" s="69"/>
      <c r="V1075" s="69"/>
      <c r="W1075" s="69"/>
      <c r="X1075" s="69"/>
      <c r="Y1075" s="69" t="s">
        <v>4130</v>
      </c>
      <c r="Z1075" s="83">
        <v>140000</v>
      </c>
      <c r="AA1075" s="43" t="s">
        <v>52</v>
      </c>
      <c r="AB1075" s="43" t="s">
        <v>53</v>
      </c>
      <c r="AC1075" s="85">
        <v>1460</v>
      </c>
      <c r="AD1075" s="141">
        <v>4</v>
      </c>
      <c r="AE1075" s="142">
        <v>0</v>
      </c>
      <c r="AF1075" s="69" t="str">
        <f t="shared" si="115"/>
        <v>0 years 101 days</v>
      </c>
      <c r="AG1075" s="69">
        <v>0</v>
      </c>
      <c r="AH1075" s="69">
        <v>101</v>
      </c>
      <c r="AI1075" s="69">
        <v>140000</v>
      </c>
      <c r="AJ1075" s="67">
        <v>9685</v>
      </c>
      <c r="AK1075" s="69">
        <v>2025</v>
      </c>
      <c r="AL1075" s="61">
        <v>17356.095890410958</v>
      </c>
      <c r="AM1075" s="143"/>
    </row>
    <row r="1076" spans="1:39" x14ac:dyDescent="0.35">
      <c r="A1076" s="69" t="s">
        <v>4124</v>
      </c>
      <c r="B1076" s="41">
        <v>1121404163</v>
      </c>
      <c r="C1076" s="41"/>
      <c r="D1076" s="69"/>
      <c r="E1076" s="41">
        <v>0</v>
      </c>
      <c r="F1076" s="41" t="s">
        <v>2961</v>
      </c>
      <c r="G1076" s="69" t="s">
        <v>2960</v>
      </c>
      <c r="H1076" s="41">
        <v>9013000121</v>
      </c>
      <c r="I1076" s="41" t="s">
        <v>593</v>
      </c>
      <c r="J1076" s="41">
        <v>1202020101</v>
      </c>
      <c r="K1076" s="41" t="s">
        <v>3393</v>
      </c>
      <c r="L1076" s="52" t="s">
        <v>3394</v>
      </c>
      <c r="M1076" s="69" t="s">
        <v>49</v>
      </c>
      <c r="N1076" s="69"/>
      <c r="O1076" s="69">
        <v>1</v>
      </c>
      <c r="P1076" s="69" t="s">
        <v>50</v>
      </c>
      <c r="Q1076" s="69" t="s">
        <v>51</v>
      </c>
      <c r="R1076" s="69"/>
      <c r="S1076" s="48">
        <v>43284</v>
      </c>
      <c r="T1076" s="48">
        <v>43340</v>
      </c>
      <c r="U1076" s="69"/>
      <c r="V1076" s="69"/>
      <c r="W1076" s="69"/>
      <c r="X1076" s="69"/>
      <c r="Y1076" s="69" t="s">
        <v>4125</v>
      </c>
      <c r="Z1076" s="52">
        <v>1550000</v>
      </c>
      <c r="AA1076" s="43" t="s">
        <v>52</v>
      </c>
      <c r="AB1076" s="43" t="s">
        <v>53</v>
      </c>
      <c r="AC1076" s="85">
        <v>1752</v>
      </c>
      <c r="AD1076" s="141">
        <v>4</v>
      </c>
      <c r="AE1076" s="142">
        <v>10</v>
      </c>
      <c r="AF1076" s="69" t="str">
        <f t="shared" si="115"/>
        <v>4 years 292 days</v>
      </c>
      <c r="AG1076" s="69">
        <v>4</v>
      </c>
      <c r="AH1076" s="69">
        <v>292</v>
      </c>
      <c r="AI1076" s="69">
        <v>1550000</v>
      </c>
      <c r="AJ1076" s="67">
        <v>1550000</v>
      </c>
      <c r="AK1076" s="69">
        <v>2025</v>
      </c>
      <c r="AL1076" s="61">
        <v>0</v>
      </c>
      <c r="AM1076" s="143"/>
    </row>
    <row r="1077" spans="1:39" x14ac:dyDescent="0.35">
      <c r="A1077" s="69" t="s">
        <v>4124</v>
      </c>
      <c r="B1077" s="41">
        <v>1121405302</v>
      </c>
      <c r="C1077" s="41"/>
      <c r="D1077" s="69"/>
      <c r="E1077" s="41">
        <v>0</v>
      </c>
      <c r="F1077" s="41" t="s">
        <v>2961</v>
      </c>
      <c r="G1077" s="69" t="s">
        <v>2960</v>
      </c>
      <c r="H1077" s="41">
        <v>9013000122</v>
      </c>
      <c r="I1077" s="41" t="s">
        <v>593</v>
      </c>
      <c r="J1077" s="41">
        <v>1202020101</v>
      </c>
      <c r="K1077" s="41" t="s">
        <v>3396</v>
      </c>
      <c r="L1077" s="52" t="s">
        <v>3397</v>
      </c>
      <c r="M1077" s="69" t="s">
        <v>3391</v>
      </c>
      <c r="N1077" s="69"/>
      <c r="O1077" s="69">
        <v>2</v>
      </c>
      <c r="P1077" s="69" t="s">
        <v>50</v>
      </c>
      <c r="Q1077" s="69" t="s">
        <v>51</v>
      </c>
      <c r="R1077" s="69"/>
      <c r="S1077" s="48">
        <v>45557</v>
      </c>
      <c r="T1077" s="48">
        <v>45557</v>
      </c>
      <c r="U1077" s="69"/>
      <c r="V1077" s="69"/>
      <c r="W1077" s="69"/>
      <c r="X1077" s="69"/>
      <c r="Y1077" s="69" t="s">
        <v>4130</v>
      </c>
      <c r="Z1077" s="83">
        <v>140000</v>
      </c>
      <c r="AA1077" s="43" t="s">
        <v>52</v>
      </c>
      <c r="AB1077" s="43" t="s">
        <v>53</v>
      </c>
      <c r="AC1077" s="85">
        <v>1460</v>
      </c>
      <c r="AD1077" s="141">
        <v>4</v>
      </c>
      <c r="AE1077" s="142">
        <v>0</v>
      </c>
      <c r="AF1077" s="69" t="str">
        <f t="shared" si="115"/>
        <v>0 years 101 days</v>
      </c>
      <c r="AG1077" s="69">
        <v>0</v>
      </c>
      <c r="AH1077" s="69">
        <v>101</v>
      </c>
      <c r="AI1077" s="69">
        <v>140000</v>
      </c>
      <c r="AJ1077" s="67">
        <v>9685</v>
      </c>
      <c r="AK1077" s="69">
        <v>2025</v>
      </c>
      <c r="AL1077" s="61">
        <v>17356.095890410958</v>
      </c>
      <c r="AM1077" s="143"/>
    </row>
    <row r="1078" spans="1:39" x14ac:dyDescent="0.35">
      <c r="A1078" s="69" t="s">
        <v>4124</v>
      </c>
      <c r="B1078" s="41">
        <v>1121404164</v>
      </c>
      <c r="C1078" s="41"/>
      <c r="D1078" s="69"/>
      <c r="E1078" s="41">
        <v>0</v>
      </c>
      <c r="F1078" s="41" t="s">
        <v>2961</v>
      </c>
      <c r="G1078" s="69" t="s">
        <v>2960</v>
      </c>
      <c r="H1078" s="41">
        <v>9013000123</v>
      </c>
      <c r="I1078" s="41" t="s">
        <v>593</v>
      </c>
      <c r="J1078" s="41">
        <v>1202020101</v>
      </c>
      <c r="K1078" s="41" t="s">
        <v>3399</v>
      </c>
      <c r="L1078" s="52" t="s">
        <v>3428</v>
      </c>
      <c r="M1078" s="69" t="s">
        <v>3429</v>
      </c>
      <c r="N1078" s="69"/>
      <c r="O1078" s="69">
        <v>1</v>
      </c>
      <c r="P1078" s="69" t="s">
        <v>50</v>
      </c>
      <c r="Q1078" s="69" t="s">
        <v>51</v>
      </c>
      <c r="R1078" s="69"/>
      <c r="S1078" s="48">
        <v>43295</v>
      </c>
      <c r="T1078" s="48">
        <v>43340</v>
      </c>
      <c r="U1078" s="69"/>
      <c r="V1078" s="69"/>
      <c r="W1078" s="69"/>
      <c r="X1078" s="69"/>
      <c r="Y1078" s="69" t="s">
        <v>4125</v>
      </c>
      <c r="Z1078" s="52">
        <v>1600000</v>
      </c>
      <c r="AA1078" s="43" t="s">
        <v>52</v>
      </c>
      <c r="AB1078" s="43" t="s">
        <v>53</v>
      </c>
      <c r="AC1078" s="85">
        <v>1789</v>
      </c>
      <c r="AD1078" s="141">
        <v>4</v>
      </c>
      <c r="AE1078" s="142">
        <v>11</v>
      </c>
      <c r="AF1078" s="69" t="str">
        <f t="shared" si="115"/>
        <v>4 years 329 days</v>
      </c>
      <c r="AG1078" s="69">
        <v>4</v>
      </c>
      <c r="AH1078" s="69">
        <v>329</v>
      </c>
      <c r="AI1078" s="69">
        <v>1600000</v>
      </c>
      <c r="AJ1078" s="67">
        <v>1600000</v>
      </c>
      <c r="AK1078" s="69">
        <v>2025</v>
      </c>
      <c r="AL1078" s="61">
        <v>0</v>
      </c>
      <c r="AM1078" s="143"/>
    </row>
    <row r="1079" spans="1:39" x14ac:dyDescent="0.35">
      <c r="A1079" s="69" t="s">
        <v>4124</v>
      </c>
      <c r="B1079" s="41">
        <v>1121403249</v>
      </c>
      <c r="C1079" s="41"/>
      <c r="D1079" s="69"/>
      <c r="E1079" s="41">
        <v>0</v>
      </c>
      <c r="F1079" s="41" t="s">
        <v>2961</v>
      </c>
      <c r="G1079" s="69" t="s">
        <v>2960</v>
      </c>
      <c r="H1079" s="41">
        <v>9013000124</v>
      </c>
      <c r="I1079" s="41" t="s">
        <v>593</v>
      </c>
      <c r="J1079" s="41">
        <v>1202020101</v>
      </c>
      <c r="K1079" s="41" t="s">
        <v>3402</v>
      </c>
      <c r="L1079" s="52" t="s">
        <v>3403</v>
      </c>
      <c r="M1079" s="69" t="s">
        <v>3404</v>
      </c>
      <c r="N1079" s="69"/>
      <c r="O1079" s="69">
        <v>1</v>
      </c>
      <c r="P1079" s="69" t="s">
        <v>50</v>
      </c>
      <c r="Q1079" s="69" t="s">
        <v>51</v>
      </c>
      <c r="R1079" s="69"/>
      <c r="S1079" s="48">
        <v>43873</v>
      </c>
      <c r="T1079" s="48">
        <v>43873</v>
      </c>
      <c r="U1079" s="69"/>
      <c r="V1079" s="69"/>
      <c r="W1079" s="69"/>
      <c r="X1079" s="69"/>
      <c r="Y1079" s="69" t="s">
        <v>4127</v>
      </c>
      <c r="Z1079" s="52">
        <v>135000</v>
      </c>
      <c r="AA1079" s="43" t="s">
        <v>52</v>
      </c>
      <c r="AB1079" s="43" t="s">
        <v>53</v>
      </c>
      <c r="AC1079" s="85">
        <v>1460</v>
      </c>
      <c r="AD1079" s="141">
        <v>4</v>
      </c>
      <c r="AE1079" s="142">
        <v>0</v>
      </c>
      <c r="AF1079" s="69" t="str">
        <f t="shared" si="115"/>
        <v>4 years 0 days</v>
      </c>
      <c r="AG1079" s="69">
        <v>4</v>
      </c>
      <c r="AH1079" s="69">
        <v>0</v>
      </c>
      <c r="AI1079" s="69">
        <v>135000</v>
      </c>
      <c r="AJ1079" s="67">
        <v>135000</v>
      </c>
      <c r="AK1079" s="69">
        <v>2025</v>
      </c>
      <c r="AL1079" s="61">
        <v>0</v>
      </c>
      <c r="AM1079" s="143"/>
    </row>
    <row r="1080" spans="1:39" x14ac:dyDescent="0.35">
      <c r="A1080" s="69" t="s">
        <v>4124</v>
      </c>
      <c r="B1080" s="41">
        <v>1121405364</v>
      </c>
      <c r="C1080" s="41"/>
      <c r="D1080" s="69"/>
      <c r="E1080" s="41">
        <v>0</v>
      </c>
      <c r="F1080" s="41" t="s">
        <v>2961</v>
      </c>
      <c r="G1080" s="69" t="s">
        <v>2960</v>
      </c>
      <c r="H1080" s="41">
        <v>9013000125</v>
      </c>
      <c r="I1080" s="41" t="s">
        <v>593</v>
      </c>
      <c r="J1080" s="41">
        <v>1202020101</v>
      </c>
      <c r="K1080" s="41" t="s">
        <v>3406</v>
      </c>
      <c r="L1080" s="52" t="s">
        <v>3407</v>
      </c>
      <c r="M1080" s="69" t="s">
        <v>3408</v>
      </c>
      <c r="N1080" s="69"/>
      <c r="O1080" s="69">
        <v>1</v>
      </c>
      <c r="P1080" s="69" t="s">
        <v>50</v>
      </c>
      <c r="Q1080" s="69" t="s">
        <v>51</v>
      </c>
      <c r="R1080" s="69"/>
      <c r="S1080" s="48">
        <v>45672</v>
      </c>
      <c r="T1080" s="48">
        <v>45672</v>
      </c>
      <c r="U1080" s="69"/>
      <c r="V1080" s="69"/>
      <c r="W1080" s="69"/>
      <c r="X1080" s="69"/>
      <c r="Y1080" s="69" t="s">
        <v>4132</v>
      </c>
      <c r="Z1080" s="83">
        <v>115000</v>
      </c>
      <c r="AA1080" s="43" t="s">
        <v>52</v>
      </c>
      <c r="AB1080" s="43" t="s">
        <v>53</v>
      </c>
      <c r="AC1080" s="85">
        <v>1460</v>
      </c>
      <c r="AD1080" s="141">
        <v>4</v>
      </c>
      <c r="AE1080" s="142">
        <v>0</v>
      </c>
      <c r="AF1080" s="69" t="str">
        <f t="shared" si="115"/>
        <v>0 years 0 days</v>
      </c>
      <c r="AG1080" s="69">
        <v>0</v>
      </c>
      <c r="AH1080" s="69">
        <v>0</v>
      </c>
      <c r="AI1080" s="69">
        <v>115000</v>
      </c>
      <c r="AJ1080" s="67">
        <v>0</v>
      </c>
      <c r="AK1080" s="69">
        <v>2025</v>
      </c>
      <c r="AL1080" s="61">
        <v>13154.109589041096</v>
      </c>
      <c r="AM1080" s="143"/>
    </row>
    <row r="1081" spans="1:39" x14ac:dyDescent="0.35">
      <c r="A1081" s="69" t="s">
        <v>4124</v>
      </c>
      <c r="B1081" s="41">
        <v>1121405299</v>
      </c>
      <c r="C1081" s="41"/>
      <c r="D1081" s="69"/>
      <c r="E1081" s="41">
        <v>0</v>
      </c>
      <c r="F1081" s="41" t="s">
        <v>2961</v>
      </c>
      <c r="G1081" s="69" t="s">
        <v>2960</v>
      </c>
      <c r="H1081" s="41">
        <v>9013000126</v>
      </c>
      <c r="I1081" s="41" t="s">
        <v>593</v>
      </c>
      <c r="J1081" s="41">
        <v>1202020101</v>
      </c>
      <c r="K1081" s="41" t="s">
        <v>3410</v>
      </c>
      <c r="L1081" s="52" t="s">
        <v>3411</v>
      </c>
      <c r="M1081" s="69" t="s">
        <v>3412</v>
      </c>
      <c r="N1081" s="69"/>
      <c r="O1081" s="69">
        <v>1</v>
      </c>
      <c r="P1081" s="69" t="s">
        <v>50</v>
      </c>
      <c r="Q1081" s="69" t="s">
        <v>51</v>
      </c>
      <c r="R1081" s="69"/>
      <c r="S1081" s="48">
        <v>45536</v>
      </c>
      <c r="T1081" s="48">
        <v>45536</v>
      </c>
      <c r="U1081" s="69"/>
      <c r="V1081" s="69"/>
      <c r="W1081" s="69"/>
      <c r="X1081" s="69"/>
      <c r="Y1081" s="69" t="s">
        <v>4130</v>
      </c>
      <c r="Z1081" s="83">
        <v>120500</v>
      </c>
      <c r="AA1081" s="43" t="s">
        <v>52</v>
      </c>
      <c r="AB1081" s="43" t="s">
        <v>53</v>
      </c>
      <c r="AC1081" s="85">
        <v>1460</v>
      </c>
      <c r="AD1081" s="141">
        <v>4</v>
      </c>
      <c r="AE1081" s="142">
        <v>0</v>
      </c>
      <c r="AF1081" s="69" t="str">
        <f t="shared" si="115"/>
        <v>0 years 122 days</v>
      </c>
      <c r="AG1081" s="69">
        <v>0</v>
      </c>
      <c r="AH1081" s="69">
        <v>122</v>
      </c>
      <c r="AI1081" s="69">
        <v>120500</v>
      </c>
      <c r="AJ1081" s="67">
        <v>10069</v>
      </c>
      <c r="AK1081" s="69">
        <v>2025</v>
      </c>
      <c r="AL1081" s="61">
        <v>14938.876712328769</v>
      </c>
      <c r="AM1081" s="143"/>
    </row>
    <row r="1082" spans="1:39" x14ac:dyDescent="0.35">
      <c r="A1082" s="69" t="s">
        <v>4124</v>
      </c>
      <c r="B1082" s="41">
        <v>1121404788</v>
      </c>
      <c r="C1082" s="41"/>
      <c r="D1082" s="69"/>
      <c r="E1082" s="41">
        <v>0</v>
      </c>
      <c r="F1082" s="41" t="s">
        <v>2961</v>
      </c>
      <c r="G1082" s="69" t="s">
        <v>2960</v>
      </c>
      <c r="H1082" s="41">
        <v>9013000127</v>
      </c>
      <c r="I1082" s="41" t="s">
        <v>593</v>
      </c>
      <c r="J1082" s="41">
        <v>1202020101</v>
      </c>
      <c r="K1082" s="41" t="s">
        <v>3414</v>
      </c>
      <c r="L1082" s="52" t="s">
        <v>3415</v>
      </c>
      <c r="M1082" s="69" t="s">
        <v>3416</v>
      </c>
      <c r="N1082" s="69"/>
      <c r="O1082" s="69">
        <v>1</v>
      </c>
      <c r="P1082" s="69" t="s">
        <v>50</v>
      </c>
      <c r="Q1082" s="69" t="s">
        <v>51</v>
      </c>
      <c r="R1082" s="69"/>
      <c r="S1082" s="48">
        <v>43312</v>
      </c>
      <c r="T1082" s="48">
        <v>43340</v>
      </c>
      <c r="U1082" s="69"/>
      <c r="V1082" s="69"/>
      <c r="W1082" s="69"/>
      <c r="X1082" s="69"/>
      <c r="Y1082" s="69" t="s">
        <v>4125</v>
      </c>
      <c r="Z1082" s="52">
        <v>1587500</v>
      </c>
      <c r="AA1082" s="43" t="s">
        <v>52</v>
      </c>
      <c r="AB1082" s="43" t="s">
        <v>53</v>
      </c>
      <c r="AC1082" s="85">
        <v>1789</v>
      </c>
      <c r="AD1082" s="141">
        <v>4</v>
      </c>
      <c r="AE1082" s="142">
        <v>11</v>
      </c>
      <c r="AF1082" s="69" t="str">
        <f t="shared" si="115"/>
        <v>4 years 329 days</v>
      </c>
      <c r="AG1082" s="69">
        <v>4</v>
      </c>
      <c r="AH1082" s="69">
        <v>329</v>
      </c>
      <c r="AI1082" s="69">
        <v>1587500</v>
      </c>
      <c r="AJ1082" s="67">
        <v>1587500</v>
      </c>
      <c r="AK1082" s="69">
        <v>2025</v>
      </c>
      <c r="AL1082" s="61">
        <v>0</v>
      </c>
      <c r="AM1082" s="143"/>
    </row>
    <row r="1083" spans="1:39" x14ac:dyDescent="0.35">
      <c r="A1083" s="69" t="s">
        <v>4124</v>
      </c>
      <c r="B1083" s="41">
        <v>1121405329</v>
      </c>
      <c r="C1083" s="41"/>
      <c r="D1083" s="69"/>
      <c r="E1083" s="41">
        <v>0</v>
      </c>
      <c r="F1083" s="41" t="s">
        <v>2961</v>
      </c>
      <c r="G1083" s="69" t="s">
        <v>2960</v>
      </c>
      <c r="H1083" s="41">
        <v>9013000128</v>
      </c>
      <c r="I1083" s="41" t="s">
        <v>593</v>
      </c>
      <c r="J1083" s="41">
        <v>1202020101</v>
      </c>
      <c r="K1083" s="41" t="s">
        <v>3418</v>
      </c>
      <c r="L1083" s="52" t="s">
        <v>3419</v>
      </c>
      <c r="M1083" s="69" t="s">
        <v>3420</v>
      </c>
      <c r="N1083" s="69"/>
      <c r="O1083" s="69">
        <v>1</v>
      </c>
      <c r="P1083" s="69" t="s">
        <v>50</v>
      </c>
      <c r="Q1083" s="69" t="s">
        <v>51</v>
      </c>
      <c r="R1083" s="69"/>
      <c r="S1083" s="48">
        <v>45597</v>
      </c>
      <c r="T1083" s="48">
        <v>45597</v>
      </c>
      <c r="U1083" s="69"/>
      <c r="V1083" s="69"/>
      <c r="W1083" s="69"/>
      <c r="X1083" s="69"/>
      <c r="Y1083" s="69" t="s">
        <v>4130</v>
      </c>
      <c r="Z1083" s="83">
        <v>140000</v>
      </c>
      <c r="AA1083" s="43" t="s">
        <v>52</v>
      </c>
      <c r="AB1083" s="43" t="s">
        <v>53</v>
      </c>
      <c r="AC1083" s="85">
        <v>1460</v>
      </c>
      <c r="AD1083" s="141">
        <v>4</v>
      </c>
      <c r="AE1083" s="142">
        <v>0</v>
      </c>
      <c r="AF1083" s="69" t="str">
        <f t="shared" si="115"/>
        <v>0 years 61 days</v>
      </c>
      <c r="AG1083" s="69">
        <v>0</v>
      </c>
      <c r="AH1083" s="69">
        <v>61</v>
      </c>
      <c r="AI1083" s="69">
        <v>140000</v>
      </c>
      <c r="AJ1083" s="67">
        <v>5849</v>
      </c>
      <c r="AK1083" s="69">
        <v>2025</v>
      </c>
      <c r="AL1083" s="61">
        <v>17356.479452054795</v>
      </c>
      <c r="AM1083" s="143"/>
    </row>
    <row r="1084" spans="1:39" x14ac:dyDescent="0.35">
      <c r="A1084" s="69" t="s">
        <v>4124</v>
      </c>
      <c r="B1084" s="41">
        <v>1121402641</v>
      </c>
      <c r="C1084" s="41"/>
      <c r="D1084" s="69"/>
      <c r="E1084" s="41">
        <v>0</v>
      </c>
      <c r="F1084" s="41" t="s">
        <v>2961</v>
      </c>
      <c r="G1084" s="69" t="s">
        <v>2960</v>
      </c>
      <c r="H1084" s="41">
        <v>9013000129</v>
      </c>
      <c r="I1084" s="41" t="s">
        <v>593</v>
      </c>
      <c r="J1084" s="41">
        <v>1202020101</v>
      </c>
      <c r="K1084" s="41" t="s">
        <v>3422</v>
      </c>
      <c r="L1084" s="52" t="s">
        <v>3423</v>
      </c>
      <c r="M1084" s="69" t="s">
        <v>49</v>
      </c>
      <c r="N1084" s="69"/>
      <c r="O1084" s="69">
        <v>1</v>
      </c>
      <c r="P1084" s="69" t="s">
        <v>50</v>
      </c>
      <c r="Q1084" s="69" t="s">
        <v>51</v>
      </c>
      <c r="R1084" s="69"/>
      <c r="S1084" s="48">
        <v>43316</v>
      </c>
      <c r="T1084" s="48">
        <v>43340</v>
      </c>
      <c r="U1084" s="69"/>
      <c r="V1084" s="69"/>
      <c r="W1084" s="69"/>
      <c r="X1084" s="69"/>
      <c r="Y1084" s="69" t="s">
        <v>4125</v>
      </c>
      <c r="Z1084" s="52">
        <v>1600000</v>
      </c>
      <c r="AA1084" s="43" t="s">
        <v>52</v>
      </c>
      <c r="AB1084" s="43" t="s">
        <v>53</v>
      </c>
      <c r="AC1084" s="85">
        <v>1789</v>
      </c>
      <c r="AD1084" s="141">
        <v>4</v>
      </c>
      <c r="AE1084" s="142">
        <v>11</v>
      </c>
      <c r="AF1084" s="69" t="str">
        <f t="shared" ref="AF1084:AF1147" si="116">_xlfn.CONCAT(AG1084," years ",AH1084," days")</f>
        <v>4 years 329 days</v>
      </c>
      <c r="AG1084" s="69">
        <v>4</v>
      </c>
      <c r="AH1084" s="69">
        <v>329</v>
      </c>
      <c r="AI1084" s="69">
        <v>1600000</v>
      </c>
      <c r="AJ1084" s="67">
        <v>1600000</v>
      </c>
      <c r="AK1084" s="69">
        <v>2025</v>
      </c>
      <c r="AL1084" s="61">
        <v>0</v>
      </c>
      <c r="AM1084" s="143"/>
    </row>
    <row r="1085" spans="1:39" x14ac:dyDescent="0.35">
      <c r="A1085" s="69" t="s">
        <v>4124</v>
      </c>
      <c r="B1085" s="41">
        <v>1121405330</v>
      </c>
      <c r="C1085" s="41"/>
      <c r="D1085" s="69"/>
      <c r="E1085" s="41">
        <v>0</v>
      </c>
      <c r="F1085" s="41" t="s">
        <v>2961</v>
      </c>
      <c r="G1085" s="69" t="s">
        <v>2960</v>
      </c>
      <c r="H1085" s="41">
        <v>9013000130</v>
      </c>
      <c r="I1085" s="41" t="s">
        <v>593</v>
      </c>
      <c r="J1085" s="41">
        <v>1202020101</v>
      </c>
      <c r="K1085" s="41" t="s">
        <v>3422</v>
      </c>
      <c r="L1085" s="52" t="s">
        <v>3425</v>
      </c>
      <c r="M1085" s="69" t="s">
        <v>3420</v>
      </c>
      <c r="N1085" s="69"/>
      <c r="O1085" s="69">
        <v>1</v>
      </c>
      <c r="P1085" s="69" t="s">
        <v>50</v>
      </c>
      <c r="Q1085" s="69" t="s">
        <v>51</v>
      </c>
      <c r="R1085" s="69"/>
      <c r="S1085" s="48">
        <v>45597</v>
      </c>
      <c r="T1085" s="48">
        <v>45597</v>
      </c>
      <c r="U1085" s="69"/>
      <c r="V1085" s="69"/>
      <c r="W1085" s="69"/>
      <c r="X1085" s="69"/>
      <c r="Y1085" s="69" t="s">
        <v>4130</v>
      </c>
      <c r="Z1085" s="83">
        <v>140000</v>
      </c>
      <c r="AA1085" s="43" t="s">
        <v>52</v>
      </c>
      <c r="AB1085" s="43" t="s">
        <v>53</v>
      </c>
      <c r="AC1085" s="85">
        <v>1460</v>
      </c>
      <c r="AD1085" s="141">
        <v>4</v>
      </c>
      <c r="AE1085" s="142">
        <v>0</v>
      </c>
      <c r="AF1085" s="69" t="str">
        <f t="shared" si="116"/>
        <v>0 years 61 days</v>
      </c>
      <c r="AG1085" s="69">
        <v>0</v>
      </c>
      <c r="AH1085" s="69">
        <v>61</v>
      </c>
      <c r="AI1085" s="69">
        <v>140000</v>
      </c>
      <c r="AJ1085" s="67">
        <v>5849</v>
      </c>
      <c r="AK1085" s="69">
        <v>2025</v>
      </c>
      <c r="AL1085" s="61">
        <v>17356.479452054795</v>
      </c>
      <c r="AM1085" s="143"/>
    </row>
    <row r="1086" spans="1:39" x14ac:dyDescent="0.35">
      <c r="A1086" s="69" t="s">
        <v>4124</v>
      </c>
      <c r="B1086" s="41">
        <v>1121404789</v>
      </c>
      <c r="C1086" s="41"/>
      <c r="D1086" s="69"/>
      <c r="E1086" s="41">
        <v>0</v>
      </c>
      <c r="F1086" s="41" t="s">
        <v>2961</v>
      </c>
      <c r="G1086" s="69" t="s">
        <v>2960</v>
      </c>
      <c r="H1086" s="41">
        <v>9013000131</v>
      </c>
      <c r="I1086" s="41" t="s">
        <v>593</v>
      </c>
      <c r="J1086" s="41">
        <v>1202020101</v>
      </c>
      <c r="K1086" s="41" t="s">
        <v>3427</v>
      </c>
      <c r="L1086" s="52" t="s">
        <v>3400</v>
      </c>
      <c r="M1086" s="69" t="s">
        <v>49</v>
      </c>
      <c r="N1086" s="69"/>
      <c r="O1086" s="69">
        <v>1</v>
      </c>
      <c r="P1086" s="69" t="s">
        <v>50</v>
      </c>
      <c r="Q1086" s="69" t="s">
        <v>51</v>
      </c>
      <c r="R1086" s="69"/>
      <c r="S1086" s="48">
        <v>43312</v>
      </c>
      <c r="T1086" s="48">
        <v>43340</v>
      </c>
      <c r="U1086" s="69"/>
      <c r="V1086" s="69"/>
      <c r="W1086" s="69"/>
      <c r="X1086" s="69"/>
      <c r="Y1086" s="69" t="s">
        <v>4125</v>
      </c>
      <c r="Z1086" s="52">
        <v>1587500</v>
      </c>
      <c r="AA1086" s="43" t="s">
        <v>52</v>
      </c>
      <c r="AB1086" s="43" t="s">
        <v>53</v>
      </c>
      <c r="AC1086" s="85">
        <v>1789</v>
      </c>
      <c r="AD1086" s="141">
        <v>4</v>
      </c>
      <c r="AE1086" s="142">
        <v>11</v>
      </c>
      <c r="AF1086" s="69" t="str">
        <f t="shared" si="116"/>
        <v>4 years 329 days</v>
      </c>
      <c r="AG1086" s="69">
        <v>4</v>
      </c>
      <c r="AH1086" s="69">
        <v>329</v>
      </c>
      <c r="AI1086" s="69">
        <v>1587500</v>
      </c>
      <c r="AJ1086" s="67">
        <v>1587500</v>
      </c>
      <c r="AK1086" s="69">
        <v>2025</v>
      </c>
      <c r="AL1086" s="61">
        <v>0</v>
      </c>
      <c r="AM1086" s="143"/>
    </row>
    <row r="1087" spans="1:39" x14ac:dyDescent="0.35">
      <c r="A1087" s="69" t="s">
        <v>4124</v>
      </c>
      <c r="B1087" s="41">
        <v>1121405336</v>
      </c>
      <c r="C1087" s="41"/>
      <c r="D1087" s="69"/>
      <c r="E1087" s="41">
        <v>0</v>
      </c>
      <c r="F1087" s="41" t="s">
        <v>2961</v>
      </c>
      <c r="G1087" s="69" t="s">
        <v>2960</v>
      </c>
      <c r="H1087" s="41">
        <v>9013000132</v>
      </c>
      <c r="I1087" s="41" t="s">
        <v>593</v>
      </c>
      <c r="J1087" s="41">
        <v>1202020101</v>
      </c>
      <c r="K1087" s="41" t="s">
        <v>3431</v>
      </c>
      <c r="L1087" s="52" t="s">
        <v>3432</v>
      </c>
      <c r="M1087" s="69" t="s">
        <v>3433</v>
      </c>
      <c r="N1087" s="69"/>
      <c r="O1087" s="69">
        <v>1</v>
      </c>
      <c r="P1087" s="69" t="s">
        <v>50</v>
      </c>
      <c r="Q1087" s="69" t="s">
        <v>51</v>
      </c>
      <c r="R1087" s="69"/>
      <c r="S1087" s="48">
        <v>45645</v>
      </c>
      <c r="T1087" s="48">
        <v>45645</v>
      </c>
      <c r="U1087" s="69"/>
      <c r="V1087" s="69"/>
      <c r="W1087" s="69"/>
      <c r="X1087" s="69"/>
      <c r="Y1087" s="69" t="s">
        <v>4130</v>
      </c>
      <c r="Z1087" s="83">
        <v>165000</v>
      </c>
      <c r="AA1087" s="43" t="s">
        <v>52</v>
      </c>
      <c r="AB1087" s="43" t="s">
        <v>53</v>
      </c>
      <c r="AC1087" s="85">
        <v>1460</v>
      </c>
      <c r="AD1087" s="141">
        <v>4</v>
      </c>
      <c r="AE1087" s="142">
        <v>0</v>
      </c>
      <c r="AF1087" s="69" t="str">
        <f t="shared" si="116"/>
        <v>0 years 13 days</v>
      </c>
      <c r="AG1087" s="69">
        <v>0</v>
      </c>
      <c r="AH1087" s="69">
        <v>13</v>
      </c>
      <c r="AI1087" s="69">
        <v>165000</v>
      </c>
      <c r="AJ1087" s="67">
        <v>1469</v>
      </c>
      <c r="AK1087" s="69">
        <v>2025</v>
      </c>
      <c r="AL1087" s="61">
        <v>20455.657534246573</v>
      </c>
      <c r="AM1087" s="143"/>
    </row>
    <row r="1088" spans="1:39" x14ac:dyDescent="0.35">
      <c r="A1088" s="69" t="s">
        <v>4124</v>
      </c>
      <c r="B1088" s="41">
        <v>1121402845</v>
      </c>
      <c r="C1088" s="41"/>
      <c r="D1088" s="69"/>
      <c r="E1088" s="41">
        <v>0</v>
      </c>
      <c r="F1088" s="41" t="s">
        <v>2961</v>
      </c>
      <c r="G1088" s="69" t="s">
        <v>2960</v>
      </c>
      <c r="H1088" s="41">
        <v>9013000133</v>
      </c>
      <c r="I1088" s="41" t="s">
        <v>593</v>
      </c>
      <c r="J1088" s="41">
        <v>1202020101</v>
      </c>
      <c r="K1088" s="41" t="s">
        <v>3435</v>
      </c>
      <c r="L1088" s="52" t="s">
        <v>3436</v>
      </c>
      <c r="M1088" s="69" t="s">
        <v>3437</v>
      </c>
      <c r="N1088" s="69"/>
      <c r="O1088" s="69">
        <v>1</v>
      </c>
      <c r="P1088" s="69" t="s">
        <v>50</v>
      </c>
      <c r="Q1088" s="69" t="s">
        <v>51</v>
      </c>
      <c r="R1088" s="69"/>
      <c r="S1088" s="48">
        <v>42426</v>
      </c>
      <c r="T1088" s="48">
        <v>43340</v>
      </c>
      <c r="U1088" s="69"/>
      <c r="V1088" s="69"/>
      <c r="W1088" s="69"/>
      <c r="X1088" s="69"/>
      <c r="Y1088" s="69" t="s">
        <v>4125</v>
      </c>
      <c r="Z1088" s="52">
        <v>910000</v>
      </c>
      <c r="AA1088" s="43" t="s">
        <v>52</v>
      </c>
      <c r="AB1088" s="43" t="s">
        <v>53</v>
      </c>
      <c r="AC1088" s="85">
        <v>913</v>
      </c>
      <c r="AD1088" s="141">
        <v>2</v>
      </c>
      <c r="AE1088" s="142">
        <v>6</v>
      </c>
      <c r="AF1088" s="69" t="str">
        <f t="shared" si="116"/>
        <v>2 years 183 days</v>
      </c>
      <c r="AG1088" s="69">
        <v>2</v>
      </c>
      <c r="AH1088" s="69">
        <v>183</v>
      </c>
      <c r="AI1088" s="69">
        <v>910000</v>
      </c>
      <c r="AJ1088" s="67">
        <v>910000</v>
      </c>
      <c r="AK1088" s="69">
        <v>2025</v>
      </c>
      <c r="AL1088" s="61">
        <v>0</v>
      </c>
      <c r="AM1088" s="143"/>
    </row>
    <row r="1089" spans="1:39" x14ac:dyDescent="0.35">
      <c r="A1089" s="69" t="s">
        <v>4124</v>
      </c>
      <c r="B1089" s="41">
        <v>1121403328</v>
      </c>
      <c r="C1089" s="41"/>
      <c r="D1089" s="69"/>
      <c r="E1089" s="41">
        <v>0</v>
      </c>
      <c r="F1089" s="41" t="s">
        <v>2961</v>
      </c>
      <c r="G1089" s="69" t="s">
        <v>2960</v>
      </c>
      <c r="H1089" s="41">
        <v>9013000134</v>
      </c>
      <c r="I1089" s="41" t="s">
        <v>593</v>
      </c>
      <c r="J1089" s="41">
        <v>1202020101</v>
      </c>
      <c r="K1089" s="41" t="s">
        <v>3439</v>
      </c>
      <c r="L1089" s="52" t="s">
        <v>3440</v>
      </c>
      <c r="M1089" s="69" t="s">
        <v>3441</v>
      </c>
      <c r="N1089" s="69"/>
      <c r="O1089" s="69">
        <v>1</v>
      </c>
      <c r="P1089" s="69" t="s">
        <v>50</v>
      </c>
      <c r="Q1089" s="69" t="s">
        <v>51</v>
      </c>
      <c r="R1089" s="69"/>
      <c r="S1089" s="48">
        <v>44014</v>
      </c>
      <c r="T1089" s="48">
        <v>44014</v>
      </c>
      <c r="U1089" s="69"/>
      <c r="V1089" s="69"/>
      <c r="W1089" s="69"/>
      <c r="X1089" s="69"/>
      <c r="Y1089" s="69" t="s">
        <v>4127</v>
      </c>
      <c r="Z1089" s="52">
        <v>135000</v>
      </c>
      <c r="AA1089" s="43" t="s">
        <v>52</v>
      </c>
      <c r="AB1089" s="43" t="s">
        <v>53</v>
      </c>
      <c r="AC1089" s="85">
        <v>1460</v>
      </c>
      <c r="AD1089" s="141">
        <v>4</v>
      </c>
      <c r="AE1089" s="142">
        <v>0</v>
      </c>
      <c r="AF1089" s="69" t="str">
        <f t="shared" si="116"/>
        <v>4 years 0 days</v>
      </c>
      <c r="AG1089" s="69">
        <v>4</v>
      </c>
      <c r="AH1089" s="69">
        <v>0</v>
      </c>
      <c r="AI1089" s="69">
        <v>135000</v>
      </c>
      <c r="AJ1089" s="67">
        <v>135000</v>
      </c>
      <c r="AK1089" s="69">
        <v>2025</v>
      </c>
      <c r="AL1089" s="61">
        <v>0</v>
      </c>
      <c r="AM1089" s="143"/>
    </row>
    <row r="1090" spans="1:39" x14ac:dyDescent="0.35">
      <c r="A1090" s="69" t="s">
        <v>4124</v>
      </c>
      <c r="B1090" s="41">
        <v>1121504415</v>
      </c>
      <c r="C1090" s="41"/>
      <c r="D1090" s="69"/>
      <c r="E1090" s="41">
        <v>0</v>
      </c>
      <c r="F1090" s="41" t="s">
        <v>2961</v>
      </c>
      <c r="G1090" s="69" t="s">
        <v>2960</v>
      </c>
      <c r="H1090" s="41">
        <v>9013000135</v>
      </c>
      <c r="I1090" s="41" t="s">
        <v>593</v>
      </c>
      <c r="J1090" s="41">
        <v>1202020101</v>
      </c>
      <c r="K1090" s="41" t="s">
        <v>3443</v>
      </c>
      <c r="L1090" s="52" t="s">
        <v>3444</v>
      </c>
      <c r="M1090" s="69" t="s">
        <v>3445</v>
      </c>
      <c r="N1090" s="69"/>
      <c r="O1090" s="69">
        <v>1</v>
      </c>
      <c r="P1090" s="69" t="s">
        <v>50</v>
      </c>
      <c r="Q1090" s="69" t="s">
        <v>51</v>
      </c>
      <c r="R1090" s="69"/>
      <c r="S1090" s="48">
        <v>42828</v>
      </c>
      <c r="T1090" s="48">
        <v>43340</v>
      </c>
      <c r="U1090" s="69"/>
      <c r="V1090" s="69"/>
      <c r="W1090" s="69"/>
      <c r="X1090" s="69"/>
      <c r="Y1090" s="69" t="s">
        <v>4125</v>
      </c>
      <c r="Z1090" s="52">
        <v>890000</v>
      </c>
      <c r="AA1090" s="43" t="s">
        <v>52</v>
      </c>
      <c r="AB1090" s="43" t="s">
        <v>53</v>
      </c>
      <c r="AC1090" s="85">
        <v>1314</v>
      </c>
      <c r="AD1090" s="141">
        <v>3</v>
      </c>
      <c r="AE1090" s="142">
        <v>7</v>
      </c>
      <c r="AF1090" s="69" t="str">
        <f t="shared" si="116"/>
        <v>3 years 219 days</v>
      </c>
      <c r="AG1090" s="69">
        <v>3</v>
      </c>
      <c r="AH1090" s="69">
        <v>219</v>
      </c>
      <c r="AI1090" s="69">
        <v>890000</v>
      </c>
      <c r="AJ1090" s="67">
        <v>890000</v>
      </c>
      <c r="AK1090" s="69">
        <v>2025</v>
      </c>
      <c r="AL1090" s="61">
        <v>0</v>
      </c>
      <c r="AM1090" s="143"/>
    </row>
    <row r="1091" spans="1:39" x14ac:dyDescent="0.35">
      <c r="A1091" s="69" t="s">
        <v>4124</v>
      </c>
      <c r="B1091" s="41">
        <v>1121405416</v>
      </c>
      <c r="C1091" s="41"/>
      <c r="D1091" s="69"/>
      <c r="E1091" s="41">
        <v>0</v>
      </c>
      <c r="F1091" s="41" t="s">
        <v>2961</v>
      </c>
      <c r="G1091" s="69" t="s">
        <v>2960</v>
      </c>
      <c r="H1091" s="41">
        <v>9013000136</v>
      </c>
      <c r="I1091" s="41" t="s">
        <v>593</v>
      </c>
      <c r="J1091" s="41">
        <v>1202020101</v>
      </c>
      <c r="K1091" s="41" t="s">
        <v>3447</v>
      </c>
      <c r="L1091" s="52" t="s">
        <v>3448</v>
      </c>
      <c r="M1091" s="69" t="s">
        <v>3449</v>
      </c>
      <c r="N1091" s="69"/>
      <c r="O1091" s="69">
        <v>1</v>
      </c>
      <c r="P1091" s="69" t="s">
        <v>50</v>
      </c>
      <c r="Q1091" s="69" t="s">
        <v>51</v>
      </c>
      <c r="R1091" s="69"/>
      <c r="S1091" s="48">
        <v>45809</v>
      </c>
      <c r="T1091" s="48">
        <v>45809</v>
      </c>
      <c r="U1091" s="69"/>
      <c r="V1091" s="69"/>
      <c r="W1091" s="69"/>
      <c r="X1091" s="69"/>
      <c r="Y1091" s="69" t="s">
        <v>4132</v>
      </c>
      <c r="Z1091" s="83">
        <v>0</v>
      </c>
      <c r="AA1091" s="43" t="s">
        <v>52</v>
      </c>
      <c r="AB1091" s="43" t="s">
        <v>53</v>
      </c>
      <c r="AC1091" s="85">
        <v>1460</v>
      </c>
      <c r="AD1091" s="141">
        <v>4</v>
      </c>
      <c r="AE1091" s="142">
        <v>0</v>
      </c>
      <c r="AF1091" s="69" t="str">
        <f t="shared" si="116"/>
        <v>0 years 0 days</v>
      </c>
      <c r="AG1091" s="69">
        <v>0</v>
      </c>
      <c r="AH1091" s="69">
        <v>0</v>
      </c>
      <c r="AI1091" s="69">
        <v>141000</v>
      </c>
      <c r="AJ1091" s="67">
        <v>0</v>
      </c>
      <c r="AK1091" s="69">
        <v>2025</v>
      </c>
      <c r="AL1091" s="61">
        <v>2897.2602739726026</v>
      </c>
      <c r="AM1091" s="143"/>
    </row>
    <row r="1092" spans="1:39" x14ac:dyDescent="0.35">
      <c r="A1092" s="69" t="s">
        <v>4124</v>
      </c>
      <c r="B1092" s="41">
        <v>1121504416</v>
      </c>
      <c r="C1092" s="41"/>
      <c r="D1092" s="69"/>
      <c r="E1092" s="41">
        <v>0</v>
      </c>
      <c r="F1092" s="41" t="s">
        <v>2961</v>
      </c>
      <c r="G1092" s="69" t="s">
        <v>2960</v>
      </c>
      <c r="H1092" s="41">
        <v>9013000137</v>
      </c>
      <c r="I1092" s="41" t="s">
        <v>593</v>
      </c>
      <c r="J1092" s="41">
        <v>1202020101</v>
      </c>
      <c r="K1092" s="41" t="s">
        <v>3451</v>
      </c>
      <c r="L1092" s="52" t="s">
        <v>3452</v>
      </c>
      <c r="M1092" s="69" t="s">
        <v>3453</v>
      </c>
      <c r="N1092" s="69"/>
      <c r="O1092" s="69">
        <v>1</v>
      </c>
      <c r="P1092" s="69" t="s">
        <v>50</v>
      </c>
      <c r="Q1092" s="69" t="s">
        <v>51</v>
      </c>
      <c r="R1092" s="69"/>
      <c r="S1092" s="48">
        <v>42935</v>
      </c>
      <c r="T1092" s="48">
        <v>43340</v>
      </c>
      <c r="U1092" s="69"/>
      <c r="V1092" s="69"/>
      <c r="W1092" s="69"/>
      <c r="X1092" s="69"/>
      <c r="Y1092" s="69" t="s">
        <v>4125</v>
      </c>
      <c r="Z1092" s="52">
        <v>950000</v>
      </c>
      <c r="AA1092" s="43" t="s">
        <v>52</v>
      </c>
      <c r="AB1092" s="43" t="s">
        <v>53</v>
      </c>
      <c r="AC1092" s="85">
        <v>1387</v>
      </c>
      <c r="AD1092" s="141">
        <v>3</v>
      </c>
      <c r="AE1092" s="142">
        <v>10</v>
      </c>
      <c r="AF1092" s="69" t="str">
        <f t="shared" si="116"/>
        <v>3 years 292 days</v>
      </c>
      <c r="AG1092" s="69">
        <v>3</v>
      </c>
      <c r="AH1092" s="69">
        <v>292</v>
      </c>
      <c r="AI1092" s="69">
        <v>950000</v>
      </c>
      <c r="AJ1092" s="67">
        <v>950000</v>
      </c>
      <c r="AK1092" s="69">
        <v>2025</v>
      </c>
      <c r="AL1092" s="61">
        <v>0</v>
      </c>
      <c r="AM1092" s="143"/>
    </row>
    <row r="1093" spans="1:39" x14ac:dyDescent="0.35">
      <c r="A1093" s="69" t="s">
        <v>4124</v>
      </c>
      <c r="B1093" s="41">
        <v>1121403511</v>
      </c>
      <c r="C1093" s="41"/>
      <c r="D1093" s="69"/>
      <c r="E1093" s="41">
        <v>0</v>
      </c>
      <c r="F1093" s="41" t="s">
        <v>2961</v>
      </c>
      <c r="G1093" s="69" t="s">
        <v>2960</v>
      </c>
      <c r="H1093" s="41">
        <v>9013000138</v>
      </c>
      <c r="I1093" s="41" t="s">
        <v>593</v>
      </c>
      <c r="J1093" s="41">
        <v>1202020101</v>
      </c>
      <c r="K1093" s="41" t="s">
        <v>3455</v>
      </c>
      <c r="L1093" s="52" t="s">
        <v>3456</v>
      </c>
      <c r="M1093" s="69" t="s">
        <v>3457</v>
      </c>
      <c r="N1093" s="69"/>
      <c r="O1093" s="69">
        <v>1</v>
      </c>
      <c r="P1093" s="69" t="s">
        <v>50</v>
      </c>
      <c r="Q1093" s="69" t="s">
        <v>51</v>
      </c>
      <c r="R1093" s="69"/>
      <c r="S1093" s="48">
        <v>44198</v>
      </c>
      <c r="T1093" s="48">
        <v>44198</v>
      </c>
      <c r="U1093" s="69"/>
      <c r="V1093" s="69"/>
      <c r="W1093" s="69"/>
      <c r="X1093" s="69"/>
      <c r="Y1093" s="69" t="s">
        <v>4128</v>
      </c>
      <c r="Z1093" s="52">
        <v>397200</v>
      </c>
      <c r="AA1093" s="43" t="s">
        <v>52</v>
      </c>
      <c r="AB1093" s="43" t="s">
        <v>53</v>
      </c>
      <c r="AC1093" s="85">
        <v>1460</v>
      </c>
      <c r="AD1093" s="141">
        <v>4</v>
      </c>
      <c r="AE1093" s="142">
        <v>0</v>
      </c>
      <c r="AF1093" s="69" t="str">
        <f t="shared" si="116"/>
        <v>4 years 0 days</v>
      </c>
      <c r="AG1093" s="69">
        <v>4</v>
      </c>
      <c r="AH1093" s="69">
        <v>0</v>
      </c>
      <c r="AI1093" s="69">
        <v>397200</v>
      </c>
      <c r="AJ1093" s="67">
        <v>397200</v>
      </c>
      <c r="AK1093" s="69">
        <v>2025</v>
      </c>
      <c r="AL1093" s="61">
        <v>0</v>
      </c>
      <c r="AM1093" s="143"/>
    </row>
    <row r="1094" spans="1:39" x14ac:dyDescent="0.35">
      <c r="A1094" s="69" t="s">
        <v>4124</v>
      </c>
      <c r="B1094" s="41">
        <v>1121403509</v>
      </c>
      <c r="C1094" s="41"/>
      <c r="D1094" s="69"/>
      <c r="E1094" s="41">
        <v>0</v>
      </c>
      <c r="F1094" s="41" t="s">
        <v>2961</v>
      </c>
      <c r="G1094" s="69" t="s">
        <v>2960</v>
      </c>
      <c r="H1094" s="41">
        <v>9013000139</v>
      </c>
      <c r="I1094" s="41" t="s">
        <v>593</v>
      </c>
      <c r="J1094" s="41">
        <v>1202020101</v>
      </c>
      <c r="K1094" s="41" t="s">
        <v>3459</v>
      </c>
      <c r="L1094" s="52" t="s">
        <v>3460</v>
      </c>
      <c r="M1094" s="69" t="s">
        <v>3461</v>
      </c>
      <c r="N1094" s="69"/>
      <c r="O1094" s="69">
        <v>1</v>
      </c>
      <c r="P1094" s="69" t="s">
        <v>50</v>
      </c>
      <c r="Q1094" s="69" t="s">
        <v>51</v>
      </c>
      <c r="R1094" s="69"/>
      <c r="S1094" s="48">
        <v>44198</v>
      </c>
      <c r="T1094" s="48">
        <v>44198</v>
      </c>
      <c r="U1094" s="69"/>
      <c r="V1094" s="69"/>
      <c r="W1094" s="69"/>
      <c r="X1094" s="69"/>
      <c r="Y1094" s="69" t="s">
        <v>4128</v>
      </c>
      <c r="Z1094" s="52">
        <v>135000</v>
      </c>
      <c r="AA1094" s="43" t="s">
        <v>52</v>
      </c>
      <c r="AB1094" s="43" t="s">
        <v>53</v>
      </c>
      <c r="AC1094" s="85">
        <v>1460</v>
      </c>
      <c r="AD1094" s="141">
        <v>4</v>
      </c>
      <c r="AE1094" s="142">
        <v>0</v>
      </c>
      <c r="AF1094" s="69" t="str">
        <f t="shared" si="116"/>
        <v>4 years 0 days</v>
      </c>
      <c r="AG1094" s="69">
        <v>4</v>
      </c>
      <c r="AH1094" s="69">
        <v>0</v>
      </c>
      <c r="AI1094" s="69">
        <v>135000</v>
      </c>
      <c r="AJ1094" s="67">
        <v>135000</v>
      </c>
      <c r="AK1094" s="69">
        <v>2025</v>
      </c>
      <c r="AL1094" s="61">
        <v>0</v>
      </c>
      <c r="AM1094" s="143"/>
    </row>
    <row r="1095" spans="1:39" x14ac:dyDescent="0.35">
      <c r="A1095" s="69" t="s">
        <v>4124</v>
      </c>
      <c r="B1095" s="41">
        <v>1121405328</v>
      </c>
      <c r="C1095" s="41"/>
      <c r="D1095" s="69"/>
      <c r="E1095" s="41">
        <v>0</v>
      </c>
      <c r="F1095" s="41" t="s">
        <v>2961</v>
      </c>
      <c r="G1095" s="69" t="s">
        <v>2960</v>
      </c>
      <c r="H1095" s="41">
        <v>9013000140</v>
      </c>
      <c r="I1095" s="41" t="s">
        <v>593</v>
      </c>
      <c r="J1095" s="41">
        <v>1202020101</v>
      </c>
      <c r="K1095" s="41" t="s">
        <v>3463</v>
      </c>
      <c r="L1095" s="52" t="s">
        <v>3464</v>
      </c>
      <c r="M1095" s="69" t="s">
        <v>3465</v>
      </c>
      <c r="N1095" s="69"/>
      <c r="O1095" s="69">
        <v>1</v>
      </c>
      <c r="P1095" s="69" t="s">
        <v>50</v>
      </c>
      <c r="Q1095" s="69" t="s">
        <v>51</v>
      </c>
      <c r="R1095" s="69"/>
      <c r="S1095" s="48">
        <v>45597</v>
      </c>
      <c r="T1095" s="48">
        <v>45597</v>
      </c>
      <c r="U1095" s="69"/>
      <c r="V1095" s="69"/>
      <c r="W1095" s="69"/>
      <c r="X1095" s="69"/>
      <c r="Y1095" s="69" t="s">
        <v>4130</v>
      </c>
      <c r="Z1095" s="83">
        <v>87400</v>
      </c>
      <c r="AA1095" s="43" t="s">
        <v>52</v>
      </c>
      <c r="AB1095" s="43" t="s">
        <v>53</v>
      </c>
      <c r="AC1095" s="85">
        <v>1460</v>
      </c>
      <c r="AD1095" s="141">
        <v>4</v>
      </c>
      <c r="AE1095" s="142">
        <v>0</v>
      </c>
      <c r="AF1095" s="69" t="str">
        <f t="shared" si="116"/>
        <v>0 years 61 days</v>
      </c>
      <c r="AG1095" s="69">
        <v>0</v>
      </c>
      <c r="AH1095" s="69">
        <v>61</v>
      </c>
      <c r="AI1095" s="69">
        <v>87400</v>
      </c>
      <c r="AJ1095" s="67">
        <v>3652</v>
      </c>
      <c r="AK1095" s="69">
        <v>2025</v>
      </c>
      <c r="AL1095" s="61">
        <v>10834.849315068495</v>
      </c>
      <c r="AM1095" s="143"/>
    </row>
    <row r="1096" spans="1:39" x14ac:dyDescent="0.35">
      <c r="A1096" s="69" t="s">
        <v>4124</v>
      </c>
      <c r="B1096" s="41">
        <v>1121404961</v>
      </c>
      <c r="C1096" s="41"/>
      <c r="D1096" s="69"/>
      <c r="E1096" s="41">
        <v>0</v>
      </c>
      <c r="F1096" s="41" t="s">
        <v>2961</v>
      </c>
      <c r="G1096" s="69" t="s">
        <v>2960</v>
      </c>
      <c r="H1096" s="41">
        <v>9013000141</v>
      </c>
      <c r="I1096" s="41" t="s">
        <v>593</v>
      </c>
      <c r="J1096" s="41">
        <v>1202020101</v>
      </c>
      <c r="K1096" s="41" t="s">
        <v>3467</v>
      </c>
      <c r="L1096" s="52" t="s">
        <v>3468</v>
      </c>
      <c r="M1096" s="69" t="s">
        <v>3469</v>
      </c>
      <c r="N1096" s="69"/>
      <c r="O1096" s="69">
        <v>1</v>
      </c>
      <c r="P1096" s="69" t="s">
        <v>50</v>
      </c>
      <c r="Q1096" s="69" t="s">
        <v>51</v>
      </c>
      <c r="R1096" s="69"/>
      <c r="S1096" s="48">
        <v>45231</v>
      </c>
      <c r="T1096" s="48">
        <v>45231</v>
      </c>
      <c r="U1096" s="69"/>
      <c r="V1096" s="69"/>
      <c r="W1096" s="69"/>
      <c r="X1096" s="69"/>
      <c r="Y1096" s="69" t="s">
        <v>4129</v>
      </c>
      <c r="Z1096" s="52">
        <v>110000</v>
      </c>
      <c r="AA1096" s="43" t="s">
        <v>52</v>
      </c>
      <c r="AB1096" s="43" t="s">
        <v>53</v>
      </c>
      <c r="AC1096" s="85">
        <v>1460</v>
      </c>
      <c r="AD1096" s="141">
        <v>4</v>
      </c>
      <c r="AE1096" s="142">
        <v>0</v>
      </c>
      <c r="AF1096" s="69" t="str">
        <f t="shared" si="116"/>
        <v>1 years 62 days</v>
      </c>
      <c r="AG1096" s="69">
        <v>1</v>
      </c>
      <c r="AH1096" s="69">
        <v>62</v>
      </c>
      <c r="AI1096" s="69">
        <v>110000</v>
      </c>
      <c r="AJ1096" s="67">
        <v>32171</v>
      </c>
      <c r="AK1096" s="69">
        <v>2025</v>
      </c>
      <c r="AL1096" s="61">
        <v>13637.219178082189</v>
      </c>
      <c r="AM1096" s="143"/>
    </row>
    <row r="1097" spans="1:39" x14ac:dyDescent="0.35">
      <c r="A1097" s="69" t="s">
        <v>4124</v>
      </c>
      <c r="B1097" s="41">
        <v>1121403485</v>
      </c>
      <c r="C1097" s="41"/>
      <c r="D1097" s="69"/>
      <c r="E1097" s="41">
        <v>0</v>
      </c>
      <c r="F1097" s="41" t="s">
        <v>2961</v>
      </c>
      <c r="G1097" s="69" t="s">
        <v>2960</v>
      </c>
      <c r="H1097" s="41">
        <v>9013000142</v>
      </c>
      <c r="I1097" s="41" t="s">
        <v>593</v>
      </c>
      <c r="J1097" s="41">
        <v>1202020101</v>
      </c>
      <c r="K1097" s="41" t="s">
        <v>3471</v>
      </c>
      <c r="L1097" s="52" t="s">
        <v>3472</v>
      </c>
      <c r="M1097" s="69" t="s">
        <v>3473</v>
      </c>
      <c r="N1097" s="69"/>
      <c r="O1097" s="69">
        <v>1</v>
      </c>
      <c r="P1097" s="69" t="s">
        <v>50</v>
      </c>
      <c r="Q1097" s="69" t="s">
        <v>51</v>
      </c>
      <c r="R1097" s="69"/>
      <c r="S1097" s="48">
        <v>44177</v>
      </c>
      <c r="T1097" s="48">
        <v>44177</v>
      </c>
      <c r="U1097" s="69"/>
      <c r="V1097" s="69"/>
      <c r="W1097" s="69"/>
      <c r="X1097" s="69"/>
      <c r="Y1097" s="69" t="s">
        <v>4127</v>
      </c>
      <c r="Z1097" s="52">
        <v>135000</v>
      </c>
      <c r="AA1097" s="43" t="s">
        <v>52</v>
      </c>
      <c r="AB1097" s="43" t="s">
        <v>53</v>
      </c>
      <c r="AC1097" s="85">
        <v>1460</v>
      </c>
      <c r="AD1097" s="141">
        <v>4</v>
      </c>
      <c r="AE1097" s="142">
        <v>0</v>
      </c>
      <c r="AF1097" s="69" t="str">
        <f t="shared" si="116"/>
        <v>4 years 0 days</v>
      </c>
      <c r="AG1097" s="69">
        <v>4</v>
      </c>
      <c r="AH1097" s="69">
        <v>0</v>
      </c>
      <c r="AI1097" s="69">
        <v>135000</v>
      </c>
      <c r="AJ1097" s="67">
        <v>135000</v>
      </c>
      <c r="AK1097" s="69">
        <v>2025</v>
      </c>
      <c r="AL1097" s="61">
        <v>0</v>
      </c>
      <c r="AM1097" s="143"/>
    </row>
    <row r="1098" spans="1:39" x14ac:dyDescent="0.35">
      <c r="A1098" s="69" t="s">
        <v>4124</v>
      </c>
      <c r="B1098" s="41">
        <v>1121403006</v>
      </c>
      <c r="C1098" s="41"/>
      <c r="D1098" s="69"/>
      <c r="E1098" s="41">
        <v>0</v>
      </c>
      <c r="F1098" s="41" t="s">
        <v>2961</v>
      </c>
      <c r="G1098" s="69" t="s">
        <v>2960</v>
      </c>
      <c r="H1098" s="41">
        <v>9013000143</v>
      </c>
      <c r="I1098" s="41" t="s">
        <v>593</v>
      </c>
      <c r="J1098" s="41">
        <v>1202020101</v>
      </c>
      <c r="K1098" s="41" t="s">
        <v>3475</v>
      </c>
      <c r="L1098" s="52" t="s">
        <v>3476</v>
      </c>
      <c r="M1098" s="69" t="s">
        <v>3477</v>
      </c>
      <c r="N1098" s="69"/>
      <c r="O1098" s="69">
        <v>1</v>
      </c>
      <c r="P1098" s="69" t="s">
        <v>50</v>
      </c>
      <c r="Q1098" s="69" t="s">
        <v>51</v>
      </c>
      <c r="R1098" s="69"/>
      <c r="S1098" s="48">
        <v>43650</v>
      </c>
      <c r="T1098" s="48">
        <v>43650</v>
      </c>
      <c r="U1098" s="69"/>
      <c r="V1098" s="69"/>
      <c r="W1098" s="69"/>
      <c r="X1098" s="69"/>
      <c r="Y1098" s="69" t="s">
        <v>4126</v>
      </c>
      <c r="Z1098" s="52">
        <v>135000</v>
      </c>
      <c r="AA1098" s="43" t="s">
        <v>52</v>
      </c>
      <c r="AB1098" s="43" t="s">
        <v>53</v>
      </c>
      <c r="AC1098" s="85">
        <v>1460</v>
      </c>
      <c r="AD1098" s="141">
        <v>4</v>
      </c>
      <c r="AE1098" s="142">
        <v>0</v>
      </c>
      <c r="AF1098" s="69" t="str">
        <f t="shared" si="116"/>
        <v>4 years 0 days</v>
      </c>
      <c r="AG1098" s="69">
        <v>4</v>
      </c>
      <c r="AH1098" s="69">
        <v>0</v>
      </c>
      <c r="AI1098" s="69">
        <v>135000</v>
      </c>
      <c r="AJ1098" s="67">
        <v>135000</v>
      </c>
      <c r="AK1098" s="69">
        <v>2025</v>
      </c>
      <c r="AL1098" s="61">
        <v>0</v>
      </c>
      <c r="AM1098" s="143"/>
    </row>
    <row r="1099" spans="1:39" x14ac:dyDescent="0.35">
      <c r="A1099" s="69" t="s">
        <v>4124</v>
      </c>
      <c r="B1099" s="41">
        <v>1121403583</v>
      </c>
      <c r="C1099" s="41"/>
      <c r="D1099" s="69"/>
      <c r="E1099" s="41">
        <v>0</v>
      </c>
      <c r="F1099" s="41" t="s">
        <v>2961</v>
      </c>
      <c r="G1099" s="69" t="s">
        <v>2960</v>
      </c>
      <c r="H1099" s="41">
        <v>9013000144</v>
      </c>
      <c r="I1099" s="41" t="s">
        <v>593</v>
      </c>
      <c r="J1099" s="41">
        <v>1202020101</v>
      </c>
      <c r="K1099" s="41" t="s">
        <v>3479</v>
      </c>
      <c r="L1099" s="52" t="s">
        <v>3480</v>
      </c>
      <c r="M1099" s="69" t="s">
        <v>3481</v>
      </c>
      <c r="N1099" s="69"/>
      <c r="O1099" s="69">
        <v>1</v>
      </c>
      <c r="P1099" s="69" t="s">
        <v>50</v>
      </c>
      <c r="Q1099" s="69" t="s">
        <v>51</v>
      </c>
      <c r="R1099" s="69"/>
      <c r="S1099" s="48">
        <v>44261</v>
      </c>
      <c r="T1099" s="48">
        <v>44261</v>
      </c>
      <c r="U1099" s="69"/>
      <c r="V1099" s="69"/>
      <c r="W1099" s="69"/>
      <c r="X1099" s="69"/>
      <c r="Y1099" s="69" t="s">
        <v>4128</v>
      </c>
      <c r="Z1099" s="52">
        <v>1790000</v>
      </c>
      <c r="AA1099" s="43" t="s">
        <v>52</v>
      </c>
      <c r="AB1099" s="43" t="s">
        <v>53</v>
      </c>
      <c r="AC1099" s="85">
        <v>1460</v>
      </c>
      <c r="AD1099" s="141">
        <v>4</v>
      </c>
      <c r="AE1099" s="142">
        <v>0</v>
      </c>
      <c r="AF1099" s="69" t="str">
        <f t="shared" si="116"/>
        <v>3 years 302 days</v>
      </c>
      <c r="AG1099" s="69">
        <v>3</v>
      </c>
      <c r="AH1099" s="69">
        <v>302</v>
      </c>
      <c r="AI1099" s="69">
        <v>1790000</v>
      </c>
      <c r="AJ1099" s="67">
        <v>1712760</v>
      </c>
      <c r="AK1099" s="69">
        <v>2025</v>
      </c>
      <c r="AL1099" s="61">
        <v>77240</v>
      </c>
      <c r="AM1099" s="143"/>
    </row>
    <row r="1100" spans="1:39" x14ac:dyDescent="0.35">
      <c r="A1100" s="69" t="s">
        <v>4124</v>
      </c>
      <c r="B1100" s="41">
        <v>1121403692</v>
      </c>
      <c r="C1100" s="41"/>
      <c r="D1100" s="69"/>
      <c r="E1100" s="41">
        <v>0</v>
      </c>
      <c r="F1100" s="41" t="s">
        <v>2961</v>
      </c>
      <c r="G1100" s="69" t="s">
        <v>2960</v>
      </c>
      <c r="H1100" s="41">
        <v>9013000145</v>
      </c>
      <c r="I1100" s="41" t="s">
        <v>593</v>
      </c>
      <c r="J1100" s="41">
        <v>1202020101</v>
      </c>
      <c r="K1100" s="41" t="s">
        <v>3483</v>
      </c>
      <c r="L1100" s="52" t="s">
        <v>3484</v>
      </c>
      <c r="M1100" s="69" t="s">
        <v>3485</v>
      </c>
      <c r="N1100" s="69"/>
      <c r="O1100" s="69">
        <v>1</v>
      </c>
      <c r="P1100" s="69" t="s">
        <v>50</v>
      </c>
      <c r="Q1100" s="69" t="s">
        <v>51</v>
      </c>
      <c r="R1100" s="69"/>
      <c r="S1100" s="48">
        <v>44332</v>
      </c>
      <c r="T1100" s="48">
        <v>44332</v>
      </c>
      <c r="U1100" s="69"/>
      <c r="V1100" s="69"/>
      <c r="W1100" s="69"/>
      <c r="X1100" s="69"/>
      <c r="Y1100" s="69" t="s">
        <v>4128</v>
      </c>
      <c r="Z1100" s="52">
        <v>135000</v>
      </c>
      <c r="AA1100" s="43" t="s">
        <v>52</v>
      </c>
      <c r="AB1100" s="43" t="s">
        <v>53</v>
      </c>
      <c r="AC1100" s="85">
        <v>1460</v>
      </c>
      <c r="AD1100" s="141">
        <v>4</v>
      </c>
      <c r="AE1100" s="142">
        <v>0</v>
      </c>
      <c r="AF1100" s="69" t="str">
        <f t="shared" si="116"/>
        <v>3 years 231 days</v>
      </c>
      <c r="AG1100" s="69">
        <v>3</v>
      </c>
      <c r="AH1100" s="69">
        <v>231</v>
      </c>
      <c r="AI1100" s="69">
        <v>135000</v>
      </c>
      <c r="AJ1100" s="67">
        <v>122610</v>
      </c>
      <c r="AK1100" s="69">
        <v>2025</v>
      </c>
      <c r="AL1100" s="61">
        <v>12390</v>
      </c>
      <c r="AM1100" s="143"/>
    </row>
    <row r="1101" spans="1:39" x14ac:dyDescent="0.35">
      <c r="A1101" s="69" t="s">
        <v>4124</v>
      </c>
      <c r="B1101" s="41">
        <v>1121403695</v>
      </c>
      <c r="C1101" s="41"/>
      <c r="D1101" s="69"/>
      <c r="E1101" s="41">
        <v>0</v>
      </c>
      <c r="F1101" s="41" t="s">
        <v>2961</v>
      </c>
      <c r="G1101" s="69" t="s">
        <v>2960</v>
      </c>
      <c r="H1101" s="41">
        <v>9013000146</v>
      </c>
      <c r="I1101" s="41" t="s">
        <v>593</v>
      </c>
      <c r="J1101" s="41">
        <v>1202020101</v>
      </c>
      <c r="K1101" s="41" t="s">
        <v>3487</v>
      </c>
      <c r="L1101" s="52" t="s">
        <v>3488</v>
      </c>
      <c r="M1101" s="69" t="s">
        <v>3489</v>
      </c>
      <c r="N1101" s="69"/>
      <c r="O1101" s="69">
        <v>1</v>
      </c>
      <c r="P1101" s="69" t="s">
        <v>50</v>
      </c>
      <c r="Q1101" s="69" t="s">
        <v>51</v>
      </c>
      <c r="R1101" s="69"/>
      <c r="S1101" s="48">
        <v>44336</v>
      </c>
      <c r="T1101" s="48">
        <v>44336</v>
      </c>
      <c r="U1101" s="69"/>
      <c r="V1101" s="69"/>
      <c r="W1101" s="69"/>
      <c r="X1101" s="69"/>
      <c r="Y1101" s="69" t="s">
        <v>4128</v>
      </c>
      <c r="Z1101" s="52">
        <v>135000</v>
      </c>
      <c r="AA1101" s="43" t="s">
        <v>52</v>
      </c>
      <c r="AB1101" s="43" t="s">
        <v>53</v>
      </c>
      <c r="AC1101" s="85">
        <v>1460</v>
      </c>
      <c r="AD1101" s="141">
        <v>4</v>
      </c>
      <c r="AE1101" s="142">
        <v>0</v>
      </c>
      <c r="AF1101" s="69" t="str">
        <f t="shared" si="116"/>
        <v>3 years 227 days</v>
      </c>
      <c r="AG1101" s="69">
        <v>3</v>
      </c>
      <c r="AH1101" s="69">
        <v>227</v>
      </c>
      <c r="AI1101" s="69">
        <v>135000</v>
      </c>
      <c r="AJ1101" s="67">
        <v>122240</v>
      </c>
      <c r="AK1101" s="69">
        <v>2025</v>
      </c>
      <c r="AL1101" s="61">
        <v>12760</v>
      </c>
      <c r="AM1101" s="143"/>
    </row>
    <row r="1102" spans="1:39" x14ac:dyDescent="0.35">
      <c r="A1102" s="69" t="s">
        <v>4124</v>
      </c>
      <c r="B1102" s="41">
        <v>1121403617</v>
      </c>
      <c r="C1102" s="41"/>
      <c r="D1102" s="69"/>
      <c r="E1102" s="41">
        <v>0</v>
      </c>
      <c r="F1102" s="41" t="s">
        <v>2961</v>
      </c>
      <c r="G1102" s="69" t="s">
        <v>2960</v>
      </c>
      <c r="H1102" s="41">
        <v>9013000147</v>
      </c>
      <c r="I1102" s="41" t="s">
        <v>593</v>
      </c>
      <c r="J1102" s="41">
        <v>1202020101</v>
      </c>
      <c r="K1102" s="41" t="s">
        <v>3491</v>
      </c>
      <c r="L1102" s="52" t="s">
        <v>3492</v>
      </c>
      <c r="M1102" s="69" t="s">
        <v>3493</v>
      </c>
      <c r="N1102" s="69"/>
      <c r="O1102" s="69">
        <v>1</v>
      </c>
      <c r="P1102" s="69" t="s">
        <v>50</v>
      </c>
      <c r="Q1102" s="69" t="s">
        <v>51</v>
      </c>
      <c r="R1102" s="69"/>
      <c r="S1102" s="48">
        <v>44283</v>
      </c>
      <c r="T1102" s="48">
        <v>44283</v>
      </c>
      <c r="U1102" s="69"/>
      <c r="V1102" s="69"/>
      <c r="W1102" s="69"/>
      <c r="X1102" s="69"/>
      <c r="Y1102" s="69" t="s">
        <v>4128</v>
      </c>
      <c r="Z1102" s="52">
        <v>650000</v>
      </c>
      <c r="AA1102" s="43" t="s">
        <v>52</v>
      </c>
      <c r="AB1102" s="43" t="s">
        <v>53</v>
      </c>
      <c r="AC1102" s="85">
        <v>1460</v>
      </c>
      <c r="AD1102" s="141">
        <v>4</v>
      </c>
      <c r="AE1102" s="142">
        <v>0</v>
      </c>
      <c r="AF1102" s="69" t="str">
        <f t="shared" si="116"/>
        <v>3 years 280 days</v>
      </c>
      <c r="AG1102" s="69">
        <v>3</v>
      </c>
      <c r="AH1102" s="69">
        <v>280</v>
      </c>
      <c r="AI1102" s="69">
        <v>650000</v>
      </c>
      <c r="AJ1102" s="67">
        <v>612158</v>
      </c>
      <c r="AK1102" s="69">
        <v>2025</v>
      </c>
      <c r="AL1102" s="61">
        <v>37842</v>
      </c>
      <c r="AM1102" s="143"/>
    </row>
    <row r="1103" spans="1:39" x14ac:dyDescent="0.35">
      <c r="A1103" s="69" t="s">
        <v>4124</v>
      </c>
      <c r="B1103" s="41">
        <v>1121403694</v>
      </c>
      <c r="C1103" s="41"/>
      <c r="D1103" s="69"/>
      <c r="E1103" s="41">
        <v>0</v>
      </c>
      <c r="F1103" s="41" t="s">
        <v>2961</v>
      </c>
      <c r="G1103" s="69" t="s">
        <v>2960</v>
      </c>
      <c r="H1103" s="41">
        <v>9013000148</v>
      </c>
      <c r="I1103" s="41" t="s">
        <v>593</v>
      </c>
      <c r="J1103" s="41">
        <v>1202020101</v>
      </c>
      <c r="K1103" s="41" t="s">
        <v>3495</v>
      </c>
      <c r="L1103" s="52" t="s">
        <v>3496</v>
      </c>
      <c r="M1103" s="69" t="s">
        <v>3497</v>
      </c>
      <c r="N1103" s="69"/>
      <c r="O1103" s="69">
        <v>1</v>
      </c>
      <c r="P1103" s="69" t="s">
        <v>50</v>
      </c>
      <c r="Q1103" s="69" t="s">
        <v>51</v>
      </c>
      <c r="R1103" s="69"/>
      <c r="S1103" s="48">
        <v>44336</v>
      </c>
      <c r="T1103" s="48">
        <v>44336</v>
      </c>
      <c r="U1103" s="69"/>
      <c r="V1103" s="69"/>
      <c r="W1103" s="69"/>
      <c r="X1103" s="69"/>
      <c r="Y1103" s="69" t="s">
        <v>4128</v>
      </c>
      <c r="Z1103" s="52">
        <v>110000</v>
      </c>
      <c r="AA1103" s="43" t="s">
        <v>52</v>
      </c>
      <c r="AB1103" s="43" t="s">
        <v>53</v>
      </c>
      <c r="AC1103" s="85">
        <v>1460</v>
      </c>
      <c r="AD1103" s="141">
        <v>4</v>
      </c>
      <c r="AE1103" s="142">
        <v>0</v>
      </c>
      <c r="AF1103" s="69" t="str">
        <f t="shared" si="116"/>
        <v>3 years 227 days</v>
      </c>
      <c r="AG1103" s="69">
        <v>3</v>
      </c>
      <c r="AH1103" s="69">
        <v>227</v>
      </c>
      <c r="AI1103" s="69">
        <v>110000</v>
      </c>
      <c r="AJ1103" s="67">
        <v>99603</v>
      </c>
      <c r="AK1103" s="69">
        <v>2025</v>
      </c>
      <c r="AL1103" s="61">
        <v>10396.999999999985</v>
      </c>
      <c r="AM1103" s="143"/>
    </row>
    <row r="1104" spans="1:39" x14ac:dyDescent="0.35">
      <c r="A1104" s="69" t="s">
        <v>4124</v>
      </c>
      <c r="B1104" s="41">
        <v>1121403303</v>
      </c>
      <c r="C1104" s="41"/>
      <c r="D1104" s="69"/>
      <c r="E1104" s="41">
        <v>0</v>
      </c>
      <c r="F1104" s="41" t="s">
        <v>2961</v>
      </c>
      <c r="G1104" s="69" t="s">
        <v>2960</v>
      </c>
      <c r="H1104" s="41">
        <v>9013000149</v>
      </c>
      <c r="I1104" s="41" t="s">
        <v>593</v>
      </c>
      <c r="J1104" s="41">
        <v>1202020101</v>
      </c>
      <c r="K1104" s="41" t="s">
        <v>3499</v>
      </c>
      <c r="L1104" s="52" t="s">
        <v>3500</v>
      </c>
      <c r="M1104" s="69" t="s">
        <v>3501</v>
      </c>
      <c r="N1104" s="69"/>
      <c r="O1104" s="69">
        <v>1</v>
      </c>
      <c r="P1104" s="69" t="s">
        <v>50</v>
      </c>
      <c r="Q1104" s="69" t="s">
        <v>51</v>
      </c>
      <c r="R1104" s="69"/>
      <c r="S1104" s="48">
        <v>43974</v>
      </c>
      <c r="T1104" s="48">
        <v>43974</v>
      </c>
      <c r="U1104" s="69"/>
      <c r="V1104" s="69"/>
      <c r="W1104" s="69"/>
      <c r="X1104" s="69"/>
      <c r="Y1104" s="69" t="s">
        <v>4127</v>
      </c>
      <c r="Z1104" s="52">
        <v>135000</v>
      </c>
      <c r="AA1104" s="43" t="s">
        <v>52</v>
      </c>
      <c r="AB1104" s="43" t="s">
        <v>53</v>
      </c>
      <c r="AC1104" s="85">
        <v>1460</v>
      </c>
      <c r="AD1104" s="141">
        <v>4</v>
      </c>
      <c r="AE1104" s="142">
        <v>0</v>
      </c>
      <c r="AF1104" s="69" t="str">
        <f t="shared" si="116"/>
        <v>4 years 0 days</v>
      </c>
      <c r="AG1104" s="69">
        <v>4</v>
      </c>
      <c r="AH1104" s="69">
        <v>0</v>
      </c>
      <c r="AI1104" s="69">
        <v>135000</v>
      </c>
      <c r="AJ1104" s="67">
        <v>135000</v>
      </c>
      <c r="AK1104" s="69">
        <v>2025</v>
      </c>
      <c r="AL1104" s="61">
        <v>0</v>
      </c>
      <c r="AM1104" s="143"/>
    </row>
    <row r="1105" spans="1:39" x14ac:dyDescent="0.35">
      <c r="A1105" s="69" t="s">
        <v>4124</v>
      </c>
      <c r="B1105" s="41">
        <v>1121403445</v>
      </c>
      <c r="C1105" s="41"/>
      <c r="D1105" s="69"/>
      <c r="E1105" s="41">
        <v>0</v>
      </c>
      <c r="F1105" s="41" t="s">
        <v>2961</v>
      </c>
      <c r="G1105" s="69" t="s">
        <v>2960</v>
      </c>
      <c r="H1105" s="41">
        <v>9013000150</v>
      </c>
      <c r="I1105" s="41" t="s">
        <v>593</v>
      </c>
      <c r="J1105" s="41">
        <v>1202020101</v>
      </c>
      <c r="K1105" s="41" t="s">
        <v>3503</v>
      </c>
      <c r="L1105" s="52" t="s">
        <v>3504</v>
      </c>
      <c r="M1105" s="69" t="s">
        <v>3505</v>
      </c>
      <c r="N1105" s="69"/>
      <c r="O1105" s="69">
        <v>1</v>
      </c>
      <c r="P1105" s="69" t="s">
        <v>50</v>
      </c>
      <c r="Q1105" s="69" t="s">
        <v>51</v>
      </c>
      <c r="R1105" s="69"/>
      <c r="S1105" s="48">
        <v>44150</v>
      </c>
      <c r="T1105" s="48">
        <v>44150</v>
      </c>
      <c r="U1105" s="69"/>
      <c r="V1105" s="69"/>
      <c r="W1105" s="69"/>
      <c r="X1105" s="69"/>
      <c r="Y1105" s="69" t="s">
        <v>4127</v>
      </c>
      <c r="Z1105" s="52">
        <v>135000</v>
      </c>
      <c r="AA1105" s="43" t="s">
        <v>52</v>
      </c>
      <c r="AB1105" s="43" t="s">
        <v>53</v>
      </c>
      <c r="AC1105" s="85">
        <v>1460</v>
      </c>
      <c r="AD1105" s="141">
        <v>4</v>
      </c>
      <c r="AE1105" s="142">
        <v>0</v>
      </c>
      <c r="AF1105" s="69" t="str">
        <f t="shared" si="116"/>
        <v>4 years 0 days</v>
      </c>
      <c r="AG1105" s="69">
        <v>4</v>
      </c>
      <c r="AH1105" s="69">
        <v>0</v>
      </c>
      <c r="AI1105" s="69">
        <v>135000</v>
      </c>
      <c r="AJ1105" s="67">
        <v>135000</v>
      </c>
      <c r="AK1105" s="69">
        <v>2025</v>
      </c>
      <c r="AL1105" s="61">
        <v>0</v>
      </c>
      <c r="AM1105" s="143"/>
    </row>
    <row r="1106" spans="1:39" x14ac:dyDescent="0.35">
      <c r="A1106" s="69" t="s">
        <v>4124</v>
      </c>
      <c r="B1106" s="41">
        <v>1121402621</v>
      </c>
      <c r="C1106" s="41"/>
      <c r="D1106" s="69"/>
      <c r="E1106" s="41">
        <v>0</v>
      </c>
      <c r="F1106" s="41" t="s">
        <v>2961</v>
      </c>
      <c r="G1106" s="69" t="s">
        <v>2960</v>
      </c>
      <c r="H1106" s="41">
        <v>9013000151</v>
      </c>
      <c r="I1106" s="41" t="s">
        <v>593</v>
      </c>
      <c r="J1106" s="41">
        <v>1202020101</v>
      </c>
      <c r="K1106" s="41" t="s">
        <v>3507</v>
      </c>
      <c r="L1106" s="52" t="s">
        <v>3508</v>
      </c>
      <c r="M1106" s="69" t="s">
        <v>49</v>
      </c>
      <c r="N1106" s="69"/>
      <c r="O1106" s="69">
        <v>1</v>
      </c>
      <c r="P1106" s="69" t="s">
        <v>50</v>
      </c>
      <c r="Q1106" s="69" t="s">
        <v>51</v>
      </c>
      <c r="R1106" s="69"/>
      <c r="S1106" s="48">
        <v>43302</v>
      </c>
      <c r="T1106" s="48">
        <v>43340</v>
      </c>
      <c r="U1106" s="69"/>
      <c r="V1106" s="69"/>
      <c r="W1106" s="69"/>
      <c r="X1106" s="69"/>
      <c r="Y1106" s="69" t="s">
        <v>4125</v>
      </c>
      <c r="Z1106" s="52">
        <v>100000</v>
      </c>
      <c r="AA1106" s="43" t="s">
        <v>52</v>
      </c>
      <c r="AB1106" s="43" t="s">
        <v>53</v>
      </c>
      <c r="AC1106" s="85">
        <v>1752</v>
      </c>
      <c r="AD1106" s="141">
        <v>4</v>
      </c>
      <c r="AE1106" s="142">
        <v>10</v>
      </c>
      <c r="AF1106" s="69" t="str">
        <f t="shared" si="116"/>
        <v>4 years 292 days</v>
      </c>
      <c r="AG1106" s="69">
        <v>4</v>
      </c>
      <c r="AH1106" s="69">
        <v>292</v>
      </c>
      <c r="AI1106" s="69">
        <v>100000</v>
      </c>
      <c r="AJ1106" s="67">
        <v>100000</v>
      </c>
      <c r="AK1106" s="69">
        <v>2025</v>
      </c>
      <c r="AL1106" s="61">
        <v>0</v>
      </c>
      <c r="AM1106" s="143"/>
    </row>
    <row r="1107" spans="1:39" x14ac:dyDescent="0.35">
      <c r="A1107" s="69" t="s">
        <v>4124</v>
      </c>
      <c r="B1107" s="41">
        <v>1121402646</v>
      </c>
      <c r="C1107" s="41"/>
      <c r="D1107" s="69"/>
      <c r="E1107" s="41">
        <v>0</v>
      </c>
      <c r="F1107" s="41" t="s">
        <v>2961</v>
      </c>
      <c r="G1107" s="69" t="s">
        <v>2960</v>
      </c>
      <c r="H1107" s="41">
        <v>9013000152</v>
      </c>
      <c r="I1107" s="41" t="s">
        <v>593</v>
      </c>
      <c r="J1107" s="41">
        <v>1202020101</v>
      </c>
      <c r="K1107" s="41" t="s">
        <v>3510</v>
      </c>
      <c r="L1107" s="52" t="s">
        <v>3511</v>
      </c>
      <c r="M1107" s="69" t="s">
        <v>49</v>
      </c>
      <c r="N1107" s="69"/>
      <c r="O1107" s="69">
        <v>1</v>
      </c>
      <c r="P1107" s="69" t="s">
        <v>50</v>
      </c>
      <c r="Q1107" s="69" t="s">
        <v>51</v>
      </c>
      <c r="R1107" s="69"/>
      <c r="S1107" s="48">
        <v>43328</v>
      </c>
      <c r="T1107" s="48">
        <v>43340</v>
      </c>
      <c r="U1107" s="69"/>
      <c r="V1107" s="69"/>
      <c r="W1107" s="69"/>
      <c r="X1107" s="69"/>
      <c r="Y1107" s="69" t="s">
        <v>4125</v>
      </c>
      <c r="Z1107" s="52">
        <v>105000</v>
      </c>
      <c r="AA1107" s="43" t="s">
        <v>52</v>
      </c>
      <c r="AB1107" s="43" t="s">
        <v>53</v>
      </c>
      <c r="AC1107" s="85">
        <v>1825</v>
      </c>
      <c r="AD1107" s="141">
        <v>5</v>
      </c>
      <c r="AE1107" s="142">
        <v>0</v>
      </c>
      <c r="AF1107" s="69" t="str">
        <f t="shared" si="116"/>
        <v>5 years 0 days</v>
      </c>
      <c r="AG1107" s="69">
        <v>5</v>
      </c>
      <c r="AH1107" s="69">
        <v>0</v>
      </c>
      <c r="AI1107" s="69">
        <v>105000</v>
      </c>
      <c r="AJ1107" s="67">
        <v>105000</v>
      </c>
      <c r="AK1107" s="69">
        <v>2025</v>
      </c>
      <c r="AL1107" s="61">
        <v>0</v>
      </c>
      <c r="AM1107" s="143"/>
    </row>
    <row r="1108" spans="1:39" x14ac:dyDescent="0.35">
      <c r="A1108" s="69" t="s">
        <v>4124</v>
      </c>
      <c r="B1108" s="41">
        <v>1121403700</v>
      </c>
      <c r="C1108" s="41"/>
      <c r="D1108" s="69"/>
      <c r="E1108" s="41">
        <v>0</v>
      </c>
      <c r="F1108" s="41" t="s">
        <v>2961</v>
      </c>
      <c r="G1108" s="69" t="s">
        <v>2960</v>
      </c>
      <c r="H1108" s="41">
        <v>9013000153</v>
      </c>
      <c r="I1108" s="41" t="s">
        <v>593</v>
      </c>
      <c r="J1108" s="41">
        <v>1202020101</v>
      </c>
      <c r="K1108" s="41" t="s">
        <v>3513</v>
      </c>
      <c r="L1108" s="52" t="s">
        <v>3514</v>
      </c>
      <c r="M1108" s="69" t="s">
        <v>3515</v>
      </c>
      <c r="N1108" s="69"/>
      <c r="O1108" s="69">
        <v>1</v>
      </c>
      <c r="P1108" s="69" t="s">
        <v>50</v>
      </c>
      <c r="Q1108" s="69" t="s">
        <v>51</v>
      </c>
      <c r="R1108" s="69"/>
      <c r="S1108" s="48">
        <v>44340</v>
      </c>
      <c r="T1108" s="48">
        <v>44340</v>
      </c>
      <c r="U1108" s="69"/>
      <c r="V1108" s="69"/>
      <c r="W1108" s="69"/>
      <c r="X1108" s="69"/>
      <c r="Y1108" s="69" t="s">
        <v>4128</v>
      </c>
      <c r="Z1108" s="52">
        <v>2050000</v>
      </c>
      <c r="AA1108" s="43" t="s">
        <v>52</v>
      </c>
      <c r="AB1108" s="43" t="s">
        <v>53</v>
      </c>
      <c r="AC1108" s="85">
        <v>1460</v>
      </c>
      <c r="AD1108" s="141">
        <v>4</v>
      </c>
      <c r="AE1108" s="142">
        <v>0</v>
      </c>
      <c r="AF1108" s="69" t="str">
        <f t="shared" si="116"/>
        <v>3 years 223 days</v>
      </c>
      <c r="AG1108" s="69">
        <v>3</v>
      </c>
      <c r="AH1108" s="69">
        <v>223</v>
      </c>
      <c r="AI1108" s="69">
        <v>2050000</v>
      </c>
      <c r="AJ1108" s="67">
        <v>1850616</v>
      </c>
      <c r="AK1108" s="69">
        <v>2025</v>
      </c>
      <c r="AL1108" s="61">
        <v>199384</v>
      </c>
      <c r="AM1108" s="143"/>
    </row>
    <row r="1109" spans="1:39" x14ac:dyDescent="0.35">
      <c r="A1109" s="69" t="s">
        <v>4124</v>
      </c>
      <c r="B1109" s="41">
        <v>1121402677</v>
      </c>
      <c r="C1109" s="41"/>
      <c r="D1109" s="69"/>
      <c r="E1109" s="41">
        <v>0</v>
      </c>
      <c r="F1109" s="41" t="s">
        <v>2961</v>
      </c>
      <c r="G1109" s="69" t="s">
        <v>2960</v>
      </c>
      <c r="H1109" s="41">
        <v>9013000154</v>
      </c>
      <c r="I1109" s="41" t="s">
        <v>593</v>
      </c>
      <c r="J1109" s="41">
        <v>1202020101</v>
      </c>
      <c r="K1109" s="41" t="s">
        <v>3517</v>
      </c>
      <c r="L1109" s="52" t="s">
        <v>3518</v>
      </c>
      <c r="M1109" s="69" t="s">
        <v>49</v>
      </c>
      <c r="N1109" s="69"/>
      <c r="O1109" s="69">
        <v>1</v>
      </c>
      <c r="P1109" s="69" t="s">
        <v>50</v>
      </c>
      <c r="Q1109" s="69" t="s">
        <v>51</v>
      </c>
      <c r="R1109" s="69"/>
      <c r="S1109" s="48">
        <v>43357</v>
      </c>
      <c r="T1109" s="48">
        <v>43357</v>
      </c>
      <c r="U1109" s="69"/>
      <c r="V1109" s="69"/>
      <c r="W1109" s="69"/>
      <c r="X1109" s="69"/>
      <c r="Y1109" s="69" t="s">
        <v>4125</v>
      </c>
      <c r="Z1109" s="52">
        <v>106000</v>
      </c>
      <c r="AA1109" s="43" t="s">
        <v>52</v>
      </c>
      <c r="AB1109" s="43" t="s">
        <v>53</v>
      </c>
      <c r="AC1109" s="85">
        <v>1460</v>
      </c>
      <c r="AD1109" s="141">
        <v>4</v>
      </c>
      <c r="AE1109" s="142">
        <v>0</v>
      </c>
      <c r="AF1109" s="69" t="str">
        <f t="shared" si="116"/>
        <v>4 years 0 days</v>
      </c>
      <c r="AG1109" s="69">
        <v>4</v>
      </c>
      <c r="AH1109" s="69">
        <v>0</v>
      </c>
      <c r="AI1109" s="69">
        <v>106000</v>
      </c>
      <c r="AJ1109" s="67">
        <v>106000</v>
      </c>
      <c r="AK1109" s="69">
        <v>2025</v>
      </c>
      <c r="AL1109" s="61">
        <v>0</v>
      </c>
      <c r="AM1109" s="143"/>
    </row>
    <row r="1110" spans="1:39" x14ac:dyDescent="0.35">
      <c r="A1110" s="69" t="s">
        <v>4124</v>
      </c>
      <c r="B1110" s="41">
        <v>1121403825</v>
      </c>
      <c r="C1110" s="41"/>
      <c r="D1110" s="69"/>
      <c r="E1110" s="41">
        <v>0</v>
      </c>
      <c r="F1110" s="41" t="s">
        <v>2961</v>
      </c>
      <c r="G1110" s="69" t="s">
        <v>2960</v>
      </c>
      <c r="H1110" s="41">
        <v>9013000155</v>
      </c>
      <c r="I1110" s="41" t="s">
        <v>593</v>
      </c>
      <c r="J1110" s="41">
        <v>1202020101</v>
      </c>
      <c r="K1110" s="41" t="s">
        <v>3520</v>
      </c>
      <c r="L1110" s="52" t="s">
        <v>3521</v>
      </c>
      <c r="M1110" s="69" t="s">
        <v>3522</v>
      </c>
      <c r="N1110" s="69"/>
      <c r="O1110" s="69">
        <v>2</v>
      </c>
      <c r="P1110" s="69" t="s">
        <v>50</v>
      </c>
      <c r="Q1110" s="69" t="s">
        <v>51</v>
      </c>
      <c r="R1110" s="69"/>
      <c r="S1110" s="48">
        <v>44437</v>
      </c>
      <c r="T1110" s="48">
        <v>44437</v>
      </c>
      <c r="U1110" s="69"/>
      <c r="V1110" s="69"/>
      <c r="W1110" s="69"/>
      <c r="X1110" s="69"/>
      <c r="Y1110" s="69" t="s">
        <v>4128</v>
      </c>
      <c r="Z1110" s="52">
        <v>3589660</v>
      </c>
      <c r="AA1110" s="43" t="s">
        <v>52</v>
      </c>
      <c r="AB1110" s="43" t="s">
        <v>53</v>
      </c>
      <c r="AC1110" s="85">
        <v>1460</v>
      </c>
      <c r="AD1110" s="141">
        <v>4</v>
      </c>
      <c r="AE1110" s="142">
        <v>0</v>
      </c>
      <c r="AF1110" s="69" t="str">
        <f t="shared" si="116"/>
        <v>3 years 126 days</v>
      </c>
      <c r="AG1110" s="69">
        <v>3</v>
      </c>
      <c r="AH1110" s="69">
        <v>126</v>
      </c>
      <c r="AI1110" s="69">
        <v>3589660</v>
      </c>
      <c r="AJ1110" s="67">
        <v>3002038</v>
      </c>
      <c r="AK1110" s="69">
        <v>2025</v>
      </c>
      <c r="AL1110" s="61">
        <v>445019.06849315064</v>
      </c>
      <c r="AM1110" s="143"/>
    </row>
    <row r="1111" spans="1:39" x14ac:dyDescent="0.35">
      <c r="A1111" s="69" t="s">
        <v>4124</v>
      </c>
      <c r="B1111" s="41">
        <v>1121404794</v>
      </c>
      <c r="C1111" s="41"/>
      <c r="D1111" s="69"/>
      <c r="E1111" s="41">
        <v>0</v>
      </c>
      <c r="F1111" s="41" t="s">
        <v>2961</v>
      </c>
      <c r="G1111" s="69" t="s">
        <v>2960</v>
      </c>
      <c r="H1111" s="41">
        <v>9013000156</v>
      </c>
      <c r="I1111" s="41" t="s">
        <v>593</v>
      </c>
      <c r="J1111" s="41">
        <v>1202020101</v>
      </c>
      <c r="K1111" s="41" t="s">
        <v>3524</v>
      </c>
      <c r="L1111" s="52" t="s">
        <v>3525</v>
      </c>
      <c r="M1111" s="69" t="s">
        <v>3526</v>
      </c>
      <c r="N1111" s="69"/>
      <c r="O1111" s="69">
        <v>1</v>
      </c>
      <c r="P1111" s="69" t="s">
        <v>50</v>
      </c>
      <c r="Q1111" s="69" t="s">
        <v>51</v>
      </c>
      <c r="R1111" s="69"/>
      <c r="S1111" s="48">
        <v>45108</v>
      </c>
      <c r="T1111" s="48">
        <v>45108</v>
      </c>
      <c r="U1111" s="69"/>
      <c r="V1111" s="69"/>
      <c r="W1111" s="69"/>
      <c r="X1111" s="69"/>
      <c r="Y1111" s="69" t="s">
        <v>4129</v>
      </c>
      <c r="Z1111" s="52">
        <v>150000</v>
      </c>
      <c r="AA1111" s="43" t="s">
        <v>52</v>
      </c>
      <c r="AB1111" s="43" t="s">
        <v>53</v>
      </c>
      <c r="AC1111" s="85">
        <v>1460</v>
      </c>
      <c r="AD1111" s="141">
        <v>4</v>
      </c>
      <c r="AE1111" s="142">
        <v>0</v>
      </c>
      <c r="AF1111" s="69" t="str">
        <f t="shared" si="116"/>
        <v>1 years 185 days</v>
      </c>
      <c r="AG1111" s="69">
        <v>1</v>
      </c>
      <c r="AH1111" s="69">
        <v>185</v>
      </c>
      <c r="AI1111" s="69">
        <v>150000</v>
      </c>
      <c r="AJ1111" s="67">
        <v>56507</v>
      </c>
      <c r="AK1111" s="69">
        <v>2025</v>
      </c>
      <c r="AL1111" s="61">
        <v>18595.739726027401</v>
      </c>
      <c r="AM1111" s="143"/>
    </row>
    <row r="1112" spans="1:39" x14ac:dyDescent="0.35">
      <c r="A1112" s="69" t="s">
        <v>4124</v>
      </c>
      <c r="B1112" s="41">
        <v>1121403926</v>
      </c>
      <c r="C1112" s="41"/>
      <c r="D1112" s="69"/>
      <c r="E1112" s="41">
        <v>0</v>
      </c>
      <c r="F1112" s="41" t="s">
        <v>2961</v>
      </c>
      <c r="G1112" s="69" t="s">
        <v>2960</v>
      </c>
      <c r="H1112" s="41">
        <v>9013000157</v>
      </c>
      <c r="I1112" s="41" t="s">
        <v>593</v>
      </c>
      <c r="J1112" s="41">
        <v>1202020101</v>
      </c>
      <c r="K1112" s="41" t="s">
        <v>3528</v>
      </c>
      <c r="L1112" s="52" t="s">
        <v>3529</v>
      </c>
      <c r="M1112" s="69" t="s">
        <v>3530</v>
      </c>
      <c r="N1112" s="69"/>
      <c r="O1112" s="69">
        <v>1</v>
      </c>
      <c r="P1112" s="69" t="s">
        <v>50</v>
      </c>
      <c r="Q1112" s="69" t="s">
        <v>51</v>
      </c>
      <c r="R1112" s="69"/>
      <c r="S1112" s="48">
        <v>44531</v>
      </c>
      <c r="T1112" s="48">
        <v>44531</v>
      </c>
      <c r="U1112" s="69"/>
      <c r="V1112" s="69"/>
      <c r="W1112" s="69"/>
      <c r="X1112" s="69"/>
      <c r="Y1112" s="69" t="s">
        <v>4128</v>
      </c>
      <c r="Z1112" s="52">
        <v>578740</v>
      </c>
      <c r="AA1112" s="43" t="s">
        <v>52</v>
      </c>
      <c r="AB1112" s="43" t="s">
        <v>53</v>
      </c>
      <c r="AC1112" s="85">
        <v>1460</v>
      </c>
      <c r="AD1112" s="141">
        <v>4</v>
      </c>
      <c r="AE1112" s="142">
        <v>0</v>
      </c>
      <c r="AF1112" s="69" t="str">
        <f t="shared" si="116"/>
        <v>3 years 32 days</v>
      </c>
      <c r="AG1112" s="69">
        <v>3</v>
      </c>
      <c r="AH1112" s="69">
        <v>32</v>
      </c>
      <c r="AI1112" s="69">
        <v>578740</v>
      </c>
      <c r="AJ1112" s="67">
        <v>446740</v>
      </c>
      <c r="AK1112" s="69">
        <v>2025</v>
      </c>
      <c r="AL1112" s="61">
        <v>71747.61643835617</v>
      </c>
      <c r="AM1112" s="143"/>
    </row>
    <row r="1113" spans="1:39" x14ac:dyDescent="0.35">
      <c r="A1113" s="69" t="s">
        <v>4124</v>
      </c>
      <c r="B1113" s="41">
        <v>1121404029</v>
      </c>
      <c r="C1113" s="41"/>
      <c r="D1113" s="69"/>
      <c r="E1113" s="41">
        <v>0</v>
      </c>
      <c r="F1113" s="41" t="s">
        <v>2961</v>
      </c>
      <c r="G1113" s="69" t="s">
        <v>2960</v>
      </c>
      <c r="H1113" s="41">
        <v>9013000158</v>
      </c>
      <c r="I1113" s="41" t="s">
        <v>593</v>
      </c>
      <c r="J1113" s="41">
        <v>1202020101</v>
      </c>
      <c r="K1113" s="41" t="s">
        <v>3532</v>
      </c>
      <c r="L1113" s="52" t="s">
        <v>3533</v>
      </c>
      <c r="M1113" s="69" t="s">
        <v>3534</v>
      </c>
      <c r="N1113" s="69"/>
      <c r="O1113" s="69">
        <v>2</v>
      </c>
      <c r="P1113" s="69" t="s">
        <v>50</v>
      </c>
      <c r="Q1113" s="69" t="s">
        <v>51</v>
      </c>
      <c r="R1113" s="69"/>
      <c r="S1113" s="48">
        <v>44621</v>
      </c>
      <c r="T1113" s="48">
        <v>44621</v>
      </c>
      <c r="U1113" s="69"/>
      <c r="V1113" s="69"/>
      <c r="W1113" s="69"/>
      <c r="X1113" s="69"/>
      <c r="Y1113" s="69" t="s">
        <v>4131</v>
      </c>
      <c r="Z1113" s="52">
        <v>565228</v>
      </c>
      <c r="AA1113" s="43" t="s">
        <v>52</v>
      </c>
      <c r="AB1113" s="43" t="s">
        <v>53</v>
      </c>
      <c r="AC1113" s="85">
        <v>1460</v>
      </c>
      <c r="AD1113" s="141">
        <v>4</v>
      </c>
      <c r="AE1113" s="142">
        <v>0</v>
      </c>
      <c r="AF1113" s="69" t="str">
        <f t="shared" si="116"/>
        <v>2 years 307 days</v>
      </c>
      <c r="AG1113" s="69">
        <v>2</v>
      </c>
      <c r="AH1113" s="69">
        <v>307</v>
      </c>
      <c r="AI1113" s="69">
        <v>565228</v>
      </c>
      <c r="AJ1113" s="67">
        <v>394266</v>
      </c>
      <c r="AK1113" s="69">
        <v>2025</v>
      </c>
      <c r="AL1113" s="61">
        <v>70072.673424657551</v>
      </c>
      <c r="AM1113" s="143"/>
    </row>
    <row r="1114" spans="1:39" x14ac:dyDescent="0.35">
      <c r="A1114" s="69" t="s">
        <v>4124</v>
      </c>
      <c r="B1114" s="41">
        <v>1121403504</v>
      </c>
      <c r="C1114" s="41"/>
      <c r="D1114" s="69"/>
      <c r="E1114" s="41">
        <v>0</v>
      </c>
      <c r="F1114" s="41" t="s">
        <v>2961</v>
      </c>
      <c r="G1114" s="69" t="s">
        <v>2960</v>
      </c>
      <c r="H1114" s="41">
        <v>9013000159</v>
      </c>
      <c r="I1114" s="41" t="s">
        <v>593</v>
      </c>
      <c r="J1114" s="41">
        <v>1202020101</v>
      </c>
      <c r="K1114" s="41" t="s">
        <v>3536</v>
      </c>
      <c r="L1114" s="52" t="s">
        <v>3537</v>
      </c>
      <c r="M1114" s="69" t="s">
        <v>3538</v>
      </c>
      <c r="N1114" s="69"/>
      <c r="O1114" s="69">
        <v>1</v>
      </c>
      <c r="P1114" s="69" t="s">
        <v>50</v>
      </c>
      <c r="Q1114" s="69" t="s">
        <v>51</v>
      </c>
      <c r="R1114" s="69"/>
      <c r="S1114" s="48">
        <v>44195</v>
      </c>
      <c r="T1114" s="48">
        <v>44195</v>
      </c>
      <c r="U1114" s="69"/>
      <c r="V1114" s="69"/>
      <c r="W1114" s="69"/>
      <c r="X1114" s="69"/>
      <c r="Y1114" s="69" t="s">
        <v>4127</v>
      </c>
      <c r="Z1114" s="52">
        <v>1501600</v>
      </c>
      <c r="AA1114" s="43" t="s">
        <v>52</v>
      </c>
      <c r="AB1114" s="43" t="s">
        <v>53</v>
      </c>
      <c r="AC1114" s="85">
        <v>1460</v>
      </c>
      <c r="AD1114" s="141">
        <v>4</v>
      </c>
      <c r="AE1114" s="142">
        <v>0</v>
      </c>
      <c r="AF1114" s="69" t="str">
        <f t="shared" si="116"/>
        <v>4 years 0 days</v>
      </c>
      <c r="AG1114" s="69">
        <v>4</v>
      </c>
      <c r="AH1114" s="69">
        <v>0</v>
      </c>
      <c r="AI1114" s="69">
        <v>1501600</v>
      </c>
      <c r="AJ1114" s="67">
        <v>1501600</v>
      </c>
      <c r="AK1114" s="69">
        <v>2025</v>
      </c>
      <c r="AL1114" s="61">
        <v>0</v>
      </c>
      <c r="AM1114" s="143"/>
    </row>
    <row r="1115" spans="1:39" x14ac:dyDescent="0.35">
      <c r="A1115" s="69" t="s">
        <v>4124</v>
      </c>
      <c r="B1115" s="41">
        <v>1121400424</v>
      </c>
      <c r="C1115" s="41"/>
      <c r="D1115" s="69"/>
      <c r="E1115" s="41">
        <v>0</v>
      </c>
      <c r="F1115" s="41" t="s">
        <v>2961</v>
      </c>
      <c r="G1115" s="69" t="s">
        <v>2960</v>
      </c>
      <c r="H1115" s="41">
        <v>9013000160</v>
      </c>
      <c r="I1115" s="41" t="s">
        <v>1416</v>
      </c>
      <c r="J1115" s="41">
        <v>1202020104</v>
      </c>
      <c r="K1115" s="41" t="s">
        <v>3540</v>
      </c>
      <c r="L1115" s="52" t="s">
        <v>3541</v>
      </c>
      <c r="M1115" s="69" t="s">
        <v>49</v>
      </c>
      <c r="N1115" s="69"/>
      <c r="O1115" s="69">
        <v>1</v>
      </c>
      <c r="P1115" s="69" t="s">
        <v>50</v>
      </c>
      <c r="Q1115" s="69" t="s">
        <v>51</v>
      </c>
      <c r="R1115" s="69"/>
      <c r="S1115" s="48">
        <v>40258</v>
      </c>
      <c r="T1115" s="48">
        <v>43340</v>
      </c>
      <c r="U1115" s="69"/>
      <c r="V1115" s="69"/>
      <c r="W1115" s="69"/>
      <c r="X1115" s="69"/>
      <c r="Y1115" s="69" t="s">
        <v>4125</v>
      </c>
      <c r="Z1115" s="52">
        <v>200000</v>
      </c>
      <c r="AA1115" s="43" t="s">
        <v>52</v>
      </c>
      <c r="AB1115" s="43" t="s">
        <v>53</v>
      </c>
      <c r="AC1115" s="85">
        <v>183</v>
      </c>
      <c r="AD1115" s="141">
        <v>0</v>
      </c>
      <c r="AE1115" s="142">
        <v>6</v>
      </c>
      <c r="AF1115" s="69" t="str">
        <f t="shared" si="116"/>
        <v>0 years 183 days</v>
      </c>
      <c r="AG1115" s="69">
        <v>0</v>
      </c>
      <c r="AH1115" s="69">
        <v>183</v>
      </c>
      <c r="AI1115" s="69">
        <v>200000</v>
      </c>
      <c r="AJ1115" s="67">
        <v>200000</v>
      </c>
      <c r="AK1115" s="69">
        <v>2025</v>
      </c>
      <c r="AL1115" s="61">
        <v>0</v>
      </c>
      <c r="AM1115" s="143"/>
    </row>
    <row r="1116" spans="1:39" x14ac:dyDescent="0.35">
      <c r="A1116" s="69" t="s">
        <v>4124</v>
      </c>
      <c r="B1116" s="41">
        <v>1121504350</v>
      </c>
      <c r="C1116" s="41"/>
      <c r="D1116" s="69"/>
      <c r="E1116" s="41">
        <v>0</v>
      </c>
      <c r="F1116" s="41" t="s">
        <v>2961</v>
      </c>
      <c r="G1116" s="69" t="s">
        <v>2960</v>
      </c>
      <c r="H1116" s="41">
        <v>9013000161</v>
      </c>
      <c r="I1116" s="41" t="s">
        <v>1416</v>
      </c>
      <c r="J1116" s="41">
        <v>1202020104</v>
      </c>
      <c r="K1116" s="41" t="s">
        <v>3543</v>
      </c>
      <c r="L1116" s="52" t="s">
        <v>3544</v>
      </c>
      <c r="M1116" s="69" t="s">
        <v>3545</v>
      </c>
      <c r="N1116" s="69"/>
      <c r="O1116" s="69">
        <v>1</v>
      </c>
      <c r="P1116" s="69" t="s">
        <v>50</v>
      </c>
      <c r="Q1116" s="69" t="s">
        <v>51</v>
      </c>
      <c r="R1116" s="69"/>
      <c r="S1116" s="48">
        <v>43315</v>
      </c>
      <c r="T1116" s="48">
        <v>43340</v>
      </c>
      <c r="U1116" s="69"/>
      <c r="V1116" s="69"/>
      <c r="W1116" s="69"/>
      <c r="X1116" s="69"/>
      <c r="Y1116" s="69" t="s">
        <v>4125</v>
      </c>
      <c r="Z1116" s="52">
        <v>4075000</v>
      </c>
      <c r="AA1116" s="43" t="s">
        <v>52</v>
      </c>
      <c r="AB1116" s="43" t="s">
        <v>53</v>
      </c>
      <c r="AC1116" s="85">
        <v>1789</v>
      </c>
      <c r="AD1116" s="141">
        <v>4</v>
      </c>
      <c r="AE1116" s="142">
        <v>11</v>
      </c>
      <c r="AF1116" s="69" t="str">
        <f t="shared" si="116"/>
        <v>4 years 329 days</v>
      </c>
      <c r="AG1116" s="69">
        <v>4</v>
      </c>
      <c r="AH1116" s="69">
        <v>329</v>
      </c>
      <c r="AI1116" s="69">
        <v>4075000</v>
      </c>
      <c r="AJ1116" s="67">
        <v>4075000</v>
      </c>
      <c r="AK1116" s="69">
        <v>2025</v>
      </c>
      <c r="AL1116" s="61">
        <v>0</v>
      </c>
      <c r="AM1116" s="143"/>
    </row>
    <row r="1117" spans="1:39" x14ac:dyDescent="0.35">
      <c r="A1117" s="69" t="s">
        <v>4124</v>
      </c>
      <c r="B1117" s="41">
        <v>1121504414</v>
      </c>
      <c r="C1117" s="41"/>
      <c r="D1117" s="69"/>
      <c r="E1117" s="41">
        <v>0</v>
      </c>
      <c r="F1117" s="41" t="s">
        <v>2961</v>
      </c>
      <c r="G1117" s="69" t="s">
        <v>2960</v>
      </c>
      <c r="H1117" s="41">
        <v>9013000162</v>
      </c>
      <c r="I1117" s="41" t="s">
        <v>1416</v>
      </c>
      <c r="J1117" s="41">
        <v>1202020104</v>
      </c>
      <c r="K1117" s="41" t="s">
        <v>3547</v>
      </c>
      <c r="L1117" s="52" t="s">
        <v>3548</v>
      </c>
      <c r="M1117" s="69" t="s">
        <v>3549</v>
      </c>
      <c r="N1117" s="69"/>
      <c r="O1117" s="69">
        <v>1</v>
      </c>
      <c r="P1117" s="69" t="s">
        <v>50</v>
      </c>
      <c r="Q1117" s="69" t="s">
        <v>51</v>
      </c>
      <c r="R1117" s="69"/>
      <c r="S1117" s="48">
        <v>42802</v>
      </c>
      <c r="T1117" s="48">
        <v>43340</v>
      </c>
      <c r="U1117" s="69"/>
      <c r="V1117" s="69"/>
      <c r="W1117" s="69"/>
      <c r="X1117" s="69"/>
      <c r="Y1117" s="69" t="s">
        <v>4125</v>
      </c>
      <c r="Z1117" s="52">
        <v>125000</v>
      </c>
      <c r="AA1117" s="43" t="s">
        <v>52</v>
      </c>
      <c r="AB1117" s="43" t="s">
        <v>53</v>
      </c>
      <c r="AC1117" s="85">
        <v>1278</v>
      </c>
      <c r="AD1117" s="141">
        <v>3</v>
      </c>
      <c r="AE1117" s="142">
        <v>6</v>
      </c>
      <c r="AF1117" s="69" t="str">
        <f t="shared" si="116"/>
        <v>3 years 183 days</v>
      </c>
      <c r="AG1117" s="69">
        <v>3</v>
      </c>
      <c r="AH1117" s="69">
        <v>183</v>
      </c>
      <c r="AI1117" s="69">
        <v>125000</v>
      </c>
      <c r="AJ1117" s="67">
        <v>125000</v>
      </c>
      <c r="AK1117" s="69">
        <v>2025</v>
      </c>
      <c r="AL1117" s="61">
        <v>0</v>
      </c>
      <c r="AM1117" s="143"/>
    </row>
    <row r="1118" spans="1:39" x14ac:dyDescent="0.35">
      <c r="A1118" s="69" t="s">
        <v>4124</v>
      </c>
      <c r="B1118" s="41">
        <v>1121504356</v>
      </c>
      <c r="C1118" s="41"/>
      <c r="D1118" s="69"/>
      <c r="E1118" s="41">
        <v>0</v>
      </c>
      <c r="F1118" s="41" t="s">
        <v>2961</v>
      </c>
      <c r="G1118" s="69" t="s">
        <v>2960</v>
      </c>
      <c r="H1118" s="41">
        <v>9013000163</v>
      </c>
      <c r="I1118" s="41" t="s">
        <v>1416</v>
      </c>
      <c r="J1118" s="41">
        <v>1202020104</v>
      </c>
      <c r="K1118" s="41" t="s">
        <v>3551</v>
      </c>
      <c r="L1118" s="52" t="s">
        <v>3552</v>
      </c>
      <c r="M1118" s="69" t="s">
        <v>49</v>
      </c>
      <c r="N1118" s="69"/>
      <c r="O1118" s="69">
        <v>1</v>
      </c>
      <c r="P1118" s="69" t="s">
        <v>50</v>
      </c>
      <c r="Q1118" s="69" t="s">
        <v>51</v>
      </c>
      <c r="R1118" s="69"/>
      <c r="S1118" s="48">
        <v>43366</v>
      </c>
      <c r="T1118" s="48">
        <v>43366</v>
      </c>
      <c r="U1118" s="69"/>
      <c r="V1118" s="69"/>
      <c r="W1118" s="69"/>
      <c r="X1118" s="69"/>
      <c r="Y1118" s="69" t="s">
        <v>4125</v>
      </c>
      <c r="Z1118" s="52">
        <v>494522</v>
      </c>
      <c r="AA1118" s="43" t="s">
        <v>52</v>
      </c>
      <c r="AB1118" s="43" t="s">
        <v>53</v>
      </c>
      <c r="AC1118" s="85">
        <v>1460</v>
      </c>
      <c r="AD1118" s="141">
        <v>4</v>
      </c>
      <c r="AE1118" s="142">
        <v>0</v>
      </c>
      <c r="AF1118" s="69" t="str">
        <f t="shared" si="116"/>
        <v>4 years 0 days</v>
      </c>
      <c r="AG1118" s="69">
        <v>4</v>
      </c>
      <c r="AH1118" s="69">
        <v>0</v>
      </c>
      <c r="AI1118" s="69">
        <v>494522</v>
      </c>
      <c r="AJ1118" s="67">
        <v>494522</v>
      </c>
      <c r="AK1118" s="69">
        <v>2025</v>
      </c>
      <c r="AL1118" s="61">
        <v>0</v>
      </c>
      <c r="AM1118" s="143"/>
    </row>
    <row r="1119" spans="1:39" x14ac:dyDescent="0.35">
      <c r="A1119" s="69" t="s">
        <v>4124</v>
      </c>
      <c r="B1119" s="41">
        <v>1121504274</v>
      </c>
      <c r="C1119" s="41"/>
      <c r="D1119" s="69"/>
      <c r="E1119" s="41">
        <v>0</v>
      </c>
      <c r="F1119" s="41" t="s">
        <v>2961</v>
      </c>
      <c r="G1119" s="69" t="s">
        <v>2960</v>
      </c>
      <c r="H1119" s="41">
        <v>9013000164</v>
      </c>
      <c r="I1119" s="41" t="s">
        <v>1416</v>
      </c>
      <c r="J1119" s="41">
        <v>1202020104</v>
      </c>
      <c r="K1119" s="41" t="s">
        <v>3554</v>
      </c>
      <c r="L1119" s="52" t="s">
        <v>3555</v>
      </c>
      <c r="M1119" s="69" t="s">
        <v>3556</v>
      </c>
      <c r="N1119" s="69"/>
      <c r="O1119" s="69">
        <v>1</v>
      </c>
      <c r="P1119" s="69" t="s">
        <v>50</v>
      </c>
      <c r="Q1119" s="69" t="s">
        <v>51</v>
      </c>
      <c r="R1119" s="69"/>
      <c r="S1119" s="48">
        <v>43709</v>
      </c>
      <c r="T1119" s="48">
        <v>43709</v>
      </c>
      <c r="U1119" s="69"/>
      <c r="V1119" s="69"/>
      <c r="W1119" s="69"/>
      <c r="X1119" s="69"/>
      <c r="Y1119" s="69" t="s">
        <v>4126</v>
      </c>
      <c r="Z1119" s="52">
        <v>1882470</v>
      </c>
      <c r="AA1119" s="43" t="s">
        <v>52</v>
      </c>
      <c r="AB1119" s="43" t="s">
        <v>53</v>
      </c>
      <c r="AC1119" s="85">
        <v>1460</v>
      </c>
      <c r="AD1119" s="141">
        <v>4</v>
      </c>
      <c r="AE1119" s="142">
        <v>0</v>
      </c>
      <c r="AF1119" s="69" t="str">
        <f t="shared" si="116"/>
        <v>4 years 0 days</v>
      </c>
      <c r="AG1119" s="69">
        <v>4</v>
      </c>
      <c r="AH1119" s="69">
        <v>0</v>
      </c>
      <c r="AI1119" s="69">
        <v>1882470</v>
      </c>
      <c r="AJ1119" s="67">
        <v>1882470</v>
      </c>
      <c r="AK1119" s="69">
        <v>2025</v>
      </c>
      <c r="AL1119" s="61">
        <v>0</v>
      </c>
      <c r="AM1119" s="143"/>
    </row>
    <row r="1120" spans="1:39" x14ac:dyDescent="0.35">
      <c r="A1120" s="69" t="s">
        <v>4124</v>
      </c>
      <c r="B1120" s="41">
        <v>1121504275</v>
      </c>
      <c r="C1120" s="41"/>
      <c r="D1120" s="69"/>
      <c r="E1120" s="41">
        <v>0</v>
      </c>
      <c r="F1120" s="41" t="s">
        <v>2961</v>
      </c>
      <c r="G1120" s="69" t="s">
        <v>2960</v>
      </c>
      <c r="H1120" s="41">
        <v>9013000165</v>
      </c>
      <c r="I1120" s="41" t="s">
        <v>1416</v>
      </c>
      <c r="J1120" s="41">
        <v>1202020104</v>
      </c>
      <c r="K1120" s="41" t="s">
        <v>3558</v>
      </c>
      <c r="L1120" s="52" t="s">
        <v>3559</v>
      </c>
      <c r="M1120" s="69" t="s">
        <v>3560</v>
      </c>
      <c r="N1120" s="69"/>
      <c r="O1120" s="69">
        <v>1</v>
      </c>
      <c r="P1120" s="69" t="s">
        <v>50</v>
      </c>
      <c r="Q1120" s="69" t="s">
        <v>51</v>
      </c>
      <c r="R1120" s="69"/>
      <c r="S1120" s="48">
        <v>44461</v>
      </c>
      <c r="T1120" s="48">
        <v>44461</v>
      </c>
      <c r="U1120" s="69"/>
      <c r="V1120" s="69"/>
      <c r="W1120" s="69"/>
      <c r="X1120" s="69"/>
      <c r="Y1120" s="69" t="s">
        <v>4128</v>
      </c>
      <c r="Z1120" s="52">
        <v>320000</v>
      </c>
      <c r="AA1120" s="43" t="s">
        <v>52</v>
      </c>
      <c r="AB1120" s="43" t="s">
        <v>53</v>
      </c>
      <c r="AC1120" s="85">
        <v>1460</v>
      </c>
      <c r="AD1120" s="141">
        <v>4</v>
      </c>
      <c r="AE1120" s="142">
        <v>0</v>
      </c>
      <c r="AF1120" s="69" t="str">
        <f t="shared" si="116"/>
        <v>3 years 102 days</v>
      </c>
      <c r="AG1120" s="69">
        <v>3</v>
      </c>
      <c r="AH1120" s="69">
        <v>102</v>
      </c>
      <c r="AI1120" s="69">
        <v>320000</v>
      </c>
      <c r="AJ1120" s="67">
        <v>262356</v>
      </c>
      <c r="AK1120" s="69">
        <v>2025</v>
      </c>
      <c r="AL1120" s="61">
        <v>39671.397260273923</v>
      </c>
      <c r="AM1120" s="143"/>
    </row>
    <row r="1121" spans="1:39" x14ac:dyDescent="0.35">
      <c r="A1121" s="69" t="s">
        <v>4124</v>
      </c>
      <c r="B1121" s="41">
        <v>1121504351</v>
      </c>
      <c r="C1121" s="41"/>
      <c r="D1121" s="69"/>
      <c r="E1121" s="41">
        <v>0</v>
      </c>
      <c r="F1121" s="41" t="s">
        <v>2961</v>
      </c>
      <c r="G1121" s="69" t="s">
        <v>2960</v>
      </c>
      <c r="H1121" s="41">
        <v>9013000166</v>
      </c>
      <c r="I1121" s="41" t="s">
        <v>1416</v>
      </c>
      <c r="J1121" s="41">
        <v>1202020104</v>
      </c>
      <c r="K1121" s="41" t="s">
        <v>3562</v>
      </c>
      <c r="L1121" s="52" t="s">
        <v>3563</v>
      </c>
      <c r="M1121" s="69" t="s">
        <v>49</v>
      </c>
      <c r="N1121" s="69"/>
      <c r="O1121" s="69">
        <v>1</v>
      </c>
      <c r="P1121" s="69" t="s">
        <v>50</v>
      </c>
      <c r="Q1121" s="69" t="s">
        <v>51</v>
      </c>
      <c r="R1121" s="69"/>
      <c r="S1121" s="48">
        <v>43369</v>
      </c>
      <c r="T1121" s="48">
        <v>43369</v>
      </c>
      <c r="U1121" s="69"/>
      <c r="V1121" s="69"/>
      <c r="W1121" s="69"/>
      <c r="X1121" s="69"/>
      <c r="Y1121" s="69" t="s">
        <v>4125</v>
      </c>
      <c r="Z1121" s="52">
        <v>210000</v>
      </c>
      <c r="AA1121" s="43" t="s">
        <v>52</v>
      </c>
      <c r="AB1121" s="43" t="s">
        <v>53</v>
      </c>
      <c r="AC1121" s="85">
        <v>1460</v>
      </c>
      <c r="AD1121" s="141">
        <v>4</v>
      </c>
      <c r="AE1121" s="142">
        <v>0</v>
      </c>
      <c r="AF1121" s="69" t="str">
        <f t="shared" si="116"/>
        <v>4 years 0 days</v>
      </c>
      <c r="AG1121" s="69">
        <v>4</v>
      </c>
      <c r="AH1121" s="69">
        <v>0</v>
      </c>
      <c r="AI1121" s="69">
        <v>210000</v>
      </c>
      <c r="AJ1121" s="67">
        <v>210000</v>
      </c>
      <c r="AK1121" s="69">
        <v>2025</v>
      </c>
      <c r="AL1121" s="61">
        <v>0</v>
      </c>
      <c r="AM1121" s="143"/>
    </row>
    <row r="1122" spans="1:39" x14ac:dyDescent="0.35">
      <c r="A1122" s="69" t="s">
        <v>4124</v>
      </c>
      <c r="B1122" s="41">
        <v>1121504347</v>
      </c>
      <c r="C1122" s="41"/>
      <c r="D1122" s="69"/>
      <c r="E1122" s="41">
        <v>0</v>
      </c>
      <c r="F1122" s="41" t="s">
        <v>2961</v>
      </c>
      <c r="G1122" s="69" t="s">
        <v>2960</v>
      </c>
      <c r="H1122" s="41">
        <v>9013000167</v>
      </c>
      <c r="I1122" s="41" t="s">
        <v>1416</v>
      </c>
      <c r="J1122" s="41">
        <v>1202020104</v>
      </c>
      <c r="K1122" s="41" t="s">
        <v>3565</v>
      </c>
      <c r="L1122" s="52" t="s">
        <v>3566</v>
      </c>
      <c r="M1122" s="69" t="s">
        <v>3567</v>
      </c>
      <c r="N1122" s="69"/>
      <c r="O1122" s="69">
        <v>1</v>
      </c>
      <c r="P1122" s="69" t="s">
        <v>50</v>
      </c>
      <c r="Q1122" s="69" t="s">
        <v>51</v>
      </c>
      <c r="R1122" s="69"/>
      <c r="S1122" s="48">
        <v>42675</v>
      </c>
      <c r="T1122" s="48">
        <v>43340</v>
      </c>
      <c r="U1122" s="69"/>
      <c r="V1122" s="69"/>
      <c r="W1122" s="69"/>
      <c r="X1122" s="69"/>
      <c r="Y1122" s="69" t="s">
        <v>4125</v>
      </c>
      <c r="Z1122" s="52">
        <v>1625000</v>
      </c>
      <c r="AA1122" s="43" t="s">
        <v>52</v>
      </c>
      <c r="AB1122" s="43" t="s">
        <v>53</v>
      </c>
      <c r="AC1122" s="85">
        <v>1132</v>
      </c>
      <c r="AD1122" s="141">
        <v>3</v>
      </c>
      <c r="AE1122" s="142">
        <v>1</v>
      </c>
      <c r="AF1122" s="69" t="str">
        <f t="shared" si="116"/>
        <v>3 years 37 days</v>
      </c>
      <c r="AG1122" s="69">
        <v>3</v>
      </c>
      <c r="AH1122" s="69">
        <v>37</v>
      </c>
      <c r="AI1122" s="69">
        <v>1625000</v>
      </c>
      <c r="AJ1122" s="67">
        <v>1625000</v>
      </c>
      <c r="AK1122" s="69">
        <v>2025</v>
      </c>
      <c r="AL1122" s="61">
        <v>0</v>
      </c>
      <c r="AM1122" s="143"/>
    </row>
    <row r="1123" spans="1:39" x14ac:dyDescent="0.35">
      <c r="A1123" s="69" t="s">
        <v>4124</v>
      </c>
      <c r="B1123" s="41">
        <v>1121504283</v>
      </c>
      <c r="C1123" s="41"/>
      <c r="D1123" s="69"/>
      <c r="E1123" s="41">
        <v>0</v>
      </c>
      <c r="F1123" s="41" t="s">
        <v>2961</v>
      </c>
      <c r="G1123" s="69" t="s">
        <v>2960</v>
      </c>
      <c r="H1123" s="41">
        <v>9013000168</v>
      </c>
      <c r="I1123" s="41" t="s">
        <v>1416</v>
      </c>
      <c r="J1123" s="41">
        <v>1202020104</v>
      </c>
      <c r="K1123" s="41" t="s">
        <v>3569</v>
      </c>
      <c r="L1123" s="52" t="s">
        <v>3570</v>
      </c>
      <c r="M1123" s="69" t="s">
        <v>49</v>
      </c>
      <c r="N1123" s="69"/>
      <c r="O1123" s="69">
        <v>1</v>
      </c>
      <c r="P1123" s="69" t="s">
        <v>50</v>
      </c>
      <c r="Q1123" s="69" t="s">
        <v>51</v>
      </c>
      <c r="R1123" s="69"/>
      <c r="S1123" s="48">
        <v>42767</v>
      </c>
      <c r="T1123" s="48">
        <v>43340</v>
      </c>
      <c r="U1123" s="69"/>
      <c r="V1123" s="69"/>
      <c r="W1123" s="69"/>
      <c r="X1123" s="69"/>
      <c r="Y1123" s="69" t="s">
        <v>4125</v>
      </c>
      <c r="Z1123" s="52">
        <v>2250000</v>
      </c>
      <c r="AA1123" s="43" t="s">
        <v>52</v>
      </c>
      <c r="AB1123" s="43" t="s">
        <v>53</v>
      </c>
      <c r="AC1123" s="85">
        <v>1241</v>
      </c>
      <c r="AD1123" s="141">
        <v>3</v>
      </c>
      <c r="AE1123" s="142">
        <v>5</v>
      </c>
      <c r="AF1123" s="69" t="str">
        <f t="shared" si="116"/>
        <v>3 years 146 days</v>
      </c>
      <c r="AG1123" s="69">
        <v>3</v>
      </c>
      <c r="AH1123" s="69">
        <v>146</v>
      </c>
      <c r="AI1123" s="69">
        <v>2250000</v>
      </c>
      <c r="AJ1123" s="67">
        <v>2250000</v>
      </c>
      <c r="AK1123" s="69">
        <v>2025</v>
      </c>
      <c r="AL1123" s="61">
        <v>0</v>
      </c>
      <c r="AM1123" s="143"/>
    </row>
    <row r="1124" spans="1:39" x14ac:dyDescent="0.35">
      <c r="A1124" s="69" t="s">
        <v>4124</v>
      </c>
      <c r="B1124" s="41">
        <v>1121504284</v>
      </c>
      <c r="C1124" s="41"/>
      <c r="D1124" s="69"/>
      <c r="E1124" s="41">
        <v>0</v>
      </c>
      <c r="F1124" s="41" t="s">
        <v>2961</v>
      </c>
      <c r="G1124" s="69" t="s">
        <v>2960</v>
      </c>
      <c r="H1124" s="41">
        <v>9013000169</v>
      </c>
      <c r="I1124" s="41" t="s">
        <v>1416</v>
      </c>
      <c r="J1124" s="41">
        <v>1202020104</v>
      </c>
      <c r="K1124" s="41" t="s">
        <v>3572</v>
      </c>
      <c r="L1124" s="52" t="s">
        <v>3573</v>
      </c>
      <c r="M1124" s="69" t="s">
        <v>3574</v>
      </c>
      <c r="N1124" s="69"/>
      <c r="O1124" s="69">
        <v>1</v>
      </c>
      <c r="P1124" s="69" t="s">
        <v>50</v>
      </c>
      <c r="Q1124" s="69" t="s">
        <v>51</v>
      </c>
      <c r="R1124" s="69"/>
      <c r="S1124" s="48">
        <v>43011</v>
      </c>
      <c r="T1124" s="48">
        <v>43340</v>
      </c>
      <c r="U1124" s="69"/>
      <c r="V1124" s="69"/>
      <c r="W1124" s="69"/>
      <c r="X1124" s="69"/>
      <c r="Y1124" s="69" t="s">
        <v>4125</v>
      </c>
      <c r="Z1124" s="52">
        <v>300000</v>
      </c>
      <c r="AA1124" s="43" t="s">
        <v>52</v>
      </c>
      <c r="AB1124" s="43" t="s">
        <v>53</v>
      </c>
      <c r="AC1124" s="85">
        <v>1241</v>
      </c>
      <c r="AD1124" s="141">
        <v>3</v>
      </c>
      <c r="AE1124" s="142">
        <v>5</v>
      </c>
      <c r="AF1124" s="69" t="str">
        <f t="shared" si="116"/>
        <v>3 years 146 days</v>
      </c>
      <c r="AG1124" s="69">
        <v>3</v>
      </c>
      <c r="AH1124" s="69">
        <v>146</v>
      </c>
      <c r="AI1124" s="69">
        <v>300000</v>
      </c>
      <c r="AJ1124" s="67">
        <v>300000</v>
      </c>
      <c r="AK1124" s="69">
        <v>2025</v>
      </c>
      <c r="AL1124" s="61">
        <v>0</v>
      </c>
      <c r="AM1124" s="143"/>
    </row>
    <row r="1125" spans="1:39" x14ac:dyDescent="0.35">
      <c r="A1125" s="69" t="s">
        <v>4124</v>
      </c>
      <c r="B1125" s="41">
        <v>1121504297</v>
      </c>
      <c r="C1125" s="41"/>
      <c r="D1125" s="69"/>
      <c r="E1125" s="41">
        <v>0</v>
      </c>
      <c r="F1125" s="41" t="s">
        <v>2961</v>
      </c>
      <c r="G1125" s="69" t="s">
        <v>2960</v>
      </c>
      <c r="H1125" s="41">
        <v>9013000170</v>
      </c>
      <c r="I1125" s="41" t="s">
        <v>1416</v>
      </c>
      <c r="J1125" s="41">
        <v>1202020104</v>
      </c>
      <c r="K1125" s="41" t="s">
        <v>3576</v>
      </c>
      <c r="L1125" s="52" t="s">
        <v>3577</v>
      </c>
      <c r="M1125" s="69" t="s">
        <v>49</v>
      </c>
      <c r="N1125" s="69"/>
      <c r="O1125" s="69">
        <v>1</v>
      </c>
      <c r="P1125" s="69" t="s">
        <v>50</v>
      </c>
      <c r="Q1125" s="69" t="s">
        <v>51</v>
      </c>
      <c r="R1125" s="69"/>
      <c r="S1125" s="48">
        <v>41883</v>
      </c>
      <c r="T1125" s="48">
        <v>43340</v>
      </c>
      <c r="U1125" s="69"/>
      <c r="V1125" s="69"/>
      <c r="W1125" s="69"/>
      <c r="X1125" s="69"/>
      <c r="Y1125" s="69" t="s">
        <v>4125</v>
      </c>
      <c r="Z1125" s="52">
        <v>600000</v>
      </c>
      <c r="AA1125" s="43" t="s">
        <v>52</v>
      </c>
      <c r="AB1125" s="43" t="s">
        <v>53</v>
      </c>
      <c r="AC1125" s="85">
        <v>365</v>
      </c>
      <c r="AD1125" s="141">
        <v>1</v>
      </c>
      <c r="AE1125" s="142">
        <v>0</v>
      </c>
      <c r="AF1125" s="69" t="str">
        <f t="shared" si="116"/>
        <v>1 years 0 days</v>
      </c>
      <c r="AG1125" s="69">
        <v>1</v>
      </c>
      <c r="AH1125" s="69">
        <v>0</v>
      </c>
      <c r="AI1125" s="69">
        <v>600000</v>
      </c>
      <c r="AJ1125" s="67">
        <v>600000</v>
      </c>
      <c r="AK1125" s="69">
        <v>2025</v>
      </c>
      <c r="AL1125" s="61">
        <v>0</v>
      </c>
      <c r="AM1125" s="143"/>
    </row>
    <row r="1126" spans="1:39" x14ac:dyDescent="0.35">
      <c r="A1126" s="69" t="s">
        <v>4124</v>
      </c>
      <c r="B1126" s="41">
        <v>1121504364</v>
      </c>
      <c r="C1126" s="41"/>
      <c r="D1126" s="69"/>
      <c r="E1126" s="41">
        <v>0</v>
      </c>
      <c r="F1126" s="41" t="s">
        <v>2961</v>
      </c>
      <c r="G1126" s="69" t="s">
        <v>2960</v>
      </c>
      <c r="H1126" s="41">
        <v>9013000171</v>
      </c>
      <c r="I1126" s="41" t="s">
        <v>1416</v>
      </c>
      <c r="J1126" s="41">
        <v>1202020104</v>
      </c>
      <c r="K1126" s="41" t="s">
        <v>3579</v>
      </c>
      <c r="L1126" s="52" t="s">
        <v>3580</v>
      </c>
      <c r="M1126" s="69" t="s">
        <v>3581</v>
      </c>
      <c r="N1126" s="69"/>
      <c r="O1126" s="69">
        <v>1</v>
      </c>
      <c r="P1126" s="69" t="s">
        <v>50</v>
      </c>
      <c r="Q1126" s="69" t="s">
        <v>51</v>
      </c>
      <c r="R1126" s="69"/>
      <c r="S1126" s="48">
        <v>42466</v>
      </c>
      <c r="T1126" s="48">
        <v>43340</v>
      </c>
      <c r="U1126" s="69"/>
      <c r="V1126" s="69"/>
      <c r="W1126" s="69"/>
      <c r="X1126" s="69"/>
      <c r="Y1126" s="69" t="s">
        <v>4125</v>
      </c>
      <c r="Z1126" s="52">
        <v>450000</v>
      </c>
      <c r="AA1126" s="43" t="s">
        <v>52</v>
      </c>
      <c r="AB1126" s="43" t="s">
        <v>53</v>
      </c>
      <c r="AC1126" s="85">
        <v>913</v>
      </c>
      <c r="AD1126" s="141">
        <v>2</v>
      </c>
      <c r="AE1126" s="142">
        <v>6</v>
      </c>
      <c r="AF1126" s="69" t="str">
        <f t="shared" si="116"/>
        <v>2 years 183 days</v>
      </c>
      <c r="AG1126" s="69">
        <v>2</v>
      </c>
      <c r="AH1126" s="69">
        <v>183</v>
      </c>
      <c r="AI1126" s="69">
        <v>450000</v>
      </c>
      <c r="AJ1126" s="67">
        <v>450000</v>
      </c>
      <c r="AK1126" s="69">
        <v>2025</v>
      </c>
      <c r="AL1126" s="61">
        <v>0</v>
      </c>
      <c r="AM1126" s="143"/>
    </row>
    <row r="1127" spans="1:39" x14ac:dyDescent="0.35">
      <c r="A1127" s="69" t="s">
        <v>4124</v>
      </c>
      <c r="B1127" s="41">
        <v>1121504363</v>
      </c>
      <c r="C1127" s="41"/>
      <c r="D1127" s="69"/>
      <c r="E1127" s="41">
        <v>0</v>
      </c>
      <c r="F1127" s="41" t="s">
        <v>2961</v>
      </c>
      <c r="G1127" s="69" t="s">
        <v>2960</v>
      </c>
      <c r="H1127" s="41">
        <v>9013000172</v>
      </c>
      <c r="I1127" s="41" t="s">
        <v>1416</v>
      </c>
      <c r="J1127" s="41">
        <v>1202020104</v>
      </c>
      <c r="K1127" s="41" t="s">
        <v>3583</v>
      </c>
      <c r="L1127" s="52" t="s">
        <v>3584</v>
      </c>
      <c r="M1127" s="69" t="s">
        <v>3585</v>
      </c>
      <c r="N1127" s="69"/>
      <c r="O1127" s="69">
        <v>1</v>
      </c>
      <c r="P1127" s="69" t="s">
        <v>50</v>
      </c>
      <c r="Q1127" s="69" t="s">
        <v>51</v>
      </c>
      <c r="R1127" s="69"/>
      <c r="S1127" s="48">
        <v>41932</v>
      </c>
      <c r="T1127" s="48">
        <v>43340</v>
      </c>
      <c r="U1127" s="69"/>
      <c r="V1127" s="69"/>
      <c r="W1127" s="69"/>
      <c r="X1127" s="69"/>
      <c r="Y1127" s="69" t="s">
        <v>4125</v>
      </c>
      <c r="Z1127" s="52">
        <v>460000</v>
      </c>
      <c r="AA1127" s="43" t="s">
        <v>52</v>
      </c>
      <c r="AB1127" s="43" t="s">
        <v>53</v>
      </c>
      <c r="AC1127" s="85">
        <v>402</v>
      </c>
      <c r="AD1127" s="141">
        <v>1</v>
      </c>
      <c r="AE1127" s="142">
        <v>1</v>
      </c>
      <c r="AF1127" s="69" t="str">
        <f t="shared" si="116"/>
        <v>1 years 37 days</v>
      </c>
      <c r="AG1127" s="69">
        <v>1</v>
      </c>
      <c r="AH1127" s="69">
        <v>37</v>
      </c>
      <c r="AI1127" s="69">
        <v>460000</v>
      </c>
      <c r="AJ1127" s="67">
        <v>460000</v>
      </c>
      <c r="AK1127" s="69">
        <v>2025</v>
      </c>
      <c r="AL1127" s="61">
        <v>0</v>
      </c>
      <c r="AM1127" s="143"/>
    </row>
    <row r="1128" spans="1:39" x14ac:dyDescent="0.35">
      <c r="A1128" s="69" t="s">
        <v>4124</v>
      </c>
      <c r="B1128" s="41">
        <v>1121405363</v>
      </c>
      <c r="C1128" s="41"/>
      <c r="D1128" s="69"/>
      <c r="E1128" s="41">
        <v>0</v>
      </c>
      <c r="F1128" s="41" t="s">
        <v>2961</v>
      </c>
      <c r="G1128" s="69" t="s">
        <v>2960</v>
      </c>
      <c r="H1128" s="41">
        <v>9013000173</v>
      </c>
      <c r="I1128" s="41" t="s">
        <v>1416</v>
      </c>
      <c r="J1128" s="41">
        <v>1202020104</v>
      </c>
      <c r="K1128" s="41" t="s">
        <v>3587</v>
      </c>
      <c r="L1128" s="52" t="s">
        <v>3588</v>
      </c>
      <c r="M1128" s="69" t="s">
        <v>3589</v>
      </c>
      <c r="N1128" s="69"/>
      <c r="O1128" s="69">
        <v>1</v>
      </c>
      <c r="P1128" s="69" t="s">
        <v>50</v>
      </c>
      <c r="Q1128" s="69" t="s">
        <v>51</v>
      </c>
      <c r="R1128" s="69"/>
      <c r="S1128" s="48">
        <v>45672</v>
      </c>
      <c r="T1128" s="48">
        <v>45672</v>
      </c>
      <c r="U1128" s="69"/>
      <c r="V1128" s="69"/>
      <c r="W1128" s="69"/>
      <c r="X1128" s="69"/>
      <c r="Y1128" s="69" t="s">
        <v>4132</v>
      </c>
      <c r="Z1128" s="83">
        <v>480000</v>
      </c>
      <c r="AA1128" s="43" t="s">
        <v>52</v>
      </c>
      <c r="AB1128" s="43" t="s">
        <v>53</v>
      </c>
      <c r="AC1128" s="85">
        <v>1460</v>
      </c>
      <c r="AD1128" s="141">
        <v>4</v>
      </c>
      <c r="AE1128" s="142">
        <v>0</v>
      </c>
      <c r="AF1128" s="69" t="str">
        <f t="shared" si="116"/>
        <v>0 years 0 days</v>
      </c>
      <c r="AG1128" s="69">
        <v>0</v>
      </c>
      <c r="AH1128" s="69">
        <v>0</v>
      </c>
      <c r="AI1128" s="69">
        <v>480000</v>
      </c>
      <c r="AJ1128" s="67">
        <v>0</v>
      </c>
      <c r="AK1128" s="69">
        <v>2025</v>
      </c>
      <c r="AL1128" s="61">
        <v>54904.109589041094</v>
      </c>
      <c r="AM1128" s="143"/>
    </row>
    <row r="1129" spans="1:39" x14ac:dyDescent="0.35">
      <c r="A1129" s="69" t="s">
        <v>4124</v>
      </c>
      <c r="B1129" s="41">
        <v>1121504365</v>
      </c>
      <c r="C1129" s="41"/>
      <c r="D1129" s="69"/>
      <c r="E1129" s="41">
        <v>0</v>
      </c>
      <c r="F1129" s="41" t="s">
        <v>2961</v>
      </c>
      <c r="G1129" s="69" t="s">
        <v>2960</v>
      </c>
      <c r="H1129" s="41">
        <v>9013000174</v>
      </c>
      <c r="I1129" s="41" t="s">
        <v>1416</v>
      </c>
      <c r="J1129" s="41">
        <v>1202020104</v>
      </c>
      <c r="K1129" s="41" t="s">
        <v>3591</v>
      </c>
      <c r="L1129" s="52" t="s">
        <v>3592</v>
      </c>
      <c r="M1129" s="69" t="s">
        <v>49</v>
      </c>
      <c r="N1129" s="69"/>
      <c r="O1129" s="69">
        <v>1</v>
      </c>
      <c r="P1129" s="69" t="s">
        <v>50</v>
      </c>
      <c r="Q1129" s="69" t="s">
        <v>51</v>
      </c>
      <c r="R1129" s="69"/>
      <c r="S1129" s="48">
        <v>42802</v>
      </c>
      <c r="T1129" s="48">
        <v>43340</v>
      </c>
      <c r="U1129" s="69"/>
      <c r="V1129" s="69"/>
      <c r="W1129" s="69"/>
      <c r="X1129" s="69"/>
      <c r="Y1129" s="69" t="s">
        <v>4125</v>
      </c>
      <c r="Z1129" s="52">
        <v>140000</v>
      </c>
      <c r="AA1129" s="43" t="s">
        <v>52</v>
      </c>
      <c r="AB1129" s="43" t="s">
        <v>53</v>
      </c>
      <c r="AC1129" s="85">
        <v>1168</v>
      </c>
      <c r="AD1129" s="141">
        <v>3</v>
      </c>
      <c r="AE1129" s="142">
        <v>2</v>
      </c>
      <c r="AF1129" s="69" t="str">
        <f t="shared" si="116"/>
        <v>3 years 73 days</v>
      </c>
      <c r="AG1129" s="69">
        <v>3</v>
      </c>
      <c r="AH1129" s="69">
        <v>73</v>
      </c>
      <c r="AI1129" s="69">
        <v>140000</v>
      </c>
      <c r="AJ1129" s="67">
        <v>140000</v>
      </c>
      <c r="AK1129" s="69">
        <v>2025</v>
      </c>
      <c r="AL1129" s="61">
        <v>0</v>
      </c>
      <c r="AM1129" s="143"/>
    </row>
    <row r="1130" spans="1:39" x14ac:dyDescent="0.35">
      <c r="A1130" s="69" t="s">
        <v>4124</v>
      </c>
      <c r="B1130" s="41">
        <v>1121504411</v>
      </c>
      <c r="C1130" s="41"/>
      <c r="D1130" s="69"/>
      <c r="E1130" s="41">
        <v>0</v>
      </c>
      <c r="F1130" s="41" t="s">
        <v>2961</v>
      </c>
      <c r="G1130" s="69" t="s">
        <v>2960</v>
      </c>
      <c r="H1130" s="41">
        <v>9013000175</v>
      </c>
      <c r="I1130" s="41" t="s">
        <v>1416</v>
      </c>
      <c r="J1130" s="41">
        <v>1202020104</v>
      </c>
      <c r="K1130" s="41" t="s">
        <v>3594</v>
      </c>
      <c r="L1130" s="52" t="s">
        <v>3595</v>
      </c>
      <c r="M1130" s="69" t="s">
        <v>3596</v>
      </c>
      <c r="N1130" s="69"/>
      <c r="O1130" s="69">
        <v>1</v>
      </c>
      <c r="P1130" s="69" t="s">
        <v>50</v>
      </c>
      <c r="Q1130" s="69" t="s">
        <v>51</v>
      </c>
      <c r="R1130" s="69"/>
      <c r="S1130" s="48">
        <v>41932</v>
      </c>
      <c r="T1130" s="48">
        <v>43340</v>
      </c>
      <c r="U1130" s="69"/>
      <c r="V1130" s="69"/>
      <c r="W1130" s="69"/>
      <c r="X1130" s="69"/>
      <c r="Y1130" s="69" t="s">
        <v>4125</v>
      </c>
      <c r="Z1130" s="52">
        <v>48000</v>
      </c>
      <c r="AA1130" s="43" t="s">
        <v>52</v>
      </c>
      <c r="AB1130" s="43" t="s">
        <v>53</v>
      </c>
      <c r="AC1130" s="85">
        <v>402</v>
      </c>
      <c r="AD1130" s="141">
        <v>1</v>
      </c>
      <c r="AE1130" s="142">
        <v>1</v>
      </c>
      <c r="AF1130" s="69" t="str">
        <f t="shared" si="116"/>
        <v>1 years 37 days</v>
      </c>
      <c r="AG1130" s="69">
        <v>1</v>
      </c>
      <c r="AH1130" s="69">
        <v>37</v>
      </c>
      <c r="AI1130" s="69">
        <v>48000</v>
      </c>
      <c r="AJ1130" s="67">
        <v>48000</v>
      </c>
      <c r="AK1130" s="69">
        <v>2025</v>
      </c>
      <c r="AL1130" s="61">
        <v>0</v>
      </c>
      <c r="AM1130" s="143"/>
    </row>
    <row r="1131" spans="1:39" x14ac:dyDescent="0.35">
      <c r="A1131" s="69" t="s">
        <v>4124</v>
      </c>
      <c r="B1131" s="41">
        <v>1121102787</v>
      </c>
      <c r="C1131" s="41"/>
      <c r="D1131" s="69"/>
      <c r="E1131" s="41">
        <v>0</v>
      </c>
      <c r="F1131" s="41" t="s">
        <v>2961</v>
      </c>
      <c r="G1131" s="69" t="s">
        <v>2960</v>
      </c>
      <c r="H1131" s="41">
        <v>9013000176</v>
      </c>
      <c r="I1131" s="41" t="s">
        <v>1416</v>
      </c>
      <c r="J1131" s="41">
        <v>1202020104</v>
      </c>
      <c r="K1131" s="41" t="s">
        <v>3598</v>
      </c>
      <c r="L1131" s="52" t="s">
        <v>3599</v>
      </c>
      <c r="M1131" s="69" t="s">
        <v>49</v>
      </c>
      <c r="N1131" s="69"/>
      <c r="O1131" s="69">
        <v>1</v>
      </c>
      <c r="P1131" s="69" t="s">
        <v>50</v>
      </c>
      <c r="Q1131" s="69" t="s">
        <v>51</v>
      </c>
      <c r="R1131" s="69"/>
      <c r="S1131" s="48">
        <v>40973</v>
      </c>
      <c r="T1131" s="48">
        <v>43340</v>
      </c>
      <c r="U1131" s="69"/>
      <c r="V1131" s="69"/>
      <c r="W1131" s="69"/>
      <c r="X1131" s="69"/>
      <c r="Y1131" s="69" t="s">
        <v>4125</v>
      </c>
      <c r="Z1131" s="52">
        <v>5500</v>
      </c>
      <c r="AA1131" s="43" t="s">
        <v>52</v>
      </c>
      <c r="AB1131" s="43" t="s">
        <v>53</v>
      </c>
      <c r="AC1131" s="85">
        <v>183</v>
      </c>
      <c r="AD1131" s="141">
        <v>0</v>
      </c>
      <c r="AE1131" s="142">
        <v>6</v>
      </c>
      <c r="AF1131" s="69" t="str">
        <f t="shared" si="116"/>
        <v>0 years 183 days</v>
      </c>
      <c r="AG1131" s="69">
        <v>0</v>
      </c>
      <c r="AH1131" s="69">
        <v>183</v>
      </c>
      <c r="AI1131" s="69">
        <v>5500</v>
      </c>
      <c r="AJ1131" s="67">
        <v>5500</v>
      </c>
      <c r="AK1131" s="69">
        <v>2025</v>
      </c>
      <c r="AL1131" s="61">
        <v>0</v>
      </c>
      <c r="AM1131" s="143"/>
    </row>
    <row r="1132" spans="1:39" x14ac:dyDescent="0.35">
      <c r="A1132" s="69" t="s">
        <v>4124</v>
      </c>
      <c r="B1132" s="41">
        <v>1121400470</v>
      </c>
      <c r="C1132" s="41"/>
      <c r="D1132" s="69"/>
      <c r="E1132" s="41">
        <v>0</v>
      </c>
      <c r="F1132" s="41" t="s">
        <v>2961</v>
      </c>
      <c r="G1132" s="69" t="s">
        <v>2960</v>
      </c>
      <c r="H1132" s="41">
        <v>9013000177</v>
      </c>
      <c r="I1132" s="41" t="s">
        <v>1416</v>
      </c>
      <c r="J1132" s="41">
        <v>1202020104</v>
      </c>
      <c r="K1132" s="41" t="s">
        <v>3601</v>
      </c>
      <c r="L1132" s="52" t="s">
        <v>3602</v>
      </c>
      <c r="M1132" s="69" t="s">
        <v>49</v>
      </c>
      <c r="N1132" s="69"/>
      <c r="O1132" s="69">
        <v>1</v>
      </c>
      <c r="P1132" s="69" t="s">
        <v>50</v>
      </c>
      <c r="Q1132" s="69" t="s">
        <v>51</v>
      </c>
      <c r="R1132" s="69"/>
      <c r="S1132" s="48">
        <v>40382</v>
      </c>
      <c r="T1132" s="48">
        <v>43340</v>
      </c>
      <c r="U1132" s="69"/>
      <c r="V1132" s="69"/>
      <c r="W1132" s="69"/>
      <c r="X1132" s="69"/>
      <c r="Y1132" s="69" t="s">
        <v>4125</v>
      </c>
      <c r="Z1132" s="52">
        <v>11000</v>
      </c>
      <c r="AA1132" s="43" t="s">
        <v>52</v>
      </c>
      <c r="AB1132" s="43" t="s">
        <v>53</v>
      </c>
      <c r="AC1132" s="85">
        <v>183</v>
      </c>
      <c r="AD1132" s="141">
        <v>0</v>
      </c>
      <c r="AE1132" s="142">
        <v>6</v>
      </c>
      <c r="AF1132" s="69" t="str">
        <f t="shared" si="116"/>
        <v>0 years 183 days</v>
      </c>
      <c r="AG1132" s="69">
        <v>0</v>
      </c>
      <c r="AH1132" s="69">
        <v>183</v>
      </c>
      <c r="AI1132" s="69">
        <v>11000</v>
      </c>
      <c r="AJ1132" s="67">
        <v>11000</v>
      </c>
      <c r="AK1132" s="69">
        <v>2025</v>
      </c>
      <c r="AL1132" s="61">
        <v>0</v>
      </c>
      <c r="AM1132" s="143"/>
    </row>
    <row r="1133" spans="1:39" x14ac:dyDescent="0.35">
      <c r="A1133" s="69" t="s">
        <v>4124</v>
      </c>
      <c r="B1133" s="41">
        <v>1121504391</v>
      </c>
      <c r="C1133" s="41"/>
      <c r="D1133" s="69"/>
      <c r="E1133" s="41">
        <v>0</v>
      </c>
      <c r="F1133" s="41" t="s">
        <v>2961</v>
      </c>
      <c r="G1133" s="69" t="s">
        <v>2960</v>
      </c>
      <c r="H1133" s="41">
        <v>9013000178</v>
      </c>
      <c r="I1133" s="41" t="s">
        <v>1416</v>
      </c>
      <c r="J1133" s="41">
        <v>1202020104</v>
      </c>
      <c r="K1133" s="41" t="s">
        <v>3604</v>
      </c>
      <c r="L1133" s="52" t="s">
        <v>3605</v>
      </c>
      <c r="M1133" s="69" t="s">
        <v>3606</v>
      </c>
      <c r="N1133" s="69"/>
      <c r="O1133" s="69">
        <v>1</v>
      </c>
      <c r="P1133" s="69" t="s">
        <v>50</v>
      </c>
      <c r="Q1133" s="69" t="s">
        <v>51</v>
      </c>
      <c r="R1133" s="69"/>
      <c r="S1133" s="48">
        <v>44211</v>
      </c>
      <c r="T1133" s="48">
        <v>44211</v>
      </c>
      <c r="U1133" s="69"/>
      <c r="V1133" s="69"/>
      <c r="W1133" s="69"/>
      <c r="X1133" s="69"/>
      <c r="Y1133" s="69" t="s">
        <v>4128</v>
      </c>
      <c r="Z1133" s="52">
        <v>320000</v>
      </c>
      <c r="AA1133" s="43" t="s">
        <v>52</v>
      </c>
      <c r="AB1133" s="43" t="s">
        <v>53</v>
      </c>
      <c r="AC1133" s="85">
        <v>1460</v>
      </c>
      <c r="AD1133" s="141">
        <v>4</v>
      </c>
      <c r="AE1133" s="142">
        <v>0</v>
      </c>
      <c r="AF1133" s="69" t="str">
        <f t="shared" si="116"/>
        <v>3 years 352 days</v>
      </c>
      <c r="AG1133" s="69">
        <v>3</v>
      </c>
      <c r="AH1133" s="69">
        <v>352</v>
      </c>
      <c r="AI1133" s="69">
        <v>320000</v>
      </c>
      <c r="AJ1133" s="67">
        <v>317151</v>
      </c>
      <c r="AK1133" s="69">
        <v>2025</v>
      </c>
      <c r="AL1133" s="61">
        <v>2849</v>
      </c>
      <c r="AM1133" s="143"/>
    </row>
    <row r="1134" spans="1:39" x14ac:dyDescent="0.35">
      <c r="A1134" s="69" t="s">
        <v>4124</v>
      </c>
      <c r="B1134" s="41">
        <v>1121504353</v>
      </c>
      <c r="C1134" s="41"/>
      <c r="D1134" s="69"/>
      <c r="E1134" s="41">
        <v>0</v>
      </c>
      <c r="F1134" s="41" t="s">
        <v>2961</v>
      </c>
      <c r="G1134" s="69" t="s">
        <v>2960</v>
      </c>
      <c r="H1134" s="41">
        <v>9013000179</v>
      </c>
      <c r="I1134" s="41" t="s">
        <v>1416</v>
      </c>
      <c r="J1134" s="41">
        <v>1202020104</v>
      </c>
      <c r="K1134" s="41" t="s">
        <v>3608</v>
      </c>
      <c r="L1134" s="52" t="s">
        <v>3609</v>
      </c>
      <c r="M1134" s="69" t="s">
        <v>49</v>
      </c>
      <c r="N1134" s="69"/>
      <c r="O1134" s="69">
        <v>1</v>
      </c>
      <c r="P1134" s="69" t="s">
        <v>50</v>
      </c>
      <c r="Q1134" s="69" t="s">
        <v>51</v>
      </c>
      <c r="R1134" s="69"/>
      <c r="S1134" s="48">
        <v>41425</v>
      </c>
      <c r="T1134" s="48">
        <v>43340</v>
      </c>
      <c r="U1134" s="69"/>
      <c r="V1134" s="69"/>
      <c r="W1134" s="69"/>
      <c r="X1134" s="69"/>
      <c r="Y1134" s="69" t="s">
        <v>4125</v>
      </c>
      <c r="Z1134" s="52">
        <v>25000</v>
      </c>
      <c r="AA1134" s="43" t="s">
        <v>52</v>
      </c>
      <c r="AB1134" s="43" t="s">
        <v>53</v>
      </c>
      <c r="AC1134" s="85">
        <v>183</v>
      </c>
      <c r="AD1134" s="141">
        <v>0</v>
      </c>
      <c r="AE1134" s="142">
        <v>6</v>
      </c>
      <c r="AF1134" s="69" t="str">
        <f t="shared" si="116"/>
        <v>0 years 183 days</v>
      </c>
      <c r="AG1134" s="69">
        <v>0</v>
      </c>
      <c r="AH1134" s="69">
        <v>183</v>
      </c>
      <c r="AI1134" s="69">
        <v>25000</v>
      </c>
      <c r="AJ1134" s="67">
        <v>25000</v>
      </c>
      <c r="AK1134" s="69">
        <v>2025</v>
      </c>
      <c r="AL1134" s="61">
        <v>0</v>
      </c>
      <c r="AM1134" s="143"/>
    </row>
    <row r="1135" spans="1:39" x14ac:dyDescent="0.35">
      <c r="A1135" s="69" t="s">
        <v>4124</v>
      </c>
      <c r="B1135" s="41">
        <v>1121504355</v>
      </c>
      <c r="C1135" s="41"/>
      <c r="D1135" s="69"/>
      <c r="E1135" s="41">
        <v>0</v>
      </c>
      <c r="F1135" s="41" t="s">
        <v>2961</v>
      </c>
      <c r="G1135" s="69" t="s">
        <v>2960</v>
      </c>
      <c r="H1135" s="41">
        <v>9013000180</v>
      </c>
      <c r="I1135" s="41" t="s">
        <v>1416</v>
      </c>
      <c r="J1135" s="41">
        <v>1202020104</v>
      </c>
      <c r="K1135" s="41" t="s">
        <v>3611</v>
      </c>
      <c r="L1135" s="52" t="s">
        <v>3612</v>
      </c>
      <c r="M1135" s="69" t="s">
        <v>49</v>
      </c>
      <c r="N1135" s="69"/>
      <c r="O1135" s="69">
        <v>1</v>
      </c>
      <c r="P1135" s="69" t="s">
        <v>50</v>
      </c>
      <c r="Q1135" s="69" t="s">
        <v>51</v>
      </c>
      <c r="R1135" s="69"/>
      <c r="S1135" s="48">
        <v>42430</v>
      </c>
      <c r="T1135" s="48">
        <v>43340</v>
      </c>
      <c r="U1135" s="69"/>
      <c r="V1135" s="69"/>
      <c r="W1135" s="69"/>
      <c r="X1135" s="69"/>
      <c r="Y1135" s="69" t="s">
        <v>4125</v>
      </c>
      <c r="Z1135" s="52">
        <v>19500</v>
      </c>
      <c r="AA1135" s="43" t="s">
        <v>52</v>
      </c>
      <c r="AB1135" s="43" t="s">
        <v>53</v>
      </c>
      <c r="AC1135" s="85">
        <v>913</v>
      </c>
      <c r="AD1135" s="141">
        <v>2</v>
      </c>
      <c r="AE1135" s="142">
        <v>6</v>
      </c>
      <c r="AF1135" s="69" t="str">
        <f t="shared" si="116"/>
        <v>2 years 183 days</v>
      </c>
      <c r="AG1135" s="69">
        <v>2</v>
      </c>
      <c r="AH1135" s="69">
        <v>183</v>
      </c>
      <c r="AI1135" s="69">
        <v>19500</v>
      </c>
      <c r="AJ1135" s="67">
        <v>19500</v>
      </c>
      <c r="AK1135" s="69">
        <v>2025</v>
      </c>
      <c r="AL1135" s="61">
        <v>0</v>
      </c>
      <c r="AM1135" s="143"/>
    </row>
    <row r="1136" spans="1:39" x14ac:dyDescent="0.35">
      <c r="A1136" s="69" t="s">
        <v>4124</v>
      </c>
      <c r="B1136" s="41">
        <v>1121403575</v>
      </c>
      <c r="C1136" s="41"/>
      <c r="D1136" s="69"/>
      <c r="E1136" s="41">
        <v>0</v>
      </c>
      <c r="F1136" s="41" t="s">
        <v>2961</v>
      </c>
      <c r="G1136" s="69" t="s">
        <v>2960</v>
      </c>
      <c r="H1136" s="41">
        <v>9013000181</v>
      </c>
      <c r="I1136" s="41" t="s">
        <v>1416</v>
      </c>
      <c r="J1136" s="41">
        <v>1202020104</v>
      </c>
      <c r="K1136" s="41" t="s">
        <v>3614</v>
      </c>
      <c r="L1136" s="52" t="s">
        <v>3615</v>
      </c>
      <c r="M1136" s="69" t="s">
        <v>3616</v>
      </c>
      <c r="N1136" s="69"/>
      <c r="O1136" s="69">
        <v>1</v>
      </c>
      <c r="P1136" s="69" t="s">
        <v>50</v>
      </c>
      <c r="Q1136" s="69" t="s">
        <v>51</v>
      </c>
      <c r="R1136" s="69"/>
      <c r="S1136" s="48">
        <v>44255</v>
      </c>
      <c r="T1136" s="48">
        <v>44255</v>
      </c>
      <c r="U1136" s="69"/>
      <c r="V1136" s="69"/>
      <c r="W1136" s="69"/>
      <c r="X1136" s="69"/>
      <c r="Y1136" s="69" t="s">
        <v>4128</v>
      </c>
      <c r="Z1136" s="52">
        <v>3760000</v>
      </c>
      <c r="AA1136" s="43" t="s">
        <v>52</v>
      </c>
      <c r="AB1136" s="43" t="s">
        <v>53</v>
      </c>
      <c r="AC1136" s="85">
        <v>1460</v>
      </c>
      <c r="AD1136" s="141">
        <v>4</v>
      </c>
      <c r="AE1136" s="142">
        <v>0</v>
      </c>
      <c r="AF1136" s="69" t="str">
        <f t="shared" si="116"/>
        <v>3 years 308 days</v>
      </c>
      <c r="AG1136" s="69">
        <v>3</v>
      </c>
      <c r="AH1136" s="69">
        <v>308</v>
      </c>
      <c r="AI1136" s="69">
        <v>3760000</v>
      </c>
      <c r="AJ1136" s="67">
        <v>3613205</v>
      </c>
      <c r="AK1136" s="69">
        <v>2025</v>
      </c>
      <c r="AL1136" s="61">
        <v>146795</v>
      </c>
      <c r="AM1136" s="143"/>
    </row>
    <row r="1137" spans="1:39" x14ac:dyDescent="0.35">
      <c r="A1137" s="69" t="s">
        <v>4124</v>
      </c>
      <c r="B1137" s="41">
        <v>1121403490</v>
      </c>
      <c r="C1137" s="41"/>
      <c r="D1137" s="69"/>
      <c r="E1137" s="41">
        <v>0</v>
      </c>
      <c r="F1137" s="41" t="s">
        <v>2961</v>
      </c>
      <c r="G1137" s="69" t="s">
        <v>2960</v>
      </c>
      <c r="H1137" s="41">
        <v>9013000182</v>
      </c>
      <c r="I1137" s="41" t="s">
        <v>1416</v>
      </c>
      <c r="J1137" s="41">
        <v>1202020104</v>
      </c>
      <c r="K1137" s="41" t="s">
        <v>3618</v>
      </c>
      <c r="L1137" s="52" t="s">
        <v>3619</v>
      </c>
      <c r="M1137" s="69" t="s">
        <v>3152</v>
      </c>
      <c r="N1137" s="69"/>
      <c r="O1137" s="69">
        <v>1</v>
      </c>
      <c r="P1137" s="69" t="s">
        <v>50</v>
      </c>
      <c r="Q1137" s="69" t="s">
        <v>51</v>
      </c>
      <c r="R1137" s="69"/>
      <c r="S1137" s="48">
        <v>44183</v>
      </c>
      <c r="T1137" s="48">
        <v>44183</v>
      </c>
      <c r="U1137" s="69"/>
      <c r="V1137" s="69"/>
      <c r="W1137" s="69"/>
      <c r="X1137" s="69"/>
      <c r="Y1137" s="69" t="s">
        <v>4127</v>
      </c>
      <c r="Z1137" s="52">
        <v>280000</v>
      </c>
      <c r="AA1137" s="43" t="s">
        <v>52</v>
      </c>
      <c r="AB1137" s="43" t="s">
        <v>53</v>
      </c>
      <c r="AC1137" s="85">
        <v>1460</v>
      </c>
      <c r="AD1137" s="141">
        <v>4</v>
      </c>
      <c r="AE1137" s="142">
        <v>0</v>
      </c>
      <c r="AF1137" s="69" t="str">
        <f t="shared" si="116"/>
        <v>4 years 0 days</v>
      </c>
      <c r="AG1137" s="69">
        <v>4</v>
      </c>
      <c r="AH1137" s="69">
        <v>0</v>
      </c>
      <c r="AI1137" s="69">
        <v>280000</v>
      </c>
      <c r="AJ1137" s="67">
        <v>280000</v>
      </c>
      <c r="AK1137" s="69">
        <v>2025</v>
      </c>
      <c r="AL1137" s="61">
        <v>0</v>
      </c>
      <c r="AM1137" s="143"/>
    </row>
    <row r="1138" spans="1:39" x14ac:dyDescent="0.35">
      <c r="A1138" s="69" t="s">
        <v>4124</v>
      </c>
      <c r="B1138" s="41">
        <v>1121404489</v>
      </c>
      <c r="C1138" s="41"/>
      <c r="D1138" s="69"/>
      <c r="E1138" s="41">
        <v>0</v>
      </c>
      <c r="F1138" s="41" t="s">
        <v>2961</v>
      </c>
      <c r="G1138" s="69" t="s">
        <v>2960</v>
      </c>
      <c r="H1138" s="41">
        <v>9013000183</v>
      </c>
      <c r="I1138" s="41" t="s">
        <v>1416</v>
      </c>
      <c r="J1138" s="41">
        <v>1202020104</v>
      </c>
      <c r="K1138" s="41" t="s">
        <v>3621</v>
      </c>
      <c r="L1138" s="52" t="s">
        <v>3622</v>
      </c>
      <c r="M1138" s="69" t="s">
        <v>3623</v>
      </c>
      <c r="N1138" s="69"/>
      <c r="O1138" s="69">
        <v>1</v>
      </c>
      <c r="P1138" s="69" t="s">
        <v>50</v>
      </c>
      <c r="Q1138" s="69" t="s">
        <v>51</v>
      </c>
      <c r="R1138" s="69"/>
      <c r="S1138" s="48">
        <v>44896</v>
      </c>
      <c r="T1138" s="48">
        <v>44896</v>
      </c>
      <c r="U1138" s="69"/>
      <c r="V1138" s="69"/>
      <c r="W1138" s="69"/>
      <c r="X1138" s="69"/>
      <c r="Y1138" s="69" t="s">
        <v>4131</v>
      </c>
      <c r="Z1138" s="52">
        <v>565000</v>
      </c>
      <c r="AA1138" s="43" t="s">
        <v>52</v>
      </c>
      <c r="AB1138" s="43" t="s">
        <v>53</v>
      </c>
      <c r="AC1138" s="85">
        <v>1460</v>
      </c>
      <c r="AD1138" s="141">
        <v>4</v>
      </c>
      <c r="AE1138" s="142">
        <v>0</v>
      </c>
      <c r="AF1138" s="69" t="str">
        <f t="shared" si="116"/>
        <v>2 years 32 days</v>
      </c>
      <c r="AG1138" s="69">
        <v>2</v>
      </c>
      <c r="AH1138" s="69">
        <v>32</v>
      </c>
      <c r="AI1138" s="69">
        <v>565000</v>
      </c>
      <c r="AJ1138" s="67">
        <v>294884</v>
      </c>
      <c r="AK1138" s="69">
        <v>2025</v>
      </c>
      <c r="AL1138" s="61">
        <v>70044.082191780792</v>
      </c>
      <c r="AM1138" s="143"/>
    </row>
    <row r="1139" spans="1:39" x14ac:dyDescent="0.35">
      <c r="A1139" s="69" t="s">
        <v>4124</v>
      </c>
      <c r="B1139" s="41">
        <v>1121102788</v>
      </c>
      <c r="C1139" s="41"/>
      <c r="D1139" s="69"/>
      <c r="E1139" s="41">
        <v>0</v>
      </c>
      <c r="F1139" s="41" t="s">
        <v>2961</v>
      </c>
      <c r="G1139" s="69" t="s">
        <v>2960</v>
      </c>
      <c r="H1139" s="41">
        <v>9013000184</v>
      </c>
      <c r="I1139" s="41" t="s">
        <v>1416</v>
      </c>
      <c r="J1139" s="41">
        <v>1202020104</v>
      </c>
      <c r="K1139" s="41" t="s">
        <v>3625</v>
      </c>
      <c r="L1139" s="52" t="s">
        <v>3626</v>
      </c>
      <c r="M1139" s="69" t="s">
        <v>49</v>
      </c>
      <c r="N1139" s="69"/>
      <c r="O1139" s="69">
        <v>1</v>
      </c>
      <c r="P1139" s="69" t="s">
        <v>50</v>
      </c>
      <c r="Q1139" s="69" t="s">
        <v>51</v>
      </c>
      <c r="R1139" s="69"/>
      <c r="S1139" s="48">
        <v>40973</v>
      </c>
      <c r="T1139" s="48">
        <v>43340</v>
      </c>
      <c r="U1139" s="69"/>
      <c r="V1139" s="69"/>
      <c r="W1139" s="69"/>
      <c r="X1139" s="69"/>
      <c r="Y1139" s="69" t="s">
        <v>4125</v>
      </c>
      <c r="Z1139" s="52">
        <v>6500</v>
      </c>
      <c r="AA1139" s="43" t="s">
        <v>52</v>
      </c>
      <c r="AB1139" s="43" t="s">
        <v>53</v>
      </c>
      <c r="AC1139" s="85">
        <v>183</v>
      </c>
      <c r="AD1139" s="141">
        <v>0</v>
      </c>
      <c r="AE1139" s="142">
        <v>6</v>
      </c>
      <c r="AF1139" s="69" t="str">
        <f t="shared" si="116"/>
        <v>0 years 183 days</v>
      </c>
      <c r="AG1139" s="69">
        <v>0</v>
      </c>
      <c r="AH1139" s="69">
        <v>183</v>
      </c>
      <c r="AI1139" s="69">
        <v>6500</v>
      </c>
      <c r="AJ1139" s="67">
        <v>6500</v>
      </c>
      <c r="AK1139" s="69">
        <v>2025</v>
      </c>
      <c r="AL1139" s="61">
        <v>0</v>
      </c>
      <c r="AM1139" s="143"/>
    </row>
    <row r="1140" spans="1:39" x14ac:dyDescent="0.35">
      <c r="A1140" s="69" t="s">
        <v>4124</v>
      </c>
      <c r="B1140" s="41">
        <v>1121504362</v>
      </c>
      <c r="C1140" s="41"/>
      <c r="D1140" s="69"/>
      <c r="E1140" s="41">
        <v>0</v>
      </c>
      <c r="F1140" s="41" t="s">
        <v>2961</v>
      </c>
      <c r="G1140" s="69" t="s">
        <v>2960</v>
      </c>
      <c r="H1140" s="41">
        <v>9013000185</v>
      </c>
      <c r="I1140" s="41" t="s">
        <v>1416</v>
      </c>
      <c r="J1140" s="41">
        <v>1202020104</v>
      </c>
      <c r="K1140" s="41" t="s">
        <v>3628</v>
      </c>
      <c r="L1140" s="52" t="s">
        <v>3629</v>
      </c>
      <c r="M1140" s="69" t="s">
        <v>3630</v>
      </c>
      <c r="N1140" s="69"/>
      <c r="O1140" s="69">
        <v>1</v>
      </c>
      <c r="P1140" s="69" t="s">
        <v>50</v>
      </c>
      <c r="Q1140" s="69" t="s">
        <v>51</v>
      </c>
      <c r="R1140" s="69"/>
      <c r="S1140" s="48">
        <v>40940</v>
      </c>
      <c r="T1140" s="48">
        <v>43340</v>
      </c>
      <c r="U1140" s="69"/>
      <c r="V1140" s="69"/>
      <c r="W1140" s="69"/>
      <c r="X1140" s="69"/>
      <c r="Y1140" s="69" t="s">
        <v>4125</v>
      </c>
      <c r="Z1140" s="52">
        <v>21000</v>
      </c>
      <c r="AA1140" s="43" t="s">
        <v>52</v>
      </c>
      <c r="AB1140" s="43" t="s">
        <v>53</v>
      </c>
      <c r="AC1140" s="85">
        <v>183</v>
      </c>
      <c r="AD1140" s="141">
        <v>0</v>
      </c>
      <c r="AE1140" s="142">
        <v>6</v>
      </c>
      <c r="AF1140" s="69" t="str">
        <f t="shared" si="116"/>
        <v>0 years 183 days</v>
      </c>
      <c r="AG1140" s="69">
        <v>0</v>
      </c>
      <c r="AH1140" s="69">
        <v>183</v>
      </c>
      <c r="AI1140" s="69">
        <v>21000</v>
      </c>
      <c r="AJ1140" s="67">
        <v>21000</v>
      </c>
      <c r="AK1140" s="69">
        <v>2025</v>
      </c>
      <c r="AL1140" s="61">
        <v>0</v>
      </c>
      <c r="AM1140" s="143"/>
    </row>
    <row r="1141" spans="1:39" x14ac:dyDescent="0.35">
      <c r="A1141" s="69" t="s">
        <v>4124</v>
      </c>
      <c r="B1141" s="41">
        <v>1121504348</v>
      </c>
      <c r="C1141" s="41"/>
      <c r="D1141" s="69"/>
      <c r="E1141" s="41">
        <v>0</v>
      </c>
      <c r="F1141" s="41" t="s">
        <v>2961</v>
      </c>
      <c r="G1141" s="69" t="s">
        <v>2960</v>
      </c>
      <c r="H1141" s="41">
        <v>9013000186</v>
      </c>
      <c r="I1141" s="41" t="s">
        <v>1416</v>
      </c>
      <c r="J1141" s="41">
        <v>1202020104</v>
      </c>
      <c r="K1141" s="41" t="s">
        <v>3632</v>
      </c>
      <c r="L1141" s="52" t="s">
        <v>3633</v>
      </c>
      <c r="M1141" s="69" t="s">
        <v>49</v>
      </c>
      <c r="N1141" s="69"/>
      <c r="O1141" s="69">
        <v>1</v>
      </c>
      <c r="P1141" s="69" t="s">
        <v>50</v>
      </c>
      <c r="Q1141" s="69" t="s">
        <v>51</v>
      </c>
      <c r="R1141" s="69"/>
      <c r="S1141" s="48">
        <v>40301</v>
      </c>
      <c r="T1141" s="48">
        <v>43340</v>
      </c>
      <c r="U1141" s="69"/>
      <c r="V1141" s="69"/>
      <c r="W1141" s="69"/>
      <c r="X1141" s="69"/>
      <c r="Y1141" s="69" t="s">
        <v>4125</v>
      </c>
      <c r="Z1141" s="52">
        <v>225000</v>
      </c>
      <c r="AA1141" s="43" t="s">
        <v>52</v>
      </c>
      <c r="AB1141" s="43" t="s">
        <v>53</v>
      </c>
      <c r="AC1141" s="85">
        <v>183</v>
      </c>
      <c r="AD1141" s="141">
        <v>0</v>
      </c>
      <c r="AE1141" s="142">
        <v>6</v>
      </c>
      <c r="AF1141" s="69" t="str">
        <f t="shared" si="116"/>
        <v>0 years 183 days</v>
      </c>
      <c r="AG1141" s="69">
        <v>0</v>
      </c>
      <c r="AH1141" s="69">
        <v>183</v>
      </c>
      <c r="AI1141" s="69">
        <v>225000</v>
      </c>
      <c r="AJ1141" s="67">
        <v>225000</v>
      </c>
      <c r="AK1141" s="69">
        <v>2025</v>
      </c>
      <c r="AL1141" s="61">
        <v>0</v>
      </c>
      <c r="AM1141" s="143"/>
    </row>
    <row r="1142" spans="1:39" x14ac:dyDescent="0.35">
      <c r="A1142" s="69" t="s">
        <v>4124</v>
      </c>
      <c r="B1142" s="41">
        <v>1121504417</v>
      </c>
      <c r="C1142" s="41"/>
      <c r="D1142" s="69"/>
      <c r="E1142" s="41">
        <v>0</v>
      </c>
      <c r="F1142" s="41" t="s">
        <v>2961</v>
      </c>
      <c r="G1142" s="69" t="s">
        <v>2960</v>
      </c>
      <c r="H1142" s="41">
        <v>9013000187</v>
      </c>
      <c r="I1142" s="41" t="s">
        <v>1416</v>
      </c>
      <c r="J1142" s="41">
        <v>1202020104</v>
      </c>
      <c r="K1142" s="41" t="s">
        <v>3635</v>
      </c>
      <c r="L1142" s="52" t="s">
        <v>3636</v>
      </c>
      <c r="M1142" s="69" t="s">
        <v>3637</v>
      </c>
      <c r="N1142" s="69"/>
      <c r="O1142" s="69">
        <v>1</v>
      </c>
      <c r="P1142" s="69" t="s">
        <v>50</v>
      </c>
      <c r="Q1142" s="69" t="s">
        <v>51</v>
      </c>
      <c r="R1142" s="69"/>
      <c r="S1142" s="48">
        <v>43370</v>
      </c>
      <c r="T1142" s="48">
        <v>43370</v>
      </c>
      <c r="U1142" s="69"/>
      <c r="V1142" s="69"/>
      <c r="W1142" s="69"/>
      <c r="X1142" s="69"/>
      <c r="Y1142" s="69" t="s">
        <v>4125</v>
      </c>
      <c r="Z1142" s="52">
        <v>2582953.9881344759</v>
      </c>
      <c r="AA1142" s="43" t="s">
        <v>52</v>
      </c>
      <c r="AB1142" s="43" t="s">
        <v>53</v>
      </c>
      <c r="AC1142" s="85">
        <v>1460</v>
      </c>
      <c r="AD1142" s="141">
        <v>4</v>
      </c>
      <c r="AE1142" s="142">
        <v>0</v>
      </c>
      <c r="AF1142" s="69" t="str">
        <f t="shared" si="116"/>
        <v>4 years 0 days</v>
      </c>
      <c r="AG1142" s="69">
        <v>4</v>
      </c>
      <c r="AH1142" s="69">
        <v>0</v>
      </c>
      <c r="AI1142" s="69">
        <v>2582953.9881344759</v>
      </c>
      <c r="AJ1142" s="67">
        <v>2582954</v>
      </c>
      <c r="AK1142" s="69">
        <v>2025</v>
      </c>
      <c r="AL1142" s="61">
        <v>0</v>
      </c>
      <c r="AM1142" s="143"/>
    </row>
    <row r="1143" spans="1:39" x14ac:dyDescent="0.35">
      <c r="A1143" s="69" t="s">
        <v>4124</v>
      </c>
      <c r="B1143" s="41">
        <v>1121504314</v>
      </c>
      <c r="C1143" s="41"/>
      <c r="D1143" s="69"/>
      <c r="E1143" s="41">
        <v>0</v>
      </c>
      <c r="F1143" s="41" t="s">
        <v>2961</v>
      </c>
      <c r="G1143" s="69" t="s">
        <v>2960</v>
      </c>
      <c r="H1143" s="41">
        <v>9013000188</v>
      </c>
      <c r="I1143" s="41" t="s">
        <v>1416</v>
      </c>
      <c r="J1143" s="41">
        <v>1202020104</v>
      </c>
      <c r="K1143" s="41" t="s">
        <v>3639</v>
      </c>
      <c r="L1143" s="52" t="s">
        <v>3640</v>
      </c>
      <c r="M1143" s="69" t="s">
        <v>3606</v>
      </c>
      <c r="N1143" s="69"/>
      <c r="O1143" s="69">
        <v>1</v>
      </c>
      <c r="P1143" s="69" t="s">
        <v>50</v>
      </c>
      <c r="Q1143" s="69" t="s">
        <v>51</v>
      </c>
      <c r="R1143" s="69"/>
      <c r="S1143" s="48">
        <v>44311</v>
      </c>
      <c r="T1143" s="48">
        <v>44311</v>
      </c>
      <c r="U1143" s="69"/>
      <c r="V1143" s="69"/>
      <c r="W1143" s="69"/>
      <c r="X1143" s="69"/>
      <c r="Y1143" s="69" t="s">
        <v>4128</v>
      </c>
      <c r="Z1143" s="52">
        <v>320000</v>
      </c>
      <c r="AA1143" s="43" t="s">
        <v>52</v>
      </c>
      <c r="AB1143" s="43" t="s">
        <v>53</v>
      </c>
      <c r="AC1143" s="85">
        <v>1460</v>
      </c>
      <c r="AD1143" s="141">
        <v>4</v>
      </c>
      <c r="AE1143" s="142">
        <v>0</v>
      </c>
      <c r="AF1143" s="69" t="str">
        <f t="shared" si="116"/>
        <v>3 years 252 days</v>
      </c>
      <c r="AG1143" s="69">
        <v>3</v>
      </c>
      <c r="AH1143" s="69">
        <v>252</v>
      </c>
      <c r="AI1143" s="69">
        <v>320000</v>
      </c>
      <c r="AJ1143" s="67">
        <v>295233</v>
      </c>
      <c r="AK1143" s="69">
        <v>2025</v>
      </c>
      <c r="AL1143" s="61">
        <v>24767</v>
      </c>
      <c r="AM1143" s="143"/>
    </row>
    <row r="1144" spans="1:39" x14ac:dyDescent="0.35">
      <c r="A1144" s="69" t="s">
        <v>4124</v>
      </c>
      <c r="B1144" s="41">
        <v>1121504317</v>
      </c>
      <c r="C1144" s="41"/>
      <c r="D1144" s="69"/>
      <c r="E1144" s="41">
        <v>0</v>
      </c>
      <c r="F1144" s="41" t="s">
        <v>2961</v>
      </c>
      <c r="G1144" s="69" t="s">
        <v>2960</v>
      </c>
      <c r="H1144" s="41">
        <v>9013000189</v>
      </c>
      <c r="I1144" s="41" t="s">
        <v>1416</v>
      </c>
      <c r="J1144" s="41">
        <v>1202020104</v>
      </c>
      <c r="K1144" s="41" t="s">
        <v>3642</v>
      </c>
      <c r="L1144" s="52" t="s">
        <v>3643</v>
      </c>
      <c r="M1144" s="69" t="s">
        <v>3644</v>
      </c>
      <c r="N1144" s="69"/>
      <c r="O1144" s="69">
        <v>1</v>
      </c>
      <c r="P1144" s="69" t="s">
        <v>50</v>
      </c>
      <c r="Q1144" s="69" t="s">
        <v>51</v>
      </c>
      <c r="R1144" s="69"/>
      <c r="S1144" s="48">
        <v>43857</v>
      </c>
      <c r="T1144" s="48">
        <v>43857</v>
      </c>
      <c r="U1144" s="69"/>
      <c r="V1144" s="69"/>
      <c r="W1144" s="69"/>
      <c r="X1144" s="69"/>
      <c r="Y1144" s="69" t="s">
        <v>4127</v>
      </c>
      <c r="Z1144" s="52">
        <v>280000</v>
      </c>
      <c r="AA1144" s="43" t="s">
        <v>52</v>
      </c>
      <c r="AB1144" s="43" t="s">
        <v>53</v>
      </c>
      <c r="AC1144" s="85">
        <v>1460</v>
      </c>
      <c r="AD1144" s="141">
        <v>4</v>
      </c>
      <c r="AE1144" s="142">
        <v>0</v>
      </c>
      <c r="AF1144" s="69" t="str">
        <f t="shared" si="116"/>
        <v>4 years 0 days</v>
      </c>
      <c r="AG1144" s="69">
        <v>4</v>
      </c>
      <c r="AH1144" s="69">
        <v>0</v>
      </c>
      <c r="AI1144" s="69">
        <v>280000</v>
      </c>
      <c r="AJ1144" s="67">
        <v>280000</v>
      </c>
      <c r="AK1144" s="69">
        <v>2025</v>
      </c>
      <c r="AL1144" s="61">
        <v>0</v>
      </c>
      <c r="AM1144" s="143"/>
    </row>
    <row r="1145" spans="1:39" x14ac:dyDescent="0.35">
      <c r="A1145" s="69" t="s">
        <v>4124</v>
      </c>
      <c r="B1145" s="41">
        <v>1121504357</v>
      </c>
      <c r="C1145" s="41"/>
      <c r="D1145" s="69"/>
      <c r="E1145" s="41">
        <v>0</v>
      </c>
      <c r="F1145" s="41" t="s">
        <v>2961</v>
      </c>
      <c r="G1145" s="69" t="s">
        <v>2960</v>
      </c>
      <c r="H1145" s="41">
        <v>9013000190</v>
      </c>
      <c r="I1145" s="41" t="s">
        <v>1416</v>
      </c>
      <c r="J1145" s="41">
        <v>1202020104</v>
      </c>
      <c r="K1145" s="41" t="s">
        <v>3646</v>
      </c>
      <c r="L1145" s="52" t="s">
        <v>3647</v>
      </c>
      <c r="M1145" s="69" t="s">
        <v>49</v>
      </c>
      <c r="N1145" s="69"/>
      <c r="O1145" s="69">
        <v>1</v>
      </c>
      <c r="P1145" s="69" t="s">
        <v>50</v>
      </c>
      <c r="Q1145" s="69" t="s">
        <v>51</v>
      </c>
      <c r="R1145" s="69"/>
      <c r="S1145" s="48">
        <v>42099</v>
      </c>
      <c r="T1145" s="48">
        <v>43340</v>
      </c>
      <c r="U1145" s="69"/>
      <c r="V1145" s="69"/>
      <c r="W1145" s="69"/>
      <c r="X1145" s="69"/>
      <c r="Y1145" s="69" t="s">
        <v>4125</v>
      </c>
      <c r="Z1145" s="52">
        <v>16500</v>
      </c>
      <c r="AA1145" s="43" t="s">
        <v>52</v>
      </c>
      <c r="AB1145" s="43" t="s">
        <v>53</v>
      </c>
      <c r="AC1145" s="85">
        <v>183</v>
      </c>
      <c r="AD1145" s="141">
        <v>0</v>
      </c>
      <c r="AE1145" s="142">
        <v>6</v>
      </c>
      <c r="AF1145" s="69" t="str">
        <f t="shared" si="116"/>
        <v>0 years 183 days</v>
      </c>
      <c r="AG1145" s="69">
        <v>0</v>
      </c>
      <c r="AH1145" s="69">
        <v>183</v>
      </c>
      <c r="AI1145" s="69">
        <v>16500</v>
      </c>
      <c r="AJ1145" s="67">
        <v>16500</v>
      </c>
      <c r="AK1145" s="69">
        <v>2025</v>
      </c>
      <c r="AL1145" s="61">
        <v>0</v>
      </c>
      <c r="AM1145" s="143"/>
    </row>
    <row r="1146" spans="1:39" x14ac:dyDescent="0.35">
      <c r="A1146" s="69" t="s">
        <v>4124</v>
      </c>
      <c r="B1146" s="41">
        <v>1121504311</v>
      </c>
      <c r="C1146" s="41"/>
      <c r="D1146" s="69"/>
      <c r="E1146" s="41">
        <v>0</v>
      </c>
      <c r="F1146" s="41" t="s">
        <v>2961</v>
      </c>
      <c r="G1146" s="69" t="s">
        <v>2960</v>
      </c>
      <c r="H1146" s="15">
        <v>9013000191</v>
      </c>
      <c r="I1146" s="41" t="s">
        <v>1416</v>
      </c>
      <c r="J1146" s="41">
        <v>1202020104</v>
      </c>
      <c r="K1146" s="38" t="s">
        <v>3649</v>
      </c>
      <c r="L1146" s="52" t="s">
        <v>3650</v>
      </c>
      <c r="M1146" s="69" t="s">
        <v>49</v>
      </c>
      <c r="N1146" s="69"/>
      <c r="O1146" s="69">
        <v>1</v>
      </c>
      <c r="P1146" s="69" t="s">
        <v>50</v>
      </c>
      <c r="Q1146" s="69" t="s">
        <v>51</v>
      </c>
      <c r="R1146" s="69"/>
      <c r="S1146" s="48">
        <v>43465</v>
      </c>
      <c r="T1146" s="48">
        <v>43465</v>
      </c>
      <c r="U1146" s="69"/>
      <c r="V1146" s="69"/>
      <c r="W1146" s="69"/>
      <c r="X1146" s="69"/>
      <c r="Y1146" s="69" t="s">
        <v>4125</v>
      </c>
      <c r="Z1146" s="52">
        <v>3033851.6949152541</v>
      </c>
      <c r="AA1146" s="43" t="s">
        <v>52</v>
      </c>
      <c r="AB1146" s="43" t="s">
        <v>53</v>
      </c>
      <c r="AC1146" s="85">
        <v>1460</v>
      </c>
      <c r="AD1146" s="141">
        <v>4</v>
      </c>
      <c r="AE1146" s="142">
        <v>0</v>
      </c>
      <c r="AF1146" s="69" t="str">
        <f t="shared" si="116"/>
        <v>4 years 0 days</v>
      </c>
      <c r="AG1146" s="69">
        <v>4</v>
      </c>
      <c r="AH1146" s="69">
        <v>0</v>
      </c>
      <c r="AI1146" s="69">
        <v>3033851.6949152541</v>
      </c>
      <c r="AJ1146" s="67">
        <v>3033852</v>
      </c>
      <c r="AK1146" s="69">
        <v>2025</v>
      </c>
      <c r="AL1146" s="61">
        <v>0</v>
      </c>
      <c r="AM1146" s="143"/>
    </row>
    <row r="1147" spans="1:39" x14ac:dyDescent="0.35">
      <c r="A1147" s="69" t="s">
        <v>4124</v>
      </c>
      <c r="B1147" s="41">
        <v>1121504316</v>
      </c>
      <c r="C1147" s="41"/>
      <c r="D1147" s="69"/>
      <c r="E1147" s="41">
        <v>0</v>
      </c>
      <c r="F1147" s="41" t="s">
        <v>2961</v>
      </c>
      <c r="G1147" s="69" t="s">
        <v>2960</v>
      </c>
      <c r="H1147" s="41">
        <v>9013000192</v>
      </c>
      <c r="I1147" s="41" t="s">
        <v>1416</v>
      </c>
      <c r="J1147" s="41">
        <v>1202020104</v>
      </c>
      <c r="K1147" s="41" t="s">
        <v>3652</v>
      </c>
      <c r="L1147" s="52" t="s">
        <v>3653</v>
      </c>
      <c r="M1147" s="69" t="s">
        <v>3654</v>
      </c>
      <c r="N1147" s="69"/>
      <c r="O1147" s="69">
        <v>1</v>
      </c>
      <c r="P1147" s="69" t="s">
        <v>50</v>
      </c>
      <c r="Q1147" s="69" t="s">
        <v>51</v>
      </c>
      <c r="R1147" s="69"/>
      <c r="S1147" s="48">
        <v>44214</v>
      </c>
      <c r="T1147" s="48">
        <v>44214</v>
      </c>
      <c r="U1147" s="69"/>
      <c r="V1147" s="69"/>
      <c r="W1147" s="69"/>
      <c r="X1147" s="69"/>
      <c r="Y1147" s="69" t="s">
        <v>4128</v>
      </c>
      <c r="Z1147" s="52">
        <v>280000</v>
      </c>
      <c r="AA1147" s="43" t="s">
        <v>52</v>
      </c>
      <c r="AB1147" s="43" t="s">
        <v>53</v>
      </c>
      <c r="AC1147" s="85">
        <v>1460</v>
      </c>
      <c r="AD1147" s="141">
        <v>4</v>
      </c>
      <c r="AE1147" s="142">
        <v>0</v>
      </c>
      <c r="AF1147" s="69" t="str">
        <f t="shared" si="116"/>
        <v>3 years 349 days</v>
      </c>
      <c r="AG1147" s="69">
        <v>3</v>
      </c>
      <c r="AH1147" s="69">
        <v>349</v>
      </c>
      <c r="AI1147" s="69">
        <v>280000</v>
      </c>
      <c r="AJ1147" s="67">
        <v>276932</v>
      </c>
      <c r="AK1147" s="69">
        <v>2025</v>
      </c>
      <c r="AL1147" s="61">
        <v>3068</v>
      </c>
      <c r="AM1147" s="143"/>
    </row>
    <row r="1148" spans="1:39" x14ac:dyDescent="0.35">
      <c r="A1148" s="69" t="s">
        <v>4124</v>
      </c>
      <c r="B1148" s="41">
        <v>1121504807</v>
      </c>
      <c r="C1148" s="41"/>
      <c r="D1148" s="69"/>
      <c r="E1148" s="41">
        <v>0</v>
      </c>
      <c r="F1148" s="41" t="s">
        <v>2961</v>
      </c>
      <c r="G1148" s="69" t="s">
        <v>2960</v>
      </c>
      <c r="H1148" s="41">
        <v>9013000193</v>
      </c>
      <c r="I1148" s="41" t="s">
        <v>1416</v>
      </c>
      <c r="J1148" s="41">
        <v>1202020104</v>
      </c>
      <c r="K1148" s="41" t="s">
        <v>3656</v>
      </c>
      <c r="L1148" s="52" t="s">
        <v>3657</v>
      </c>
      <c r="M1148" s="69" t="s">
        <v>3658</v>
      </c>
      <c r="N1148" s="69"/>
      <c r="O1148" s="69">
        <v>1</v>
      </c>
      <c r="P1148" s="69" t="s">
        <v>50</v>
      </c>
      <c r="Q1148" s="69" t="s">
        <v>51</v>
      </c>
      <c r="R1148" s="69"/>
      <c r="S1148" s="48">
        <v>45108</v>
      </c>
      <c r="T1148" s="48">
        <v>45108</v>
      </c>
      <c r="U1148" s="69"/>
      <c r="V1148" s="69"/>
      <c r="W1148" s="69"/>
      <c r="X1148" s="69"/>
      <c r="Y1148" s="69" t="s">
        <v>4129</v>
      </c>
      <c r="Z1148" s="52">
        <v>320000</v>
      </c>
      <c r="AA1148" s="43" t="s">
        <v>52</v>
      </c>
      <c r="AB1148" s="43" t="s">
        <v>53</v>
      </c>
      <c r="AC1148" s="85">
        <v>3650</v>
      </c>
      <c r="AD1148" s="141">
        <v>10</v>
      </c>
      <c r="AE1148" s="142">
        <v>0</v>
      </c>
      <c r="AF1148" s="69" t="str">
        <f t="shared" ref="AF1148:AF1211" si="117">_xlfn.CONCAT(AG1148," years ",AH1148," days")</f>
        <v>1 years 185 days</v>
      </c>
      <c r="AG1148" s="69">
        <v>1</v>
      </c>
      <c r="AH1148" s="69">
        <v>185</v>
      </c>
      <c r="AI1148" s="69">
        <v>320000</v>
      </c>
      <c r="AJ1148" s="67">
        <v>48219</v>
      </c>
      <c r="AK1148" s="69">
        <v>2025</v>
      </c>
      <c r="AL1148" s="61">
        <v>15868.67123287671</v>
      </c>
      <c r="AM1148" s="143"/>
    </row>
    <row r="1149" spans="1:39" x14ac:dyDescent="0.35">
      <c r="A1149" s="69" t="s">
        <v>4124</v>
      </c>
      <c r="B1149" s="41">
        <v>1121403055</v>
      </c>
      <c r="C1149" s="41"/>
      <c r="D1149" s="69"/>
      <c r="E1149" s="41">
        <v>0</v>
      </c>
      <c r="F1149" s="41" t="s">
        <v>2961</v>
      </c>
      <c r="G1149" s="69" t="s">
        <v>2960</v>
      </c>
      <c r="H1149" s="41">
        <v>9013000194</v>
      </c>
      <c r="I1149" s="41" t="s">
        <v>1569</v>
      </c>
      <c r="J1149" s="41">
        <v>1202020107</v>
      </c>
      <c r="K1149" s="41" t="s">
        <v>3660</v>
      </c>
      <c r="L1149" s="52" t="s">
        <v>3661</v>
      </c>
      <c r="M1149" s="69" t="s">
        <v>3662</v>
      </c>
      <c r="N1149" s="69"/>
      <c r="O1149" s="69">
        <v>1</v>
      </c>
      <c r="P1149" s="69" t="s">
        <v>50</v>
      </c>
      <c r="Q1149" s="69" t="s">
        <v>51</v>
      </c>
      <c r="R1149" s="69"/>
      <c r="S1149" s="48">
        <v>43723</v>
      </c>
      <c r="T1149" s="48">
        <v>43723</v>
      </c>
      <c r="U1149" s="69"/>
      <c r="V1149" s="69"/>
      <c r="W1149" s="69"/>
      <c r="X1149" s="69"/>
      <c r="Y1149" s="69" t="s">
        <v>4126</v>
      </c>
      <c r="Z1149" s="52">
        <v>13470000</v>
      </c>
      <c r="AA1149" s="43" t="s">
        <v>52</v>
      </c>
      <c r="AB1149" s="43" t="s">
        <v>53</v>
      </c>
      <c r="AC1149" s="85">
        <v>1460</v>
      </c>
      <c r="AD1149" s="141">
        <v>4</v>
      </c>
      <c r="AE1149" s="142">
        <v>0</v>
      </c>
      <c r="AF1149" s="69" t="str">
        <f t="shared" si="117"/>
        <v>4 years 0 days</v>
      </c>
      <c r="AG1149" s="69">
        <v>4</v>
      </c>
      <c r="AH1149" s="69">
        <v>0</v>
      </c>
      <c r="AI1149" s="69">
        <v>13470000</v>
      </c>
      <c r="AJ1149" s="67">
        <v>13470000</v>
      </c>
      <c r="AK1149" s="69">
        <v>2025</v>
      </c>
      <c r="AL1149" s="61">
        <v>0</v>
      </c>
      <c r="AM1149" s="143"/>
    </row>
    <row r="1150" spans="1:39" x14ac:dyDescent="0.35">
      <c r="A1150" s="69" t="s">
        <v>4124</v>
      </c>
      <c r="B1150" s="41">
        <v>1121404640</v>
      </c>
      <c r="C1150" s="41"/>
      <c r="D1150" s="69"/>
      <c r="E1150" s="41">
        <v>0</v>
      </c>
      <c r="F1150" s="41" t="s">
        <v>2961</v>
      </c>
      <c r="G1150" s="69" t="s">
        <v>2960</v>
      </c>
      <c r="H1150" s="41">
        <v>9013000195</v>
      </c>
      <c r="I1150" s="41" t="s">
        <v>1569</v>
      </c>
      <c r="J1150" s="41">
        <v>1202020107</v>
      </c>
      <c r="K1150" s="41" t="s">
        <v>3664</v>
      </c>
      <c r="L1150" s="52" t="s">
        <v>3665</v>
      </c>
      <c r="M1150" s="69" t="s">
        <v>3666</v>
      </c>
      <c r="N1150" s="69"/>
      <c r="O1150" s="69">
        <v>1</v>
      </c>
      <c r="P1150" s="69" t="s">
        <v>50</v>
      </c>
      <c r="Q1150" s="69" t="s">
        <v>51</v>
      </c>
      <c r="R1150" s="69"/>
      <c r="S1150" s="48">
        <v>44986</v>
      </c>
      <c r="T1150" s="48">
        <v>44986</v>
      </c>
      <c r="U1150" s="69"/>
      <c r="V1150" s="69"/>
      <c r="W1150" s="69"/>
      <c r="X1150" s="69"/>
      <c r="Y1150" s="69" t="s">
        <v>4129</v>
      </c>
      <c r="Z1150" s="52">
        <v>895350</v>
      </c>
      <c r="AA1150" s="43" t="s">
        <v>52</v>
      </c>
      <c r="AB1150" s="43" t="s">
        <v>53</v>
      </c>
      <c r="AC1150" s="85">
        <v>1460</v>
      </c>
      <c r="AD1150" s="141">
        <v>4</v>
      </c>
      <c r="AE1150" s="142">
        <v>0</v>
      </c>
      <c r="AF1150" s="69" t="str">
        <f t="shared" si="117"/>
        <v>1 years 307 days</v>
      </c>
      <c r="AG1150" s="69">
        <v>1</v>
      </c>
      <c r="AH1150" s="69">
        <v>307</v>
      </c>
      <c r="AI1150" s="69">
        <v>895350</v>
      </c>
      <c r="AJ1150" s="67">
        <v>412106</v>
      </c>
      <c r="AK1150" s="69">
        <v>2025</v>
      </c>
      <c r="AL1150" s="61">
        <v>110999.17123287672</v>
      </c>
      <c r="AM1150" s="143"/>
    </row>
    <row r="1151" spans="1:39" x14ac:dyDescent="0.35">
      <c r="A1151" s="69" t="s">
        <v>4124</v>
      </c>
      <c r="B1151" s="41">
        <v>1121403469</v>
      </c>
      <c r="C1151" s="41"/>
      <c r="D1151" s="69"/>
      <c r="E1151" s="41">
        <v>0</v>
      </c>
      <c r="F1151" s="41" t="s">
        <v>2961</v>
      </c>
      <c r="G1151" s="69" t="s">
        <v>2960</v>
      </c>
      <c r="H1151" s="41">
        <v>9013000196</v>
      </c>
      <c r="I1151" s="41" t="s">
        <v>1569</v>
      </c>
      <c r="J1151" s="41">
        <v>1202020107</v>
      </c>
      <c r="K1151" s="41" t="s">
        <v>3668</v>
      </c>
      <c r="L1151" s="52" t="s">
        <v>3669</v>
      </c>
      <c r="M1151" s="69" t="s">
        <v>3670</v>
      </c>
      <c r="N1151" s="69"/>
      <c r="O1151" s="69">
        <v>1</v>
      </c>
      <c r="P1151" s="69" t="s">
        <v>50</v>
      </c>
      <c r="Q1151" s="69" t="s">
        <v>51</v>
      </c>
      <c r="R1151" s="69"/>
      <c r="S1151" s="48">
        <v>44166</v>
      </c>
      <c r="T1151" s="48">
        <v>44166</v>
      </c>
      <c r="U1151" s="69"/>
      <c r="V1151" s="69"/>
      <c r="W1151" s="69"/>
      <c r="X1151" s="69"/>
      <c r="Y1151" s="69" t="s">
        <v>4127</v>
      </c>
      <c r="Z1151" s="52">
        <v>950000</v>
      </c>
      <c r="AA1151" s="43" t="s">
        <v>52</v>
      </c>
      <c r="AB1151" s="43" t="s">
        <v>53</v>
      </c>
      <c r="AC1151" s="85">
        <v>1460</v>
      </c>
      <c r="AD1151" s="141">
        <v>4</v>
      </c>
      <c r="AE1151" s="142">
        <v>0</v>
      </c>
      <c r="AF1151" s="69" t="str">
        <f t="shared" si="117"/>
        <v>4 years 0 days</v>
      </c>
      <c r="AG1151" s="69">
        <v>4</v>
      </c>
      <c r="AH1151" s="69">
        <v>0</v>
      </c>
      <c r="AI1151" s="69">
        <v>950000</v>
      </c>
      <c r="AJ1151" s="67">
        <v>950000</v>
      </c>
      <c r="AK1151" s="69">
        <v>2025</v>
      </c>
      <c r="AL1151" s="61">
        <v>0</v>
      </c>
      <c r="AM1151" s="143"/>
    </row>
    <row r="1152" spans="1:39" x14ac:dyDescent="0.35">
      <c r="A1152" s="69" t="s">
        <v>4124</v>
      </c>
      <c r="B1152" s="41">
        <v>1121403329</v>
      </c>
      <c r="C1152" s="41"/>
      <c r="D1152" s="69"/>
      <c r="E1152" s="41">
        <v>0</v>
      </c>
      <c r="F1152" s="41" t="s">
        <v>2961</v>
      </c>
      <c r="G1152" s="69" t="s">
        <v>2960</v>
      </c>
      <c r="H1152" s="41">
        <v>9013000197</v>
      </c>
      <c r="I1152" s="41" t="s">
        <v>1569</v>
      </c>
      <c r="J1152" s="41">
        <v>1202020107</v>
      </c>
      <c r="K1152" s="41" t="s">
        <v>3672</v>
      </c>
      <c r="L1152" s="52" t="s">
        <v>3673</v>
      </c>
      <c r="M1152" s="69" t="s">
        <v>3674</v>
      </c>
      <c r="N1152" s="69"/>
      <c r="O1152" s="69">
        <v>1</v>
      </c>
      <c r="P1152" s="69" t="s">
        <v>50</v>
      </c>
      <c r="Q1152" s="69" t="s">
        <v>51</v>
      </c>
      <c r="R1152" s="69"/>
      <c r="S1152" s="48">
        <v>44014</v>
      </c>
      <c r="T1152" s="48">
        <v>44014</v>
      </c>
      <c r="U1152" s="69"/>
      <c r="V1152" s="69"/>
      <c r="W1152" s="69"/>
      <c r="X1152" s="69"/>
      <c r="Y1152" s="69" t="s">
        <v>4127</v>
      </c>
      <c r="Z1152" s="52">
        <v>7558500</v>
      </c>
      <c r="AA1152" s="43" t="s">
        <v>52</v>
      </c>
      <c r="AB1152" s="43" t="s">
        <v>53</v>
      </c>
      <c r="AC1152" s="85">
        <v>1460</v>
      </c>
      <c r="AD1152" s="141">
        <v>4</v>
      </c>
      <c r="AE1152" s="142">
        <v>0</v>
      </c>
      <c r="AF1152" s="69" t="str">
        <f t="shared" si="117"/>
        <v>4 years 0 days</v>
      </c>
      <c r="AG1152" s="69">
        <v>4</v>
      </c>
      <c r="AH1152" s="69">
        <v>0</v>
      </c>
      <c r="AI1152" s="69">
        <v>7558500</v>
      </c>
      <c r="AJ1152" s="67">
        <v>7558500</v>
      </c>
      <c r="AK1152" s="69">
        <v>2025</v>
      </c>
      <c r="AL1152" s="61">
        <v>0</v>
      </c>
      <c r="AM1152" s="143"/>
    </row>
    <row r="1153" spans="1:39" x14ac:dyDescent="0.35">
      <c r="A1153" s="69" t="s">
        <v>4124</v>
      </c>
      <c r="B1153" s="41">
        <v>1121403862</v>
      </c>
      <c r="C1153" s="41"/>
      <c r="D1153" s="69"/>
      <c r="E1153" s="41">
        <v>0</v>
      </c>
      <c r="F1153" s="41" t="s">
        <v>2961</v>
      </c>
      <c r="G1153" s="69" t="s">
        <v>2960</v>
      </c>
      <c r="H1153" s="41">
        <v>9013000198</v>
      </c>
      <c r="I1153" s="41" t="s">
        <v>1569</v>
      </c>
      <c r="J1153" s="41">
        <v>1202020107</v>
      </c>
      <c r="K1153" s="41" t="s">
        <v>3676</v>
      </c>
      <c r="L1153" s="52" t="s">
        <v>3677</v>
      </c>
      <c r="M1153" s="69" t="s">
        <v>3678</v>
      </c>
      <c r="N1153" s="69"/>
      <c r="O1153" s="69">
        <v>1</v>
      </c>
      <c r="P1153" s="69" t="s">
        <v>50</v>
      </c>
      <c r="Q1153" s="69" t="s">
        <v>51</v>
      </c>
      <c r="R1153" s="69"/>
      <c r="S1153" s="48">
        <v>44475</v>
      </c>
      <c r="T1153" s="48">
        <v>44475</v>
      </c>
      <c r="U1153" s="69"/>
      <c r="V1153" s="69"/>
      <c r="W1153" s="69"/>
      <c r="X1153" s="69"/>
      <c r="Y1153" s="69" t="s">
        <v>4128</v>
      </c>
      <c r="Z1153" s="52">
        <v>8000000</v>
      </c>
      <c r="AA1153" s="43" t="s">
        <v>52</v>
      </c>
      <c r="AB1153" s="43" t="s">
        <v>53</v>
      </c>
      <c r="AC1153" s="85">
        <v>1460</v>
      </c>
      <c r="AD1153" s="141">
        <v>4</v>
      </c>
      <c r="AE1153" s="142">
        <v>0</v>
      </c>
      <c r="AF1153" s="69" t="str">
        <f t="shared" si="117"/>
        <v>3 years 88 days</v>
      </c>
      <c r="AG1153" s="69">
        <v>3</v>
      </c>
      <c r="AH1153" s="69">
        <v>88</v>
      </c>
      <c r="AI1153" s="69">
        <v>8000000</v>
      </c>
      <c r="AJ1153" s="67">
        <v>6482192</v>
      </c>
      <c r="AK1153" s="69">
        <v>2025</v>
      </c>
      <c r="AL1153" s="61">
        <v>991780.60273972619</v>
      </c>
      <c r="AM1153" s="143"/>
    </row>
    <row r="1154" spans="1:39" x14ac:dyDescent="0.35">
      <c r="A1154" s="69" t="s">
        <v>4124</v>
      </c>
      <c r="B1154" s="41">
        <v>1121403903</v>
      </c>
      <c r="C1154" s="41"/>
      <c r="D1154" s="69"/>
      <c r="E1154" s="41">
        <v>0</v>
      </c>
      <c r="F1154" s="41" t="s">
        <v>2961</v>
      </c>
      <c r="G1154" s="69" t="s">
        <v>2960</v>
      </c>
      <c r="H1154" s="41">
        <v>9013000199</v>
      </c>
      <c r="I1154" s="41" t="s">
        <v>1569</v>
      </c>
      <c r="J1154" s="41">
        <v>1202020107</v>
      </c>
      <c r="K1154" s="41" t="s">
        <v>3696</v>
      </c>
      <c r="L1154" s="52" t="s">
        <v>3697</v>
      </c>
      <c r="M1154" s="69" t="s">
        <v>3698</v>
      </c>
      <c r="N1154" s="69"/>
      <c r="O1154" s="69">
        <v>2</v>
      </c>
      <c r="P1154" s="69" t="s">
        <v>50</v>
      </c>
      <c r="Q1154" s="69" t="s">
        <v>51</v>
      </c>
      <c r="R1154" s="69"/>
      <c r="S1154" s="48">
        <v>44515</v>
      </c>
      <c r="T1154" s="48">
        <v>44515</v>
      </c>
      <c r="U1154" s="69"/>
      <c r="V1154" s="69"/>
      <c r="W1154" s="69"/>
      <c r="X1154" s="69"/>
      <c r="Y1154" s="69" t="s">
        <v>4128</v>
      </c>
      <c r="Z1154" s="52">
        <v>15482700</v>
      </c>
      <c r="AA1154" s="43" t="s">
        <v>52</v>
      </c>
      <c r="AB1154" s="43" t="s">
        <v>53</v>
      </c>
      <c r="AC1154" s="85">
        <v>1460</v>
      </c>
      <c r="AD1154" s="141">
        <v>4</v>
      </c>
      <c r="AE1154" s="142">
        <v>0</v>
      </c>
      <c r="AF1154" s="69" t="str">
        <f t="shared" si="117"/>
        <v>3 years 48 days</v>
      </c>
      <c r="AG1154" s="69">
        <v>3</v>
      </c>
      <c r="AH1154" s="69">
        <v>48</v>
      </c>
      <c r="AI1154" s="69">
        <v>15482700</v>
      </c>
      <c r="AJ1154" s="67">
        <v>12121045</v>
      </c>
      <c r="AK1154" s="69">
        <v>2025</v>
      </c>
      <c r="AL1154" s="61">
        <v>1919430.8904109579</v>
      </c>
      <c r="AM1154" s="143"/>
    </row>
    <row r="1155" spans="1:39" x14ac:dyDescent="0.35">
      <c r="A1155" s="69" t="s">
        <v>4124</v>
      </c>
      <c r="B1155" s="41">
        <v>1121404124</v>
      </c>
      <c r="C1155" s="41"/>
      <c r="D1155" s="69"/>
      <c r="E1155" s="41">
        <v>0</v>
      </c>
      <c r="F1155" s="41" t="s">
        <v>2961</v>
      </c>
      <c r="G1155" s="69" t="s">
        <v>2960</v>
      </c>
      <c r="H1155" s="41">
        <v>9013000200</v>
      </c>
      <c r="I1155" s="41" t="s">
        <v>1569</v>
      </c>
      <c r="J1155" s="41">
        <v>1202020107</v>
      </c>
      <c r="K1155" s="41" t="s">
        <v>3680</v>
      </c>
      <c r="L1155" s="52" t="s">
        <v>3681</v>
      </c>
      <c r="M1155" s="69" t="s">
        <v>3682</v>
      </c>
      <c r="N1155" s="69"/>
      <c r="O1155" s="69">
        <v>1</v>
      </c>
      <c r="P1155" s="69" t="s">
        <v>50</v>
      </c>
      <c r="Q1155" s="69" t="s">
        <v>51</v>
      </c>
      <c r="R1155" s="69"/>
      <c r="S1155" s="48">
        <v>44713</v>
      </c>
      <c r="T1155" s="48">
        <v>44713</v>
      </c>
      <c r="U1155" s="69"/>
      <c r="V1155" s="69"/>
      <c r="W1155" s="69"/>
      <c r="X1155" s="69"/>
      <c r="Y1155" s="69" t="s">
        <v>4131</v>
      </c>
      <c r="Z1155" s="52">
        <v>8190030</v>
      </c>
      <c r="AA1155" s="43" t="s">
        <v>52</v>
      </c>
      <c r="AB1155" s="43" t="s">
        <v>53</v>
      </c>
      <c r="AC1155" s="85">
        <v>1460</v>
      </c>
      <c r="AD1155" s="141">
        <v>4</v>
      </c>
      <c r="AE1155" s="142">
        <v>0</v>
      </c>
      <c r="AF1155" s="69" t="str">
        <f t="shared" si="117"/>
        <v>2 years 215 days</v>
      </c>
      <c r="AG1155" s="69">
        <v>2</v>
      </c>
      <c r="AH1155" s="69">
        <v>215</v>
      </c>
      <c r="AI1155" s="69">
        <v>8190030</v>
      </c>
      <c r="AJ1155" s="67">
        <v>5301081</v>
      </c>
      <c r="AK1155" s="69">
        <v>2025</v>
      </c>
      <c r="AL1155" s="61">
        <v>1015339.3972602747</v>
      </c>
      <c r="AM1155" s="143"/>
    </row>
    <row r="1156" spans="1:39" x14ac:dyDescent="0.35">
      <c r="A1156" s="69" t="s">
        <v>4124</v>
      </c>
      <c r="B1156" s="41">
        <v>1121404485</v>
      </c>
      <c r="C1156" s="41"/>
      <c r="D1156" s="69"/>
      <c r="E1156" s="41">
        <v>0</v>
      </c>
      <c r="F1156" s="41" t="s">
        <v>2961</v>
      </c>
      <c r="G1156" s="69" t="s">
        <v>2960</v>
      </c>
      <c r="H1156" s="41">
        <v>9013000201</v>
      </c>
      <c r="I1156" s="41" t="s">
        <v>1569</v>
      </c>
      <c r="J1156" s="41">
        <v>1202020107</v>
      </c>
      <c r="K1156" s="41" t="s">
        <v>3684</v>
      </c>
      <c r="L1156" s="52" t="s">
        <v>3685</v>
      </c>
      <c r="M1156" s="69" t="s">
        <v>3686</v>
      </c>
      <c r="N1156" s="69"/>
      <c r="O1156" s="69">
        <v>2668</v>
      </c>
      <c r="P1156" s="69" t="s">
        <v>50</v>
      </c>
      <c r="Q1156" s="69" t="s">
        <v>51</v>
      </c>
      <c r="R1156" s="69"/>
      <c r="S1156" s="48">
        <v>44896</v>
      </c>
      <c r="T1156" s="48">
        <v>44896</v>
      </c>
      <c r="U1156" s="69"/>
      <c r="V1156" s="69"/>
      <c r="W1156" s="69"/>
      <c r="X1156" s="69"/>
      <c r="Y1156" s="69" t="s">
        <v>4131</v>
      </c>
      <c r="Z1156" s="52">
        <v>8008500</v>
      </c>
      <c r="AA1156" s="43" t="s">
        <v>52</v>
      </c>
      <c r="AB1156" s="43" t="s">
        <v>53</v>
      </c>
      <c r="AC1156" s="85">
        <v>1460</v>
      </c>
      <c r="AD1156" s="141">
        <v>4</v>
      </c>
      <c r="AE1156" s="142">
        <v>0</v>
      </c>
      <c r="AF1156" s="69" t="str">
        <f t="shared" si="117"/>
        <v>2 years 32 days</v>
      </c>
      <c r="AG1156" s="69">
        <v>2</v>
      </c>
      <c r="AH1156" s="69">
        <v>32</v>
      </c>
      <c r="AI1156" s="69">
        <v>8008500</v>
      </c>
      <c r="AJ1156" s="67">
        <v>4179779</v>
      </c>
      <c r="AK1156" s="69">
        <v>2025</v>
      </c>
      <c r="AL1156" s="61">
        <v>992834.3561643837</v>
      </c>
      <c r="AM1156" s="143"/>
    </row>
    <row r="1157" spans="1:39" x14ac:dyDescent="0.35">
      <c r="A1157" s="69" t="s">
        <v>4124</v>
      </c>
      <c r="B1157" s="41">
        <v>1121405414</v>
      </c>
      <c r="C1157" s="41"/>
      <c r="D1157" s="69"/>
      <c r="E1157" s="41">
        <v>0</v>
      </c>
      <c r="F1157" s="41" t="s">
        <v>2961</v>
      </c>
      <c r="G1157" s="69" t="s">
        <v>2960</v>
      </c>
      <c r="H1157" s="41">
        <v>9013000202</v>
      </c>
      <c r="I1157" s="41" t="s">
        <v>1569</v>
      </c>
      <c r="J1157" s="41">
        <v>1202020107</v>
      </c>
      <c r="K1157" s="41" t="s">
        <v>3688</v>
      </c>
      <c r="L1157" s="52" t="s">
        <v>3689</v>
      </c>
      <c r="M1157" s="69" t="s">
        <v>3690</v>
      </c>
      <c r="N1157" s="69"/>
      <c r="O1157" s="69">
        <v>1</v>
      </c>
      <c r="P1157" s="69" t="s">
        <v>50</v>
      </c>
      <c r="Q1157" s="69" t="s">
        <v>51</v>
      </c>
      <c r="R1157" s="69"/>
      <c r="S1157" s="48">
        <v>45809</v>
      </c>
      <c r="T1157" s="48">
        <v>45809</v>
      </c>
      <c r="U1157" s="69"/>
      <c r="V1157" s="69"/>
      <c r="W1157" s="69"/>
      <c r="X1157" s="69"/>
      <c r="Y1157" s="69" t="s">
        <v>4132</v>
      </c>
      <c r="Z1157" s="83">
        <v>0</v>
      </c>
      <c r="AA1157" s="43" t="s">
        <v>52</v>
      </c>
      <c r="AB1157" s="43" t="s">
        <v>53</v>
      </c>
      <c r="AC1157" s="85">
        <v>1460</v>
      </c>
      <c r="AD1157" s="141">
        <v>4</v>
      </c>
      <c r="AE1157" s="142">
        <v>0</v>
      </c>
      <c r="AF1157" s="69" t="str">
        <f t="shared" si="117"/>
        <v>0 years 0 days</v>
      </c>
      <c r="AG1157" s="69">
        <v>0</v>
      </c>
      <c r="AH1157" s="69">
        <v>0</v>
      </c>
      <c r="AI1157" s="69">
        <v>900000</v>
      </c>
      <c r="AJ1157" s="67">
        <v>0</v>
      </c>
      <c r="AK1157" s="69">
        <v>2025</v>
      </c>
      <c r="AL1157" s="61">
        <v>18493.150684931508</v>
      </c>
      <c r="AM1157" s="143"/>
    </row>
    <row r="1158" spans="1:39" x14ac:dyDescent="0.35">
      <c r="A1158" s="69" t="s">
        <v>4124</v>
      </c>
      <c r="B1158" s="41">
        <v>1121405154</v>
      </c>
      <c r="C1158" s="41"/>
      <c r="D1158" s="69"/>
      <c r="E1158" s="41">
        <v>0</v>
      </c>
      <c r="F1158" s="41" t="s">
        <v>2961</v>
      </c>
      <c r="G1158" s="69" t="s">
        <v>2960</v>
      </c>
      <c r="H1158" s="41">
        <v>9013000203</v>
      </c>
      <c r="I1158" s="41" t="s">
        <v>1569</v>
      </c>
      <c r="J1158" s="41">
        <v>1202020107</v>
      </c>
      <c r="K1158" s="41" t="s">
        <v>3692</v>
      </c>
      <c r="L1158" s="52" t="s">
        <v>3693</v>
      </c>
      <c r="M1158" s="69" t="s">
        <v>3694</v>
      </c>
      <c r="N1158" s="69"/>
      <c r="O1158" s="69">
        <v>1</v>
      </c>
      <c r="P1158" s="69" t="s">
        <v>50</v>
      </c>
      <c r="Q1158" s="69" t="s">
        <v>51</v>
      </c>
      <c r="R1158" s="69"/>
      <c r="S1158" s="48">
        <v>45383</v>
      </c>
      <c r="T1158" s="48">
        <v>45383</v>
      </c>
      <c r="U1158" s="69"/>
      <c r="V1158" s="69"/>
      <c r="W1158" s="69"/>
      <c r="X1158" s="69"/>
      <c r="Y1158" s="69" t="s">
        <v>4130</v>
      </c>
      <c r="Z1158" s="83">
        <v>990035</v>
      </c>
      <c r="AA1158" s="43" t="s">
        <v>52</v>
      </c>
      <c r="AB1158" s="43" t="s">
        <v>53</v>
      </c>
      <c r="AC1158" s="85">
        <v>1460</v>
      </c>
      <c r="AD1158" s="141">
        <v>4</v>
      </c>
      <c r="AE1158" s="142">
        <v>0</v>
      </c>
      <c r="AF1158" s="69" t="str">
        <f t="shared" si="117"/>
        <v>0 years 275 days</v>
      </c>
      <c r="AG1158" s="69">
        <v>0</v>
      </c>
      <c r="AH1158" s="69">
        <v>275</v>
      </c>
      <c r="AI1158" s="69">
        <v>990035</v>
      </c>
      <c r="AJ1158" s="67">
        <v>186479</v>
      </c>
      <c r="AK1158" s="69">
        <v>2025</v>
      </c>
      <c r="AL1158" s="61">
        <v>122737.41095890413</v>
      </c>
      <c r="AM1158" s="143"/>
    </row>
    <row r="1159" spans="1:39" x14ac:dyDescent="0.35">
      <c r="A1159" s="69" t="s">
        <v>4124</v>
      </c>
      <c r="B1159" s="41">
        <v>1121404487</v>
      </c>
      <c r="C1159" s="41"/>
      <c r="D1159" s="69"/>
      <c r="E1159" s="41">
        <v>0</v>
      </c>
      <c r="F1159" s="41" t="s">
        <v>2961</v>
      </c>
      <c r="G1159" s="69" t="s">
        <v>2960</v>
      </c>
      <c r="H1159" s="41">
        <v>9013000204</v>
      </c>
      <c r="I1159" s="41" t="s">
        <v>1569</v>
      </c>
      <c r="J1159" s="41">
        <v>1202020107</v>
      </c>
      <c r="K1159" s="41" t="s">
        <v>3700</v>
      </c>
      <c r="L1159" s="52" t="s">
        <v>3701</v>
      </c>
      <c r="M1159" s="69" t="s">
        <v>3702</v>
      </c>
      <c r="N1159" s="69"/>
      <c r="O1159" s="69">
        <v>1</v>
      </c>
      <c r="P1159" s="69" t="s">
        <v>50</v>
      </c>
      <c r="Q1159" s="69" t="s">
        <v>51</v>
      </c>
      <c r="R1159" s="69"/>
      <c r="S1159" s="48">
        <v>44896</v>
      </c>
      <c r="T1159" s="48">
        <v>44896</v>
      </c>
      <c r="U1159" s="69"/>
      <c r="V1159" s="69"/>
      <c r="W1159" s="69"/>
      <c r="X1159" s="69"/>
      <c r="Y1159" s="69" t="s">
        <v>4131</v>
      </c>
      <c r="Z1159" s="52">
        <v>12008500</v>
      </c>
      <c r="AA1159" s="43" t="s">
        <v>52</v>
      </c>
      <c r="AB1159" s="43" t="s">
        <v>53</v>
      </c>
      <c r="AC1159" s="85">
        <v>1460</v>
      </c>
      <c r="AD1159" s="141">
        <v>4</v>
      </c>
      <c r="AE1159" s="142">
        <v>0</v>
      </c>
      <c r="AF1159" s="69" t="str">
        <f t="shared" si="117"/>
        <v>2 years 32 days</v>
      </c>
      <c r="AG1159" s="69">
        <v>2</v>
      </c>
      <c r="AH1159" s="69">
        <v>32</v>
      </c>
      <c r="AI1159" s="69">
        <v>12008500</v>
      </c>
      <c r="AJ1159" s="67">
        <v>6267450</v>
      </c>
      <c r="AK1159" s="69">
        <v>2025</v>
      </c>
      <c r="AL1159" s="61">
        <v>1488725</v>
      </c>
      <c r="AM1159" s="143"/>
    </row>
    <row r="1160" spans="1:39" x14ac:dyDescent="0.35">
      <c r="A1160" s="69" t="s">
        <v>4124</v>
      </c>
      <c r="B1160" s="41">
        <v>1121404779</v>
      </c>
      <c r="C1160" s="41"/>
      <c r="D1160" s="69"/>
      <c r="E1160" s="41">
        <v>0</v>
      </c>
      <c r="F1160" s="41" t="s">
        <v>2961</v>
      </c>
      <c r="G1160" s="69" t="s">
        <v>2960</v>
      </c>
      <c r="H1160" s="41">
        <v>9013000205</v>
      </c>
      <c r="I1160" s="41" t="s">
        <v>1569</v>
      </c>
      <c r="J1160" s="41">
        <v>1202020107</v>
      </c>
      <c r="K1160" s="41" t="s">
        <v>3704</v>
      </c>
      <c r="L1160" s="52" t="s">
        <v>3705</v>
      </c>
      <c r="M1160" s="69" t="s">
        <v>3706</v>
      </c>
      <c r="N1160" s="69"/>
      <c r="O1160" s="69">
        <v>2</v>
      </c>
      <c r="P1160" s="69" t="s">
        <v>50</v>
      </c>
      <c r="Q1160" s="69" t="s">
        <v>51</v>
      </c>
      <c r="R1160" s="69"/>
      <c r="S1160" s="48">
        <v>45092</v>
      </c>
      <c r="T1160" s="48">
        <v>45092</v>
      </c>
      <c r="U1160" s="69"/>
      <c r="V1160" s="69"/>
      <c r="W1160" s="69"/>
      <c r="X1160" s="69"/>
      <c r="Y1160" s="69" t="s">
        <v>4129</v>
      </c>
      <c r="Z1160" s="52">
        <v>12354500</v>
      </c>
      <c r="AA1160" s="43" t="s">
        <v>52</v>
      </c>
      <c r="AB1160" s="43" t="s">
        <v>53</v>
      </c>
      <c r="AC1160" s="85">
        <v>1460</v>
      </c>
      <c r="AD1160" s="141">
        <v>4</v>
      </c>
      <c r="AE1160" s="142">
        <v>0</v>
      </c>
      <c r="AF1160" s="69" t="str">
        <f t="shared" si="117"/>
        <v>1 years 201 days</v>
      </c>
      <c r="AG1160" s="69">
        <v>1</v>
      </c>
      <c r="AH1160" s="69">
        <v>201</v>
      </c>
      <c r="AI1160" s="69">
        <v>12354500</v>
      </c>
      <c r="AJ1160" s="67">
        <v>4789484</v>
      </c>
      <c r="AK1160" s="69">
        <v>2025</v>
      </c>
      <c r="AL1160" s="61">
        <v>1531619.7671232875</v>
      </c>
      <c r="AM1160" s="143"/>
    </row>
    <row r="1161" spans="1:39" x14ac:dyDescent="0.35">
      <c r="A1161" s="69" t="s">
        <v>4124</v>
      </c>
      <c r="B1161" s="41">
        <v>1121404795</v>
      </c>
      <c r="C1161" s="41"/>
      <c r="D1161" s="69"/>
      <c r="E1161" s="41">
        <v>0</v>
      </c>
      <c r="F1161" s="41" t="s">
        <v>2961</v>
      </c>
      <c r="G1161" s="69" t="s">
        <v>2960</v>
      </c>
      <c r="H1161" s="41">
        <v>9013000206</v>
      </c>
      <c r="I1161" s="41" t="s">
        <v>1569</v>
      </c>
      <c r="J1161" s="41">
        <v>1202020107</v>
      </c>
      <c r="K1161" s="41" t="s">
        <v>3708</v>
      </c>
      <c r="L1161" s="52" t="s">
        <v>3709</v>
      </c>
      <c r="M1161" s="69" t="s">
        <v>3710</v>
      </c>
      <c r="N1161" s="69"/>
      <c r="O1161" s="69">
        <v>2</v>
      </c>
      <c r="P1161" s="69" t="s">
        <v>50</v>
      </c>
      <c r="Q1161" s="69" t="s">
        <v>51</v>
      </c>
      <c r="R1161" s="69"/>
      <c r="S1161" s="48">
        <v>45108</v>
      </c>
      <c r="T1161" s="48">
        <v>45108</v>
      </c>
      <c r="U1161" s="69"/>
      <c r="V1161" s="69"/>
      <c r="W1161" s="69"/>
      <c r="X1161" s="69"/>
      <c r="Y1161" s="69" t="s">
        <v>4129</v>
      </c>
      <c r="Z1161" s="52">
        <v>12440470</v>
      </c>
      <c r="AA1161" s="43" t="s">
        <v>52</v>
      </c>
      <c r="AB1161" s="43" t="s">
        <v>53</v>
      </c>
      <c r="AC1161" s="85">
        <v>1460</v>
      </c>
      <c r="AD1161" s="141">
        <v>4</v>
      </c>
      <c r="AE1161" s="142">
        <v>0</v>
      </c>
      <c r="AF1161" s="69" t="str">
        <f t="shared" si="117"/>
        <v>1 years 185 days</v>
      </c>
      <c r="AG1161" s="69">
        <v>1</v>
      </c>
      <c r="AH1161" s="69">
        <v>185</v>
      </c>
      <c r="AI1161" s="69">
        <v>12440470</v>
      </c>
      <c r="AJ1161" s="67">
        <v>4686478</v>
      </c>
      <c r="AK1161" s="69">
        <v>2025</v>
      </c>
      <c r="AL1161" s="61">
        <v>1542277.8698630137</v>
      </c>
      <c r="AM1161" s="143"/>
    </row>
    <row r="1162" spans="1:39" x14ac:dyDescent="0.35">
      <c r="A1162" s="69" t="s">
        <v>4124</v>
      </c>
      <c r="B1162" s="41">
        <v>1121405185</v>
      </c>
      <c r="C1162" s="41"/>
      <c r="D1162" s="69"/>
      <c r="E1162" s="41">
        <v>0</v>
      </c>
      <c r="F1162" s="41" t="s">
        <v>2961</v>
      </c>
      <c r="G1162" s="69" t="s">
        <v>2960</v>
      </c>
      <c r="H1162" s="41">
        <v>9013000207</v>
      </c>
      <c r="I1162" s="41" t="s">
        <v>1569</v>
      </c>
      <c r="J1162" s="41">
        <v>1202020107</v>
      </c>
      <c r="K1162" s="41" t="s">
        <v>3712</v>
      </c>
      <c r="L1162" s="52" t="s">
        <v>3713</v>
      </c>
      <c r="M1162" s="69" t="s">
        <v>3714</v>
      </c>
      <c r="N1162" s="69"/>
      <c r="O1162" s="69">
        <v>1</v>
      </c>
      <c r="P1162" s="69" t="s">
        <v>50</v>
      </c>
      <c r="Q1162" s="69" t="s">
        <v>51</v>
      </c>
      <c r="R1162" s="69"/>
      <c r="S1162" s="48">
        <v>45432</v>
      </c>
      <c r="T1162" s="48">
        <v>45432</v>
      </c>
      <c r="U1162" s="69"/>
      <c r="V1162" s="69"/>
      <c r="W1162" s="69"/>
      <c r="X1162" s="69"/>
      <c r="Y1162" s="69" t="s">
        <v>4130</v>
      </c>
      <c r="Z1162" s="83">
        <v>7908500</v>
      </c>
      <c r="AA1162" s="43" t="s">
        <v>52</v>
      </c>
      <c r="AB1162" s="43" t="s">
        <v>53</v>
      </c>
      <c r="AC1162" s="85">
        <v>1460</v>
      </c>
      <c r="AD1162" s="141">
        <v>4</v>
      </c>
      <c r="AE1162" s="142">
        <v>0</v>
      </c>
      <c r="AF1162" s="69" t="str">
        <f t="shared" si="117"/>
        <v>0 years 226 days</v>
      </c>
      <c r="AG1162" s="69">
        <v>0</v>
      </c>
      <c r="AH1162" s="69">
        <v>226</v>
      </c>
      <c r="AI1162" s="69">
        <v>7908500</v>
      </c>
      <c r="AJ1162" s="67">
        <v>1224192</v>
      </c>
      <c r="AK1162" s="69">
        <v>2025</v>
      </c>
      <c r="AL1162" s="61">
        <v>980437.79452054808</v>
      </c>
      <c r="AM1162" s="143"/>
    </row>
    <row r="1163" spans="1:39" x14ac:dyDescent="0.35">
      <c r="A1163" s="69" t="s">
        <v>4124</v>
      </c>
      <c r="B1163" s="41" t="s">
        <v>3715</v>
      </c>
      <c r="C1163" s="41"/>
      <c r="D1163" s="69"/>
      <c r="E1163" s="41">
        <v>0</v>
      </c>
      <c r="F1163" s="41" t="s">
        <v>2961</v>
      </c>
      <c r="G1163" s="69" t="s">
        <v>2960</v>
      </c>
      <c r="H1163" s="41">
        <v>9013000208</v>
      </c>
      <c r="I1163" s="41" t="s">
        <v>1685</v>
      </c>
      <c r="J1163" s="41">
        <v>1202020102</v>
      </c>
      <c r="K1163" s="41" t="s">
        <v>3716</v>
      </c>
      <c r="L1163" s="52" t="s">
        <v>3717</v>
      </c>
      <c r="M1163" s="69" t="s">
        <v>3718</v>
      </c>
      <c r="N1163" s="69"/>
      <c r="O1163" s="69">
        <v>1</v>
      </c>
      <c r="P1163" s="69" t="s">
        <v>50</v>
      </c>
      <c r="Q1163" s="69" t="s">
        <v>51</v>
      </c>
      <c r="R1163" s="69"/>
      <c r="S1163" s="48">
        <v>45323</v>
      </c>
      <c r="T1163" s="48">
        <v>45323</v>
      </c>
      <c r="U1163" s="69"/>
      <c r="V1163" s="69"/>
      <c r="W1163" s="69"/>
      <c r="X1163" s="69"/>
      <c r="Y1163" s="69" t="s">
        <v>4130</v>
      </c>
      <c r="Z1163" s="52">
        <v>2243000</v>
      </c>
      <c r="AA1163" s="43" t="s">
        <v>52</v>
      </c>
      <c r="AB1163" s="43" t="s">
        <v>53</v>
      </c>
      <c r="AC1163" s="85">
        <v>1460</v>
      </c>
      <c r="AD1163" s="141">
        <v>4</v>
      </c>
      <c r="AE1163" s="142">
        <v>0</v>
      </c>
      <c r="AF1163" s="69" t="str">
        <f t="shared" si="117"/>
        <v>0 years 335 days</v>
      </c>
      <c r="AG1163" s="69">
        <v>0</v>
      </c>
      <c r="AH1163" s="69">
        <v>335</v>
      </c>
      <c r="AI1163" s="69">
        <v>1493000</v>
      </c>
      <c r="AJ1163" s="67">
        <v>342571.94516272849</v>
      </c>
      <c r="AK1163" s="69">
        <v>2025</v>
      </c>
      <c r="AL1163" s="61">
        <v>185090.98634412076</v>
      </c>
      <c r="AM1163" s="143"/>
    </row>
    <row r="1164" spans="1:39" x14ac:dyDescent="0.35">
      <c r="A1164" s="69" t="s">
        <v>4124</v>
      </c>
      <c r="B1164" s="41">
        <v>1121405337</v>
      </c>
      <c r="C1164" s="41"/>
      <c r="D1164" s="69"/>
      <c r="E1164" s="41">
        <v>0</v>
      </c>
      <c r="F1164" s="41" t="s">
        <v>2961</v>
      </c>
      <c r="G1164" s="69" t="s">
        <v>2960</v>
      </c>
      <c r="H1164" s="41">
        <v>9013000209</v>
      </c>
      <c r="I1164" s="41" t="s">
        <v>1685</v>
      </c>
      <c r="J1164" s="41">
        <v>1202020102</v>
      </c>
      <c r="K1164" s="41" t="s">
        <v>3720</v>
      </c>
      <c r="L1164" s="52" t="s">
        <v>3721</v>
      </c>
      <c r="M1164" s="69" t="s">
        <v>3722</v>
      </c>
      <c r="N1164" s="69"/>
      <c r="O1164" s="69">
        <v>1</v>
      </c>
      <c r="P1164" s="69" t="s">
        <v>50</v>
      </c>
      <c r="Q1164" s="69" t="s">
        <v>51</v>
      </c>
      <c r="R1164" s="69"/>
      <c r="S1164" s="48">
        <v>45627</v>
      </c>
      <c r="T1164" s="48">
        <v>45627</v>
      </c>
      <c r="U1164" s="69"/>
      <c r="V1164" s="69"/>
      <c r="W1164" s="69"/>
      <c r="X1164" s="69"/>
      <c r="Y1164" s="69" t="s">
        <v>4130</v>
      </c>
      <c r="Z1164" s="83">
        <v>140000</v>
      </c>
      <c r="AA1164" s="43" t="s">
        <v>52</v>
      </c>
      <c r="AB1164" s="43" t="s">
        <v>53</v>
      </c>
      <c r="AC1164" s="85">
        <v>1460</v>
      </c>
      <c r="AD1164" s="141">
        <v>4</v>
      </c>
      <c r="AE1164" s="142">
        <v>0</v>
      </c>
      <c r="AF1164" s="69" t="str">
        <f t="shared" si="117"/>
        <v>0 years 31 days</v>
      </c>
      <c r="AG1164" s="69">
        <v>0</v>
      </c>
      <c r="AH1164" s="69">
        <v>31</v>
      </c>
      <c r="AI1164" s="69">
        <v>140000</v>
      </c>
      <c r="AJ1164" s="67">
        <v>2973</v>
      </c>
      <c r="AK1164" s="69">
        <v>2025</v>
      </c>
      <c r="AL1164" s="61">
        <v>17355.767123287671</v>
      </c>
      <c r="AM1164" s="143"/>
    </row>
    <row r="1165" spans="1:39" x14ac:dyDescent="0.35">
      <c r="A1165" s="69" t="s">
        <v>4124</v>
      </c>
      <c r="B1165" s="41">
        <v>1121102784</v>
      </c>
      <c r="C1165" s="41"/>
      <c r="D1165" s="69"/>
      <c r="E1165" s="41">
        <v>0</v>
      </c>
      <c r="F1165" s="41" t="s">
        <v>2961</v>
      </c>
      <c r="G1165" s="69" t="s">
        <v>2960</v>
      </c>
      <c r="H1165" s="41">
        <v>9013000211</v>
      </c>
      <c r="I1165" s="41" t="s">
        <v>593</v>
      </c>
      <c r="J1165" s="41">
        <v>1202020101</v>
      </c>
      <c r="K1165" s="41"/>
      <c r="L1165" s="52" t="s">
        <v>3999</v>
      </c>
      <c r="M1165" s="69" t="s">
        <v>49</v>
      </c>
      <c r="N1165" s="69"/>
      <c r="O1165" s="69">
        <v>1</v>
      </c>
      <c r="P1165" s="69" t="s">
        <v>50</v>
      </c>
      <c r="Q1165" s="69" t="s">
        <v>51</v>
      </c>
      <c r="R1165" s="69"/>
      <c r="S1165" s="48">
        <v>41675</v>
      </c>
      <c r="T1165" s="48">
        <v>43340</v>
      </c>
      <c r="U1165" s="69"/>
      <c r="V1165" s="69"/>
      <c r="W1165" s="69"/>
      <c r="X1165" s="69"/>
      <c r="Y1165" s="69" t="s">
        <v>4125</v>
      </c>
      <c r="Z1165" s="52">
        <v>3200</v>
      </c>
      <c r="AA1165" s="43" t="s">
        <v>52</v>
      </c>
      <c r="AB1165" s="43" t="s">
        <v>53</v>
      </c>
      <c r="AC1165" s="85">
        <v>183</v>
      </c>
      <c r="AD1165" s="141">
        <v>0</v>
      </c>
      <c r="AE1165" s="142">
        <v>6</v>
      </c>
      <c r="AF1165" s="69" t="str">
        <f t="shared" si="117"/>
        <v>0 years 183 days</v>
      </c>
      <c r="AG1165" s="69">
        <v>0</v>
      </c>
      <c r="AH1165" s="69">
        <v>183</v>
      </c>
      <c r="AI1165" s="69">
        <v>3200</v>
      </c>
      <c r="AJ1165" s="67">
        <v>3200</v>
      </c>
      <c r="AK1165" s="69">
        <v>2025</v>
      </c>
      <c r="AL1165" s="61">
        <v>0</v>
      </c>
      <c r="AM1165" s="143"/>
    </row>
    <row r="1166" spans="1:39" x14ac:dyDescent="0.35">
      <c r="A1166" s="69" t="s">
        <v>4124</v>
      </c>
      <c r="B1166" s="41">
        <v>1121102783</v>
      </c>
      <c r="C1166" s="41"/>
      <c r="D1166" s="69"/>
      <c r="E1166" s="41">
        <v>0</v>
      </c>
      <c r="F1166" s="41" t="s">
        <v>2961</v>
      </c>
      <c r="G1166" s="69" t="s">
        <v>2960</v>
      </c>
      <c r="H1166" s="41">
        <v>9013000211</v>
      </c>
      <c r="I1166" s="41" t="s">
        <v>593</v>
      </c>
      <c r="J1166" s="41">
        <v>1202020101</v>
      </c>
      <c r="K1166" s="41"/>
      <c r="L1166" s="52" t="s">
        <v>3997</v>
      </c>
      <c r="M1166" s="69" t="s">
        <v>49</v>
      </c>
      <c r="N1166" s="69"/>
      <c r="O1166" s="69">
        <v>1</v>
      </c>
      <c r="P1166" s="69" t="s">
        <v>50</v>
      </c>
      <c r="Q1166" s="69" t="s">
        <v>51</v>
      </c>
      <c r="R1166" s="69"/>
      <c r="S1166" s="48">
        <v>41697</v>
      </c>
      <c r="T1166" s="48">
        <v>43340</v>
      </c>
      <c r="U1166" s="69"/>
      <c r="V1166" s="69"/>
      <c r="W1166" s="69"/>
      <c r="X1166" s="69"/>
      <c r="Y1166" s="69" t="s">
        <v>4125</v>
      </c>
      <c r="Z1166" s="52">
        <v>3400</v>
      </c>
      <c r="AA1166" s="43" t="s">
        <v>52</v>
      </c>
      <c r="AB1166" s="43" t="s">
        <v>53</v>
      </c>
      <c r="AC1166" s="85">
        <v>183</v>
      </c>
      <c r="AD1166" s="141">
        <v>0</v>
      </c>
      <c r="AE1166" s="142">
        <v>6</v>
      </c>
      <c r="AF1166" s="69" t="str">
        <f t="shared" si="117"/>
        <v>0 years 183 days</v>
      </c>
      <c r="AG1166" s="69">
        <v>0</v>
      </c>
      <c r="AH1166" s="69">
        <v>183</v>
      </c>
      <c r="AI1166" s="69">
        <v>3400</v>
      </c>
      <c r="AJ1166" s="67">
        <v>3400</v>
      </c>
      <c r="AK1166" s="69">
        <v>2025</v>
      </c>
      <c r="AL1166" s="61">
        <v>0</v>
      </c>
      <c r="AM1166" s="143"/>
    </row>
    <row r="1167" spans="1:39" x14ac:dyDescent="0.35">
      <c r="A1167" s="69" t="s">
        <v>4124</v>
      </c>
      <c r="B1167" s="41">
        <v>1121102782</v>
      </c>
      <c r="C1167" s="41"/>
      <c r="D1167" s="69"/>
      <c r="E1167" s="41">
        <v>0</v>
      </c>
      <c r="F1167" s="41" t="s">
        <v>2961</v>
      </c>
      <c r="G1167" s="69" t="s">
        <v>2960</v>
      </c>
      <c r="H1167" s="41">
        <v>9013000211</v>
      </c>
      <c r="I1167" s="41" t="s">
        <v>593</v>
      </c>
      <c r="J1167" s="41">
        <v>1202020101</v>
      </c>
      <c r="K1167" s="41"/>
      <c r="L1167" s="52" t="s">
        <v>3995</v>
      </c>
      <c r="M1167" s="69" t="s">
        <v>49</v>
      </c>
      <c r="N1167" s="69"/>
      <c r="O1167" s="69">
        <v>1</v>
      </c>
      <c r="P1167" s="69" t="s">
        <v>50</v>
      </c>
      <c r="Q1167" s="69" t="s">
        <v>51</v>
      </c>
      <c r="R1167" s="69"/>
      <c r="S1167" s="48">
        <v>41774</v>
      </c>
      <c r="T1167" s="48">
        <v>43340</v>
      </c>
      <c r="U1167" s="69"/>
      <c r="V1167" s="69"/>
      <c r="W1167" s="69"/>
      <c r="X1167" s="69"/>
      <c r="Y1167" s="69" t="s">
        <v>4125</v>
      </c>
      <c r="Z1167" s="52">
        <v>3800</v>
      </c>
      <c r="AA1167" s="43" t="s">
        <v>52</v>
      </c>
      <c r="AB1167" s="43" t="s">
        <v>53</v>
      </c>
      <c r="AC1167" s="85">
        <v>219</v>
      </c>
      <c r="AD1167" s="141">
        <v>0</v>
      </c>
      <c r="AE1167" s="142">
        <v>7</v>
      </c>
      <c r="AF1167" s="69" t="str">
        <f t="shared" si="117"/>
        <v>0 years 219 days</v>
      </c>
      <c r="AG1167" s="69">
        <v>0</v>
      </c>
      <c r="AH1167" s="69">
        <v>219</v>
      </c>
      <c r="AI1167" s="69">
        <v>3800</v>
      </c>
      <c r="AJ1167" s="67">
        <v>3800</v>
      </c>
      <c r="AK1167" s="69">
        <v>2025</v>
      </c>
      <c r="AL1167" s="61">
        <v>0</v>
      </c>
      <c r="AM1167" s="143"/>
    </row>
    <row r="1168" spans="1:39" x14ac:dyDescent="0.35">
      <c r="A1168" s="69" t="s">
        <v>4124</v>
      </c>
      <c r="B1168" s="41">
        <v>1121102781</v>
      </c>
      <c r="C1168" s="41"/>
      <c r="D1168" s="69"/>
      <c r="E1168" s="41">
        <v>0</v>
      </c>
      <c r="F1168" s="41" t="s">
        <v>2961</v>
      </c>
      <c r="G1168" s="69" t="s">
        <v>2960</v>
      </c>
      <c r="H1168" s="41">
        <v>9013000211</v>
      </c>
      <c r="I1168" s="41" t="s">
        <v>593</v>
      </c>
      <c r="J1168" s="41">
        <v>1202020101</v>
      </c>
      <c r="K1168" s="41"/>
      <c r="L1168" s="52" t="s">
        <v>3993</v>
      </c>
      <c r="M1168" s="69" t="s">
        <v>49</v>
      </c>
      <c r="N1168" s="69"/>
      <c r="O1168" s="69">
        <v>1</v>
      </c>
      <c r="P1168" s="69" t="s">
        <v>50</v>
      </c>
      <c r="Q1168" s="69" t="s">
        <v>51</v>
      </c>
      <c r="R1168" s="69"/>
      <c r="S1168" s="48">
        <v>41900</v>
      </c>
      <c r="T1168" s="48">
        <v>43340</v>
      </c>
      <c r="U1168" s="69"/>
      <c r="V1168" s="69"/>
      <c r="W1168" s="69"/>
      <c r="X1168" s="69"/>
      <c r="Y1168" s="69" t="s">
        <v>4125</v>
      </c>
      <c r="Z1168" s="52">
        <v>5500</v>
      </c>
      <c r="AA1168" s="43" t="s">
        <v>52</v>
      </c>
      <c r="AB1168" s="43" t="s">
        <v>53</v>
      </c>
      <c r="AC1168" s="85">
        <v>365</v>
      </c>
      <c r="AD1168" s="141">
        <v>1</v>
      </c>
      <c r="AE1168" s="142">
        <v>0</v>
      </c>
      <c r="AF1168" s="69" t="str">
        <f t="shared" si="117"/>
        <v>1 years 0 days</v>
      </c>
      <c r="AG1168" s="69">
        <v>1</v>
      </c>
      <c r="AH1168" s="69">
        <v>0</v>
      </c>
      <c r="AI1168" s="69">
        <v>5500</v>
      </c>
      <c r="AJ1168" s="67">
        <v>5500</v>
      </c>
      <c r="AK1168" s="69">
        <v>2025</v>
      </c>
      <c r="AL1168" s="61">
        <v>0</v>
      </c>
      <c r="AM1168" s="143"/>
    </row>
    <row r="1169" spans="1:39" x14ac:dyDescent="0.35">
      <c r="A1169" s="69" t="s">
        <v>4124</v>
      </c>
      <c r="B1169" s="41">
        <v>1121102780</v>
      </c>
      <c r="C1169" s="41"/>
      <c r="D1169" s="69"/>
      <c r="E1169" s="41">
        <v>0</v>
      </c>
      <c r="F1169" s="41" t="s">
        <v>2961</v>
      </c>
      <c r="G1169" s="69" t="s">
        <v>2960</v>
      </c>
      <c r="H1169" s="41">
        <v>9013000211</v>
      </c>
      <c r="I1169" s="41" t="s">
        <v>593</v>
      </c>
      <c r="J1169" s="41">
        <v>1202020101</v>
      </c>
      <c r="K1169" s="41"/>
      <c r="L1169" s="52" t="s">
        <v>3990</v>
      </c>
      <c r="M1169" s="69" t="s">
        <v>3991</v>
      </c>
      <c r="N1169" s="69"/>
      <c r="O1169" s="69">
        <v>1</v>
      </c>
      <c r="P1169" s="69" t="s">
        <v>50</v>
      </c>
      <c r="Q1169" s="69" t="s">
        <v>51</v>
      </c>
      <c r="R1169" s="69"/>
      <c r="S1169" s="48">
        <v>42969</v>
      </c>
      <c r="T1169" s="48">
        <v>43340</v>
      </c>
      <c r="U1169" s="69"/>
      <c r="V1169" s="69"/>
      <c r="W1169" s="69"/>
      <c r="X1169" s="69"/>
      <c r="Y1169" s="69" t="s">
        <v>4125</v>
      </c>
      <c r="Z1169" s="52">
        <v>21000</v>
      </c>
      <c r="AA1169" s="43" t="s">
        <v>52</v>
      </c>
      <c r="AB1169" s="43" t="s">
        <v>53</v>
      </c>
      <c r="AC1169" s="85">
        <v>1424</v>
      </c>
      <c r="AD1169" s="141">
        <v>3</v>
      </c>
      <c r="AE1169" s="142">
        <v>11</v>
      </c>
      <c r="AF1169" s="69" t="str">
        <f t="shared" si="117"/>
        <v>3 years 329 days</v>
      </c>
      <c r="AG1169" s="69">
        <v>3</v>
      </c>
      <c r="AH1169" s="69">
        <v>329</v>
      </c>
      <c r="AI1169" s="69">
        <v>21000</v>
      </c>
      <c r="AJ1169" s="67">
        <v>21000</v>
      </c>
      <c r="AK1169" s="69">
        <v>2025</v>
      </c>
      <c r="AL1169" s="61">
        <v>0</v>
      </c>
      <c r="AM1169" s="143"/>
    </row>
    <row r="1170" spans="1:39" x14ac:dyDescent="0.35">
      <c r="A1170" s="69" t="s">
        <v>4124</v>
      </c>
      <c r="B1170" s="41">
        <v>1121504421</v>
      </c>
      <c r="C1170" s="41"/>
      <c r="D1170" s="69"/>
      <c r="E1170" s="41">
        <v>0</v>
      </c>
      <c r="F1170" s="41" t="s">
        <v>2961</v>
      </c>
      <c r="G1170" s="69" t="s">
        <v>2960</v>
      </c>
      <c r="H1170" s="41">
        <v>9013000211</v>
      </c>
      <c r="I1170" s="41" t="s">
        <v>593</v>
      </c>
      <c r="J1170" s="41">
        <v>1202020101</v>
      </c>
      <c r="K1170" s="41"/>
      <c r="L1170" s="52" t="s">
        <v>4108</v>
      </c>
      <c r="M1170" s="69" t="s">
        <v>49</v>
      </c>
      <c r="N1170" s="69"/>
      <c r="O1170" s="69">
        <v>1</v>
      </c>
      <c r="P1170" s="69" t="s">
        <v>50</v>
      </c>
      <c r="Q1170" s="69" t="s">
        <v>51</v>
      </c>
      <c r="R1170" s="69"/>
      <c r="S1170" s="48">
        <v>39071</v>
      </c>
      <c r="T1170" s="48">
        <v>43340</v>
      </c>
      <c r="U1170" s="69"/>
      <c r="V1170" s="69"/>
      <c r="W1170" s="69"/>
      <c r="X1170" s="69"/>
      <c r="Y1170" s="69" t="s">
        <v>4125</v>
      </c>
      <c r="Z1170" s="52">
        <v>7750</v>
      </c>
      <c r="AA1170" s="43" t="s">
        <v>52</v>
      </c>
      <c r="AB1170" s="43" t="s">
        <v>53</v>
      </c>
      <c r="AC1170" s="85">
        <v>183</v>
      </c>
      <c r="AD1170" s="141">
        <v>0</v>
      </c>
      <c r="AE1170" s="142">
        <v>6</v>
      </c>
      <c r="AF1170" s="69" t="str">
        <f t="shared" si="117"/>
        <v>0 years 183 days</v>
      </c>
      <c r="AG1170" s="69">
        <v>0</v>
      </c>
      <c r="AH1170" s="69">
        <v>183</v>
      </c>
      <c r="AI1170" s="69">
        <v>7750</v>
      </c>
      <c r="AJ1170" s="67">
        <v>7750</v>
      </c>
      <c r="AK1170" s="69">
        <v>2025</v>
      </c>
      <c r="AL1170" s="61">
        <v>0</v>
      </c>
      <c r="AM1170" s="143"/>
    </row>
    <row r="1171" spans="1:39" x14ac:dyDescent="0.35">
      <c r="A1171" s="69" t="s">
        <v>4124</v>
      </c>
      <c r="B1171" s="41">
        <v>1121504349</v>
      </c>
      <c r="C1171" s="41"/>
      <c r="D1171" s="69"/>
      <c r="E1171" s="41">
        <v>0</v>
      </c>
      <c r="F1171" s="41" t="s">
        <v>2961</v>
      </c>
      <c r="G1171" s="69" t="s">
        <v>2960</v>
      </c>
      <c r="H1171" s="41">
        <v>9013000211</v>
      </c>
      <c r="I1171" s="41" t="s">
        <v>593</v>
      </c>
      <c r="J1171" s="41">
        <v>1202020101</v>
      </c>
      <c r="K1171" s="41"/>
      <c r="L1171" s="52" t="s">
        <v>4100</v>
      </c>
      <c r="M1171" s="69" t="s">
        <v>49</v>
      </c>
      <c r="N1171" s="69"/>
      <c r="O1171" s="69">
        <v>1</v>
      </c>
      <c r="P1171" s="69" t="s">
        <v>50</v>
      </c>
      <c r="Q1171" s="69" t="s">
        <v>51</v>
      </c>
      <c r="R1171" s="69"/>
      <c r="S1171" s="48">
        <v>40831</v>
      </c>
      <c r="T1171" s="48">
        <v>43340</v>
      </c>
      <c r="U1171" s="69"/>
      <c r="V1171" s="69"/>
      <c r="W1171" s="69"/>
      <c r="X1171" s="69"/>
      <c r="Y1171" s="69" t="s">
        <v>4125</v>
      </c>
      <c r="Z1171" s="52">
        <v>5250</v>
      </c>
      <c r="AA1171" s="43" t="s">
        <v>52</v>
      </c>
      <c r="AB1171" s="43" t="s">
        <v>53</v>
      </c>
      <c r="AC1171" s="85">
        <v>183</v>
      </c>
      <c r="AD1171" s="141">
        <v>0</v>
      </c>
      <c r="AE1171" s="142">
        <v>6</v>
      </c>
      <c r="AF1171" s="69" t="str">
        <f t="shared" si="117"/>
        <v>0 years 183 days</v>
      </c>
      <c r="AG1171" s="69">
        <v>0</v>
      </c>
      <c r="AH1171" s="69">
        <v>183</v>
      </c>
      <c r="AI1171" s="69">
        <v>5250</v>
      </c>
      <c r="AJ1171" s="67">
        <v>5250</v>
      </c>
      <c r="AK1171" s="69">
        <v>2025</v>
      </c>
      <c r="AL1171" s="61">
        <v>0</v>
      </c>
      <c r="AM1171" s="143"/>
    </row>
    <row r="1172" spans="1:39" x14ac:dyDescent="0.35">
      <c r="A1172" s="69" t="s">
        <v>4124</v>
      </c>
      <c r="B1172" s="41">
        <v>1121504413</v>
      </c>
      <c r="C1172" s="41"/>
      <c r="D1172" s="69"/>
      <c r="E1172" s="41">
        <v>0</v>
      </c>
      <c r="F1172" s="41" t="s">
        <v>2961</v>
      </c>
      <c r="G1172" s="69" t="s">
        <v>2960</v>
      </c>
      <c r="H1172" s="41">
        <v>9013000211</v>
      </c>
      <c r="I1172" s="41" t="s">
        <v>593</v>
      </c>
      <c r="J1172" s="41">
        <v>1202020101</v>
      </c>
      <c r="K1172" s="41"/>
      <c r="L1172" s="52" t="s">
        <v>4110</v>
      </c>
      <c r="M1172" s="69" t="s">
        <v>49</v>
      </c>
      <c r="N1172" s="69"/>
      <c r="O1172" s="69">
        <v>1</v>
      </c>
      <c r="P1172" s="69" t="s">
        <v>50</v>
      </c>
      <c r="Q1172" s="69" t="s">
        <v>51</v>
      </c>
      <c r="R1172" s="69"/>
      <c r="S1172" s="48">
        <v>41972</v>
      </c>
      <c r="T1172" s="48">
        <v>43340</v>
      </c>
      <c r="U1172" s="69"/>
      <c r="V1172" s="69"/>
      <c r="W1172" s="69"/>
      <c r="X1172" s="69"/>
      <c r="Y1172" s="69" t="s">
        <v>4125</v>
      </c>
      <c r="Z1172" s="52">
        <v>46000</v>
      </c>
      <c r="AA1172" s="43" t="s">
        <v>52</v>
      </c>
      <c r="AB1172" s="43" t="s">
        <v>53</v>
      </c>
      <c r="AC1172" s="85">
        <v>475</v>
      </c>
      <c r="AD1172" s="141">
        <v>1</v>
      </c>
      <c r="AE1172" s="142">
        <v>4</v>
      </c>
      <c r="AF1172" s="69" t="str">
        <f t="shared" si="117"/>
        <v>1 years 110 days</v>
      </c>
      <c r="AG1172" s="69">
        <v>1</v>
      </c>
      <c r="AH1172" s="69">
        <v>110</v>
      </c>
      <c r="AI1172" s="69">
        <v>46000</v>
      </c>
      <c r="AJ1172" s="67">
        <v>46000</v>
      </c>
      <c r="AK1172" s="69">
        <v>2025</v>
      </c>
      <c r="AL1172" s="61">
        <v>0</v>
      </c>
      <c r="AM1172" s="143"/>
    </row>
    <row r="1173" spans="1:39" x14ac:dyDescent="0.35">
      <c r="A1173" s="69" t="s">
        <v>4124</v>
      </c>
      <c r="B1173" s="41">
        <v>1121504358</v>
      </c>
      <c r="C1173" s="41"/>
      <c r="D1173" s="69"/>
      <c r="E1173" s="41">
        <v>0</v>
      </c>
      <c r="F1173" s="41" t="s">
        <v>2961</v>
      </c>
      <c r="G1173" s="69" t="s">
        <v>2960</v>
      </c>
      <c r="H1173" s="41">
        <v>9013000211</v>
      </c>
      <c r="I1173" s="41" t="s">
        <v>593</v>
      </c>
      <c r="J1173" s="41">
        <v>1202020101</v>
      </c>
      <c r="K1173" s="41"/>
      <c r="L1173" s="52" t="s">
        <v>4102</v>
      </c>
      <c r="M1173" s="69" t="s">
        <v>4103</v>
      </c>
      <c r="N1173" s="69"/>
      <c r="O1173" s="69">
        <v>1</v>
      </c>
      <c r="P1173" s="69" t="s">
        <v>50</v>
      </c>
      <c r="Q1173" s="69" t="s">
        <v>51</v>
      </c>
      <c r="R1173" s="69"/>
      <c r="S1173" s="48">
        <v>42430</v>
      </c>
      <c r="T1173" s="48">
        <v>43340</v>
      </c>
      <c r="U1173" s="69"/>
      <c r="V1173" s="69"/>
      <c r="W1173" s="69"/>
      <c r="X1173" s="69"/>
      <c r="Y1173" s="69" t="s">
        <v>4125</v>
      </c>
      <c r="Z1173" s="52">
        <v>14000</v>
      </c>
      <c r="AA1173" s="43" t="s">
        <v>52</v>
      </c>
      <c r="AB1173" s="43" t="s">
        <v>53</v>
      </c>
      <c r="AC1173" s="85">
        <v>876</v>
      </c>
      <c r="AD1173" s="141">
        <v>2</v>
      </c>
      <c r="AE1173" s="142">
        <v>5</v>
      </c>
      <c r="AF1173" s="69" t="str">
        <f t="shared" si="117"/>
        <v>2 years 146 days</v>
      </c>
      <c r="AG1173" s="69">
        <v>2</v>
      </c>
      <c r="AH1173" s="69">
        <v>146</v>
      </c>
      <c r="AI1173" s="69">
        <v>14000</v>
      </c>
      <c r="AJ1173" s="67">
        <v>14000</v>
      </c>
      <c r="AK1173" s="69">
        <v>2025</v>
      </c>
      <c r="AL1173" s="61">
        <v>0</v>
      </c>
      <c r="AM1173" s="143"/>
    </row>
    <row r="1174" spans="1:39" x14ac:dyDescent="0.35">
      <c r="A1174" s="69" t="s">
        <v>4124</v>
      </c>
      <c r="B1174" s="41">
        <v>1121504409</v>
      </c>
      <c r="C1174" s="41"/>
      <c r="D1174" s="69"/>
      <c r="E1174" s="41">
        <v>0</v>
      </c>
      <c r="F1174" s="41" t="s">
        <v>2961</v>
      </c>
      <c r="G1174" s="69" t="s">
        <v>2960</v>
      </c>
      <c r="H1174" s="41">
        <v>9013000211</v>
      </c>
      <c r="I1174" s="41" t="s">
        <v>593</v>
      </c>
      <c r="J1174" s="41">
        <v>1202020101</v>
      </c>
      <c r="K1174" s="41"/>
      <c r="L1174" s="52" t="s">
        <v>4105</v>
      </c>
      <c r="M1174" s="69" t="s">
        <v>4106</v>
      </c>
      <c r="N1174" s="69"/>
      <c r="O1174" s="69">
        <v>1</v>
      </c>
      <c r="P1174" s="69" t="s">
        <v>50</v>
      </c>
      <c r="Q1174" s="69" t="s">
        <v>51</v>
      </c>
      <c r="R1174" s="69"/>
      <c r="S1174" s="48">
        <v>42830</v>
      </c>
      <c r="T1174" s="48">
        <v>43340</v>
      </c>
      <c r="U1174" s="69"/>
      <c r="V1174" s="69"/>
      <c r="W1174" s="69"/>
      <c r="X1174" s="69"/>
      <c r="Y1174" s="69" t="s">
        <v>4125</v>
      </c>
      <c r="Z1174" s="52">
        <v>350000</v>
      </c>
      <c r="AA1174" s="43" t="s">
        <v>52</v>
      </c>
      <c r="AB1174" s="43" t="s">
        <v>53</v>
      </c>
      <c r="AC1174" s="85">
        <v>1314</v>
      </c>
      <c r="AD1174" s="141">
        <v>3</v>
      </c>
      <c r="AE1174" s="142">
        <v>7</v>
      </c>
      <c r="AF1174" s="69" t="str">
        <f t="shared" si="117"/>
        <v>3 years 219 days</v>
      </c>
      <c r="AG1174" s="69">
        <v>3</v>
      </c>
      <c r="AH1174" s="69">
        <v>219</v>
      </c>
      <c r="AI1174" s="69">
        <v>350000</v>
      </c>
      <c r="AJ1174" s="67">
        <v>350000</v>
      </c>
      <c r="AK1174" s="69">
        <v>2025</v>
      </c>
      <c r="AL1174" s="61">
        <v>0</v>
      </c>
      <c r="AM1174" s="143"/>
    </row>
    <row r="1175" spans="1:39" x14ac:dyDescent="0.35">
      <c r="A1175" s="69" t="s">
        <v>4124</v>
      </c>
      <c r="B1175" s="41">
        <v>1121504418</v>
      </c>
      <c r="C1175" s="41"/>
      <c r="D1175" s="69"/>
      <c r="E1175" s="41">
        <v>0</v>
      </c>
      <c r="F1175" s="41" t="s">
        <v>2961</v>
      </c>
      <c r="G1175" s="69" t="s">
        <v>2960</v>
      </c>
      <c r="H1175" s="41">
        <v>9013000211</v>
      </c>
      <c r="I1175" s="41" t="s">
        <v>593</v>
      </c>
      <c r="J1175" s="41">
        <v>1202020101</v>
      </c>
      <c r="K1175" s="41"/>
      <c r="L1175" s="52" t="s">
        <v>4112</v>
      </c>
      <c r="M1175" s="69" t="s">
        <v>49</v>
      </c>
      <c r="N1175" s="69"/>
      <c r="O1175" s="69">
        <v>1</v>
      </c>
      <c r="P1175" s="69" t="s">
        <v>50</v>
      </c>
      <c r="Q1175" s="69" t="s">
        <v>51</v>
      </c>
      <c r="R1175" s="69"/>
      <c r="S1175" s="48">
        <v>42977</v>
      </c>
      <c r="T1175" s="48">
        <v>43340</v>
      </c>
      <c r="U1175" s="69"/>
      <c r="V1175" s="69"/>
      <c r="W1175" s="69"/>
      <c r="X1175" s="69"/>
      <c r="Y1175" s="69" t="s">
        <v>4125</v>
      </c>
      <c r="Z1175" s="52">
        <v>370000</v>
      </c>
      <c r="AA1175" s="43" t="s">
        <v>52</v>
      </c>
      <c r="AB1175" s="43" t="s">
        <v>53</v>
      </c>
      <c r="AC1175" s="85">
        <v>1460</v>
      </c>
      <c r="AD1175" s="141">
        <v>4</v>
      </c>
      <c r="AE1175" s="142">
        <v>0</v>
      </c>
      <c r="AF1175" s="69" t="str">
        <f t="shared" si="117"/>
        <v>4 years 0 days</v>
      </c>
      <c r="AG1175" s="69">
        <v>4</v>
      </c>
      <c r="AH1175" s="69">
        <v>0</v>
      </c>
      <c r="AI1175" s="69">
        <v>370000</v>
      </c>
      <c r="AJ1175" s="67">
        <v>370000</v>
      </c>
      <c r="AK1175" s="69">
        <v>2025</v>
      </c>
      <c r="AL1175" s="61">
        <v>0</v>
      </c>
      <c r="AM1175" s="143"/>
    </row>
    <row r="1176" spans="1:39" x14ac:dyDescent="0.35">
      <c r="A1176" s="69" t="s">
        <v>4124</v>
      </c>
      <c r="B1176" s="41">
        <v>1121102542</v>
      </c>
      <c r="C1176" s="41"/>
      <c r="D1176" s="69"/>
      <c r="E1176" s="41">
        <v>0</v>
      </c>
      <c r="F1176" s="41" t="s">
        <v>2961</v>
      </c>
      <c r="G1176" s="69" t="s">
        <v>2960</v>
      </c>
      <c r="H1176" s="41">
        <v>9013000211</v>
      </c>
      <c r="I1176" s="41" t="s">
        <v>593</v>
      </c>
      <c r="J1176" s="41">
        <v>1202020101</v>
      </c>
      <c r="K1176" s="41"/>
      <c r="L1176" s="52" t="s">
        <v>3979</v>
      </c>
      <c r="M1176" s="69" t="s">
        <v>3980</v>
      </c>
      <c r="N1176" s="69"/>
      <c r="O1176" s="69">
        <v>1</v>
      </c>
      <c r="P1176" s="69" t="s">
        <v>50</v>
      </c>
      <c r="Q1176" s="69" t="s">
        <v>51</v>
      </c>
      <c r="R1176" s="69"/>
      <c r="S1176" s="48">
        <v>43214</v>
      </c>
      <c r="T1176" s="48">
        <v>43340</v>
      </c>
      <c r="U1176" s="69"/>
      <c r="V1176" s="69"/>
      <c r="W1176" s="69"/>
      <c r="X1176" s="69"/>
      <c r="Y1176" s="69" t="s">
        <v>4125</v>
      </c>
      <c r="Z1176" s="52">
        <v>80000</v>
      </c>
      <c r="AA1176" s="43" t="s">
        <v>52</v>
      </c>
      <c r="AB1176" s="43" t="s">
        <v>53</v>
      </c>
      <c r="AC1176" s="85">
        <v>1716</v>
      </c>
      <c r="AD1176" s="141">
        <v>4</v>
      </c>
      <c r="AE1176" s="142">
        <v>9</v>
      </c>
      <c r="AF1176" s="69" t="str">
        <f t="shared" si="117"/>
        <v>4 years 256 days</v>
      </c>
      <c r="AG1176" s="69">
        <v>4</v>
      </c>
      <c r="AH1176" s="69">
        <v>256</v>
      </c>
      <c r="AI1176" s="69">
        <v>80000</v>
      </c>
      <c r="AJ1176" s="67">
        <v>80000</v>
      </c>
      <c r="AK1176" s="69">
        <v>2025</v>
      </c>
      <c r="AL1176" s="61">
        <v>0</v>
      </c>
      <c r="AM1176" s="143"/>
    </row>
    <row r="1177" spans="1:39" x14ac:dyDescent="0.35">
      <c r="A1177" s="69" t="s">
        <v>4124</v>
      </c>
      <c r="B1177" s="41">
        <v>1121504326</v>
      </c>
      <c r="C1177" s="41"/>
      <c r="D1177" s="69"/>
      <c r="E1177" s="41">
        <v>0</v>
      </c>
      <c r="F1177" s="41" t="s">
        <v>2961</v>
      </c>
      <c r="G1177" s="69" t="s">
        <v>2960</v>
      </c>
      <c r="H1177" s="41">
        <v>9013000211</v>
      </c>
      <c r="I1177" s="41" t="s">
        <v>593</v>
      </c>
      <c r="J1177" s="41">
        <v>1202020101</v>
      </c>
      <c r="K1177" s="41"/>
      <c r="L1177" s="52" t="s">
        <v>4089</v>
      </c>
      <c r="M1177" s="69" t="s">
        <v>49</v>
      </c>
      <c r="N1177" s="69"/>
      <c r="O1177" s="69">
        <v>1</v>
      </c>
      <c r="P1177" s="69" t="s">
        <v>50</v>
      </c>
      <c r="Q1177" s="69" t="s">
        <v>51</v>
      </c>
      <c r="R1177" s="69"/>
      <c r="S1177" s="48">
        <v>41353</v>
      </c>
      <c r="T1177" s="48">
        <v>43340</v>
      </c>
      <c r="U1177" s="69"/>
      <c r="V1177" s="69"/>
      <c r="W1177" s="69"/>
      <c r="X1177" s="69"/>
      <c r="Y1177" s="69" t="s">
        <v>4125</v>
      </c>
      <c r="Z1177" s="52">
        <v>90000</v>
      </c>
      <c r="AA1177" s="43" t="s">
        <v>52</v>
      </c>
      <c r="AB1177" s="43" t="s">
        <v>53</v>
      </c>
      <c r="AC1177" s="85">
        <v>3504</v>
      </c>
      <c r="AD1177" s="141">
        <v>9</v>
      </c>
      <c r="AE1177" s="142">
        <v>7</v>
      </c>
      <c r="AF1177" s="69" t="str">
        <f t="shared" si="117"/>
        <v>6 years 128 days</v>
      </c>
      <c r="AG1177" s="69">
        <v>6</v>
      </c>
      <c r="AH1177" s="69">
        <v>128</v>
      </c>
      <c r="AI1177" s="69">
        <v>90000</v>
      </c>
      <c r="AJ1177" s="67">
        <v>59512</v>
      </c>
      <c r="AK1177" s="69">
        <v>2025</v>
      </c>
      <c r="AL1177" s="61">
        <v>4648.9589041095896</v>
      </c>
      <c r="AM1177" s="143"/>
    </row>
    <row r="1178" spans="1:39" x14ac:dyDescent="0.35">
      <c r="A1178" s="69" t="s">
        <v>4124</v>
      </c>
      <c r="B1178" s="41">
        <v>1121400582</v>
      </c>
      <c r="C1178" s="41"/>
      <c r="D1178" s="69"/>
      <c r="E1178" s="41">
        <v>0</v>
      </c>
      <c r="F1178" s="41" t="s">
        <v>2961</v>
      </c>
      <c r="G1178" s="69" t="s">
        <v>2960</v>
      </c>
      <c r="H1178" s="41">
        <v>9013000211</v>
      </c>
      <c r="I1178" s="41" t="s">
        <v>593</v>
      </c>
      <c r="J1178" s="41">
        <v>1202020101</v>
      </c>
      <c r="K1178" s="41"/>
      <c r="L1178" s="52" t="s">
        <v>3726</v>
      </c>
      <c r="M1178" s="69" t="s">
        <v>49</v>
      </c>
      <c r="N1178" s="69"/>
      <c r="O1178" s="69">
        <v>1</v>
      </c>
      <c r="P1178" s="69" t="s">
        <v>50</v>
      </c>
      <c r="Q1178" s="69" t="s">
        <v>51</v>
      </c>
      <c r="R1178" s="69"/>
      <c r="S1178" s="48">
        <v>40303</v>
      </c>
      <c r="T1178" s="48">
        <v>43340</v>
      </c>
      <c r="U1178" s="69"/>
      <c r="V1178" s="69"/>
      <c r="W1178" s="69"/>
      <c r="X1178" s="69"/>
      <c r="Y1178" s="69" t="s">
        <v>4125</v>
      </c>
      <c r="Z1178" s="52">
        <v>13000</v>
      </c>
      <c r="AA1178" s="43" t="s">
        <v>52</v>
      </c>
      <c r="AB1178" s="43" t="s">
        <v>53</v>
      </c>
      <c r="AC1178" s="85">
        <v>183</v>
      </c>
      <c r="AD1178" s="141">
        <v>0</v>
      </c>
      <c r="AE1178" s="142">
        <v>6</v>
      </c>
      <c r="AF1178" s="69" t="str">
        <f t="shared" si="117"/>
        <v>0 years 183 days</v>
      </c>
      <c r="AG1178" s="69">
        <v>0</v>
      </c>
      <c r="AH1178" s="69">
        <v>183</v>
      </c>
      <c r="AI1178" s="69">
        <v>13000</v>
      </c>
      <c r="AJ1178" s="67">
        <v>13000</v>
      </c>
      <c r="AK1178" s="69">
        <v>2025</v>
      </c>
      <c r="AL1178" s="61">
        <v>0</v>
      </c>
      <c r="AM1178" s="143"/>
    </row>
    <row r="1179" spans="1:39" x14ac:dyDescent="0.35">
      <c r="A1179" s="69" t="s">
        <v>4124</v>
      </c>
      <c r="B1179" s="41">
        <v>1121400507</v>
      </c>
      <c r="C1179" s="41"/>
      <c r="D1179" s="69"/>
      <c r="E1179" s="41">
        <v>0</v>
      </c>
      <c r="F1179" s="41" t="s">
        <v>2961</v>
      </c>
      <c r="G1179" s="69" t="s">
        <v>2960</v>
      </c>
      <c r="H1179" s="41">
        <v>9013000211</v>
      </c>
      <c r="I1179" s="41" t="s">
        <v>593</v>
      </c>
      <c r="J1179" s="41">
        <v>1202020101</v>
      </c>
      <c r="K1179" s="41"/>
      <c r="L1179" s="52" t="s">
        <v>3724</v>
      </c>
      <c r="M1179" s="69" t="s">
        <v>49</v>
      </c>
      <c r="N1179" s="69"/>
      <c r="O1179" s="69">
        <v>1</v>
      </c>
      <c r="P1179" s="69" t="s">
        <v>50</v>
      </c>
      <c r="Q1179" s="69" t="s">
        <v>51</v>
      </c>
      <c r="R1179" s="69"/>
      <c r="S1179" s="48">
        <v>40472</v>
      </c>
      <c r="T1179" s="48">
        <v>43340</v>
      </c>
      <c r="U1179" s="69"/>
      <c r="V1179" s="69"/>
      <c r="W1179" s="69"/>
      <c r="X1179" s="69"/>
      <c r="Y1179" s="69" t="s">
        <v>4125</v>
      </c>
      <c r="Z1179" s="52">
        <v>2600</v>
      </c>
      <c r="AA1179" s="43" t="s">
        <v>52</v>
      </c>
      <c r="AB1179" s="43" t="s">
        <v>53</v>
      </c>
      <c r="AC1179" s="85">
        <v>183</v>
      </c>
      <c r="AD1179" s="141">
        <v>0</v>
      </c>
      <c r="AE1179" s="142">
        <v>6</v>
      </c>
      <c r="AF1179" s="69" t="str">
        <f t="shared" si="117"/>
        <v>0 years 183 days</v>
      </c>
      <c r="AG1179" s="69">
        <v>0</v>
      </c>
      <c r="AH1179" s="69">
        <v>183</v>
      </c>
      <c r="AI1179" s="69">
        <v>2600</v>
      </c>
      <c r="AJ1179" s="67">
        <v>2600</v>
      </c>
      <c r="AK1179" s="69">
        <v>2025</v>
      </c>
      <c r="AL1179" s="61">
        <v>0</v>
      </c>
      <c r="AM1179" s="143"/>
    </row>
    <row r="1180" spans="1:39" x14ac:dyDescent="0.35">
      <c r="A1180" s="69" t="s">
        <v>4124</v>
      </c>
      <c r="B1180" s="41">
        <v>1121400545</v>
      </c>
      <c r="C1180" s="41"/>
      <c r="D1180" s="69"/>
      <c r="E1180" s="41">
        <v>0</v>
      </c>
      <c r="F1180" s="41" t="s">
        <v>2961</v>
      </c>
      <c r="G1180" s="69" t="s">
        <v>2960</v>
      </c>
      <c r="H1180" s="41">
        <v>9013000211</v>
      </c>
      <c r="I1180" s="41" t="s">
        <v>593</v>
      </c>
      <c r="J1180" s="41">
        <v>1202020101</v>
      </c>
      <c r="K1180" s="41"/>
      <c r="L1180" s="52" t="s">
        <v>3954</v>
      </c>
      <c r="M1180" s="69" t="s">
        <v>49</v>
      </c>
      <c r="N1180" s="69"/>
      <c r="O1180" s="69">
        <v>1</v>
      </c>
      <c r="P1180" s="69" t="s">
        <v>50</v>
      </c>
      <c r="Q1180" s="69" t="s">
        <v>51</v>
      </c>
      <c r="R1180" s="69"/>
      <c r="S1180" s="48">
        <v>40514</v>
      </c>
      <c r="T1180" s="48">
        <v>43340</v>
      </c>
      <c r="U1180" s="69"/>
      <c r="V1180" s="69"/>
      <c r="W1180" s="69"/>
      <c r="X1180" s="69"/>
      <c r="Y1180" s="69" t="s">
        <v>4125</v>
      </c>
      <c r="Z1180" s="52">
        <v>155000</v>
      </c>
      <c r="AA1180" s="43" t="s">
        <v>52</v>
      </c>
      <c r="AB1180" s="43" t="s">
        <v>53</v>
      </c>
      <c r="AC1180" s="85">
        <v>183</v>
      </c>
      <c r="AD1180" s="141">
        <v>0</v>
      </c>
      <c r="AE1180" s="142">
        <v>6</v>
      </c>
      <c r="AF1180" s="69" t="str">
        <f t="shared" si="117"/>
        <v>0 years 183 days</v>
      </c>
      <c r="AG1180" s="69">
        <v>0</v>
      </c>
      <c r="AH1180" s="69">
        <v>183</v>
      </c>
      <c r="AI1180" s="69">
        <v>155000</v>
      </c>
      <c r="AJ1180" s="67">
        <v>155000</v>
      </c>
      <c r="AK1180" s="69">
        <v>2025</v>
      </c>
      <c r="AL1180" s="61">
        <v>0</v>
      </c>
      <c r="AM1180" s="143"/>
    </row>
    <row r="1181" spans="1:39" x14ac:dyDescent="0.35">
      <c r="A1181" s="69" t="s">
        <v>4124</v>
      </c>
      <c r="B1181" s="41">
        <v>1121400561</v>
      </c>
      <c r="C1181" s="41"/>
      <c r="D1181" s="69"/>
      <c r="E1181" s="41">
        <v>0</v>
      </c>
      <c r="F1181" s="41" t="s">
        <v>2961</v>
      </c>
      <c r="G1181" s="69" t="s">
        <v>2960</v>
      </c>
      <c r="H1181" s="41">
        <v>9013000211</v>
      </c>
      <c r="I1181" s="41" t="s">
        <v>593</v>
      </c>
      <c r="J1181" s="41">
        <v>1202020101</v>
      </c>
      <c r="K1181" s="41"/>
      <c r="L1181" s="52" t="s">
        <v>3956</v>
      </c>
      <c r="M1181" s="69" t="s">
        <v>49</v>
      </c>
      <c r="N1181" s="69"/>
      <c r="O1181" s="69">
        <v>1</v>
      </c>
      <c r="P1181" s="69" t="s">
        <v>50</v>
      </c>
      <c r="Q1181" s="69" t="s">
        <v>51</v>
      </c>
      <c r="R1181" s="69"/>
      <c r="S1181" s="48">
        <v>40562</v>
      </c>
      <c r="T1181" s="48">
        <v>43340</v>
      </c>
      <c r="U1181" s="69"/>
      <c r="V1181" s="69"/>
      <c r="W1181" s="69"/>
      <c r="X1181" s="69"/>
      <c r="Y1181" s="69" t="s">
        <v>4125</v>
      </c>
      <c r="Z1181" s="52">
        <v>170000</v>
      </c>
      <c r="AA1181" s="43" t="s">
        <v>52</v>
      </c>
      <c r="AB1181" s="43" t="s">
        <v>53</v>
      </c>
      <c r="AC1181" s="85">
        <v>183</v>
      </c>
      <c r="AD1181" s="141">
        <v>0</v>
      </c>
      <c r="AE1181" s="142">
        <v>6</v>
      </c>
      <c r="AF1181" s="69" t="str">
        <f t="shared" si="117"/>
        <v>0 years 183 days</v>
      </c>
      <c r="AG1181" s="69">
        <v>0</v>
      </c>
      <c r="AH1181" s="69">
        <v>183</v>
      </c>
      <c r="AI1181" s="69">
        <v>170000</v>
      </c>
      <c r="AJ1181" s="67">
        <v>170000</v>
      </c>
      <c r="AK1181" s="69">
        <v>2025</v>
      </c>
      <c r="AL1181" s="61">
        <v>0</v>
      </c>
      <c r="AM1181" s="143"/>
    </row>
    <row r="1182" spans="1:39" x14ac:dyDescent="0.35">
      <c r="A1182" s="69" t="s">
        <v>4124</v>
      </c>
      <c r="B1182" s="41">
        <v>1121102789</v>
      </c>
      <c r="C1182" s="41"/>
      <c r="D1182" s="69"/>
      <c r="E1182" s="41">
        <v>0</v>
      </c>
      <c r="F1182" s="41" t="s">
        <v>2961</v>
      </c>
      <c r="G1182" s="69" t="s">
        <v>2960</v>
      </c>
      <c r="H1182" s="41">
        <v>9013000211</v>
      </c>
      <c r="I1182" s="41" t="s">
        <v>593</v>
      </c>
      <c r="J1182" s="41">
        <v>1202020101</v>
      </c>
      <c r="K1182" s="41"/>
      <c r="L1182" s="52" t="s">
        <v>4006</v>
      </c>
      <c r="M1182" s="69" t="s">
        <v>49</v>
      </c>
      <c r="N1182" s="69"/>
      <c r="O1182" s="69">
        <v>1</v>
      </c>
      <c r="P1182" s="69" t="s">
        <v>50</v>
      </c>
      <c r="Q1182" s="69" t="s">
        <v>51</v>
      </c>
      <c r="R1182" s="69"/>
      <c r="S1182" s="48">
        <v>40704</v>
      </c>
      <c r="T1182" s="48">
        <v>43340</v>
      </c>
      <c r="U1182" s="69"/>
      <c r="V1182" s="69"/>
      <c r="W1182" s="69"/>
      <c r="X1182" s="69"/>
      <c r="Y1182" s="69" t="s">
        <v>4125</v>
      </c>
      <c r="Z1182" s="52">
        <v>6000</v>
      </c>
      <c r="AA1182" s="43" t="s">
        <v>52</v>
      </c>
      <c r="AB1182" s="43" t="s">
        <v>53</v>
      </c>
      <c r="AC1182" s="85">
        <v>183</v>
      </c>
      <c r="AD1182" s="141">
        <v>0</v>
      </c>
      <c r="AE1182" s="142">
        <v>6</v>
      </c>
      <c r="AF1182" s="69" t="str">
        <f t="shared" si="117"/>
        <v>0 years 183 days</v>
      </c>
      <c r="AG1182" s="69">
        <v>0</v>
      </c>
      <c r="AH1182" s="69">
        <v>183</v>
      </c>
      <c r="AI1182" s="69">
        <v>6000</v>
      </c>
      <c r="AJ1182" s="67">
        <v>6000</v>
      </c>
      <c r="AK1182" s="69">
        <v>2025</v>
      </c>
      <c r="AL1182" s="61">
        <v>0</v>
      </c>
      <c r="AM1182" s="143"/>
    </row>
    <row r="1183" spans="1:39" x14ac:dyDescent="0.35">
      <c r="A1183" s="69" t="s">
        <v>4124</v>
      </c>
      <c r="B1183" s="41">
        <v>1121400666</v>
      </c>
      <c r="C1183" s="41"/>
      <c r="D1183" s="69"/>
      <c r="E1183" s="41">
        <v>0</v>
      </c>
      <c r="F1183" s="41" t="s">
        <v>2961</v>
      </c>
      <c r="G1183" s="69" t="s">
        <v>2960</v>
      </c>
      <c r="H1183" s="41">
        <v>9013000211</v>
      </c>
      <c r="I1183" s="41" t="s">
        <v>593</v>
      </c>
      <c r="J1183" s="41">
        <v>1202020101</v>
      </c>
      <c r="K1183" s="41"/>
      <c r="L1183" s="52" t="s">
        <v>3728</v>
      </c>
      <c r="M1183" s="69" t="s">
        <v>3729</v>
      </c>
      <c r="N1183" s="69"/>
      <c r="O1183" s="69">
        <v>1</v>
      </c>
      <c r="P1183" s="69" t="s">
        <v>50</v>
      </c>
      <c r="Q1183" s="69" t="s">
        <v>51</v>
      </c>
      <c r="R1183" s="69"/>
      <c r="S1183" s="48">
        <v>40823</v>
      </c>
      <c r="T1183" s="48">
        <v>43340</v>
      </c>
      <c r="U1183" s="69"/>
      <c r="V1183" s="69"/>
      <c r="W1183" s="69"/>
      <c r="X1183" s="69"/>
      <c r="Y1183" s="69" t="s">
        <v>4125</v>
      </c>
      <c r="Z1183" s="52">
        <v>3600</v>
      </c>
      <c r="AA1183" s="43" t="s">
        <v>52</v>
      </c>
      <c r="AB1183" s="43" t="s">
        <v>53</v>
      </c>
      <c r="AC1183" s="85">
        <v>183</v>
      </c>
      <c r="AD1183" s="141">
        <v>0</v>
      </c>
      <c r="AE1183" s="142">
        <v>6</v>
      </c>
      <c r="AF1183" s="69" t="str">
        <f t="shared" si="117"/>
        <v>0 years 183 days</v>
      </c>
      <c r="AG1183" s="69">
        <v>0</v>
      </c>
      <c r="AH1183" s="69">
        <v>183</v>
      </c>
      <c r="AI1183" s="69">
        <v>3600</v>
      </c>
      <c r="AJ1183" s="67">
        <v>3600</v>
      </c>
      <c r="AK1183" s="69">
        <v>2025</v>
      </c>
      <c r="AL1183" s="61">
        <v>0</v>
      </c>
      <c r="AM1183" s="143"/>
    </row>
    <row r="1184" spans="1:39" x14ac:dyDescent="0.35">
      <c r="A1184" s="69" t="s">
        <v>4124</v>
      </c>
      <c r="B1184" s="41">
        <v>1121400689</v>
      </c>
      <c r="C1184" s="41"/>
      <c r="D1184" s="69"/>
      <c r="E1184" s="41">
        <v>0</v>
      </c>
      <c r="F1184" s="41" t="s">
        <v>2961</v>
      </c>
      <c r="G1184" s="69" t="s">
        <v>2960</v>
      </c>
      <c r="H1184" s="41">
        <v>9013000211</v>
      </c>
      <c r="I1184" s="41" t="s">
        <v>593</v>
      </c>
      <c r="J1184" s="41">
        <v>1202020101</v>
      </c>
      <c r="K1184" s="41"/>
      <c r="L1184" s="52" t="s">
        <v>3731</v>
      </c>
      <c r="M1184" s="69" t="s">
        <v>3732</v>
      </c>
      <c r="N1184" s="69"/>
      <c r="O1184" s="69">
        <v>1</v>
      </c>
      <c r="P1184" s="69" t="s">
        <v>50</v>
      </c>
      <c r="Q1184" s="69" t="s">
        <v>51</v>
      </c>
      <c r="R1184" s="69"/>
      <c r="S1184" s="48">
        <v>40911</v>
      </c>
      <c r="T1184" s="48">
        <v>43340</v>
      </c>
      <c r="U1184" s="69"/>
      <c r="V1184" s="69"/>
      <c r="W1184" s="69"/>
      <c r="X1184" s="69"/>
      <c r="Y1184" s="69" t="s">
        <v>4125</v>
      </c>
      <c r="Z1184" s="52">
        <v>11500</v>
      </c>
      <c r="AA1184" s="43" t="s">
        <v>52</v>
      </c>
      <c r="AB1184" s="43" t="s">
        <v>53</v>
      </c>
      <c r="AC1184" s="85">
        <v>183</v>
      </c>
      <c r="AD1184" s="141">
        <v>0</v>
      </c>
      <c r="AE1184" s="142">
        <v>6</v>
      </c>
      <c r="AF1184" s="69" t="str">
        <f t="shared" si="117"/>
        <v>0 years 183 days</v>
      </c>
      <c r="AG1184" s="69">
        <v>0</v>
      </c>
      <c r="AH1184" s="69">
        <v>183</v>
      </c>
      <c r="AI1184" s="69">
        <v>11500</v>
      </c>
      <c r="AJ1184" s="67">
        <v>11500</v>
      </c>
      <c r="AK1184" s="69">
        <v>2025</v>
      </c>
      <c r="AL1184" s="61">
        <v>0</v>
      </c>
      <c r="AM1184" s="143"/>
    </row>
    <row r="1185" spans="1:39" x14ac:dyDescent="0.35">
      <c r="A1185" s="69" t="s">
        <v>4124</v>
      </c>
      <c r="B1185" s="41">
        <v>1121400694</v>
      </c>
      <c r="C1185" s="41"/>
      <c r="D1185" s="69"/>
      <c r="E1185" s="41">
        <v>0</v>
      </c>
      <c r="F1185" s="41" t="s">
        <v>2961</v>
      </c>
      <c r="G1185" s="69" t="s">
        <v>2960</v>
      </c>
      <c r="H1185" s="41">
        <v>9013000211</v>
      </c>
      <c r="I1185" s="41" t="s">
        <v>593</v>
      </c>
      <c r="J1185" s="41">
        <v>1202020101</v>
      </c>
      <c r="K1185" s="41"/>
      <c r="L1185" s="52" t="s">
        <v>3734</v>
      </c>
      <c r="M1185" s="69" t="s">
        <v>3735</v>
      </c>
      <c r="N1185" s="69"/>
      <c r="O1185" s="69">
        <v>1</v>
      </c>
      <c r="P1185" s="69" t="s">
        <v>50</v>
      </c>
      <c r="Q1185" s="69" t="s">
        <v>51</v>
      </c>
      <c r="R1185" s="69"/>
      <c r="S1185" s="48">
        <v>40931</v>
      </c>
      <c r="T1185" s="48">
        <v>43340</v>
      </c>
      <c r="U1185" s="69"/>
      <c r="V1185" s="69"/>
      <c r="W1185" s="69"/>
      <c r="X1185" s="69"/>
      <c r="Y1185" s="69" t="s">
        <v>4125</v>
      </c>
      <c r="Z1185" s="52">
        <v>14000</v>
      </c>
      <c r="AA1185" s="43" t="s">
        <v>52</v>
      </c>
      <c r="AB1185" s="43" t="s">
        <v>53</v>
      </c>
      <c r="AC1185" s="85">
        <v>183</v>
      </c>
      <c r="AD1185" s="141">
        <v>0</v>
      </c>
      <c r="AE1185" s="142">
        <v>6</v>
      </c>
      <c r="AF1185" s="69" t="str">
        <f t="shared" si="117"/>
        <v>0 years 183 days</v>
      </c>
      <c r="AG1185" s="69">
        <v>0</v>
      </c>
      <c r="AH1185" s="69">
        <v>183</v>
      </c>
      <c r="AI1185" s="69">
        <v>14000</v>
      </c>
      <c r="AJ1185" s="67">
        <v>14000</v>
      </c>
      <c r="AK1185" s="69">
        <v>2025</v>
      </c>
      <c r="AL1185" s="61">
        <v>0</v>
      </c>
      <c r="AM1185" s="143"/>
    </row>
    <row r="1186" spans="1:39" x14ac:dyDescent="0.35">
      <c r="A1186" s="69" t="s">
        <v>4124</v>
      </c>
      <c r="B1186" s="41">
        <v>1121400714</v>
      </c>
      <c r="C1186" s="41"/>
      <c r="D1186" s="69"/>
      <c r="E1186" s="41">
        <v>0</v>
      </c>
      <c r="F1186" s="41" t="s">
        <v>2961</v>
      </c>
      <c r="G1186" s="69" t="s">
        <v>2960</v>
      </c>
      <c r="H1186" s="41">
        <v>9013000211</v>
      </c>
      <c r="I1186" s="41" t="s">
        <v>593</v>
      </c>
      <c r="J1186" s="41">
        <v>1202020101</v>
      </c>
      <c r="K1186" s="41"/>
      <c r="L1186" s="52" t="s">
        <v>3737</v>
      </c>
      <c r="M1186" s="69" t="s">
        <v>3738</v>
      </c>
      <c r="N1186" s="69"/>
      <c r="O1186" s="69">
        <v>1</v>
      </c>
      <c r="P1186" s="69" t="s">
        <v>50</v>
      </c>
      <c r="Q1186" s="69" t="s">
        <v>51</v>
      </c>
      <c r="R1186" s="69"/>
      <c r="S1186" s="48">
        <v>41000</v>
      </c>
      <c r="T1186" s="48">
        <v>43340</v>
      </c>
      <c r="U1186" s="69"/>
      <c r="V1186" s="69"/>
      <c r="W1186" s="69"/>
      <c r="X1186" s="69"/>
      <c r="Y1186" s="69" t="s">
        <v>4125</v>
      </c>
      <c r="Z1186" s="52">
        <v>24000</v>
      </c>
      <c r="AA1186" s="43" t="s">
        <v>52</v>
      </c>
      <c r="AB1186" s="43" t="s">
        <v>53</v>
      </c>
      <c r="AC1186" s="85">
        <v>183</v>
      </c>
      <c r="AD1186" s="141">
        <v>0</v>
      </c>
      <c r="AE1186" s="142">
        <v>6</v>
      </c>
      <c r="AF1186" s="69" t="str">
        <f t="shared" si="117"/>
        <v>0 years 183 days</v>
      </c>
      <c r="AG1186" s="69">
        <v>0</v>
      </c>
      <c r="AH1186" s="69">
        <v>183</v>
      </c>
      <c r="AI1186" s="69">
        <v>24000</v>
      </c>
      <c r="AJ1186" s="67">
        <v>24000</v>
      </c>
      <c r="AK1186" s="69">
        <v>2025</v>
      </c>
      <c r="AL1186" s="61">
        <v>0</v>
      </c>
      <c r="AM1186" s="143"/>
    </row>
    <row r="1187" spans="1:39" x14ac:dyDescent="0.35">
      <c r="A1187" s="69" t="s">
        <v>4124</v>
      </c>
      <c r="B1187" s="41">
        <v>1121400716</v>
      </c>
      <c r="C1187" s="41"/>
      <c r="D1187" s="69"/>
      <c r="E1187" s="41">
        <v>0</v>
      </c>
      <c r="F1187" s="41" t="s">
        <v>2961</v>
      </c>
      <c r="G1187" s="69" t="s">
        <v>2960</v>
      </c>
      <c r="H1187" s="41">
        <v>9013000211</v>
      </c>
      <c r="I1187" s="41" t="s">
        <v>593</v>
      </c>
      <c r="J1187" s="41">
        <v>1202020101</v>
      </c>
      <c r="K1187" s="41"/>
      <c r="L1187" s="52" t="s">
        <v>3740</v>
      </c>
      <c r="M1187" s="69" t="s">
        <v>3741</v>
      </c>
      <c r="N1187" s="69"/>
      <c r="O1187" s="69">
        <v>1</v>
      </c>
      <c r="P1187" s="69" t="s">
        <v>50</v>
      </c>
      <c r="Q1187" s="69" t="s">
        <v>51</v>
      </c>
      <c r="R1187" s="69"/>
      <c r="S1187" s="48">
        <v>41002</v>
      </c>
      <c r="T1187" s="48">
        <v>43340</v>
      </c>
      <c r="U1187" s="69"/>
      <c r="V1187" s="69"/>
      <c r="W1187" s="69"/>
      <c r="X1187" s="69"/>
      <c r="Y1187" s="69" t="s">
        <v>4125</v>
      </c>
      <c r="Z1187" s="52">
        <v>6250</v>
      </c>
      <c r="AA1187" s="43" t="s">
        <v>52</v>
      </c>
      <c r="AB1187" s="43" t="s">
        <v>53</v>
      </c>
      <c r="AC1187" s="85">
        <v>183</v>
      </c>
      <c r="AD1187" s="141">
        <v>0</v>
      </c>
      <c r="AE1187" s="142">
        <v>6</v>
      </c>
      <c r="AF1187" s="69" t="str">
        <f t="shared" si="117"/>
        <v>0 years 183 days</v>
      </c>
      <c r="AG1187" s="69">
        <v>0</v>
      </c>
      <c r="AH1187" s="69">
        <v>183</v>
      </c>
      <c r="AI1187" s="69">
        <v>6250</v>
      </c>
      <c r="AJ1187" s="67">
        <v>6250</v>
      </c>
      <c r="AK1187" s="69">
        <v>2025</v>
      </c>
      <c r="AL1187" s="61">
        <v>0</v>
      </c>
      <c r="AM1187" s="143"/>
    </row>
    <row r="1188" spans="1:39" x14ac:dyDescent="0.35">
      <c r="A1188" s="69" t="s">
        <v>4124</v>
      </c>
      <c r="B1188" s="41">
        <v>1121102786</v>
      </c>
      <c r="C1188" s="41"/>
      <c r="D1188" s="69"/>
      <c r="E1188" s="41">
        <v>0</v>
      </c>
      <c r="F1188" s="41" t="s">
        <v>2961</v>
      </c>
      <c r="G1188" s="69" t="s">
        <v>2960</v>
      </c>
      <c r="H1188" s="41">
        <v>9013000211</v>
      </c>
      <c r="I1188" s="41" t="s">
        <v>593</v>
      </c>
      <c r="J1188" s="41">
        <v>1202020101</v>
      </c>
      <c r="K1188" s="41"/>
      <c r="L1188" s="52" t="s">
        <v>4004</v>
      </c>
      <c r="M1188" s="69" t="s">
        <v>49</v>
      </c>
      <c r="N1188" s="69"/>
      <c r="O1188" s="69">
        <v>1</v>
      </c>
      <c r="P1188" s="69" t="s">
        <v>50</v>
      </c>
      <c r="Q1188" s="69" t="s">
        <v>51</v>
      </c>
      <c r="R1188" s="69"/>
      <c r="S1188" s="48">
        <v>41018</v>
      </c>
      <c r="T1188" s="48">
        <v>43340</v>
      </c>
      <c r="U1188" s="69"/>
      <c r="V1188" s="69"/>
      <c r="W1188" s="69"/>
      <c r="X1188" s="69"/>
      <c r="Y1188" s="69" t="s">
        <v>4125</v>
      </c>
      <c r="Z1188" s="52">
        <v>6000</v>
      </c>
      <c r="AA1188" s="43" t="s">
        <v>52</v>
      </c>
      <c r="AB1188" s="43" t="s">
        <v>53</v>
      </c>
      <c r="AC1188" s="85">
        <v>183</v>
      </c>
      <c r="AD1188" s="141">
        <v>0</v>
      </c>
      <c r="AE1188" s="142">
        <v>6</v>
      </c>
      <c r="AF1188" s="69" t="str">
        <f t="shared" si="117"/>
        <v>0 years 183 days</v>
      </c>
      <c r="AG1188" s="69">
        <v>0</v>
      </c>
      <c r="AH1188" s="69">
        <v>183</v>
      </c>
      <c r="AI1188" s="69">
        <v>6000</v>
      </c>
      <c r="AJ1188" s="67">
        <v>6000</v>
      </c>
      <c r="AK1188" s="69">
        <v>2025</v>
      </c>
      <c r="AL1188" s="61">
        <v>0</v>
      </c>
      <c r="AM1188" s="143"/>
    </row>
    <row r="1189" spans="1:39" x14ac:dyDescent="0.35">
      <c r="A1189" s="69" t="s">
        <v>4124</v>
      </c>
      <c r="B1189" s="41">
        <v>1121400723</v>
      </c>
      <c r="C1189" s="41"/>
      <c r="D1189" s="69"/>
      <c r="E1189" s="41">
        <v>0</v>
      </c>
      <c r="F1189" s="41" t="s">
        <v>2961</v>
      </c>
      <c r="G1189" s="69" t="s">
        <v>2960</v>
      </c>
      <c r="H1189" s="41">
        <v>9013000211</v>
      </c>
      <c r="I1189" s="41" t="s">
        <v>593</v>
      </c>
      <c r="J1189" s="41">
        <v>1202020101</v>
      </c>
      <c r="K1189" s="41"/>
      <c r="L1189" s="52" t="s">
        <v>3743</v>
      </c>
      <c r="M1189" s="69" t="s">
        <v>3744</v>
      </c>
      <c r="N1189" s="69"/>
      <c r="O1189" s="69">
        <v>1</v>
      </c>
      <c r="P1189" s="69" t="s">
        <v>50</v>
      </c>
      <c r="Q1189" s="69" t="s">
        <v>51</v>
      </c>
      <c r="R1189" s="69"/>
      <c r="S1189" s="48">
        <v>41023</v>
      </c>
      <c r="T1189" s="48">
        <v>43340</v>
      </c>
      <c r="U1189" s="69"/>
      <c r="V1189" s="69"/>
      <c r="W1189" s="69"/>
      <c r="X1189" s="69"/>
      <c r="Y1189" s="69" t="s">
        <v>4125</v>
      </c>
      <c r="Z1189" s="52">
        <v>31000</v>
      </c>
      <c r="AA1189" s="43" t="s">
        <v>52</v>
      </c>
      <c r="AB1189" s="43" t="s">
        <v>53</v>
      </c>
      <c r="AC1189" s="85">
        <v>183</v>
      </c>
      <c r="AD1189" s="141">
        <v>0</v>
      </c>
      <c r="AE1189" s="142">
        <v>6</v>
      </c>
      <c r="AF1189" s="69" t="str">
        <f t="shared" si="117"/>
        <v>0 years 183 days</v>
      </c>
      <c r="AG1189" s="69">
        <v>0</v>
      </c>
      <c r="AH1189" s="69">
        <v>183</v>
      </c>
      <c r="AI1189" s="69">
        <v>31000</v>
      </c>
      <c r="AJ1189" s="67">
        <v>31000</v>
      </c>
      <c r="AK1189" s="69">
        <v>2025</v>
      </c>
      <c r="AL1189" s="61">
        <v>0</v>
      </c>
      <c r="AM1189" s="143"/>
    </row>
    <row r="1190" spans="1:39" x14ac:dyDescent="0.35">
      <c r="A1190" s="69" t="s">
        <v>4124</v>
      </c>
      <c r="B1190" s="41">
        <v>1121400727</v>
      </c>
      <c r="C1190" s="41"/>
      <c r="D1190" s="69"/>
      <c r="E1190" s="41">
        <v>0</v>
      </c>
      <c r="F1190" s="41" t="s">
        <v>2961</v>
      </c>
      <c r="G1190" s="69" t="s">
        <v>2960</v>
      </c>
      <c r="H1190" s="41">
        <v>9013000211</v>
      </c>
      <c r="I1190" s="41" t="s">
        <v>593</v>
      </c>
      <c r="J1190" s="41">
        <v>1202020101</v>
      </c>
      <c r="K1190" s="41"/>
      <c r="L1190" s="52" t="s">
        <v>3746</v>
      </c>
      <c r="M1190" s="69" t="s">
        <v>3747</v>
      </c>
      <c r="N1190" s="69"/>
      <c r="O1190" s="69">
        <v>1</v>
      </c>
      <c r="P1190" s="69" t="s">
        <v>50</v>
      </c>
      <c r="Q1190" s="69" t="s">
        <v>51</v>
      </c>
      <c r="R1190" s="69"/>
      <c r="S1190" s="48">
        <v>41047</v>
      </c>
      <c r="T1190" s="48">
        <v>43340</v>
      </c>
      <c r="U1190" s="69"/>
      <c r="V1190" s="69"/>
      <c r="W1190" s="69"/>
      <c r="X1190" s="69"/>
      <c r="Y1190" s="69" t="s">
        <v>4125</v>
      </c>
      <c r="Z1190" s="52">
        <v>9500</v>
      </c>
      <c r="AA1190" s="43" t="s">
        <v>52</v>
      </c>
      <c r="AB1190" s="43" t="s">
        <v>53</v>
      </c>
      <c r="AC1190" s="85">
        <v>183</v>
      </c>
      <c r="AD1190" s="141">
        <v>0</v>
      </c>
      <c r="AE1190" s="142">
        <v>6</v>
      </c>
      <c r="AF1190" s="69" t="str">
        <f t="shared" si="117"/>
        <v>0 years 183 days</v>
      </c>
      <c r="AG1190" s="69">
        <v>0</v>
      </c>
      <c r="AH1190" s="69">
        <v>183</v>
      </c>
      <c r="AI1190" s="69">
        <v>9500</v>
      </c>
      <c r="AJ1190" s="67">
        <v>9500</v>
      </c>
      <c r="AK1190" s="69">
        <v>2025</v>
      </c>
      <c r="AL1190" s="61">
        <v>0</v>
      </c>
      <c r="AM1190" s="143"/>
    </row>
    <row r="1191" spans="1:39" x14ac:dyDescent="0.35">
      <c r="A1191" s="69" t="s">
        <v>4124</v>
      </c>
      <c r="B1191" s="41">
        <v>1121400735</v>
      </c>
      <c r="C1191" s="41"/>
      <c r="D1191" s="69"/>
      <c r="E1191" s="41">
        <v>0</v>
      </c>
      <c r="F1191" s="41" t="s">
        <v>2961</v>
      </c>
      <c r="G1191" s="69" t="s">
        <v>2960</v>
      </c>
      <c r="H1191" s="41">
        <v>9013000211</v>
      </c>
      <c r="I1191" s="41" t="s">
        <v>593</v>
      </c>
      <c r="J1191" s="41">
        <v>1202020101</v>
      </c>
      <c r="K1191" s="41"/>
      <c r="L1191" s="52" t="s">
        <v>3749</v>
      </c>
      <c r="M1191" s="69" t="s">
        <v>3750</v>
      </c>
      <c r="N1191" s="69"/>
      <c r="O1191" s="69">
        <v>1</v>
      </c>
      <c r="P1191" s="69" t="s">
        <v>50</v>
      </c>
      <c r="Q1191" s="69" t="s">
        <v>51</v>
      </c>
      <c r="R1191" s="69"/>
      <c r="S1191" s="48">
        <v>41071</v>
      </c>
      <c r="T1191" s="48">
        <v>43340</v>
      </c>
      <c r="U1191" s="69"/>
      <c r="V1191" s="69"/>
      <c r="W1191" s="69"/>
      <c r="X1191" s="69"/>
      <c r="Y1191" s="69" t="s">
        <v>4125</v>
      </c>
      <c r="Z1191" s="52">
        <v>31000</v>
      </c>
      <c r="AA1191" s="43" t="s">
        <v>52</v>
      </c>
      <c r="AB1191" s="43" t="s">
        <v>53</v>
      </c>
      <c r="AC1191" s="85">
        <v>183</v>
      </c>
      <c r="AD1191" s="141">
        <v>0</v>
      </c>
      <c r="AE1191" s="142">
        <v>6</v>
      </c>
      <c r="AF1191" s="69" t="str">
        <f t="shared" si="117"/>
        <v>0 years 183 days</v>
      </c>
      <c r="AG1191" s="69">
        <v>0</v>
      </c>
      <c r="AH1191" s="69">
        <v>183</v>
      </c>
      <c r="AI1191" s="69">
        <v>31000</v>
      </c>
      <c r="AJ1191" s="67">
        <v>31000</v>
      </c>
      <c r="AK1191" s="69">
        <v>2025</v>
      </c>
      <c r="AL1191" s="61">
        <v>0</v>
      </c>
      <c r="AM1191" s="143"/>
    </row>
    <row r="1192" spans="1:39" x14ac:dyDescent="0.35">
      <c r="A1192" s="69" t="s">
        <v>4124</v>
      </c>
      <c r="B1192" s="41">
        <v>1121400755</v>
      </c>
      <c r="C1192" s="41"/>
      <c r="D1192" s="69"/>
      <c r="E1192" s="41">
        <v>0</v>
      </c>
      <c r="F1192" s="41" t="s">
        <v>2961</v>
      </c>
      <c r="G1192" s="69" t="s">
        <v>2960</v>
      </c>
      <c r="H1192" s="41">
        <v>9013000211</v>
      </c>
      <c r="I1192" s="41" t="s">
        <v>593</v>
      </c>
      <c r="J1192" s="41">
        <v>1202020101</v>
      </c>
      <c r="K1192" s="41"/>
      <c r="L1192" s="52" t="s">
        <v>3752</v>
      </c>
      <c r="M1192" s="69" t="s">
        <v>3753</v>
      </c>
      <c r="N1192" s="69"/>
      <c r="O1192" s="69">
        <v>1</v>
      </c>
      <c r="P1192" s="69" t="s">
        <v>50</v>
      </c>
      <c r="Q1192" s="69" t="s">
        <v>51</v>
      </c>
      <c r="R1192" s="69"/>
      <c r="S1192" s="48">
        <v>41111</v>
      </c>
      <c r="T1192" s="48">
        <v>43340</v>
      </c>
      <c r="U1192" s="69"/>
      <c r="V1192" s="69"/>
      <c r="W1192" s="69"/>
      <c r="X1192" s="69"/>
      <c r="Y1192" s="69" t="s">
        <v>4125</v>
      </c>
      <c r="Z1192" s="52">
        <v>13500</v>
      </c>
      <c r="AA1192" s="43" t="s">
        <v>52</v>
      </c>
      <c r="AB1192" s="43" t="s">
        <v>53</v>
      </c>
      <c r="AC1192" s="85">
        <v>183</v>
      </c>
      <c r="AD1192" s="141">
        <v>0</v>
      </c>
      <c r="AE1192" s="142">
        <v>6</v>
      </c>
      <c r="AF1192" s="69" t="str">
        <f t="shared" si="117"/>
        <v>0 years 183 days</v>
      </c>
      <c r="AG1192" s="69">
        <v>0</v>
      </c>
      <c r="AH1192" s="69">
        <v>183</v>
      </c>
      <c r="AI1192" s="69">
        <v>13500</v>
      </c>
      <c r="AJ1192" s="67">
        <v>13500</v>
      </c>
      <c r="AK1192" s="69">
        <v>2025</v>
      </c>
      <c r="AL1192" s="61">
        <v>0</v>
      </c>
      <c r="AM1192" s="143"/>
    </row>
    <row r="1193" spans="1:39" x14ac:dyDescent="0.35">
      <c r="A1193" s="69" t="s">
        <v>4124</v>
      </c>
      <c r="B1193" s="41">
        <v>1121400776</v>
      </c>
      <c r="C1193" s="41"/>
      <c r="D1193" s="69"/>
      <c r="E1193" s="41">
        <v>0</v>
      </c>
      <c r="F1193" s="41" t="s">
        <v>2961</v>
      </c>
      <c r="G1193" s="69" t="s">
        <v>2960</v>
      </c>
      <c r="H1193" s="41">
        <v>9013000211</v>
      </c>
      <c r="I1193" s="41" t="s">
        <v>593</v>
      </c>
      <c r="J1193" s="41">
        <v>1202020101</v>
      </c>
      <c r="K1193" s="41"/>
      <c r="L1193" s="52" t="s">
        <v>3755</v>
      </c>
      <c r="M1193" s="69" t="s">
        <v>3756</v>
      </c>
      <c r="N1193" s="69"/>
      <c r="O1193" s="69">
        <v>1</v>
      </c>
      <c r="P1193" s="69" t="s">
        <v>50</v>
      </c>
      <c r="Q1193" s="69" t="s">
        <v>51</v>
      </c>
      <c r="R1193" s="69"/>
      <c r="S1193" s="48">
        <v>41158</v>
      </c>
      <c r="T1193" s="48">
        <v>43340</v>
      </c>
      <c r="U1193" s="69"/>
      <c r="V1193" s="69"/>
      <c r="W1193" s="69"/>
      <c r="X1193" s="69"/>
      <c r="Y1193" s="69" t="s">
        <v>4125</v>
      </c>
      <c r="Z1193" s="52">
        <v>2200</v>
      </c>
      <c r="AA1193" s="43" t="s">
        <v>52</v>
      </c>
      <c r="AB1193" s="43" t="s">
        <v>53</v>
      </c>
      <c r="AC1193" s="85">
        <v>183</v>
      </c>
      <c r="AD1193" s="141">
        <v>0</v>
      </c>
      <c r="AE1193" s="142">
        <v>6</v>
      </c>
      <c r="AF1193" s="69" t="str">
        <f t="shared" si="117"/>
        <v>0 years 183 days</v>
      </c>
      <c r="AG1193" s="69">
        <v>0</v>
      </c>
      <c r="AH1193" s="69">
        <v>183</v>
      </c>
      <c r="AI1193" s="69">
        <v>2200</v>
      </c>
      <c r="AJ1193" s="67">
        <v>2200</v>
      </c>
      <c r="AK1193" s="69">
        <v>2025</v>
      </c>
      <c r="AL1193" s="61">
        <v>0</v>
      </c>
      <c r="AM1193" s="143"/>
    </row>
    <row r="1194" spans="1:39" x14ac:dyDescent="0.35">
      <c r="A1194" s="69" t="s">
        <v>4124</v>
      </c>
      <c r="B1194" s="41">
        <v>1121400777</v>
      </c>
      <c r="C1194" s="41"/>
      <c r="D1194" s="69"/>
      <c r="E1194" s="41">
        <v>0</v>
      </c>
      <c r="F1194" s="41" t="s">
        <v>2961</v>
      </c>
      <c r="G1194" s="69" t="s">
        <v>2960</v>
      </c>
      <c r="H1194" s="41">
        <v>9013000211</v>
      </c>
      <c r="I1194" s="41" t="s">
        <v>593</v>
      </c>
      <c r="J1194" s="41">
        <v>1202020101</v>
      </c>
      <c r="K1194" s="41"/>
      <c r="L1194" s="52" t="s">
        <v>3758</v>
      </c>
      <c r="M1194" s="69" t="s">
        <v>3759</v>
      </c>
      <c r="N1194" s="69"/>
      <c r="O1194" s="69">
        <v>1</v>
      </c>
      <c r="P1194" s="69" t="s">
        <v>50</v>
      </c>
      <c r="Q1194" s="69" t="s">
        <v>51</v>
      </c>
      <c r="R1194" s="69"/>
      <c r="S1194" s="48">
        <v>41158</v>
      </c>
      <c r="T1194" s="48">
        <v>43340</v>
      </c>
      <c r="U1194" s="69"/>
      <c r="V1194" s="69"/>
      <c r="W1194" s="69"/>
      <c r="X1194" s="69"/>
      <c r="Y1194" s="69" t="s">
        <v>4125</v>
      </c>
      <c r="Z1194" s="52">
        <v>22000</v>
      </c>
      <c r="AA1194" s="43" t="s">
        <v>52</v>
      </c>
      <c r="AB1194" s="43" t="s">
        <v>53</v>
      </c>
      <c r="AC1194" s="85">
        <v>183</v>
      </c>
      <c r="AD1194" s="141">
        <v>0</v>
      </c>
      <c r="AE1194" s="142">
        <v>6</v>
      </c>
      <c r="AF1194" s="69" t="str">
        <f t="shared" si="117"/>
        <v>0 years 183 days</v>
      </c>
      <c r="AG1194" s="69">
        <v>0</v>
      </c>
      <c r="AH1194" s="69">
        <v>183</v>
      </c>
      <c r="AI1194" s="69">
        <v>22000</v>
      </c>
      <c r="AJ1194" s="67">
        <v>22000</v>
      </c>
      <c r="AK1194" s="69">
        <v>2025</v>
      </c>
      <c r="AL1194" s="61">
        <v>0</v>
      </c>
      <c r="AM1194" s="143"/>
    </row>
    <row r="1195" spans="1:39" x14ac:dyDescent="0.35">
      <c r="A1195" s="69" t="s">
        <v>4124</v>
      </c>
      <c r="B1195" s="41">
        <v>1121400801</v>
      </c>
      <c r="C1195" s="41"/>
      <c r="D1195" s="69"/>
      <c r="E1195" s="41">
        <v>0</v>
      </c>
      <c r="F1195" s="41" t="s">
        <v>2961</v>
      </c>
      <c r="G1195" s="69" t="s">
        <v>2960</v>
      </c>
      <c r="H1195" s="41">
        <v>9013000211</v>
      </c>
      <c r="I1195" s="41" t="s">
        <v>593</v>
      </c>
      <c r="J1195" s="41">
        <v>1202020101</v>
      </c>
      <c r="K1195" s="41"/>
      <c r="L1195" s="52" t="s">
        <v>3761</v>
      </c>
      <c r="M1195" s="69" t="s">
        <v>3762</v>
      </c>
      <c r="N1195" s="69"/>
      <c r="O1195" s="69">
        <v>1</v>
      </c>
      <c r="P1195" s="69" t="s">
        <v>50</v>
      </c>
      <c r="Q1195" s="69" t="s">
        <v>51</v>
      </c>
      <c r="R1195" s="69"/>
      <c r="S1195" s="48">
        <v>41198</v>
      </c>
      <c r="T1195" s="48">
        <v>43340</v>
      </c>
      <c r="U1195" s="69"/>
      <c r="V1195" s="69"/>
      <c r="W1195" s="69"/>
      <c r="X1195" s="69"/>
      <c r="Y1195" s="69" t="s">
        <v>4125</v>
      </c>
      <c r="Z1195" s="52">
        <v>72500</v>
      </c>
      <c r="AA1195" s="43" t="s">
        <v>52</v>
      </c>
      <c r="AB1195" s="43" t="s">
        <v>53</v>
      </c>
      <c r="AC1195" s="85">
        <v>183</v>
      </c>
      <c r="AD1195" s="141">
        <v>0</v>
      </c>
      <c r="AE1195" s="142">
        <v>6</v>
      </c>
      <c r="AF1195" s="69" t="str">
        <f t="shared" si="117"/>
        <v>0 years 183 days</v>
      </c>
      <c r="AG1195" s="69">
        <v>0</v>
      </c>
      <c r="AH1195" s="69">
        <v>183</v>
      </c>
      <c r="AI1195" s="69">
        <v>72500</v>
      </c>
      <c r="AJ1195" s="67">
        <v>72500</v>
      </c>
      <c r="AK1195" s="69">
        <v>2025</v>
      </c>
      <c r="AL1195" s="61">
        <v>0</v>
      </c>
      <c r="AM1195" s="143"/>
    </row>
    <row r="1196" spans="1:39" x14ac:dyDescent="0.35">
      <c r="A1196" s="69" t="s">
        <v>4124</v>
      </c>
      <c r="B1196" s="41">
        <v>1121102785</v>
      </c>
      <c r="C1196" s="41"/>
      <c r="D1196" s="69"/>
      <c r="E1196" s="41">
        <v>0</v>
      </c>
      <c r="F1196" s="41" t="s">
        <v>2961</v>
      </c>
      <c r="G1196" s="69" t="s">
        <v>2960</v>
      </c>
      <c r="H1196" s="41">
        <v>9013000211</v>
      </c>
      <c r="I1196" s="41" t="s">
        <v>593</v>
      </c>
      <c r="J1196" s="41">
        <v>1202020101</v>
      </c>
      <c r="K1196" s="41"/>
      <c r="L1196" s="52" t="s">
        <v>4001</v>
      </c>
      <c r="M1196" s="69" t="s">
        <v>4002</v>
      </c>
      <c r="N1196" s="69"/>
      <c r="O1196" s="69">
        <v>1</v>
      </c>
      <c r="P1196" s="69" t="s">
        <v>50</v>
      </c>
      <c r="Q1196" s="69" t="s">
        <v>51</v>
      </c>
      <c r="R1196" s="69"/>
      <c r="S1196" s="48">
        <v>41230</v>
      </c>
      <c r="T1196" s="48">
        <v>43340</v>
      </c>
      <c r="U1196" s="69"/>
      <c r="V1196" s="69"/>
      <c r="W1196" s="69"/>
      <c r="X1196" s="69"/>
      <c r="Y1196" s="69" t="s">
        <v>4125</v>
      </c>
      <c r="Z1196" s="52">
        <v>3800</v>
      </c>
      <c r="AA1196" s="43" t="s">
        <v>52</v>
      </c>
      <c r="AB1196" s="43" t="s">
        <v>53</v>
      </c>
      <c r="AC1196" s="85">
        <v>183</v>
      </c>
      <c r="AD1196" s="141">
        <v>0</v>
      </c>
      <c r="AE1196" s="142">
        <v>6</v>
      </c>
      <c r="AF1196" s="69" t="str">
        <f t="shared" si="117"/>
        <v>0 years 183 days</v>
      </c>
      <c r="AG1196" s="69">
        <v>0</v>
      </c>
      <c r="AH1196" s="69">
        <v>183</v>
      </c>
      <c r="AI1196" s="69">
        <v>3800</v>
      </c>
      <c r="AJ1196" s="67">
        <v>3800</v>
      </c>
      <c r="AK1196" s="69">
        <v>2025</v>
      </c>
      <c r="AL1196" s="61">
        <v>0</v>
      </c>
      <c r="AM1196" s="143"/>
    </row>
    <row r="1197" spans="1:39" x14ac:dyDescent="0.35">
      <c r="A1197" s="69" t="s">
        <v>4124</v>
      </c>
      <c r="B1197" s="41">
        <v>1121400880</v>
      </c>
      <c r="C1197" s="41"/>
      <c r="D1197" s="69"/>
      <c r="E1197" s="41">
        <v>0</v>
      </c>
      <c r="F1197" s="41" t="s">
        <v>2961</v>
      </c>
      <c r="G1197" s="69" t="s">
        <v>2960</v>
      </c>
      <c r="H1197" s="41">
        <v>9013000211</v>
      </c>
      <c r="I1197" s="41" t="s">
        <v>593</v>
      </c>
      <c r="J1197" s="41">
        <v>1202020101</v>
      </c>
      <c r="K1197" s="41"/>
      <c r="L1197" s="52" t="s">
        <v>3764</v>
      </c>
      <c r="M1197" s="69" t="s">
        <v>3765</v>
      </c>
      <c r="N1197" s="69"/>
      <c r="O1197" s="69">
        <v>1</v>
      </c>
      <c r="P1197" s="69" t="s">
        <v>50</v>
      </c>
      <c r="Q1197" s="69" t="s">
        <v>51</v>
      </c>
      <c r="R1197" s="69"/>
      <c r="S1197" s="48">
        <v>41273</v>
      </c>
      <c r="T1197" s="48">
        <v>43340</v>
      </c>
      <c r="U1197" s="69"/>
      <c r="V1197" s="69"/>
      <c r="W1197" s="69"/>
      <c r="X1197" s="69"/>
      <c r="Y1197" s="69" t="s">
        <v>4125</v>
      </c>
      <c r="Z1197" s="52">
        <v>62500</v>
      </c>
      <c r="AA1197" s="43" t="s">
        <v>52</v>
      </c>
      <c r="AB1197" s="43" t="s">
        <v>53</v>
      </c>
      <c r="AC1197" s="85">
        <v>183</v>
      </c>
      <c r="AD1197" s="141">
        <v>0</v>
      </c>
      <c r="AE1197" s="142">
        <v>6</v>
      </c>
      <c r="AF1197" s="69" t="str">
        <f t="shared" si="117"/>
        <v>0 years 183 days</v>
      </c>
      <c r="AG1197" s="69">
        <v>0</v>
      </c>
      <c r="AH1197" s="69">
        <v>183</v>
      </c>
      <c r="AI1197" s="69">
        <v>62500</v>
      </c>
      <c r="AJ1197" s="67">
        <v>62500</v>
      </c>
      <c r="AK1197" s="69">
        <v>2025</v>
      </c>
      <c r="AL1197" s="61">
        <v>0</v>
      </c>
      <c r="AM1197" s="143"/>
    </row>
    <row r="1198" spans="1:39" x14ac:dyDescent="0.35">
      <c r="A1198" s="69" t="s">
        <v>4124</v>
      </c>
      <c r="B1198" s="41">
        <v>1121400920</v>
      </c>
      <c r="C1198" s="41"/>
      <c r="D1198" s="69"/>
      <c r="E1198" s="41">
        <v>0</v>
      </c>
      <c r="F1198" s="41" t="s">
        <v>2961</v>
      </c>
      <c r="G1198" s="69" t="s">
        <v>2960</v>
      </c>
      <c r="H1198" s="41">
        <v>9013000211</v>
      </c>
      <c r="I1198" s="41" t="s">
        <v>593</v>
      </c>
      <c r="J1198" s="41">
        <v>1202020101</v>
      </c>
      <c r="K1198" s="41"/>
      <c r="L1198" s="52" t="s">
        <v>3767</v>
      </c>
      <c r="M1198" s="69" t="s">
        <v>3768</v>
      </c>
      <c r="N1198" s="69"/>
      <c r="O1198" s="69">
        <v>1</v>
      </c>
      <c r="P1198" s="69" t="s">
        <v>50</v>
      </c>
      <c r="Q1198" s="69" t="s">
        <v>51</v>
      </c>
      <c r="R1198" s="69"/>
      <c r="S1198" s="48">
        <v>41305</v>
      </c>
      <c r="T1198" s="48">
        <v>43340</v>
      </c>
      <c r="U1198" s="69"/>
      <c r="V1198" s="69"/>
      <c r="W1198" s="69"/>
      <c r="X1198" s="69"/>
      <c r="Y1198" s="69" t="s">
        <v>4125</v>
      </c>
      <c r="Z1198" s="52">
        <v>13500</v>
      </c>
      <c r="AA1198" s="43" t="s">
        <v>52</v>
      </c>
      <c r="AB1198" s="43" t="s">
        <v>53</v>
      </c>
      <c r="AC1198" s="85">
        <v>183</v>
      </c>
      <c r="AD1198" s="141">
        <v>0</v>
      </c>
      <c r="AE1198" s="142">
        <v>6</v>
      </c>
      <c r="AF1198" s="69" t="str">
        <f t="shared" si="117"/>
        <v>0 years 183 days</v>
      </c>
      <c r="AG1198" s="69">
        <v>0</v>
      </c>
      <c r="AH1198" s="69">
        <v>183</v>
      </c>
      <c r="AI1198" s="69">
        <v>13500</v>
      </c>
      <c r="AJ1198" s="67">
        <v>13500</v>
      </c>
      <c r="AK1198" s="69">
        <v>2025</v>
      </c>
      <c r="AL1198" s="61">
        <v>0</v>
      </c>
      <c r="AM1198" s="143"/>
    </row>
    <row r="1199" spans="1:39" x14ac:dyDescent="0.35">
      <c r="A1199" s="69" t="s">
        <v>4124</v>
      </c>
      <c r="B1199" s="41">
        <v>1121401071</v>
      </c>
      <c r="C1199" s="41"/>
      <c r="D1199" s="69"/>
      <c r="E1199" s="41">
        <v>0</v>
      </c>
      <c r="F1199" s="41" t="s">
        <v>2961</v>
      </c>
      <c r="G1199" s="69" t="s">
        <v>2960</v>
      </c>
      <c r="H1199" s="41">
        <v>9013000211</v>
      </c>
      <c r="I1199" s="41" t="s">
        <v>593</v>
      </c>
      <c r="J1199" s="41">
        <v>1202020101</v>
      </c>
      <c r="K1199" s="41"/>
      <c r="L1199" s="52" t="s">
        <v>3770</v>
      </c>
      <c r="M1199" s="69" t="s">
        <v>3771</v>
      </c>
      <c r="N1199" s="69"/>
      <c r="O1199" s="69">
        <v>1</v>
      </c>
      <c r="P1199" s="69" t="s">
        <v>50</v>
      </c>
      <c r="Q1199" s="69" t="s">
        <v>51</v>
      </c>
      <c r="R1199" s="69"/>
      <c r="S1199" s="48">
        <v>41416</v>
      </c>
      <c r="T1199" s="48">
        <v>43340</v>
      </c>
      <c r="U1199" s="69"/>
      <c r="V1199" s="69"/>
      <c r="W1199" s="69"/>
      <c r="X1199" s="69"/>
      <c r="Y1199" s="69" t="s">
        <v>4125</v>
      </c>
      <c r="Z1199" s="52">
        <v>155000</v>
      </c>
      <c r="AA1199" s="43" t="s">
        <v>52</v>
      </c>
      <c r="AB1199" s="43" t="s">
        <v>53</v>
      </c>
      <c r="AC1199" s="85">
        <v>183</v>
      </c>
      <c r="AD1199" s="141">
        <v>0</v>
      </c>
      <c r="AE1199" s="142">
        <v>6</v>
      </c>
      <c r="AF1199" s="69" t="str">
        <f t="shared" si="117"/>
        <v>0 years 183 days</v>
      </c>
      <c r="AG1199" s="69">
        <v>0</v>
      </c>
      <c r="AH1199" s="69">
        <v>183</v>
      </c>
      <c r="AI1199" s="69">
        <v>155000</v>
      </c>
      <c r="AJ1199" s="67">
        <v>155000</v>
      </c>
      <c r="AK1199" s="69">
        <v>2025</v>
      </c>
      <c r="AL1199" s="61">
        <v>0</v>
      </c>
      <c r="AM1199" s="143"/>
    </row>
    <row r="1200" spans="1:39" x14ac:dyDescent="0.35">
      <c r="A1200" s="69" t="s">
        <v>4124</v>
      </c>
      <c r="B1200" s="41">
        <v>1121401158</v>
      </c>
      <c r="C1200" s="41"/>
      <c r="D1200" s="69"/>
      <c r="E1200" s="41">
        <v>0</v>
      </c>
      <c r="F1200" s="41" t="s">
        <v>2961</v>
      </c>
      <c r="G1200" s="69" t="s">
        <v>2960</v>
      </c>
      <c r="H1200" s="41">
        <v>9013000211</v>
      </c>
      <c r="I1200" s="41" t="s">
        <v>593</v>
      </c>
      <c r="J1200" s="41">
        <v>1202020101</v>
      </c>
      <c r="K1200" s="41"/>
      <c r="L1200" s="52" t="s">
        <v>3773</v>
      </c>
      <c r="M1200" s="69" t="s">
        <v>3774</v>
      </c>
      <c r="N1200" s="69"/>
      <c r="O1200" s="69">
        <v>1</v>
      </c>
      <c r="P1200" s="69" t="s">
        <v>50</v>
      </c>
      <c r="Q1200" s="69" t="s">
        <v>51</v>
      </c>
      <c r="R1200" s="69"/>
      <c r="S1200" s="48">
        <v>41499</v>
      </c>
      <c r="T1200" s="48">
        <v>43340</v>
      </c>
      <c r="U1200" s="69"/>
      <c r="V1200" s="69"/>
      <c r="W1200" s="69"/>
      <c r="X1200" s="69"/>
      <c r="Y1200" s="69" t="s">
        <v>4125</v>
      </c>
      <c r="Z1200" s="52">
        <v>13000</v>
      </c>
      <c r="AA1200" s="43" t="s">
        <v>52</v>
      </c>
      <c r="AB1200" s="43" t="s">
        <v>53</v>
      </c>
      <c r="AC1200" s="85">
        <v>183</v>
      </c>
      <c r="AD1200" s="141">
        <v>0</v>
      </c>
      <c r="AE1200" s="142">
        <v>6</v>
      </c>
      <c r="AF1200" s="69" t="str">
        <f t="shared" si="117"/>
        <v>0 years 183 days</v>
      </c>
      <c r="AG1200" s="69">
        <v>0</v>
      </c>
      <c r="AH1200" s="69">
        <v>183</v>
      </c>
      <c r="AI1200" s="69">
        <v>13000</v>
      </c>
      <c r="AJ1200" s="67">
        <v>13000</v>
      </c>
      <c r="AK1200" s="69">
        <v>2025</v>
      </c>
      <c r="AL1200" s="61">
        <v>0</v>
      </c>
      <c r="AM1200" s="143"/>
    </row>
    <row r="1201" spans="1:39" x14ac:dyDescent="0.35">
      <c r="A1201" s="69" t="s">
        <v>4124</v>
      </c>
      <c r="B1201" s="41">
        <v>1121401263</v>
      </c>
      <c r="C1201" s="41"/>
      <c r="D1201" s="69"/>
      <c r="E1201" s="41">
        <v>0</v>
      </c>
      <c r="F1201" s="41" t="s">
        <v>2961</v>
      </c>
      <c r="G1201" s="69" t="s">
        <v>2960</v>
      </c>
      <c r="H1201" s="41">
        <v>9013000211</v>
      </c>
      <c r="I1201" s="41" t="s">
        <v>593</v>
      </c>
      <c r="J1201" s="41">
        <v>1202020101</v>
      </c>
      <c r="K1201" s="41"/>
      <c r="L1201" s="52" t="s">
        <v>3776</v>
      </c>
      <c r="M1201" s="69" t="s">
        <v>3777</v>
      </c>
      <c r="N1201" s="69"/>
      <c r="O1201" s="69">
        <v>1</v>
      </c>
      <c r="P1201" s="69" t="s">
        <v>50</v>
      </c>
      <c r="Q1201" s="69" t="s">
        <v>51</v>
      </c>
      <c r="R1201" s="69"/>
      <c r="S1201" s="48">
        <v>41604</v>
      </c>
      <c r="T1201" s="48">
        <v>43340</v>
      </c>
      <c r="U1201" s="69"/>
      <c r="V1201" s="69"/>
      <c r="W1201" s="69"/>
      <c r="X1201" s="69"/>
      <c r="Y1201" s="69" t="s">
        <v>4125</v>
      </c>
      <c r="Z1201" s="52">
        <v>145000</v>
      </c>
      <c r="AA1201" s="43" t="s">
        <v>52</v>
      </c>
      <c r="AB1201" s="43" t="s">
        <v>53</v>
      </c>
      <c r="AC1201" s="85">
        <v>183</v>
      </c>
      <c r="AD1201" s="141">
        <v>0</v>
      </c>
      <c r="AE1201" s="142">
        <v>6</v>
      </c>
      <c r="AF1201" s="69" t="str">
        <f t="shared" si="117"/>
        <v>0 years 183 days</v>
      </c>
      <c r="AG1201" s="69">
        <v>0</v>
      </c>
      <c r="AH1201" s="69">
        <v>183</v>
      </c>
      <c r="AI1201" s="69">
        <v>145000</v>
      </c>
      <c r="AJ1201" s="67">
        <v>145000</v>
      </c>
      <c r="AK1201" s="69">
        <v>2025</v>
      </c>
      <c r="AL1201" s="61">
        <v>0</v>
      </c>
      <c r="AM1201" s="143"/>
    </row>
    <row r="1202" spans="1:39" x14ac:dyDescent="0.35">
      <c r="A1202" s="69" t="s">
        <v>4124</v>
      </c>
      <c r="B1202" s="41">
        <v>1121401441</v>
      </c>
      <c r="C1202" s="41"/>
      <c r="D1202" s="69"/>
      <c r="E1202" s="41">
        <v>0</v>
      </c>
      <c r="F1202" s="41" t="s">
        <v>2961</v>
      </c>
      <c r="G1202" s="69" t="s">
        <v>2960</v>
      </c>
      <c r="H1202" s="41">
        <v>9013000211</v>
      </c>
      <c r="I1202" s="41" t="s">
        <v>593</v>
      </c>
      <c r="J1202" s="41">
        <v>1202020101</v>
      </c>
      <c r="K1202" s="41"/>
      <c r="L1202" s="52" t="s">
        <v>3779</v>
      </c>
      <c r="M1202" s="69" t="s">
        <v>3780</v>
      </c>
      <c r="N1202" s="69"/>
      <c r="O1202" s="69">
        <v>1</v>
      </c>
      <c r="P1202" s="69" t="s">
        <v>50</v>
      </c>
      <c r="Q1202" s="69" t="s">
        <v>51</v>
      </c>
      <c r="R1202" s="69"/>
      <c r="S1202" s="48">
        <v>41818</v>
      </c>
      <c r="T1202" s="48">
        <v>43340</v>
      </c>
      <c r="U1202" s="69"/>
      <c r="V1202" s="69"/>
      <c r="W1202" s="69"/>
      <c r="X1202" s="69"/>
      <c r="Y1202" s="69" t="s">
        <v>4125</v>
      </c>
      <c r="Z1202" s="52">
        <v>85000</v>
      </c>
      <c r="AA1202" s="43" t="s">
        <v>52</v>
      </c>
      <c r="AB1202" s="43" t="s">
        <v>53</v>
      </c>
      <c r="AC1202" s="85">
        <v>292</v>
      </c>
      <c r="AD1202" s="141">
        <v>0</v>
      </c>
      <c r="AE1202" s="142">
        <v>10</v>
      </c>
      <c r="AF1202" s="69" t="str">
        <f t="shared" si="117"/>
        <v>0 years 292 days</v>
      </c>
      <c r="AG1202" s="69">
        <v>0</v>
      </c>
      <c r="AH1202" s="69">
        <v>292</v>
      </c>
      <c r="AI1202" s="69">
        <v>85000</v>
      </c>
      <c r="AJ1202" s="67">
        <v>85000</v>
      </c>
      <c r="AK1202" s="69">
        <v>2025</v>
      </c>
      <c r="AL1202" s="61">
        <v>0</v>
      </c>
      <c r="AM1202" s="143"/>
    </row>
    <row r="1203" spans="1:39" x14ac:dyDescent="0.35">
      <c r="A1203" s="69" t="s">
        <v>4124</v>
      </c>
      <c r="B1203" s="41">
        <v>1121401468</v>
      </c>
      <c r="C1203" s="41"/>
      <c r="D1203" s="69"/>
      <c r="E1203" s="41">
        <v>0</v>
      </c>
      <c r="F1203" s="41" t="s">
        <v>2961</v>
      </c>
      <c r="G1203" s="69" t="s">
        <v>2960</v>
      </c>
      <c r="H1203" s="41">
        <v>9013000211</v>
      </c>
      <c r="I1203" s="41" t="s">
        <v>593</v>
      </c>
      <c r="J1203" s="41">
        <v>1202020101</v>
      </c>
      <c r="K1203" s="41"/>
      <c r="L1203" s="52" t="s">
        <v>3782</v>
      </c>
      <c r="M1203" s="69" t="s">
        <v>3783</v>
      </c>
      <c r="N1203" s="69"/>
      <c r="O1203" s="69">
        <v>1</v>
      </c>
      <c r="P1203" s="69" t="s">
        <v>50</v>
      </c>
      <c r="Q1203" s="69" t="s">
        <v>51</v>
      </c>
      <c r="R1203" s="69"/>
      <c r="S1203" s="48">
        <v>41853</v>
      </c>
      <c r="T1203" s="48">
        <v>43340</v>
      </c>
      <c r="U1203" s="69"/>
      <c r="V1203" s="69"/>
      <c r="W1203" s="69"/>
      <c r="X1203" s="69"/>
      <c r="Y1203" s="69" t="s">
        <v>4125</v>
      </c>
      <c r="Z1203" s="52">
        <v>35000</v>
      </c>
      <c r="AA1203" s="43" t="s">
        <v>52</v>
      </c>
      <c r="AB1203" s="43" t="s">
        <v>53</v>
      </c>
      <c r="AC1203" s="85">
        <v>329</v>
      </c>
      <c r="AD1203" s="141">
        <v>0</v>
      </c>
      <c r="AE1203" s="142">
        <v>11</v>
      </c>
      <c r="AF1203" s="69" t="str">
        <f t="shared" si="117"/>
        <v>0 years 329 days</v>
      </c>
      <c r="AG1203" s="69">
        <v>0</v>
      </c>
      <c r="AH1203" s="69">
        <v>329</v>
      </c>
      <c r="AI1203" s="69">
        <v>35000</v>
      </c>
      <c r="AJ1203" s="67">
        <v>35000</v>
      </c>
      <c r="AK1203" s="69">
        <v>2025</v>
      </c>
      <c r="AL1203" s="61">
        <v>0</v>
      </c>
      <c r="AM1203" s="143"/>
    </row>
    <row r="1204" spans="1:39" x14ac:dyDescent="0.35">
      <c r="A1204" s="69" t="s">
        <v>4124</v>
      </c>
      <c r="B1204" s="41">
        <v>1121401469</v>
      </c>
      <c r="C1204" s="41"/>
      <c r="D1204" s="69"/>
      <c r="E1204" s="41">
        <v>0</v>
      </c>
      <c r="F1204" s="41" t="s">
        <v>2961</v>
      </c>
      <c r="G1204" s="69" t="s">
        <v>2960</v>
      </c>
      <c r="H1204" s="41">
        <v>9013000211</v>
      </c>
      <c r="I1204" s="41" t="s">
        <v>593</v>
      </c>
      <c r="J1204" s="41">
        <v>1202020101</v>
      </c>
      <c r="K1204" s="41"/>
      <c r="L1204" s="52" t="s">
        <v>3785</v>
      </c>
      <c r="M1204" s="69" t="s">
        <v>3786</v>
      </c>
      <c r="N1204" s="69"/>
      <c r="O1204" s="69">
        <v>1</v>
      </c>
      <c r="P1204" s="69" t="s">
        <v>50</v>
      </c>
      <c r="Q1204" s="69" t="s">
        <v>51</v>
      </c>
      <c r="R1204" s="69"/>
      <c r="S1204" s="48">
        <v>41853</v>
      </c>
      <c r="T1204" s="48">
        <v>43340</v>
      </c>
      <c r="U1204" s="69"/>
      <c r="V1204" s="69"/>
      <c r="W1204" s="69"/>
      <c r="X1204" s="69"/>
      <c r="Y1204" s="69" t="s">
        <v>4125</v>
      </c>
      <c r="Z1204" s="52">
        <v>70000</v>
      </c>
      <c r="AA1204" s="43" t="s">
        <v>52</v>
      </c>
      <c r="AB1204" s="43" t="s">
        <v>53</v>
      </c>
      <c r="AC1204" s="85">
        <v>329</v>
      </c>
      <c r="AD1204" s="141">
        <v>0</v>
      </c>
      <c r="AE1204" s="142">
        <v>11</v>
      </c>
      <c r="AF1204" s="69" t="str">
        <f t="shared" si="117"/>
        <v>0 years 329 days</v>
      </c>
      <c r="AG1204" s="69">
        <v>0</v>
      </c>
      <c r="AH1204" s="69">
        <v>329</v>
      </c>
      <c r="AI1204" s="69">
        <v>70000</v>
      </c>
      <c r="AJ1204" s="67">
        <v>70000</v>
      </c>
      <c r="AK1204" s="69">
        <v>2025</v>
      </c>
      <c r="AL1204" s="61">
        <v>0</v>
      </c>
      <c r="AM1204" s="143"/>
    </row>
    <row r="1205" spans="1:39" x14ac:dyDescent="0.35">
      <c r="A1205" s="69" t="s">
        <v>4124</v>
      </c>
      <c r="B1205" s="41">
        <v>1121401494</v>
      </c>
      <c r="C1205" s="41"/>
      <c r="D1205" s="69"/>
      <c r="E1205" s="41">
        <v>0</v>
      </c>
      <c r="F1205" s="41" t="s">
        <v>2961</v>
      </c>
      <c r="G1205" s="69" t="s">
        <v>2960</v>
      </c>
      <c r="H1205" s="41">
        <v>9013000211</v>
      </c>
      <c r="I1205" s="41" t="s">
        <v>593</v>
      </c>
      <c r="J1205" s="41">
        <v>1202020101</v>
      </c>
      <c r="K1205" s="41"/>
      <c r="L1205" s="52" t="s">
        <v>3788</v>
      </c>
      <c r="M1205" s="69" t="s">
        <v>3789</v>
      </c>
      <c r="N1205" s="69"/>
      <c r="O1205" s="69">
        <v>1</v>
      </c>
      <c r="P1205" s="69" t="s">
        <v>50</v>
      </c>
      <c r="Q1205" s="69" t="s">
        <v>51</v>
      </c>
      <c r="R1205" s="69"/>
      <c r="S1205" s="48">
        <v>41895</v>
      </c>
      <c r="T1205" s="48">
        <v>43340</v>
      </c>
      <c r="U1205" s="69"/>
      <c r="V1205" s="69"/>
      <c r="W1205" s="69"/>
      <c r="X1205" s="69"/>
      <c r="Y1205" s="69" t="s">
        <v>4125</v>
      </c>
      <c r="Z1205" s="52">
        <v>47000</v>
      </c>
      <c r="AA1205" s="43" t="s">
        <v>52</v>
      </c>
      <c r="AB1205" s="43" t="s">
        <v>53</v>
      </c>
      <c r="AC1205" s="85">
        <v>365</v>
      </c>
      <c r="AD1205" s="141">
        <v>1</v>
      </c>
      <c r="AE1205" s="142">
        <v>0</v>
      </c>
      <c r="AF1205" s="69" t="str">
        <f t="shared" si="117"/>
        <v>1 years 0 days</v>
      </c>
      <c r="AG1205" s="69">
        <v>1</v>
      </c>
      <c r="AH1205" s="69">
        <v>0</v>
      </c>
      <c r="AI1205" s="69">
        <v>47000</v>
      </c>
      <c r="AJ1205" s="67">
        <v>47000</v>
      </c>
      <c r="AK1205" s="69">
        <v>2025</v>
      </c>
      <c r="AL1205" s="61">
        <v>0</v>
      </c>
      <c r="AM1205" s="143"/>
    </row>
    <row r="1206" spans="1:39" x14ac:dyDescent="0.35">
      <c r="A1206" s="69" t="s">
        <v>4124</v>
      </c>
      <c r="B1206" s="41">
        <v>1121401646</v>
      </c>
      <c r="C1206" s="41"/>
      <c r="D1206" s="69"/>
      <c r="E1206" s="41">
        <v>0</v>
      </c>
      <c r="F1206" s="41" t="s">
        <v>2961</v>
      </c>
      <c r="G1206" s="69" t="s">
        <v>2960</v>
      </c>
      <c r="H1206" s="41">
        <v>9013000211</v>
      </c>
      <c r="I1206" s="41" t="s">
        <v>593</v>
      </c>
      <c r="J1206" s="41">
        <v>1202020101</v>
      </c>
      <c r="K1206" s="41"/>
      <c r="L1206" s="52" t="s">
        <v>3791</v>
      </c>
      <c r="M1206" s="69" t="s">
        <v>49</v>
      </c>
      <c r="N1206" s="69"/>
      <c r="O1206" s="69">
        <v>1</v>
      </c>
      <c r="P1206" s="69" t="s">
        <v>50</v>
      </c>
      <c r="Q1206" s="69" t="s">
        <v>51</v>
      </c>
      <c r="R1206" s="69"/>
      <c r="S1206" s="48">
        <v>42158</v>
      </c>
      <c r="T1206" s="48">
        <v>43340</v>
      </c>
      <c r="U1206" s="69"/>
      <c r="V1206" s="69"/>
      <c r="W1206" s="69"/>
      <c r="X1206" s="69"/>
      <c r="Y1206" s="69" t="s">
        <v>4125</v>
      </c>
      <c r="Z1206" s="52">
        <v>35000</v>
      </c>
      <c r="AA1206" s="43" t="s">
        <v>52</v>
      </c>
      <c r="AB1206" s="43" t="s">
        <v>53</v>
      </c>
      <c r="AC1206" s="85">
        <v>621</v>
      </c>
      <c r="AD1206" s="141">
        <v>1</v>
      </c>
      <c r="AE1206" s="142">
        <v>9</v>
      </c>
      <c r="AF1206" s="69" t="str">
        <f t="shared" si="117"/>
        <v>1 years 256 days</v>
      </c>
      <c r="AG1206" s="69">
        <v>1</v>
      </c>
      <c r="AH1206" s="69">
        <v>256</v>
      </c>
      <c r="AI1206" s="69">
        <v>35000</v>
      </c>
      <c r="AJ1206" s="67">
        <v>35000</v>
      </c>
      <c r="AK1206" s="69">
        <v>2025</v>
      </c>
      <c r="AL1206" s="61">
        <v>0</v>
      </c>
      <c r="AM1206" s="143"/>
    </row>
    <row r="1207" spans="1:39" x14ac:dyDescent="0.35">
      <c r="A1207" s="69" t="s">
        <v>4124</v>
      </c>
      <c r="B1207" s="41">
        <v>1121401758</v>
      </c>
      <c r="C1207" s="41"/>
      <c r="D1207" s="69"/>
      <c r="E1207" s="41">
        <v>0</v>
      </c>
      <c r="F1207" s="41" t="s">
        <v>2961</v>
      </c>
      <c r="G1207" s="69" t="s">
        <v>2960</v>
      </c>
      <c r="H1207" s="41">
        <v>9013000211</v>
      </c>
      <c r="I1207" s="41" t="s">
        <v>593</v>
      </c>
      <c r="J1207" s="41">
        <v>1202020101</v>
      </c>
      <c r="K1207" s="41"/>
      <c r="L1207" s="52" t="s">
        <v>3793</v>
      </c>
      <c r="M1207" s="69" t="s">
        <v>3794</v>
      </c>
      <c r="N1207" s="69"/>
      <c r="O1207" s="69">
        <v>1</v>
      </c>
      <c r="P1207" s="69" t="s">
        <v>50</v>
      </c>
      <c r="Q1207" s="69" t="s">
        <v>51</v>
      </c>
      <c r="R1207" s="69"/>
      <c r="S1207" s="48">
        <v>42303</v>
      </c>
      <c r="T1207" s="48">
        <v>43340</v>
      </c>
      <c r="U1207" s="69"/>
      <c r="V1207" s="69"/>
      <c r="W1207" s="69"/>
      <c r="X1207" s="69"/>
      <c r="Y1207" s="69" t="s">
        <v>4125</v>
      </c>
      <c r="Z1207" s="52">
        <v>135000</v>
      </c>
      <c r="AA1207" s="43" t="s">
        <v>52</v>
      </c>
      <c r="AB1207" s="43" t="s">
        <v>53</v>
      </c>
      <c r="AC1207" s="85">
        <v>767</v>
      </c>
      <c r="AD1207" s="141">
        <v>2</v>
      </c>
      <c r="AE1207" s="142">
        <v>1</v>
      </c>
      <c r="AF1207" s="69" t="str">
        <f t="shared" si="117"/>
        <v>2 years 37 days</v>
      </c>
      <c r="AG1207" s="69">
        <v>2</v>
      </c>
      <c r="AH1207" s="69">
        <v>37</v>
      </c>
      <c r="AI1207" s="69">
        <v>135000</v>
      </c>
      <c r="AJ1207" s="67">
        <v>135000</v>
      </c>
      <c r="AK1207" s="69">
        <v>2025</v>
      </c>
      <c r="AL1207" s="61">
        <v>0</v>
      </c>
      <c r="AM1207" s="143"/>
    </row>
    <row r="1208" spans="1:39" x14ac:dyDescent="0.35">
      <c r="A1208" s="69" t="s">
        <v>4124</v>
      </c>
      <c r="B1208" s="41">
        <v>1121401931</v>
      </c>
      <c r="C1208" s="41"/>
      <c r="D1208" s="69"/>
      <c r="E1208" s="41">
        <v>0</v>
      </c>
      <c r="F1208" s="41" t="s">
        <v>2961</v>
      </c>
      <c r="G1208" s="69" t="s">
        <v>2960</v>
      </c>
      <c r="H1208" s="41">
        <v>9013000211</v>
      </c>
      <c r="I1208" s="41" t="s">
        <v>593</v>
      </c>
      <c r="J1208" s="41">
        <v>1202020101</v>
      </c>
      <c r="K1208" s="41"/>
      <c r="L1208" s="52" t="s">
        <v>3796</v>
      </c>
      <c r="M1208" s="69" t="s">
        <v>3797</v>
      </c>
      <c r="N1208" s="69"/>
      <c r="O1208" s="69">
        <v>1</v>
      </c>
      <c r="P1208" s="69" t="s">
        <v>50</v>
      </c>
      <c r="Q1208" s="69" t="s">
        <v>51</v>
      </c>
      <c r="R1208" s="69"/>
      <c r="S1208" s="48">
        <v>42537</v>
      </c>
      <c r="T1208" s="48">
        <v>43340</v>
      </c>
      <c r="U1208" s="69"/>
      <c r="V1208" s="69"/>
      <c r="W1208" s="69"/>
      <c r="X1208" s="69"/>
      <c r="Y1208" s="69" t="s">
        <v>4125</v>
      </c>
      <c r="Z1208" s="52">
        <v>130000</v>
      </c>
      <c r="AA1208" s="43" t="s">
        <v>52</v>
      </c>
      <c r="AB1208" s="43" t="s">
        <v>53</v>
      </c>
      <c r="AC1208" s="85">
        <v>1022</v>
      </c>
      <c r="AD1208" s="141">
        <v>2</v>
      </c>
      <c r="AE1208" s="142">
        <v>10</v>
      </c>
      <c r="AF1208" s="69" t="str">
        <f t="shared" si="117"/>
        <v>2 years 292 days</v>
      </c>
      <c r="AG1208" s="69">
        <v>2</v>
      </c>
      <c r="AH1208" s="69">
        <v>292</v>
      </c>
      <c r="AI1208" s="69">
        <v>130000</v>
      </c>
      <c r="AJ1208" s="67">
        <v>130000</v>
      </c>
      <c r="AK1208" s="69">
        <v>2025</v>
      </c>
      <c r="AL1208" s="61">
        <v>0</v>
      </c>
      <c r="AM1208" s="143"/>
    </row>
    <row r="1209" spans="1:39" x14ac:dyDescent="0.35">
      <c r="A1209" s="69" t="s">
        <v>4124</v>
      </c>
      <c r="B1209" s="41">
        <v>1121402592</v>
      </c>
      <c r="C1209" s="41"/>
      <c r="D1209" s="69"/>
      <c r="E1209" s="41">
        <v>0</v>
      </c>
      <c r="F1209" s="41" t="s">
        <v>2961</v>
      </c>
      <c r="G1209" s="69" t="s">
        <v>2960</v>
      </c>
      <c r="H1209" s="41">
        <v>9013000211</v>
      </c>
      <c r="I1209" s="41" t="s">
        <v>593</v>
      </c>
      <c r="J1209" s="41">
        <v>1202020101</v>
      </c>
      <c r="K1209" s="41"/>
      <c r="L1209" s="52" t="s">
        <v>3799</v>
      </c>
      <c r="M1209" s="69" t="s">
        <v>3800</v>
      </c>
      <c r="N1209" s="69"/>
      <c r="O1209" s="69">
        <v>1</v>
      </c>
      <c r="P1209" s="69" t="s">
        <v>50</v>
      </c>
      <c r="Q1209" s="69" t="s">
        <v>51</v>
      </c>
      <c r="R1209" s="69"/>
      <c r="S1209" s="48">
        <v>43271</v>
      </c>
      <c r="T1209" s="48">
        <v>43340</v>
      </c>
      <c r="U1209" s="69"/>
      <c r="V1209" s="69"/>
      <c r="W1209" s="69"/>
      <c r="X1209" s="69"/>
      <c r="Y1209" s="69" t="s">
        <v>4125</v>
      </c>
      <c r="Z1209" s="52">
        <v>235000</v>
      </c>
      <c r="AA1209" s="43" t="s">
        <v>52</v>
      </c>
      <c r="AB1209" s="43" t="s">
        <v>53</v>
      </c>
      <c r="AC1209" s="85">
        <v>1752</v>
      </c>
      <c r="AD1209" s="141">
        <v>4</v>
      </c>
      <c r="AE1209" s="142">
        <v>10</v>
      </c>
      <c r="AF1209" s="69" t="str">
        <f t="shared" si="117"/>
        <v>4 years 292 days</v>
      </c>
      <c r="AG1209" s="69">
        <v>4</v>
      </c>
      <c r="AH1209" s="69">
        <v>292</v>
      </c>
      <c r="AI1209" s="69">
        <v>235000</v>
      </c>
      <c r="AJ1209" s="67">
        <v>235000</v>
      </c>
      <c r="AK1209" s="69">
        <v>2025</v>
      </c>
      <c r="AL1209" s="61">
        <v>0</v>
      </c>
      <c r="AM1209" s="143"/>
    </row>
    <row r="1210" spans="1:39" x14ac:dyDescent="0.35">
      <c r="A1210" s="69" t="s">
        <v>4124</v>
      </c>
      <c r="B1210" s="41">
        <v>1121402613</v>
      </c>
      <c r="C1210" s="41"/>
      <c r="D1210" s="69"/>
      <c r="E1210" s="41">
        <v>0</v>
      </c>
      <c r="F1210" s="41" t="s">
        <v>2961</v>
      </c>
      <c r="G1210" s="69" t="s">
        <v>2960</v>
      </c>
      <c r="H1210" s="41">
        <v>9013000211</v>
      </c>
      <c r="I1210" s="41" t="s">
        <v>593</v>
      </c>
      <c r="J1210" s="41">
        <v>1202020101</v>
      </c>
      <c r="K1210" s="41"/>
      <c r="L1210" s="52" t="s">
        <v>3802</v>
      </c>
      <c r="M1210" s="69" t="s">
        <v>3803</v>
      </c>
      <c r="N1210" s="69"/>
      <c r="O1210" s="69">
        <v>1</v>
      </c>
      <c r="P1210" s="69" t="s">
        <v>50</v>
      </c>
      <c r="Q1210" s="69" t="s">
        <v>51</v>
      </c>
      <c r="R1210" s="69"/>
      <c r="S1210" s="48">
        <v>43290</v>
      </c>
      <c r="T1210" s="48">
        <v>43340</v>
      </c>
      <c r="U1210" s="69"/>
      <c r="V1210" s="69"/>
      <c r="W1210" s="69"/>
      <c r="X1210" s="69"/>
      <c r="Y1210" s="69" t="s">
        <v>4125</v>
      </c>
      <c r="Z1210" s="52">
        <v>19500</v>
      </c>
      <c r="AA1210" s="43" t="s">
        <v>52</v>
      </c>
      <c r="AB1210" s="43" t="s">
        <v>53</v>
      </c>
      <c r="AC1210" s="85">
        <v>1789</v>
      </c>
      <c r="AD1210" s="141">
        <v>4</v>
      </c>
      <c r="AE1210" s="142">
        <v>11</v>
      </c>
      <c r="AF1210" s="69" t="str">
        <f t="shared" si="117"/>
        <v>4 years 329 days</v>
      </c>
      <c r="AG1210" s="69">
        <v>4</v>
      </c>
      <c r="AH1210" s="69">
        <v>329</v>
      </c>
      <c r="AI1210" s="69">
        <v>19500</v>
      </c>
      <c r="AJ1210" s="67">
        <v>19500</v>
      </c>
      <c r="AK1210" s="69">
        <v>2025</v>
      </c>
      <c r="AL1210" s="61">
        <v>0</v>
      </c>
      <c r="AM1210" s="143"/>
    </row>
    <row r="1211" spans="1:39" x14ac:dyDescent="0.35">
      <c r="A1211" s="69" t="s">
        <v>4124</v>
      </c>
      <c r="B1211" s="41">
        <v>1121402614</v>
      </c>
      <c r="C1211" s="41"/>
      <c r="D1211" s="69"/>
      <c r="E1211" s="41">
        <v>0</v>
      </c>
      <c r="F1211" s="41" t="s">
        <v>2961</v>
      </c>
      <c r="G1211" s="69" t="s">
        <v>2960</v>
      </c>
      <c r="H1211" s="41">
        <v>9013000211</v>
      </c>
      <c r="I1211" s="41" t="s">
        <v>593</v>
      </c>
      <c r="J1211" s="41">
        <v>1202020101</v>
      </c>
      <c r="K1211" s="41"/>
      <c r="L1211" s="52" t="s">
        <v>3805</v>
      </c>
      <c r="M1211" s="69" t="s">
        <v>3806</v>
      </c>
      <c r="N1211" s="69"/>
      <c r="O1211" s="69">
        <v>1</v>
      </c>
      <c r="P1211" s="69" t="s">
        <v>50</v>
      </c>
      <c r="Q1211" s="69" t="s">
        <v>51</v>
      </c>
      <c r="R1211" s="69"/>
      <c r="S1211" s="48">
        <v>43290</v>
      </c>
      <c r="T1211" s="48">
        <v>43340</v>
      </c>
      <c r="U1211" s="69"/>
      <c r="V1211" s="69"/>
      <c r="W1211" s="69"/>
      <c r="X1211" s="69"/>
      <c r="Y1211" s="69" t="s">
        <v>4125</v>
      </c>
      <c r="Z1211" s="52">
        <v>350000</v>
      </c>
      <c r="AA1211" s="43" t="s">
        <v>52</v>
      </c>
      <c r="AB1211" s="43" t="s">
        <v>53</v>
      </c>
      <c r="AC1211" s="85">
        <v>1789</v>
      </c>
      <c r="AD1211" s="141">
        <v>4</v>
      </c>
      <c r="AE1211" s="142">
        <v>11</v>
      </c>
      <c r="AF1211" s="69" t="str">
        <f t="shared" si="117"/>
        <v>4 years 329 days</v>
      </c>
      <c r="AG1211" s="69">
        <v>4</v>
      </c>
      <c r="AH1211" s="69">
        <v>329</v>
      </c>
      <c r="AI1211" s="69">
        <v>350000</v>
      </c>
      <c r="AJ1211" s="67">
        <v>350000</v>
      </c>
      <c r="AK1211" s="69">
        <v>2025</v>
      </c>
      <c r="AL1211" s="61">
        <v>0</v>
      </c>
      <c r="AM1211" s="143"/>
    </row>
    <row r="1212" spans="1:39" x14ac:dyDescent="0.35">
      <c r="A1212" s="69" t="s">
        <v>4124</v>
      </c>
      <c r="B1212" s="41">
        <v>1121102669</v>
      </c>
      <c r="C1212" s="41"/>
      <c r="D1212" s="69"/>
      <c r="E1212" s="41">
        <v>0</v>
      </c>
      <c r="F1212" s="41" t="s">
        <v>2961</v>
      </c>
      <c r="G1212" s="69" t="s">
        <v>2960</v>
      </c>
      <c r="H1212" s="41">
        <v>9013000211</v>
      </c>
      <c r="I1212" s="41" t="s">
        <v>593</v>
      </c>
      <c r="J1212" s="41">
        <v>1202020101</v>
      </c>
      <c r="K1212" s="41"/>
      <c r="L1212" s="52" t="s">
        <v>3982</v>
      </c>
      <c r="M1212" s="69" t="s">
        <v>49</v>
      </c>
      <c r="N1212" s="69"/>
      <c r="O1212" s="69">
        <v>1</v>
      </c>
      <c r="P1212" s="69" t="s">
        <v>50</v>
      </c>
      <c r="Q1212" s="69" t="s">
        <v>51</v>
      </c>
      <c r="R1212" s="69"/>
      <c r="S1212" s="48">
        <v>43345</v>
      </c>
      <c r="T1212" s="48">
        <v>43345</v>
      </c>
      <c r="U1212" s="69"/>
      <c r="V1212" s="69"/>
      <c r="W1212" s="69"/>
      <c r="X1212" s="69"/>
      <c r="Y1212" s="69" t="s">
        <v>4125</v>
      </c>
      <c r="Z1212" s="52">
        <v>70000</v>
      </c>
      <c r="AA1212" s="43" t="s">
        <v>52</v>
      </c>
      <c r="AB1212" s="43" t="s">
        <v>53</v>
      </c>
      <c r="AC1212" s="85">
        <v>1460</v>
      </c>
      <c r="AD1212" s="141">
        <v>4</v>
      </c>
      <c r="AE1212" s="142">
        <v>0</v>
      </c>
      <c r="AF1212" s="69" t="str">
        <f t="shared" ref="AF1212:AF1275" si="118">_xlfn.CONCAT(AG1212," years ",AH1212," days")</f>
        <v>4 years 0 days</v>
      </c>
      <c r="AG1212" s="69">
        <v>4</v>
      </c>
      <c r="AH1212" s="69">
        <v>0</v>
      </c>
      <c r="AI1212" s="69">
        <v>70000</v>
      </c>
      <c r="AJ1212" s="67">
        <v>70000</v>
      </c>
      <c r="AK1212" s="69">
        <v>2025</v>
      </c>
      <c r="AL1212" s="61">
        <v>0</v>
      </c>
      <c r="AM1212" s="143"/>
    </row>
    <row r="1213" spans="1:39" x14ac:dyDescent="0.35">
      <c r="A1213" s="69" t="s">
        <v>4124</v>
      </c>
      <c r="B1213" s="41">
        <v>1121504265</v>
      </c>
      <c r="C1213" s="41"/>
      <c r="D1213" s="69"/>
      <c r="E1213" s="41">
        <v>0</v>
      </c>
      <c r="F1213" s="41" t="s">
        <v>2961</v>
      </c>
      <c r="G1213" s="69" t="s">
        <v>2960</v>
      </c>
      <c r="H1213" s="41">
        <v>9013000211</v>
      </c>
      <c r="I1213" s="41" t="s">
        <v>593</v>
      </c>
      <c r="J1213" s="41">
        <v>1202020101</v>
      </c>
      <c r="K1213" s="41"/>
      <c r="L1213" s="52" t="s">
        <v>4097</v>
      </c>
      <c r="M1213" s="69" t="s">
        <v>4098</v>
      </c>
      <c r="N1213" s="69"/>
      <c r="O1213" s="69">
        <v>1</v>
      </c>
      <c r="P1213" s="69" t="s">
        <v>50</v>
      </c>
      <c r="Q1213" s="69" t="s">
        <v>51</v>
      </c>
      <c r="R1213" s="69"/>
      <c r="S1213" s="48">
        <v>43347</v>
      </c>
      <c r="T1213" s="48">
        <v>43347</v>
      </c>
      <c r="U1213" s="69"/>
      <c r="V1213" s="69"/>
      <c r="W1213" s="69"/>
      <c r="X1213" s="69"/>
      <c r="Y1213" s="69" t="s">
        <v>4125</v>
      </c>
      <c r="Z1213" s="52">
        <v>518538</v>
      </c>
      <c r="AA1213" s="43" t="s">
        <v>52</v>
      </c>
      <c r="AB1213" s="43" t="s">
        <v>53</v>
      </c>
      <c r="AC1213" s="85">
        <v>1460</v>
      </c>
      <c r="AD1213" s="141">
        <v>4</v>
      </c>
      <c r="AE1213" s="142">
        <v>0</v>
      </c>
      <c r="AF1213" s="69" t="str">
        <f t="shared" si="118"/>
        <v>4 years 0 days</v>
      </c>
      <c r="AG1213" s="69">
        <v>4</v>
      </c>
      <c r="AH1213" s="69">
        <v>0</v>
      </c>
      <c r="AI1213" s="69">
        <v>518538</v>
      </c>
      <c r="AJ1213" s="67">
        <v>518538</v>
      </c>
      <c r="AK1213" s="69">
        <v>2025</v>
      </c>
      <c r="AL1213" s="61">
        <v>0</v>
      </c>
      <c r="AM1213" s="143"/>
    </row>
    <row r="1214" spans="1:39" x14ac:dyDescent="0.35">
      <c r="A1214" s="69" t="s">
        <v>4124</v>
      </c>
      <c r="B1214" s="41">
        <v>1121102737</v>
      </c>
      <c r="C1214" s="41"/>
      <c r="D1214" s="69"/>
      <c r="E1214" s="41">
        <v>0</v>
      </c>
      <c r="F1214" s="41" t="s">
        <v>2961</v>
      </c>
      <c r="G1214" s="69" t="s">
        <v>2960</v>
      </c>
      <c r="H1214" s="41">
        <v>9013000211</v>
      </c>
      <c r="I1214" s="41" t="s">
        <v>593</v>
      </c>
      <c r="J1214" s="41">
        <v>1202020101</v>
      </c>
      <c r="K1214" s="41"/>
      <c r="L1214" s="52" t="s">
        <v>3984</v>
      </c>
      <c r="M1214" s="69" t="s">
        <v>3985</v>
      </c>
      <c r="N1214" s="69"/>
      <c r="O1214" s="69">
        <v>1</v>
      </c>
      <c r="P1214" s="69" t="s">
        <v>50</v>
      </c>
      <c r="Q1214" s="69" t="s">
        <v>51</v>
      </c>
      <c r="R1214" s="69"/>
      <c r="S1214" s="48">
        <v>43423</v>
      </c>
      <c r="T1214" s="48">
        <v>43423</v>
      </c>
      <c r="U1214" s="69"/>
      <c r="V1214" s="69"/>
      <c r="W1214" s="69"/>
      <c r="X1214" s="69"/>
      <c r="Y1214" s="69" t="s">
        <v>4125</v>
      </c>
      <c r="Z1214" s="52">
        <v>80550</v>
      </c>
      <c r="AA1214" s="43" t="s">
        <v>52</v>
      </c>
      <c r="AB1214" s="43" t="s">
        <v>53</v>
      </c>
      <c r="AC1214" s="85">
        <v>1460</v>
      </c>
      <c r="AD1214" s="141">
        <v>4</v>
      </c>
      <c r="AE1214" s="142">
        <v>0</v>
      </c>
      <c r="AF1214" s="69" t="str">
        <f t="shared" si="118"/>
        <v>4 years 0 days</v>
      </c>
      <c r="AG1214" s="69">
        <v>4</v>
      </c>
      <c r="AH1214" s="69">
        <v>0</v>
      </c>
      <c r="AI1214" s="69">
        <v>80550</v>
      </c>
      <c r="AJ1214" s="67">
        <v>80550</v>
      </c>
      <c r="AK1214" s="69">
        <v>2025</v>
      </c>
      <c r="AL1214" s="61">
        <v>0</v>
      </c>
      <c r="AM1214" s="143"/>
    </row>
    <row r="1215" spans="1:39" x14ac:dyDescent="0.35">
      <c r="A1215" s="69" t="s">
        <v>4124</v>
      </c>
      <c r="B1215" s="41">
        <v>1121102738</v>
      </c>
      <c r="C1215" s="41"/>
      <c r="D1215" s="69"/>
      <c r="E1215" s="41">
        <v>0</v>
      </c>
      <c r="F1215" s="41" t="s">
        <v>2961</v>
      </c>
      <c r="G1215" s="69" t="s">
        <v>2960</v>
      </c>
      <c r="H1215" s="41">
        <v>9013000211</v>
      </c>
      <c r="I1215" s="41" t="s">
        <v>593</v>
      </c>
      <c r="J1215" s="41">
        <v>1202020101</v>
      </c>
      <c r="K1215" s="41"/>
      <c r="L1215" s="52" t="s">
        <v>3987</v>
      </c>
      <c r="M1215" s="69" t="s">
        <v>3988</v>
      </c>
      <c r="N1215" s="69"/>
      <c r="O1215" s="69">
        <v>1</v>
      </c>
      <c r="P1215" s="69" t="s">
        <v>50</v>
      </c>
      <c r="Q1215" s="69" t="s">
        <v>51</v>
      </c>
      <c r="R1215" s="69"/>
      <c r="S1215" s="48">
        <v>43423</v>
      </c>
      <c r="T1215" s="48">
        <v>43423</v>
      </c>
      <c r="U1215" s="69"/>
      <c r="V1215" s="69"/>
      <c r="W1215" s="69"/>
      <c r="X1215" s="69"/>
      <c r="Y1215" s="69" t="s">
        <v>4125</v>
      </c>
      <c r="Z1215" s="52">
        <v>34650</v>
      </c>
      <c r="AA1215" s="43" t="s">
        <v>52</v>
      </c>
      <c r="AB1215" s="43" t="s">
        <v>53</v>
      </c>
      <c r="AC1215" s="85">
        <v>1460</v>
      </c>
      <c r="AD1215" s="141">
        <v>4</v>
      </c>
      <c r="AE1215" s="142">
        <v>0</v>
      </c>
      <c r="AF1215" s="69" t="str">
        <f t="shared" si="118"/>
        <v>4 years 0 days</v>
      </c>
      <c r="AG1215" s="69">
        <v>4</v>
      </c>
      <c r="AH1215" s="69">
        <v>0</v>
      </c>
      <c r="AI1215" s="69">
        <v>34650</v>
      </c>
      <c r="AJ1215" s="67">
        <v>34650</v>
      </c>
      <c r="AK1215" s="69">
        <v>2025</v>
      </c>
      <c r="AL1215" s="61">
        <v>0</v>
      </c>
      <c r="AM1215" s="143"/>
    </row>
    <row r="1216" spans="1:39" x14ac:dyDescent="0.35">
      <c r="A1216" s="69" t="s">
        <v>4124</v>
      </c>
      <c r="B1216" s="41">
        <v>1121402750</v>
      </c>
      <c r="C1216" s="41"/>
      <c r="D1216" s="69"/>
      <c r="E1216" s="41">
        <v>0</v>
      </c>
      <c r="F1216" s="41" t="s">
        <v>2961</v>
      </c>
      <c r="G1216" s="69" t="s">
        <v>2960</v>
      </c>
      <c r="H1216" s="41">
        <v>9013000211</v>
      </c>
      <c r="I1216" s="41" t="s">
        <v>593</v>
      </c>
      <c r="J1216" s="41">
        <v>1202020101</v>
      </c>
      <c r="K1216" s="41"/>
      <c r="L1216" s="52" t="s">
        <v>3808</v>
      </c>
      <c r="M1216" s="69" t="s">
        <v>3809</v>
      </c>
      <c r="N1216" s="69"/>
      <c r="O1216" s="69">
        <v>1</v>
      </c>
      <c r="P1216" s="69" t="s">
        <v>50</v>
      </c>
      <c r="Q1216" s="69" t="s">
        <v>51</v>
      </c>
      <c r="R1216" s="69"/>
      <c r="S1216" s="48">
        <v>43440</v>
      </c>
      <c r="T1216" s="48">
        <v>43440</v>
      </c>
      <c r="U1216" s="69"/>
      <c r="V1216" s="69"/>
      <c r="W1216" s="69"/>
      <c r="X1216" s="69"/>
      <c r="Y1216" s="69" t="s">
        <v>4125</v>
      </c>
      <c r="Z1216" s="52">
        <v>481500</v>
      </c>
      <c r="AA1216" s="43" t="s">
        <v>52</v>
      </c>
      <c r="AB1216" s="43" t="s">
        <v>53</v>
      </c>
      <c r="AC1216" s="85">
        <v>1460</v>
      </c>
      <c r="AD1216" s="141">
        <v>4</v>
      </c>
      <c r="AE1216" s="142">
        <v>0</v>
      </c>
      <c r="AF1216" s="69" t="str">
        <f t="shared" si="118"/>
        <v>4 years 0 days</v>
      </c>
      <c r="AG1216" s="69">
        <v>4</v>
      </c>
      <c r="AH1216" s="69">
        <v>0</v>
      </c>
      <c r="AI1216" s="69">
        <v>481500</v>
      </c>
      <c r="AJ1216" s="67">
        <v>481500</v>
      </c>
      <c r="AK1216" s="69">
        <v>2025</v>
      </c>
      <c r="AL1216" s="61">
        <v>0</v>
      </c>
      <c r="AM1216" s="143"/>
    </row>
    <row r="1217" spans="1:39" x14ac:dyDescent="0.35">
      <c r="A1217" s="69" t="s">
        <v>4124</v>
      </c>
      <c r="B1217" s="41">
        <v>1121102807</v>
      </c>
      <c r="C1217" s="41"/>
      <c r="D1217" s="69"/>
      <c r="E1217" s="41">
        <v>0</v>
      </c>
      <c r="F1217" s="41" t="s">
        <v>2961</v>
      </c>
      <c r="G1217" s="69" t="s">
        <v>2960</v>
      </c>
      <c r="H1217" s="41">
        <v>9013000211</v>
      </c>
      <c r="I1217" s="41" t="s">
        <v>593</v>
      </c>
      <c r="J1217" s="41">
        <v>1202020101</v>
      </c>
      <c r="K1217" s="41"/>
      <c r="L1217" s="52" t="s">
        <v>4011</v>
      </c>
      <c r="M1217" s="69" t="s">
        <v>4012</v>
      </c>
      <c r="N1217" s="69"/>
      <c r="O1217" s="69">
        <v>1</v>
      </c>
      <c r="P1217" s="69" t="s">
        <v>50</v>
      </c>
      <c r="Q1217" s="69" t="s">
        <v>51</v>
      </c>
      <c r="R1217" s="69"/>
      <c r="S1217" s="48">
        <v>43470</v>
      </c>
      <c r="T1217" s="48">
        <v>43470</v>
      </c>
      <c r="U1217" s="69"/>
      <c r="V1217" s="69"/>
      <c r="W1217" s="69"/>
      <c r="X1217" s="69"/>
      <c r="Y1217" s="69" t="s">
        <v>4126</v>
      </c>
      <c r="Z1217" s="52">
        <v>62895</v>
      </c>
      <c r="AA1217" s="43" t="s">
        <v>52</v>
      </c>
      <c r="AB1217" s="43" t="s">
        <v>53</v>
      </c>
      <c r="AC1217" s="85">
        <v>1460</v>
      </c>
      <c r="AD1217" s="141">
        <v>4</v>
      </c>
      <c r="AE1217" s="142">
        <v>0</v>
      </c>
      <c r="AF1217" s="69" t="str">
        <f t="shared" si="118"/>
        <v>4 years 0 days</v>
      </c>
      <c r="AG1217" s="69">
        <v>4</v>
      </c>
      <c r="AH1217" s="69">
        <v>0</v>
      </c>
      <c r="AI1217" s="69">
        <v>62895</v>
      </c>
      <c r="AJ1217" s="67">
        <v>62895</v>
      </c>
      <c r="AK1217" s="69">
        <v>2025</v>
      </c>
      <c r="AL1217" s="61">
        <v>0</v>
      </c>
      <c r="AM1217" s="143"/>
    </row>
    <row r="1218" spans="1:39" x14ac:dyDescent="0.35">
      <c r="A1218" s="69" t="s">
        <v>4124</v>
      </c>
      <c r="B1218" s="41">
        <v>1121402817</v>
      </c>
      <c r="C1218" s="41"/>
      <c r="D1218" s="69"/>
      <c r="E1218" s="41">
        <v>0</v>
      </c>
      <c r="F1218" s="41" t="s">
        <v>2961</v>
      </c>
      <c r="G1218" s="69" t="s">
        <v>2960</v>
      </c>
      <c r="H1218" s="41">
        <v>9013000211</v>
      </c>
      <c r="I1218" s="41" t="s">
        <v>593</v>
      </c>
      <c r="J1218" s="41">
        <v>1202020101</v>
      </c>
      <c r="K1218" s="41"/>
      <c r="L1218" s="52" t="s">
        <v>3811</v>
      </c>
      <c r="M1218" s="69" t="s">
        <v>3812</v>
      </c>
      <c r="N1218" s="69"/>
      <c r="O1218" s="69">
        <v>1</v>
      </c>
      <c r="P1218" s="69" t="s">
        <v>50</v>
      </c>
      <c r="Q1218" s="69" t="s">
        <v>51</v>
      </c>
      <c r="R1218" s="69"/>
      <c r="S1218" s="48">
        <v>43482</v>
      </c>
      <c r="T1218" s="48">
        <v>43482</v>
      </c>
      <c r="U1218" s="69"/>
      <c r="V1218" s="69"/>
      <c r="W1218" s="69"/>
      <c r="X1218" s="69"/>
      <c r="Y1218" s="69" t="s">
        <v>4126</v>
      </c>
      <c r="Z1218" s="52">
        <v>106000</v>
      </c>
      <c r="AA1218" s="43" t="s">
        <v>52</v>
      </c>
      <c r="AB1218" s="43" t="s">
        <v>53</v>
      </c>
      <c r="AC1218" s="85">
        <v>1460</v>
      </c>
      <c r="AD1218" s="141">
        <v>4</v>
      </c>
      <c r="AE1218" s="142">
        <v>0</v>
      </c>
      <c r="AF1218" s="69" t="str">
        <f t="shared" si="118"/>
        <v>4 years 0 days</v>
      </c>
      <c r="AG1218" s="69">
        <v>4</v>
      </c>
      <c r="AH1218" s="69">
        <v>0</v>
      </c>
      <c r="AI1218" s="69">
        <v>106000</v>
      </c>
      <c r="AJ1218" s="67">
        <v>106000</v>
      </c>
      <c r="AK1218" s="69">
        <v>2025</v>
      </c>
      <c r="AL1218" s="61">
        <v>0</v>
      </c>
      <c r="AM1218" s="143"/>
    </row>
    <row r="1219" spans="1:39" x14ac:dyDescent="0.35">
      <c r="A1219" s="69" t="s">
        <v>4124</v>
      </c>
      <c r="B1219" s="41">
        <v>1121102801</v>
      </c>
      <c r="C1219" s="41"/>
      <c r="D1219" s="69"/>
      <c r="E1219" s="41">
        <v>0</v>
      </c>
      <c r="F1219" s="41" t="s">
        <v>2961</v>
      </c>
      <c r="G1219" s="69" t="s">
        <v>2960</v>
      </c>
      <c r="H1219" s="41">
        <v>9013000211</v>
      </c>
      <c r="I1219" s="41" t="s">
        <v>593</v>
      </c>
      <c r="J1219" s="41">
        <v>1202020101</v>
      </c>
      <c r="K1219" s="41"/>
      <c r="L1219" s="52" t="s">
        <v>4008</v>
      </c>
      <c r="M1219" s="69" t="s">
        <v>4009</v>
      </c>
      <c r="N1219" s="69"/>
      <c r="O1219" s="69">
        <v>1</v>
      </c>
      <c r="P1219" s="69" t="s">
        <v>50</v>
      </c>
      <c r="Q1219" s="69" t="s">
        <v>51</v>
      </c>
      <c r="R1219" s="69"/>
      <c r="S1219" s="48">
        <v>43469</v>
      </c>
      <c r="T1219" s="48">
        <v>43469</v>
      </c>
      <c r="U1219" s="69"/>
      <c r="V1219" s="69"/>
      <c r="W1219" s="69"/>
      <c r="X1219" s="69"/>
      <c r="Y1219" s="69" t="s">
        <v>4126</v>
      </c>
      <c r="Z1219" s="52">
        <v>34650</v>
      </c>
      <c r="AA1219" s="43" t="s">
        <v>52</v>
      </c>
      <c r="AB1219" s="43" t="s">
        <v>53</v>
      </c>
      <c r="AC1219" s="85">
        <v>1460</v>
      </c>
      <c r="AD1219" s="141">
        <v>4</v>
      </c>
      <c r="AE1219" s="142">
        <v>0</v>
      </c>
      <c r="AF1219" s="69" t="str">
        <f t="shared" si="118"/>
        <v>4 years 0 days</v>
      </c>
      <c r="AG1219" s="69">
        <v>4</v>
      </c>
      <c r="AH1219" s="69">
        <v>0</v>
      </c>
      <c r="AI1219" s="69">
        <v>34650</v>
      </c>
      <c r="AJ1219" s="67">
        <v>34650</v>
      </c>
      <c r="AK1219" s="69">
        <v>2025</v>
      </c>
      <c r="AL1219" s="61">
        <v>0</v>
      </c>
      <c r="AM1219" s="143"/>
    </row>
    <row r="1220" spans="1:39" x14ac:dyDescent="0.35">
      <c r="A1220" s="69" t="s">
        <v>4124</v>
      </c>
      <c r="B1220" s="41">
        <v>1121102851</v>
      </c>
      <c r="C1220" s="41"/>
      <c r="D1220" s="69"/>
      <c r="E1220" s="41">
        <v>0</v>
      </c>
      <c r="F1220" s="41" t="s">
        <v>2961</v>
      </c>
      <c r="G1220" s="69" t="s">
        <v>2960</v>
      </c>
      <c r="H1220" s="41">
        <v>9013000211</v>
      </c>
      <c r="I1220" s="41" t="s">
        <v>593</v>
      </c>
      <c r="J1220" s="41">
        <v>1202020101</v>
      </c>
      <c r="K1220" s="41"/>
      <c r="L1220" s="52" t="s">
        <v>4014</v>
      </c>
      <c r="M1220" s="69" t="s">
        <v>4015</v>
      </c>
      <c r="N1220" s="69"/>
      <c r="O1220" s="69">
        <v>1</v>
      </c>
      <c r="P1220" s="69" t="s">
        <v>50</v>
      </c>
      <c r="Q1220" s="69" t="s">
        <v>51</v>
      </c>
      <c r="R1220" s="69"/>
      <c r="S1220" s="48">
        <v>43505</v>
      </c>
      <c r="T1220" s="48">
        <v>43505</v>
      </c>
      <c r="U1220" s="69"/>
      <c r="V1220" s="69"/>
      <c r="W1220" s="69"/>
      <c r="X1220" s="69"/>
      <c r="Y1220" s="69" t="s">
        <v>4126</v>
      </c>
      <c r="Z1220" s="52">
        <v>8840</v>
      </c>
      <c r="AA1220" s="43" t="s">
        <v>52</v>
      </c>
      <c r="AB1220" s="43" t="s">
        <v>53</v>
      </c>
      <c r="AC1220" s="85">
        <v>1460</v>
      </c>
      <c r="AD1220" s="141">
        <v>4</v>
      </c>
      <c r="AE1220" s="142">
        <v>0</v>
      </c>
      <c r="AF1220" s="69" t="str">
        <f t="shared" si="118"/>
        <v>4 years 0 days</v>
      </c>
      <c r="AG1220" s="69">
        <v>4</v>
      </c>
      <c r="AH1220" s="69">
        <v>0</v>
      </c>
      <c r="AI1220" s="69">
        <v>8840</v>
      </c>
      <c r="AJ1220" s="67">
        <v>8840</v>
      </c>
      <c r="AK1220" s="69">
        <v>2025</v>
      </c>
      <c r="AL1220" s="61">
        <v>0</v>
      </c>
      <c r="AM1220" s="143"/>
    </row>
    <row r="1221" spans="1:39" x14ac:dyDescent="0.35">
      <c r="A1221" s="69" t="s">
        <v>4124</v>
      </c>
      <c r="B1221" s="41">
        <v>1121102872</v>
      </c>
      <c r="C1221" s="41"/>
      <c r="D1221" s="69"/>
      <c r="E1221" s="41">
        <v>0</v>
      </c>
      <c r="F1221" s="41" t="s">
        <v>2961</v>
      </c>
      <c r="G1221" s="69" t="s">
        <v>2960</v>
      </c>
      <c r="H1221" s="41">
        <v>9013000211</v>
      </c>
      <c r="I1221" s="41" t="s">
        <v>593</v>
      </c>
      <c r="J1221" s="41">
        <v>1202020101</v>
      </c>
      <c r="K1221" s="41"/>
      <c r="L1221" s="52" t="s">
        <v>4017</v>
      </c>
      <c r="M1221" s="69" t="s">
        <v>4018</v>
      </c>
      <c r="N1221" s="69"/>
      <c r="O1221" s="69">
        <v>1</v>
      </c>
      <c r="P1221" s="69" t="s">
        <v>50</v>
      </c>
      <c r="Q1221" s="69" t="s">
        <v>51</v>
      </c>
      <c r="R1221" s="69"/>
      <c r="S1221" s="48">
        <v>43516</v>
      </c>
      <c r="T1221" s="48">
        <v>43516</v>
      </c>
      <c r="U1221" s="69"/>
      <c r="V1221" s="69"/>
      <c r="W1221" s="69"/>
      <c r="X1221" s="69"/>
      <c r="Y1221" s="69" t="s">
        <v>4126</v>
      </c>
      <c r="Z1221" s="52">
        <v>41950</v>
      </c>
      <c r="AA1221" s="43" t="s">
        <v>52</v>
      </c>
      <c r="AB1221" s="43" t="s">
        <v>53</v>
      </c>
      <c r="AC1221" s="85">
        <v>1460</v>
      </c>
      <c r="AD1221" s="141">
        <v>4</v>
      </c>
      <c r="AE1221" s="142">
        <v>0</v>
      </c>
      <c r="AF1221" s="69" t="str">
        <f t="shared" si="118"/>
        <v>4 years 0 days</v>
      </c>
      <c r="AG1221" s="69">
        <v>4</v>
      </c>
      <c r="AH1221" s="69">
        <v>0</v>
      </c>
      <c r="AI1221" s="69">
        <v>41950</v>
      </c>
      <c r="AJ1221" s="67">
        <v>41950</v>
      </c>
      <c r="AK1221" s="69">
        <v>2025</v>
      </c>
      <c r="AL1221" s="61">
        <v>0</v>
      </c>
      <c r="AM1221" s="143"/>
    </row>
    <row r="1222" spans="1:39" x14ac:dyDescent="0.35">
      <c r="A1222" s="69" t="s">
        <v>4124</v>
      </c>
      <c r="B1222" s="41">
        <v>1121102884</v>
      </c>
      <c r="C1222" s="41"/>
      <c r="D1222" s="69"/>
      <c r="E1222" s="41">
        <v>0</v>
      </c>
      <c r="F1222" s="41" t="s">
        <v>2961</v>
      </c>
      <c r="G1222" s="69" t="s">
        <v>2960</v>
      </c>
      <c r="H1222" s="41">
        <v>9013000211</v>
      </c>
      <c r="I1222" s="41" t="s">
        <v>593</v>
      </c>
      <c r="J1222" s="41">
        <v>1202020101</v>
      </c>
      <c r="K1222" s="41"/>
      <c r="L1222" s="52" t="s">
        <v>4020</v>
      </c>
      <c r="M1222" s="69" t="s">
        <v>4021</v>
      </c>
      <c r="N1222" s="69"/>
      <c r="O1222" s="69">
        <v>1</v>
      </c>
      <c r="P1222" s="69" t="s">
        <v>50</v>
      </c>
      <c r="Q1222" s="69" t="s">
        <v>51</v>
      </c>
      <c r="R1222" s="69"/>
      <c r="S1222" s="48">
        <v>43526</v>
      </c>
      <c r="T1222" s="48">
        <v>43526</v>
      </c>
      <c r="U1222" s="69"/>
      <c r="V1222" s="69"/>
      <c r="W1222" s="69"/>
      <c r="X1222" s="69"/>
      <c r="Y1222" s="69" t="s">
        <v>4126</v>
      </c>
      <c r="Z1222" s="52">
        <v>36100</v>
      </c>
      <c r="AA1222" s="43" t="s">
        <v>52</v>
      </c>
      <c r="AB1222" s="43" t="s">
        <v>53</v>
      </c>
      <c r="AC1222" s="85">
        <v>1460</v>
      </c>
      <c r="AD1222" s="141">
        <v>4</v>
      </c>
      <c r="AE1222" s="142">
        <v>0</v>
      </c>
      <c r="AF1222" s="69" t="str">
        <f t="shared" si="118"/>
        <v>4 years 0 days</v>
      </c>
      <c r="AG1222" s="69">
        <v>4</v>
      </c>
      <c r="AH1222" s="69">
        <v>0</v>
      </c>
      <c r="AI1222" s="69">
        <v>36100</v>
      </c>
      <c r="AJ1222" s="67">
        <v>36100</v>
      </c>
      <c r="AK1222" s="69">
        <v>2025</v>
      </c>
      <c r="AL1222" s="61">
        <v>0</v>
      </c>
      <c r="AM1222" s="143"/>
    </row>
    <row r="1223" spans="1:39" x14ac:dyDescent="0.35">
      <c r="A1223" s="69" t="s">
        <v>4124</v>
      </c>
      <c r="B1223" s="41">
        <v>1121102936</v>
      </c>
      <c r="C1223" s="41"/>
      <c r="D1223" s="69"/>
      <c r="E1223" s="41">
        <v>0</v>
      </c>
      <c r="F1223" s="41" t="s">
        <v>2961</v>
      </c>
      <c r="G1223" s="69" t="s">
        <v>2960</v>
      </c>
      <c r="H1223" s="41">
        <v>9013000211</v>
      </c>
      <c r="I1223" s="41" t="s">
        <v>593</v>
      </c>
      <c r="J1223" s="41">
        <v>1202020101</v>
      </c>
      <c r="K1223" s="41"/>
      <c r="L1223" s="52" t="s">
        <v>4023</v>
      </c>
      <c r="M1223" s="69" t="s">
        <v>4024</v>
      </c>
      <c r="N1223" s="69"/>
      <c r="O1223" s="69">
        <v>1</v>
      </c>
      <c r="P1223" s="69" t="s">
        <v>50</v>
      </c>
      <c r="Q1223" s="69" t="s">
        <v>51</v>
      </c>
      <c r="R1223" s="69"/>
      <c r="S1223" s="48">
        <v>43574</v>
      </c>
      <c r="T1223" s="48">
        <v>43574</v>
      </c>
      <c r="U1223" s="69"/>
      <c r="V1223" s="69"/>
      <c r="W1223" s="69"/>
      <c r="X1223" s="69"/>
      <c r="Y1223" s="69" t="s">
        <v>4126</v>
      </c>
      <c r="Z1223" s="52">
        <v>38350</v>
      </c>
      <c r="AA1223" s="43" t="s">
        <v>52</v>
      </c>
      <c r="AB1223" s="43" t="s">
        <v>53</v>
      </c>
      <c r="AC1223" s="85">
        <v>1460</v>
      </c>
      <c r="AD1223" s="141">
        <v>4</v>
      </c>
      <c r="AE1223" s="142">
        <v>0</v>
      </c>
      <c r="AF1223" s="69" t="str">
        <f t="shared" si="118"/>
        <v>4 years 0 days</v>
      </c>
      <c r="AG1223" s="69">
        <v>4</v>
      </c>
      <c r="AH1223" s="69">
        <v>0</v>
      </c>
      <c r="AI1223" s="69">
        <v>38350</v>
      </c>
      <c r="AJ1223" s="67">
        <v>38350</v>
      </c>
      <c r="AK1223" s="69">
        <v>2025</v>
      </c>
      <c r="AL1223" s="61">
        <v>0</v>
      </c>
      <c r="AM1223" s="143"/>
    </row>
    <row r="1224" spans="1:39" x14ac:dyDescent="0.35">
      <c r="A1224" s="69" t="s">
        <v>4124</v>
      </c>
      <c r="B1224" s="41">
        <v>1121504419</v>
      </c>
      <c r="C1224" s="41"/>
      <c r="D1224" s="69"/>
      <c r="E1224" s="41">
        <v>0</v>
      </c>
      <c r="F1224" s="41" t="s">
        <v>2961</v>
      </c>
      <c r="G1224" s="69" t="s">
        <v>2960</v>
      </c>
      <c r="H1224" s="41">
        <v>9013000211</v>
      </c>
      <c r="I1224" s="41" t="s">
        <v>593</v>
      </c>
      <c r="J1224" s="41">
        <v>1202020101</v>
      </c>
      <c r="K1224" s="41"/>
      <c r="L1224" s="52" t="s">
        <v>4086</v>
      </c>
      <c r="M1224" s="69" t="s">
        <v>4087</v>
      </c>
      <c r="N1224" s="69"/>
      <c r="O1224" s="69">
        <v>1</v>
      </c>
      <c r="P1224" s="69" t="s">
        <v>50</v>
      </c>
      <c r="Q1224" s="69" t="s">
        <v>51</v>
      </c>
      <c r="R1224" s="69"/>
      <c r="S1224" s="48">
        <v>43600</v>
      </c>
      <c r="T1224" s="48">
        <v>43600</v>
      </c>
      <c r="U1224" s="69"/>
      <c r="V1224" s="69"/>
      <c r="W1224" s="69"/>
      <c r="X1224" s="69"/>
      <c r="Y1224" s="69" t="s">
        <v>4126</v>
      </c>
      <c r="Z1224" s="52">
        <v>200000</v>
      </c>
      <c r="AA1224" s="43" t="s">
        <v>52</v>
      </c>
      <c r="AB1224" s="43" t="s">
        <v>53</v>
      </c>
      <c r="AC1224" s="85">
        <v>1460</v>
      </c>
      <c r="AD1224" s="141">
        <v>4</v>
      </c>
      <c r="AE1224" s="142">
        <v>0</v>
      </c>
      <c r="AF1224" s="69" t="str">
        <f t="shared" si="118"/>
        <v>4 years 0 days</v>
      </c>
      <c r="AG1224" s="69">
        <v>4</v>
      </c>
      <c r="AH1224" s="69">
        <v>0</v>
      </c>
      <c r="AI1224" s="69">
        <v>200000</v>
      </c>
      <c r="AJ1224" s="67">
        <v>200000</v>
      </c>
      <c r="AK1224" s="69">
        <v>2025</v>
      </c>
      <c r="AL1224" s="61">
        <v>0</v>
      </c>
      <c r="AM1224" s="143"/>
    </row>
    <row r="1225" spans="1:39" x14ac:dyDescent="0.35">
      <c r="A1225" s="69" t="s">
        <v>4124</v>
      </c>
      <c r="B1225" s="41">
        <v>1121102994</v>
      </c>
      <c r="C1225" s="41"/>
      <c r="D1225" s="69"/>
      <c r="E1225" s="41">
        <v>0</v>
      </c>
      <c r="F1225" s="41" t="s">
        <v>2961</v>
      </c>
      <c r="G1225" s="69" t="s">
        <v>2960</v>
      </c>
      <c r="H1225" s="41">
        <v>9013000211</v>
      </c>
      <c r="I1225" s="41" t="s">
        <v>593</v>
      </c>
      <c r="J1225" s="41">
        <v>1202020101</v>
      </c>
      <c r="K1225" s="41"/>
      <c r="L1225" s="52" t="s">
        <v>4026</v>
      </c>
      <c r="M1225" s="69" t="s">
        <v>4027</v>
      </c>
      <c r="N1225" s="69"/>
      <c r="O1225" s="69">
        <v>1</v>
      </c>
      <c r="P1225" s="69" t="s">
        <v>50</v>
      </c>
      <c r="Q1225" s="69" t="s">
        <v>51</v>
      </c>
      <c r="R1225" s="69"/>
      <c r="S1225" s="48">
        <v>43647</v>
      </c>
      <c r="T1225" s="48">
        <v>43647</v>
      </c>
      <c r="U1225" s="69"/>
      <c r="V1225" s="69"/>
      <c r="W1225" s="69"/>
      <c r="X1225" s="69"/>
      <c r="Y1225" s="69" t="s">
        <v>4126</v>
      </c>
      <c r="Z1225" s="52">
        <v>35550</v>
      </c>
      <c r="AA1225" s="43" t="s">
        <v>52</v>
      </c>
      <c r="AB1225" s="43" t="s">
        <v>53</v>
      </c>
      <c r="AC1225" s="85">
        <v>1460</v>
      </c>
      <c r="AD1225" s="141">
        <v>4</v>
      </c>
      <c r="AE1225" s="142">
        <v>0</v>
      </c>
      <c r="AF1225" s="69" t="str">
        <f t="shared" si="118"/>
        <v>4 years 0 days</v>
      </c>
      <c r="AG1225" s="69">
        <v>4</v>
      </c>
      <c r="AH1225" s="69">
        <v>0</v>
      </c>
      <c r="AI1225" s="69">
        <v>35550</v>
      </c>
      <c r="AJ1225" s="67">
        <v>35550</v>
      </c>
      <c r="AK1225" s="69">
        <v>2025</v>
      </c>
      <c r="AL1225" s="61">
        <v>0</v>
      </c>
      <c r="AM1225" s="143"/>
    </row>
    <row r="1226" spans="1:39" x14ac:dyDescent="0.35">
      <c r="A1226" s="69" t="s">
        <v>4124</v>
      </c>
      <c r="B1226" s="41">
        <v>1121102995</v>
      </c>
      <c r="C1226" s="41"/>
      <c r="D1226" s="69"/>
      <c r="E1226" s="41">
        <v>0</v>
      </c>
      <c r="F1226" s="41" t="s">
        <v>2961</v>
      </c>
      <c r="G1226" s="69" t="s">
        <v>2960</v>
      </c>
      <c r="H1226" s="41">
        <v>9013000211</v>
      </c>
      <c r="I1226" s="41" t="s">
        <v>593</v>
      </c>
      <c r="J1226" s="41">
        <v>1202020101</v>
      </c>
      <c r="K1226" s="41"/>
      <c r="L1226" s="52" t="s">
        <v>4029</v>
      </c>
      <c r="M1226" s="69" t="s">
        <v>4030</v>
      </c>
      <c r="N1226" s="69"/>
      <c r="O1226" s="69">
        <v>1</v>
      </c>
      <c r="P1226" s="69" t="s">
        <v>50</v>
      </c>
      <c r="Q1226" s="69" t="s">
        <v>51</v>
      </c>
      <c r="R1226" s="69"/>
      <c r="S1226" s="48">
        <v>43647</v>
      </c>
      <c r="T1226" s="48">
        <v>43647</v>
      </c>
      <c r="U1226" s="69"/>
      <c r="V1226" s="69"/>
      <c r="W1226" s="69"/>
      <c r="X1226" s="69"/>
      <c r="Y1226" s="69" t="s">
        <v>4126</v>
      </c>
      <c r="Z1226" s="52">
        <v>24750</v>
      </c>
      <c r="AA1226" s="43" t="s">
        <v>52</v>
      </c>
      <c r="AB1226" s="43" t="s">
        <v>53</v>
      </c>
      <c r="AC1226" s="85">
        <v>1460</v>
      </c>
      <c r="AD1226" s="141">
        <v>4</v>
      </c>
      <c r="AE1226" s="142">
        <v>0</v>
      </c>
      <c r="AF1226" s="69" t="str">
        <f t="shared" si="118"/>
        <v>4 years 0 days</v>
      </c>
      <c r="AG1226" s="69">
        <v>4</v>
      </c>
      <c r="AH1226" s="69">
        <v>0</v>
      </c>
      <c r="AI1226" s="69">
        <v>24750</v>
      </c>
      <c r="AJ1226" s="67">
        <v>24750</v>
      </c>
      <c r="AK1226" s="69">
        <v>2025</v>
      </c>
      <c r="AL1226" s="61">
        <v>0</v>
      </c>
      <c r="AM1226" s="143"/>
    </row>
    <row r="1227" spans="1:39" x14ac:dyDescent="0.35">
      <c r="A1227" s="69" t="s">
        <v>4124</v>
      </c>
      <c r="B1227" s="41">
        <v>1121103100</v>
      </c>
      <c r="C1227" s="41"/>
      <c r="D1227" s="69"/>
      <c r="E1227" s="41">
        <v>0</v>
      </c>
      <c r="F1227" s="41" t="s">
        <v>2961</v>
      </c>
      <c r="G1227" s="69" t="s">
        <v>2960</v>
      </c>
      <c r="H1227" s="41">
        <v>9013000211</v>
      </c>
      <c r="I1227" s="41" t="s">
        <v>593</v>
      </c>
      <c r="J1227" s="41">
        <v>1202020101</v>
      </c>
      <c r="K1227" s="41"/>
      <c r="L1227" s="52" t="s">
        <v>4032</v>
      </c>
      <c r="M1227" s="69" t="s">
        <v>4033</v>
      </c>
      <c r="N1227" s="69"/>
      <c r="O1227" s="69">
        <v>1</v>
      </c>
      <c r="P1227" s="69" t="s">
        <v>50</v>
      </c>
      <c r="Q1227" s="69" t="s">
        <v>51</v>
      </c>
      <c r="R1227" s="69"/>
      <c r="S1227" s="48">
        <v>43790</v>
      </c>
      <c r="T1227" s="48">
        <v>43790</v>
      </c>
      <c r="U1227" s="69"/>
      <c r="V1227" s="69"/>
      <c r="W1227" s="69"/>
      <c r="X1227" s="69"/>
      <c r="Y1227" s="69" t="s">
        <v>4126</v>
      </c>
      <c r="Z1227" s="52">
        <v>66000</v>
      </c>
      <c r="AA1227" s="43" t="s">
        <v>52</v>
      </c>
      <c r="AB1227" s="43" t="s">
        <v>53</v>
      </c>
      <c r="AC1227" s="85">
        <v>1460</v>
      </c>
      <c r="AD1227" s="141">
        <v>4</v>
      </c>
      <c r="AE1227" s="142">
        <v>0</v>
      </c>
      <c r="AF1227" s="69" t="str">
        <f t="shared" si="118"/>
        <v>4 years 0 days</v>
      </c>
      <c r="AG1227" s="69">
        <v>4</v>
      </c>
      <c r="AH1227" s="69">
        <v>0</v>
      </c>
      <c r="AI1227" s="69">
        <v>66000</v>
      </c>
      <c r="AJ1227" s="67">
        <v>66000</v>
      </c>
      <c r="AK1227" s="69">
        <v>2025</v>
      </c>
      <c r="AL1227" s="61">
        <v>0</v>
      </c>
      <c r="AM1227" s="143"/>
    </row>
    <row r="1228" spans="1:39" x14ac:dyDescent="0.35">
      <c r="A1228" s="69" t="s">
        <v>4124</v>
      </c>
      <c r="B1228" s="41">
        <v>1121103204</v>
      </c>
      <c r="C1228" s="41"/>
      <c r="D1228" s="69"/>
      <c r="E1228" s="41">
        <v>0</v>
      </c>
      <c r="F1228" s="41" t="s">
        <v>2961</v>
      </c>
      <c r="G1228" s="69" t="s">
        <v>2960</v>
      </c>
      <c r="H1228" s="41">
        <v>9013000211</v>
      </c>
      <c r="I1228" s="41" t="s">
        <v>593</v>
      </c>
      <c r="J1228" s="41">
        <v>1202020101</v>
      </c>
      <c r="K1228" s="41"/>
      <c r="L1228" s="52" t="s">
        <v>4035</v>
      </c>
      <c r="M1228" s="69" t="s">
        <v>4036</v>
      </c>
      <c r="N1228" s="69"/>
      <c r="O1228" s="69">
        <v>1</v>
      </c>
      <c r="P1228" s="69" t="s">
        <v>50</v>
      </c>
      <c r="Q1228" s="69" t="s">
        <v>51</v>
      </c>
      <c r="R1228" s="69"/>
      <c r="S1228" s="48">
        <v>43831</v>
      </c>
      <c r="T1228" s="48">
        <v>43831</v>
      </c>
      <c r="U1228" s="69"/>
      <c r="V1228" s="69"/>
      <c r="W1228" s="69"/>
      <c r="X1228" s="69"/>
      <c r="Y1228" s="69" t="s">
        <v>4127</v>
      </c>
      <c r="Z1228" s="52">
        <v>34920</v>
      </c>
      <c r="AA1228" s="43" t="s">
        <v>52</v>
      </c>
      <c r="AB1228" s="43" t="s">
        <v>53</v>
      </c>
      <c r="AC1228" s="85">
        <v>1460</v>
      </c>
      <c r="AD1228" s="141">
        <v>4</v>
      </c>
      <c r="AE1228" s="142">
        <v>0</v>
      </c>
      <c r="AF1228" s="69" t="str">
        <f t="shared" si="118"/>
        <v>4 years 0 days</v>
      </c>
      <c r="AG1228" s="69">
        <v>4</v>
      </c>
      <c r="AH1228" s="69">
        <v>0</v>
      </c>
      <c r="AI1228" s="69">
        <v>34920</v>
      </c>
      <c r="AJ1228" s="67">
        <v>34920</v>
      </c>
      <c r="AK1228" s="69">
        <v>2025</v>
      </c>
      <c r="AL1228" s="61">
        <v>0</v>
      </c>
      <c r="AM1228" s="143"/>
    </row>
    <row r="1229" spans="1:39" x14ac:dyDescent="0.35">
      <c r="A1229" s="69" t="s">
        <v>4124</v>
      </c>
      <c r="B1229" s="41">
        <v>1121103208</v>
      </c>
      <c r="C1229" s="41"/>
      <c r="D1229" s="69"/>
      <c r="E1229" s="41">
        <v>0</v>
      </c>
      <c r="F1229" s="41" t="s">
        <v>2961</v>
      </c>
      <c r="G1229" s="69" t="s">
        <v>2960</v>
      </c>
      <c r="H1229" s="41">
        <v>9013000211</v>
      </c>
      <c r="I1229" s="41" t="s">
        <v>593</v>
      </c>
      <c r="J1229" s="41">
        <v>1202020101</v>
      </c>
      <c r="K1229" s="41"/>
      <c r="L1229" s="52" t="s">
        <v>4038</v>
      </c>
      <c r="M1229" s="69" t="s">
        <v>4039</v>
      </c>
      <c r="N1229" s="69"/>
      <c r="O1229" s="69">
        <v>3</v>
      </c>
      <c r="P1229" s="69" t="s">
        <v>50</v>
      </c>
      <c r="Q1229" s="69" t="s">
        <v>51</v>
      </c>
      <c r="R1229" s="69"/>
      <c r="S1229" s="48">
        <v>43835</v>
      </c>
      <c r="T1229" s="48">
        <v>43835</v>
      </c>
      <c r="U1229" s="69"/>
      <c r="V1229" s="69"/>
      <c r="W1229" s="69"/>
      <c r="X1229" s="69"/>
      <c r="Y1229" s="69" t="s">
        <v>4127</v>
      </c>
      <c r="Z1229" s="52">
        <v>60000</v>
      </c>
      <c r="AA1229" s="43" t="s">
        <v>52</v>
      </c>
      <c r="AB1229" s="43" t="s">
        <v>53</v>
      </c>
      <c r="AC1229" s="85">
        <v>1460</v>
      </c>
      <c r="AD1229" s="141">
        <v>4</v>
      </c>
      <c r="AE1229" s="142">
        <v>0</v>
      </c>
      <c r="AF1229" s="69" t="str">
        <f t="shared" si="118"/>
        <v>4 years 0 days</v>
      </c>
      <c r="AG1229" s="69">
        <v>4</v>
      </c>
      <c r="AH1229" s="69">
        <v>0</v>
      </c>
      <c r="AI1229" s="69">
        <v>60000</v>
      </c>
      <c r="AJ1229" s="67">
        <v>60000</v>
      </c>
      <c r="AK1229" s="69">
        <v>2025</v>
      </c>
      <c r="AL1229" s="61">
        <v>0</v>
      </c>
      <c r="AM1229" s="143"/>
    </row>
    <row r="1230" spans="1:39" x14ac:dyDescent="0.35">
      <c r="A1230" s="69" t="s">
        <v>4124</v>
      </c>
      <c r="B1230" s="41">
        <v>1121103217</v>
      </c>
      <c r="C1230" s="41"/>
      <c r="D1230" s="69"/>
      <c r="E1230" s="41">
        <v>0</v>
      </c>
      <c r="F1230" s="41" t="s">
        <v>2961</v>
      </c>
      <c r="G1230" s="69" t="s">
        <v>2960</v>
      </c>
      <c r="H1230" s="41">
        <v>9013000211</v>
      </c>
      <c r="I1230" s="41" t="s">
        <v>593</v>
      </c>
      <c r="J1230" s="41">
        <v>1202020101</v>
      </c>
      <c r="K1230" s="41"/>
      <c r="L1230" s="52" t="s">
        <v>4041</v>
      </c>
      <c r="M1230" s="69" t="s">
        <v>4042</v>
      </c>
      <c r="N1230" s="69"/>
      <c r="O1230" s="69">
        <v>1</v>
      </c>
      <c r="P1230" s="69" t="s">
        <v>50</v>
      </c>
      <c r="Q1230" s="69" t="s">
        <v>51</v>
      </c>
      <c r="R1230" s="69"/>
      <c r="S1230" s="48">
        <v>43850</v>
      </c>
      <c r="T1230" s="48">
        <v>43850</v>
      </c>
      <c r="U1230" s="69"/>
      <c r="V1230" s="69"/>
      <c r="W1230" s="69"/>
      <c r="X1230" s="69"/>
      <c r="Y1230" s="69" t="s">
        <v>4127</v>
      </c>
      <c r="Z1230" s="52">
        <v>45450</v>
      </c>
      <c r="AA1230" s="43" t="s">
        <v>52</v>
      </c>
      <c r="AB1230" s="43" t="s">
        <v>53</v>
      </c>
      <c r="AC1230" s="85">
        <v>1460</v>
      </c>
      <c r="AD1230" s="141">
        <v>4</v>
      </c>
      <c r="AE1230" s="142">
        <v>0</v>
      </c>
      <c r="AF1230" s="69" t="str">
        <f t="shared" si="118"/>
        <v>4 years 0 days</v>
      </c>
      <c r="AG1230" s="69">
        <v>4</v>
      </c>
      <c r="AH1230" s="69">
        <v>0</v>
      </c>
      <c r="AI1230" s="69">
        <v>45450</v>
      </c>
      <c r="AJ1230" s="67">
        <v>45450</v>
      </c>
      <c r="AK1230" s="69">
        <v>2025</v>
      </c>
      <c r="AL1230" s="61">
        <v>0</v>
      </c>
      <c r="AM1230" s="143"/>
    </row>
    <row r="1231" spans="1:39" x14ac:dyDescent="0.35">
      <c r="A1231" s="69" t="s">
        <v>4124</v>
      </c>
      <c r="B1231" s="41">
        <v>1121103219</v>
      </c>
      <c r="C1231" s="41"/>
      <c r="D1231" s="69"/>
      <c r="E1231" s="41">
        <v>0</v>
      </c>
      <c r="F1231" s="41" t="s">
        <v>2961</v>
      </c>
      <c r="G1231" s="69" t="s">
        <v>2960</v>
      </c>
      <c r="H1231" s="41">
        <v>9013000211</v>
      </c>
      <c r="I1231" s="41" t="s">
        <v>593</v>
      </c>
      <c r="J1231" s="41">
        <v>1202020101</v>
      </c>
      <c r="K1231" s="41"/>
      <c r="L1231" s="52" t="s">
        <v>4044</v>
      </c>
      <c r="M1231" s="69" t="s">
        <v>4045</v>
      </c>
      <c r="N1231" s="69"/>
      <c r="O1231" s="69">
        <v>1</v>
      </c>
      <c r="P1231" s="69" t="s">
        <v>50</v>
      </c>
      <c r="Q1231" s="69" t="s">
        <v>51</v>
      </c>
      <c r="R1231" s="69"/>
      <c r="S1231" s="48">
        <v>43855</v>
      </c>
      <c r="T1231" s="48">
        <v>43855</v>
      </c>
      <c r="U1231" s="69"/>
      <c r="V1231" s="69"/>
      <c r="W1231" s="69"/>
      <c r="X1231" s="69"/>
      <c r="Y1231" s="69" t="s">
        <v>4127</v>
      </c>
      <c r="Z1231" s="52">
        <v>29250</v>
      </c>
      <c r="AA1231" s="43" t="s">
        <v>52</v>
      </c>
      <c r="AB1231" s="43" t="s">
        <v>53</v>
      </c>
      <c r="AC1231" s="85">
        <v>1460</v>
      </c>
      <c r="AD1231" s="141">
        <v>4</v>
      </c>
      <c r="AE1231" s="142">
        <v>0</v>
      </c>
      <c r="AF1231" s="69" t="str">
        <f t="shared" si="118"/>
        <v>4 years 0 days</v>
      </c>
      <c r="AG1231" s="69">
        <v>4</v>
      </c>
      <c r="AH1231" s="69">
        <v>0</v>
      </c>
      <c r="AI1231" s="69">
        <v>29250</v>
      </c>
      <c r="AJ1231" s="67">
        <v>29250</v>
      </c>
      <c r="AK1231" s="69">
        <v>2025</v>
      </c>
      <c r="AL1231" s="61">
        <v>0</v>
      </c>
      <c r="AM1231" s="143"/>
    </row>
    <row r="1232" spans="1:39" x14ac:dyDescent="0.35">
      <c r="A1232" s="69" t="s">
        <v>4124</v>
      </c>
      <c r="B1232" s="41">
        <v>1121103224</v>
      </c>
      <c r="C1232" s="41"/>
      <c r="D1232" s="69"/>
      <c r="E1232" s="41">
        <v>0</v>
      </c>
      <c r="F1232" s="41" t="s">
        <v>2961</v>
      </c>
      <c r="G1232" s="69" t="s">
        <v>2960</v>
      </c>
      <c r="H1232" s="41">
        <v>9013000211</v>
      </c>
      <c r="I1232" s="41" t="s">
        <v>593</v>
      </c>
      <c r="J1232" s="41">
        <v>1202020101</v>
      </c>
      <c r="K1232" s="41"/>
      <c r="L1232" s="52" t="s">
        <v>4047</v>
      </c>
      <c r="M1232" s="69" t="s">
        <v>4048</v>
      </c>
      <c r="N1232" s="69"/>
      <c r="O1232" s="69">
        <v>1</v>
      </c>
      <c r="P1232" s="69" t="s">
        <v>50</v>
      </c>
      <c r="Q1232" s="69" t="s">
        <v>51</v>
      </c>
      <c r="R1232" s="69"/>
      <c r="S1232" s="48">
        <v>43858</v>
      </c>
      <c r="T1232" s="48">
        <v>43858</v>
      </c>
      <c r="U1232" s="69"/>
      <c r="V1232" s="69"/>
      <c r="W1232" s="69"/>
      <c r="X1232" s="69"/>
      <c r="Y1232" s="69" t="s">
        <v>4127</v>
      </c>
      <c r="Z1232" s="52">
        <v>39150</v>
      </c>
      <c r="AA1232" s="43" t="s">
        <v>52</v>
      </c>
      <c r="AB1232" s="43" t="s">
        <v>53</v>
      </c>
      <c r="AC1232" s="85">
        <v>1460</v>
      </c>
      <c r="AD1232" s="141">
        <v>4</v>
      </c>
      <c r="AE1232" s="142">
        <v>0</v>
      </c>
      <c r="AF1232" s="69" t="str">
        <f t="shared" si="118"/>
        <v>4 years 0 days</v>
      </c>
      <c r="AG1232" s="69">
        <v>4</v>
      </c>
      <c r="AH1232" s="69">
        <v>0</v>
      </c>
      <c r="AI1232" s="69">
        <v>39150</v>
      </c>
      <c r="AJ1232" s="67">
        <v>39150</v>
      </c>
      <c r="AK1232" s="69">
        <v>2025</v>
      </c>
      <c r="AL1232" s="61">
        <v>0</v>
      </c>
      <c r="AM1232" s="143"/>
    </row>
    <row r="1233" spans="1:39" x14ac:dyDescent="0.35">
      <c r="A1233" s="69" t="s">
        <v>4124</v>
      </c>
      <c r="B1233" s="41">
        <v>1121403250</v>
      </c>
      <c r="C1233" s="41"/>
      <c r="D1233" s="69"/>
      <c r="E1233" s="41">
        <v>0</v>
      </c>
      <c r="F1233" s="41" t="s">
        <v>2961</v>
      </c>
      <c r="G1233" s="69" t="s">
        <v>2960</v>
      </c>
      <c r="H1233" s="41">
        <v>9013000211</v>
      </c>
      <c r="I1233" s="41" t="s">
        <v>593</v>
      </c>
      <c r="J1233" s="41">
        <v>1202020101</v>
      </c>
      <c r="K1233" s="41"/>
      <c r="L1233" s="52" t="s">
        <v>3814</v>
      </c>
      <c r="M1233" s="69" t="s">
        <v>3815</v>
      </c>
      <c r="N1233" s="69"/>
      <c r="O1233" s="69">
        <v>1</v>
      </c>
      <c r="P1233" s="69" t="s">
        <v>50</v>
      </c>
      <c r="Q1233" s="69" t="s">
        <v>51</v>
      </c>
      <c r="R1233" s="69"/>
      <c r="S1233" s="48">
        <v>43876</v>
      </c>
      <c r="T1233" s="48">
        <v>43876</v>
      </c>
      <c r="U1233" s="69"/>
      <c r="V1233" s="69"/>
      <c r="W1233" s="69"/>
      <c r="X1233" s="69"/>
      <c r="Y1233" s="69" t="s">
        <v>4127</v>
      </c>
      <c r="Z1233" s="52">
        <v>165000</v>
      </c>
      <c r="AA1233" s="43" t="s">
        <v>52</v>
      </c>
      <c r="AB1233" s="43" t="s">
        <v>53</v>
      </c>
      <c r="AC1233" s="85">
        <v>1460</v>
      </c>
      <c r="AD1233" s="141">
        <v>4</v>
      </c>
      <c r="AE1233" s="142">
        <v>0</v>
      </c>
      <c r="AF1233" s="69" t="str">
        <f t="shared" si="118"/>
        <v>4 years 0 days</v>
      </c>
      <c r="AG1233" s="69">
        <v>4</v>
      </c>
      <c r="AH1233" s="69">
        <v>0</v>
      </c>
      <c r="AI1233" s="69">
        <v>165000</v>
      </c>
      <c r="AJ1233" s="67">
        <v>165000</v>
      </c>
      <c r="AK1233" s="69">
        <v>2025</v>
      </c>
      <c r="AL1233" s="61">
        <v>0</v>
      </c>
      <c r="AM1233" s="143"/>
    </row>
    <row r="1234" spans="1:39" x14ac:dyDescent="0.35">
      <c r="A1234" s="69" t="s">
        <v>4124</v>
      </c>
      <c r="B1234" s="41">
        <v>1121103415</v>
      </c>
      <c r="C1234" s="41"/>
      <c r="D1234" s="69"/>
      <c r="E1234" s="41">
        <v>0</v>
      </c>
      <c r="F1234" s="41" t="s">
        <v>2961</v>
      </c>
      <c r="G1234" s="69" t="s">
        <v>2960</v>
      </c>
      <c r="H1234" s="41">
        <v>9013000211</v>
      </c>
      <c r="I1234" s="41" t="s">
        <v>593</v>
      </c>
      <c r="J1234" s="41">
        <v>1202020101</v>
      </c>
      <c r="K1234" s="41"/>
      <c r="L1234" s="52" t="s">
        <v>4050</v>
      </c>
      <c r="M1234" s="69" t="s">
        <v>4051</v>
      </c>
      <c r="N1234" s="69"/>
      <c r="O1234" s="69">
        <v>1</v>
      </c>
      <c r="P1234" s="69" t="s">
        <v>50</v>
      </c>
      <c r="Q1234" s="69" t="s">
        <v>51</v>
      </c>
      <c r="R1234" s="69"/>
      <c r="S1234" s="48">
        <v>44116</v>
      </c>
      <c r="T1234" s="48">
        <v>44116</v>
      </c>
      <c r="U1234" s="69"/>
      <c r="V1234" s="69"/>
      <c r="W1234" s="69"/>
      <c r="X1234" s="69"/>
      <c r="Y1234" s="69" t="s">
        <v>4127</v>
      </c>
      <c r="Z1234" s="52">
        <v>39150</v>
      </c>
      <c r="AA1234" s="43" t="s">
        <v>52</v>
      </c>
      <c r="AB1234" s="43" t="s">
        <v>53</v>
      </c>
      <c r="AC1234" s="85">
        <v>1460</v>
      </c>
      <c r="AD1234" s="141">
        <v>4</v>
      </c>
      <c r="AE1234" s="142">
        <v>0</v>
      </c>
      <c r="AF1234" s="69" t="str">
        <f t="shared" si="118"/>
        <v>4 years 0 days</v>
      </c>
      <c r="AG1234" s="69">
        <v>4</v>
      </c>
      <c r="AH1234" s="69">
        <v>0</v>
      </c>
      <c r="AI1234" s="69">
        <v>39150</v>
      </c>
      <c r="AJ1234" s="67">
        <v>39150</v>
      </c>
      <c r="AK1234" s="69">
        <v>2025</v>
      </c>
      <c r="AL1234" s="61">
        <v>0</v>
      </c>
      <c r="AM1234" s="143"/>
    </row>
    <row r="1235" spans="1:39" x14ac:dyDescent="0.35">
      <c r="A1235" s="69" t="s">
        <v>4124</v>
      </c>
      <c r="B1235" s="41">
        <v>1121103417</v>
      </c>
      <c r="C1235" s="41"/>
      <c r="D1235" s="69"/>
      <c r="E1235" s="41">
        <v>0</v>
      </c>
      <c r="F1235" s="41" t="s">
        <v>2961</v>
      </c>
      <c r="G1235" s="69" t="s">
        <v>2960</v>
      </c>
      <c r="H1235" s="41">
        <v>9013000211</v>
      </c>
      <c r="I1235" s="41" t="s">
        <v>593</v>
      </c>
      <c r="J1235" s="41">
        <v>1202020101</v>
      </c>
      <c r="K1235" s="41"/>
      <c r="L1235" s="52" t="s">
        <v>4053</v>
      </c>
      <c r="M1235" s="69" t="s">
        <v>4054</v>
      </c>
      <c r="N1235" s="69"/>
      <c r="O1235" s="69">
        <v>1</v>
      </c>
      <c r="P1235" s="69" t="s">
        <v>50</v>
      </c>
      <c r="Q1235" s="69" t="s">
        <v>51</v>
      </c>
      <c r="R1235" s="69"/>
      <c r="S1235" s="48">
        <v>44119</v>
      </c>
      <c r="T1235" s="48">
        <v>44119</v>
      </c>
      <c r="U1235" s="69"/>
      <c r="V1235" s="69"/>
      <c r="W1235" s="69"/>
      <c r="X1235" s="69"/>
      <c r="Y1235" s="69" t="s">
        <v>4127</v>
      </c>
      <c r="Z1235" s="52">
        <v>50850</v>
      </c>
      <c r="AA1235" s="43" t="s">
        <v>52</v>
      </c>
      <c r="AB1235" s="43" t="s">
        <v>53</v>
      </c>
      <c r="AC1235" s="85">
        <v>1460</v>
      </c>
      <c r="AD1235" s="141">
        <v>4</v>
      </c>
      <c r="AE1235" s="142">
        <v>0</v>
      </c>
      <c r="AF1235" s="69" t="str">
        <f t="shared" si="118"/>
        <v>4 years 0 days</v>
      </c>
      <c r="AG1235" s="69">
        <v>4</v>
      </c>
      <c r="AH1235" s="69">
        <v>0</v>
      </c>
      <c r="AI1235" s="69">
        <v>50850</v>
      </c>
      <c r="AJ1235" s="67">
        <v>50850</v>
      </c>
      <c r="AK1235" s="69">
        <v>2025</v>
      </c>
      <c r="AL1235" s="61">
        <v>0</v>
      </c>
      <c r="AM1235" s="143"/>
    </row>
    <row r="1236" spans="1:39" x14ac:dyDescent="0.35">
      <c r="A1236" s="69" t="s">
        <v>4124</v>
      </c>
      <c r="B1236" s="41">
        <v>1121403422</v>
      </c>
      <c r="C1236" s="41"/>
      <c r="D1236" s="69"/>
      <c r="E1236" s="41">
        <v>0</v>
      </c>
      <c r="F1236" s="41" t="s">
        <v>2961</v>
      </c>
      <c r="G1236" s="69" t="s">
        <v>2960</v>
      </c>
      <c r="H1236" s="41">
        <v>9013000211</v>
      </c>
      <c r="I1236" s="41" t="s">
        <v>593</v>
      </c>
      <c r="J1236" s="41">
        <v>1202020101</v>
      </c>
      <c r="K1236" s="41"/>
      <c r="L1236" s="52" t="s">
        <v>3817</v>
      </c>
      <c r="M1236" s="69" t="s">
        <v>3818</v>
      </c>
      <c r="N1236" s="69"/>
      <c r="O1236" s="69">
        <v>1</v>
      </c>
      <c r="P1236" s="69" t="s">
        <v>50</v>
      </c>
      <c r="Q1236" s="69" t="s">
        <v>51</v>
      </c>
      <c r="R1236" s="69"/>
      <c r="S1236" s="48">
        <v>44124</v>
      </c>
      <c r="T1236" s="48">
        <v>44124</v>
      </c>
      <c r="U1236" s="69"/>
      <c r="V1236" s="69"/>
      <c r="W1236" s="69"/>
      <c r="X1236" s="69"/>
      <c r="Y1236" s="69" t="s">
        <v>4127</v>
      </c>
      <c r="Z1236" s="52">
        <v>332000</v>
      </c>
      <c r="AA1236" s="43" t="s">
        <v>52</v>
      </c>
      <c r="AB1236" s="43" t="s">
        <v>53</v>
      </c>
      <c r="AC1236" s="85">
        <v>1460</v>
      </c>
      <c r="AD1236" s="141">
        <v>4</v>
      </c>
      <c r="AE1236" s="142">
        <v>0</v>
      </c>
      <c r="AF1236" s="69" t="str">
        <f t="shared" si="118"/>
        <v>4 years 0 days</v>
      </c>
      <c r="AG1236" s="69">
        <v>4</v>
      </c>
      <c r="AH1236" s="69">
        <v>0</v>
      </c>
      <c r="AI1236" s="69">
        <v>332000</v>
      </c>
      <c r="AJ1236" s="67">
        <v>332000</v>
      </c>
      <c r="AK1236" s="69">
        <v>2025</v>
      </c>
      <c r="AL1236" s="61">
        <v>0</v>
      </c>
      <c r="AM1236" s="143"/>
    </row>
    <row r="1237" spans="1:39" x14ac:dyDescent="0.35">
      <c r="A1237" s="69" t="s">
        <v>4124</v>
      </c>
      <c r="B1237" s="41">
        <v>1121403426</v>
      </c>
      <c r="C1237" s="41"/>
      <c r="D1237" s="69"/>
      <c r="E1237" s="41">
        <v>0</v>
      </c>
      <c r="F1237" s="41" t="s">
        <v>2961</v>
      </c>
      <c r="G1237" s="69" t="s">
        <v>2960</v>
      </c>
      <c r="H1237" s="41">
        <v>9013000211</v>
      </c>
      <c r="I1237" s="41" t="s">
        <v>593</v>
      </c>
      <c r="J1237" s="41">
        <v>1202020101</v>
      </c>
      <c r="K1237" s="41"/>
      <c r="L1237" s="52" t="s">
        <v>3820</v>
      </c>
      <c r="M1237" s="69" t="s">
        <v>3821</v>
      </c>
      <c r="N1237" s="69"/>
      <c r="O1237" s="69">
        <v>1</v>
      </c>
      <c r="P1237" s="69" t="s">
        <v>50</v>
      </c>
      <c r="Q1237" s="69" t="s">
        <v>51</v>
      </c>
      <c r="R1237" s="69"/>
      <c r="S1237" s="48">
        <v>44129</v>
      </c>
      <c r="T1237" s="48">
        <v>44129</v>
      </c>
      <c r="U1237" s="69"/>
      <c r="V1237" s="69"/>
      <c r="W1237" s="69"/>
      <c r="X1237" s="69"/>
      <c r="Y1237" s="69" t="s">
        <v>4127</v>
      </c>
      <c r="Z1237" s="52">
        <v>365000</v>
      </c>
      <c r="AA1237" s="43" t="s">
        <v>52</v>
      </c>
      <c r="AB1237" s="43" t="s">
        <v>53</v>
      </c>
      <c r="AC1237" s="85">
        <v>1460</v>
      </c>
      <c r="AD1237" s="141">
        <v>4</v>
      </c>
      <c r="AE1237" s="142">
        <v>0</v>
      </c>
      <c r="AF1237" s="69" t="str">
        <f t="shared" si="118"/>
        <v>4 years 0 days</v>
      </c>
      <c r="AG1237" s="69">
        <v>4</v>
      </c>
      <c r="AH1237" s="69">
        <v>0</v>
      </c>
      <c r="AI1237" s="69">
        <v>365000</v>
      </c>
      <c r="AJ1237" s="67">
        <v>365000</v>
      </c>
      <c r="AK1237" s="69">
        <v>2025</v>
      </c>
      <c r="AL1237" s="61">
        <v>0</v>
      </c>
      <c r="AM1237" s="143"/>
    </row>
    <row r="1238" spans="1:39" x14ac:dyDescent="0.35">
      <c r="A1238" s="69" t="s">
        <v>4124</v>
      </c>
      <c r="B1238" s="41">
        <v>1121403427</v>
      </c>
      <c r="C1238" s="41"/>
      <c r="D1238" s="69"/>
      <c r="E1238" s="41">
        <v>0</v>
      </c>
      <c r="F1238" s="41" t="s">
        <v>2961</v>
      </c>
      <c r="G1238" s="69" t="s">
        <v>2960</v>
      </c>
      <c r="H1238" s="41">
        <v>9013000211</v>
      </c>
      <c r="I1238" s="41" t="s">
        <v>593</v>
      </c>
      <c r="J1238" s="41">
        <v>1202020101</v>
      </c>
      <c r="K1238" s="41"/>
      <c r="L1238" s="52" t="s">
        <v>3823</v>
      </c>
      <c r="M1238" s="69" t="s">
        <v>3824</v>
      </c>
      <c r="N1238" s="69"/>
      <c r="O1238" s="69">
        <v>1</v>
      </c>
      <c r="P1238" s="69" t="s">
        <v>50</v>
      </c>
      <c r="Q1238" s="69" t="s">
        <v>51</v>
      </c>
      <c r="R1238" s="69"/>
      <c r="S1238" s="48">
        <v>44129</v>
      </c>
      <c r="T1238" s="48">
        <v>44129</v>
      </c>
      <c r="U1238" s="69"/>
      <c r="V1238" s="69"/>
      <c r="W1238" s="69"/>
      <c r="X1238" s="69"/>
      <c r="Y1238" s="69" t="s">
        <v>4127</v>
      </c>
      <c r="Z1238" s="52">
        <v>234900</v>
      </c>
      <c r="AA1238" s="43" t="s">
        <v>52</v>
      </c>
      <c r="AB1238" s="43" t="s">
        <v>53</v>
      </c>
      <c r="AC1238" s="85">
        <v>1460</v>
      </c>
      <c r="AD1238" s="141">
        <v>4</v>
      </c>
      <c r="AE1238" s="142">
        <v>0</v>
      </c>
      <c r="AF1238" s="69" t="str">
        <f t="shared" si="118"/>
        <v>4 years 0 days</v>
      </c>
      <c r="AG1238" s="69">
        <v>4</v>
      </c>
      <c r="AH1238" s="69">
        <v>0</v>
      </c>
      <c r="AI1238" s="69">
        <v>234900</v>
      </c>
      <c r="AJ1238" s="67">
        <v>234900</v>
      </c>
      <c r="AK1238" s="69">
        <v>2025</v>
      </c>
      <c r="AL1238" s="61">
        <v>0</v>
      </c>
      <c r="AM1238" s="143"/>
    </row>
    <row r="1239" spans="1:39" x14ac:dyDescent="0.35">
      <c r="A1239" s="69" t="s">
        <v>4124</v>
      </c>
      <c r="B1239" s="41">
        <v>1121403442</v>
      </c>
      <c r="C1239" s="41"/>
      <c r="D1239" s="69"/>
      <c r="E1239" s="41">
        <v>0</v>
      </c>
      <c r="F1239" s="41" t="s">
        <v>2961</v>
      </c>
      <c r="G1239" s="69" t="s">
        <v>2960</v>
      </c>
      <c r="H1239" s="41">
        <v>9013000211</v>
      </c>
      <c r="I1239" s="41" t="s">
        <v>593</v>
      </c>
      <c r="J1239" s="41">
        <v>1202020101</v>
      </c>
      <c r="K1239" s="41"/>
      <c r="L1239" s="52" t="s">
        <v>3826</v>
      </c>
      <c r="M1239" s="69" t="s">
        <v>3827</v>
      </c>
      <c r="N1239" s="69"/>
      <c r="O1239" s="69">
        <v>1</v>
      </c>
      <c r="P1239" s="69" t="s">
        <v>50</v>
      </c>
      <c r="Q1239" s="69" t="s">
        <v>51</v>
      </c>
      <c r="R1239" s="69"/>
      <c r="S1239" s="48">
        <v>44147</v>
      </c>
      <c r="T1239" s="48">
        <v>44147</v>
      </c>
      <c r="U1239" s="69"/>
      <c r="V1239" s="69"/>
      <c r="W1239" s="69"/>
      <c r="X1239" s="69"/>
      <c r="Y1239" s="69" t="s">
        <v>4127</v>
      </c>
      <c r="Z1239" s="52">
        <v>220000</v>
      </c>
      <c r="AA1239" s="43" t="s">
        <v>52</v>
      </c>
      <c r="AB1239" s="43" t="s">
        <v>53</v>
      </c>
      <c r="AC1239" s="85">
        <v>1460</v>
      </c>
      <c r="AD1239" s="141">
        <v>4</v>
      </c>
      <c r="AE1239" s="142">
        <v>0</v>
      </c>
      <c r="AF1239" s="69" t="str">
        <f t="shared" si="118"/>
        <v>4 years 0 days</v>
      </c>
      <c r="AG1239" s="69">
        <v>4</v>
      </c>
      <c r="AH1239" s="69">
        <v>0</v>
      </c>
      <c r="AI1239" s="69">
        <v>220000</v>
      </c>
      <c r="AJ1239" s="67">
        <v>220000</v>
      </c>
      <c r="AK1239" s="69">
        <v>2025</v>
      </c>
      <c r="AL1239" s="61">
        <v>0</v>
      </c>
      <c r="AM1239" s="143"/>
    </row>
    <row r="1240" spans="1:39" x14ac:dyDescent="0.35">
      <c r="A1240" s="69" t="s">
        <v>4124</v>
      </c>
      <c r="B1240" s="41">
        <v>1121103460</v>
      </c>
      <c r="C1240" s="41"/>
      <c r="D1240" s="69"/>
      <c r="E1240" s="41">
        <v>0</v>
      </c>
      <c r="F1240" s="41" t="s">
        <v>2961</v>
      </c>
      <c r="G1240" s="69" t="s">
        <v>2960</v>
      </c>
      <c r="H1240" s="41">
        <v>9013000211</v>
      </c>
      <c r="I1240" s="41" t="s">
        <v>593</v>
      </c>
      <c r="J1240" s="41">
        <v>1202020101</v>
      </c>
      <c r="K1240" s="41"/>
      <c r="L1240" s="52" t="s">
        <v>4056</v>
      </c>
      <c r="M1240" s="69" t="s">
        <v>4057</v>
      </c>
      <c r="N1240" s="69"/>
      <c r="O1240" s="69">
        <v>1</v>
      </c>
      <c r="P1240" s="69" t="s">
        <v>50</v>
      </c>
      <c r="Q1240" s="69" t="s">
        <v>51</v>
      </c>
      <c r="R1240" s="69"/>
      <c r="S1240" s="48">
        <v>44166</v>
      </c>
      <c r="T1240" s="48">
        <v>44166</v>
      </c>
      <c r="U1240" s="69"/>
      <c r="V1240" s="69"/>
      <c r="W1240" s="69"/>
      <c r="X1240" s="69"/>
      <c r="Y1240" s="69" t="s">
        <v>4127</v>
      </c>
      <c r="Z1240" s="52">
        <v>20250</v>
      </c>
      <c r="AA1240" s="43" t="s">
        <v>52</v>
      </c>
      <c r="AB1240" s="43" t="s">
        <v>53</v>
      </c>
      <c r="AC1240" s="85">
        <v>1460</v>
      </c>
      <c r="AD1240" s="141">
        <v>4</v>
      </c>
      <c r="AE1240" s="142">
        <v>0</v>
      </c>
      <c r="AF1240" s="69" t="str">
        <f t="shared" si="118"/>
        <v>4 years 0 days</v>
      </c>
      <c r="AG1240" s="69">
        <v>4</v>
      </c>
      <c r="AH1240" s="69">
        <v>0</v>
      </c>
      <c r="AI1240" s="69">
        <v>20250</v>
      </c>
      <c r="AJ1240" s="67">
        <v>20250</v>
      </c>
      <c r="AK1240" s="69">
        <v>2025</v>
      </c>
      <c r="AL1240" s="61">
        <v>0</v>
      </c>
      <c r="AM1240" s="143"/>
    </row>
    <row r="1241" spans="1:39" x14ac:dyDescent="0.35">
      <c r="A1241" s="69" t="s">
        <v>4124</v>
      </c>
      <c r="B1241" s="41">
        <v>1121504420</v>
      </c>
      <c r="C1241" s="41"/>
      <c r="D1241" s="69"/>
      <c r="E1241" s="41">
        <v>0</v>
      </c>
      <c r="F1241" s="41" t="s">
        <v>2961</v>
      </c>
      <c r="G1241" s="69" t="s">
        <v>2960</v>
      </c>
      <c r="H1241" s="41">
        <v>9013000211</v>
      </c>
      <c r="I1241" s="41" t="s">
        <v>593</v>
      </c>
      <c r="J1241" s="41">
        <v>1202020101</v>
      </c>
      <c r="K1241" s="41"/>
      <c r="L1241" s="52" t="s">
        <v>4091</v>
      </c>
      <c r="M1241" s="69" t="s">
        <v>4092</v>
      </c>
      <c r="N1241" s="69"/>
      <c r="O1241" s="69">
        <v>1</v>
      </c>
      <c r="P1241" s="69" t="s">
        <v>50</v>
      </c>
      <c r="Q1241" s="69" t="s">
        <v>51</v>
      </c>
      <c r="R1241" s="69"/>
      <c r="S1241" s="48">
        <v>44185</v>
      </c>
      <c r="T1241" s="48">
        <v>44185</v>
      </c>
      <c r="U1241" s="69"/>
      <c r="V1241" s="69"/>
      <c r="W1241" s="69"/>
      <c r="X1241" s="69"/>
      <c r="Y1241" s="69" t="s">
        <v>4127</v>
      </c>
      <c r="Z1241" s="52">
        <v>84000</v>
      </c>
      <c r="AA1241" s="43" t="s">
        <v>52</v>
      </c>
      <c r="AB1241" s="43" t="s">
        <v>53</v>
      </c>
      <c r="AC1241" s="85">
        <v>1460</v>
      </c>
      <c r="AD1241" s="141">
        <v>4</v>
      </c>
      <c r="AE1241" s="142">
        <v>0</v>
      </c>
      <c r="AF1241" s="69" t="str">
        <f t="shared" si="118"/>
        <v>4 years 0 days</v>
      </c>
      <c r="AG1241" s="69">
        <v>4</v>
      </c>
      <c r="AH1241" s="69">
        <v>0</v>
      </c>
      <c r="AI1241" s="69">
        <v>84000</v>
      </c>
      <c r="AJ1241" s="67">
        <v>84000</v>
      </c>
      <c r="AK1241" s="69">
        <v>2025</v>
      </c>
      <c r="AL1241" s="61">
        <v>0</v>
      </c>
      <c r="AM1241" s="143"/>
    </row>
    <row r="1242" spans="1:39" x14ac:dyDescent="0.35">
      <c r="A1242" s="69" t="s">
        <v>4124</v>
      </c>
      <c r="B1242" s="41">
        <v>1121403510</v>
      </c>
      <c r="C1242" s="41"/>
      <c r="D1242" s="69"/>
      <c r="E1242" s="41">
        <v>0</v>
      </c>
      <c r="F1242" s="41" t="s">
        <v>2961</v>
      </c>
      <c r="G1242" s="69" t="s">
        <v>2960</v>
      </c>
      <c r="H1242" s="41">
        <v>9013000211</v>
      </c>
      <c r="I1242" s="41" t="s">
        <v>593</v>
      </c>
      <c r="J1242" s="41">
        <v>1202020101</v>
      </c>
      <c r="K1242" s="41"/>
      <c r="L1242" s="52" t="s">
        <v>3829</v>
      </c>
      <c r="M1242" s="69" t="s">
        <v>3830</v>
      </c>
      <c r="N1242" s="69"/>
      <c r="O1242" s="69">
        <v>1</v>
      </c>
      <c r="P1242" s="69" t="s">
        <v>50</v>
      </c>
      <c r="Q1242" s="69" t="s">
        <v>51</v>
      </c>
      <c r="R1242" s="69"/>
      <c r="S1242" s="48">
        <v>44198</v>
      </c>
      <c r="T1242" s="48">
        <v>44198</v>
      </c>
      <c r="U1242" s="69"/>
      <c r="V1242" s="69"/>
      <c r="W1242" s="69"/>
      <c r="X1242" s="69"/>
      <c r="Y1242" s="69" t="s">
        <v>4128</v>
      </c>
      <c r="Z1242" s="52">
        <v>87120</v>
      </c>
      <c r="AA1242" s="43" t="s">
        <v>52</v>
      </c>
      <c r="AB1242" s="43" t="s">
        <v>53</v>
      </c>
      <c r="AC1242" s="85">
        <v>1460</v>
      </c>
      <c r="AD1242" s="141">
        <v>4</v>
      </c>
      <c r="AE1242" s="142">
        <v>0</v>
      </c>
      <c r="AF1242" s="69" t="str">
        <f t="shared" si="118"/>
        <v>4 years 0 days</v>
      </c>
      <c r="AG1242" s="69">
        <v>4</v>
      </c>
      <c r="AH1242" s="69">
        <v>0</v>
      </c>
      <c r="AI1242" s="69">
        <v>87120</v>
      </c>
      <c r="AJ1242" s="67">
        <v>87120</v>
      </c>
      <c r="AK1242" s="69">
        <v>2025</v>
      </c>
      <c r="AL1242" s="61">
        <v>0</v>
      </c>
      <c r="AM1242" s="143"/>
    </row>
    <row r="1243" spans="1:39" x14ac:dyDescent="0.35">
      <c r="A1243" s="69" t="s">
        <v>4124</v>
      </c>
      <c r="B1243" s="41">
        <v>1121403541</v>
      </c>
      <c r="C1243" s="41"/>
      <c r="D1243" s="69"/>
      <c r="E1243" s="41">
        <v>0</v>
      </c>
      <c r="F1243" s="41" t="s">
        <v>2961</v>
      </c>
      <c r="G1243" s="69" t="s">
        <v>2960</v>
      </c>
      <c r="H1243" s="41">
        <v>9013000211</v>
      </c>
      <c r="I1243" s="41" t="s">
        <v>593</v>
      </c>
      <c r="J1243" s="41">
        <v>1202020101</v>
      </c>
      <c r="K1243" s="41"/>
      <c r="L1243" s="52" t="s">
        <v>3832</v>
      </c>
      <c r="M1243" s="69" t="s">
        <v>3359</v>
      </c>
      <c r="N1243" s="69"/>
      <c r="O1243" s="69">
        <v>1</v>
      </c>
      <c r="P1243" s="69" t="s">
        <v>50</v>
      </c>
      <c r="Q1243" s="69" t="s">
        <v>51</v>
      </c>
      <c r="R1243" s="69"/>
      <c r="S1243" s="48">
        <v>44215</v>
      </c>
      <c r="T1243" s="48">
        <v>44215</v>
      </c>
      <c r="U1243" s="69"/>
      <c r="V1243" s="69"/>
      <c r="W1243" s="69"/>
      <c r="X1243" s="69"/>
      <c r="Y1243" s="69" t="s">
        <v>4128</v>
      </c>
      <c r="Z1243" s="52">
        <v>320000</v>
      </c>
      <c r="AA1243" s="43" t="s">
        <v>52</v>
      </c>
      <c r="AB1243" s="43" t="s">
        <v>53</v>
      </c>
      <c r="AC1243" s="85">
        <v>1460</v>
      </c>
      <c r="AD1243" s="141">
        <v>4</v>
      </c>
      <c r="AE1243" s="142">
        <v>0</v>
      </c>
      <c r="AF1243" s="69" t="str">
        <f t="shared" si="118"/>
        <v>3 years 348 days</v>
      </c>
      <c r="AG1243" s="69">
        <v>3</v>
      </c>
      <c r="AH1243" s="69">
        <v>348</v>
      </c>
      <c r="AI1243" s="69">
        <v>320000</v>
      </c>
      <c r="AJ1243" s="67">
        <v>316274</v>
      </c>
      <c r="AK1243" s="69">
        <v>2025</v>
      </c>
      <c r="AL1243" s="61">
        <v>3726</v>
      </c>
      <c r="AM1243" s="143"/>
    </row>
    <row r="1244" spans="1:39" x14ac:dyDescent="0.35">
      <c r="A1244" s="69" t="s">
        <v>4124</v>
      </c>
      <c r="B1244" s="41">
        <v>1121103559</v>
      </c>
      <c r="C1244" s="41"/>
      <c r="D1244" s="69"/>
      <c r="E1244" s="41">
        <v>0</v>
      </c>
      <c r="F1244" s="41" t="s">
        <v>2961</v>
      </c>
      <c r="G1244" s="69" t="s">
        <v>2960</v>
      </c>
      <c r="H1244" s="41">
        <v>9013000211</v>
      </c>
      <c r="I1244" s="41" t="s">
        <v>593</v>
      </c>
      <c r="J1244" s="41">
        <v>1202020101</v>
      </c>
      <c r="K1244" s="41"/>
      <c r="L1244" s="52" t="s">
        <v>4059</v>
      </c>
      <c r="M1244" s="69" t="s">
        <v>4060</v>
      </c>
      <c r="N1244" s="69"/>
      <c r="O1244" s="69">
        <v>1</v>
      </c>
      <c r="P1244" s="69" t="s">
        <v>50</v>
      </c>
      <c r="Q1244" s="69" t="s">
        <v>51</v>
      </c>
      <c r="R1244" s="69"/>
      <c r="S1244" s="48">
        <v>44231</v>
      </c>
      <c r="T1244" s="48">
        <v>44231</v>
      </c>
      <c r="U1244" s="69"/>
      <c r="V1244" s="69"/>
      <c r="W1244" s="69"/>
      <c r="X1244" s="69"/>
      <c r="Y1244" s="69" t="s">
        <v>4128</v>
      </c>
      <c r="Z1244" s="52">
        <v>11600</v>
      </c>
      <c r="AA1244" s="43" t="s">
        <v>52</v>
      </c>
      <c r="AB1244" s="43" t="s">
        <v>53</v>
      </c>
      <c r="AC1244" s="85">
        <v>1460</v>
      </c>
      <c r="AD1244" s="141">
        <v>4</v>
      </c>
      <c r="AE1244" s="142">
        <v>0</v>
      </c>
      <c r="AF1244" s="69" t="str">
        <f t="shared" si="118"/>
        <v>3 years 332 days</v>
      </c>
      <c r="AG1244" s="69">
        <v>3</v>
      </c>
      <c r="AH1244" s="69">
        <v>332</v>
      </c>
      <c r="AI1244" s="69">
        <v>11600</v>
      </c>
      <c r="AJ1244" s="67">
        <v>11338</v>
      </c>
      <c r="AK1244" s="69">
        <v>2025</v>
      </c>
      <c r="AL1244" s="61">
        <v>262</v>
      </c>
      <c r="AM1244" s="143"/>
    </row>
    <row r="1245" spans="1:39" x14ac:dyDescent="0.35">
      <c r="A1245" s="69" t="s">
        <v>4124</v>
      </c>
      <c r="B1245" s="41">
        <v>1101103573</v>
      </c>
      <c r="C1245" s="41"/>
      <c r="D1245" s="69"/>
      <c r="E1245" s="41">
        <v>0</v>
      </c>
      <c r="F1245" s="41" t="s">
        <v>2961</v>
      </c>
      <c r="G1245" s="69" t="s">
        <v>2960</v>
      </c>
      <c r="H1245" s="41">
        <v>9013000211</v>
      </c>
      <c r="I1245" s="41" t="s">
        <v>593</v>
      </c>
      <c r="J1245" s="41">
        <v>1202020101</v>
      </c>
      <c r="K1245" s="41"/>
      <c r="L1245" s="52" t="s">
        <v>4062</v>
      </c>
      <c r="M1245" s="69" t="s">
        <v>4063</v>
      </c>
      <c r="N1245" s="69"/>
      <c r="O1245" s="69">
        <v>1</v>
      </c>
      <c r="P1245" s="69" t="s">
        <v>50</v>
      </c>
      <c r="Q1245" s="69" t="s">
        <v>51</v>
      </c>
      <c r="R1245" s="69"/>
      <c r="S1245" s="48">
        <v>44253</v>
      </c>
      <c r="T1245" s="48">
        <v>44253</v>
      </c>
      <c r="U1245" s="69"/>
      <c r="V1245" s="69"/>
      <c r="W1245" s="69"/>
      <c r="X1245" s="69"/>
      <c r="Y1245" s="69" t="s">
        <v>4128</v>
      </c>
      <c r="Z1245" s="52">
        <v>35573</v>
      </c>
      <c r="AA1245" s="43" t="s">
        <v>52</v>
      </c>
      <c r="AB1245" s="43" t="s">
        <v>53</v>
      </c>
      <c r="AC1245" s="85">
        <v>3650</v>
      </c>
      <c r="AD1245" s="141">
        <v>10</v>
      </c>
      <c r="AE1245" s="142">
        <v>0</v>
      </c>
      <c r="AF1245" s="69" t="str">
        <f t="shared" si="118"/>
        <v>3 years 310 days</v>
      </c>
      <c r="AG1245" s="69">
        <v>3</v>
      </c>
      <c r="AH1245" s="69">
        <v>310</v>
      </c>
      <c r="AI1245" s="69">
        <v>35573</v>
      </c>
      <c r="AJ1245" s="67">
        <v>13693</v>
      </c>
      <c r="AK1245" s="69">
        <v>2025</v>
      </c>
      <c r="AL1245" s="61">
        <v>1764.1994520547942</v>
      </c>
      <c r="AM1245" s="143"/>
    </row>
    <row r="1246" spans="1:39" x14ac:dyDescent="0.35">
      <c r="A1246" s="69" t="s">
        <v>4124</v>
      </c>
      <c r="B1246" s="41">
        <v>1121403567</v>
      </c>
      <c r="C1246" s="41"/>
      <c r="D1246" s="69"/>
      <c r="E1246" s="41">
        <v>0</v>
      </c>
      <c r="F1246" s="41" t="s">
        <v>2961</v>
      </c>
      <c r="G1246" s="69" t="s">
        <v>2960</v>
      </c>
      <c r="H1246" s="41">
        <v>9013000211</v>
      </c>
      <c r="I1246" s="41" t="s">
        <v>593</v>
      </c>
      <c r="J1246" s="41">
        <v>1202020101</v>
      </c>
      <c r="K1246" s="41"/>
      <c r="L1246" s="52" t="s">
        <v>3834</v>
      </c>
      <c r="M1246" s="69" t="s">
        <v>3835</v>
      </c>
      <c r="N1246" s="69"/>
      <c r="O1246" s="69">
        <v>1</v>
      </c>
      <c r="P1246" s="69" t="s">
        <v>50</v>
      </c>
      <c r="Q1246" s="69" t="s">
        <v>51</v>
      </c>
      <c r="R1246" s="69"/>
      <c r="S1246" s="48">
        <v>44245</v>
      </c>
      <c r="T1246" s="48">
        <v>44245</v>
      </c>
      <c r="U1246" s="69"/>
      <c r="V1246" s="69"/>
      <c r="W1246" s="69"/>
      <c r="X1246" s="69"/>
      <c r="Y1246" s="69" t="s">
        <v>4128</v>
      </c>
      <c r="Z1246" s="52">
        <v>46000</v>
      </c>
      <c r="AA1246" s="43" t="s">
        <v>52</v>
      </c>
      <c r="AB1246" s="43" t="s">
        <v>53</v>
      </c>
      <c r="AC1246" s="85">
        <v>1460</v>
      </c>
      <c r="AD1246" s="141">
        <v>4</v>
      </c>
      <c r="AE1246" s="142">
        <v>0</v>
      </c>
      <c r="AF1246" s="69" t="str">
        <f t="shared" si="118"/>
        <v>3 years 318 days</v>
      </c>
      <c r="AG1246" s="69">
        <v>3</v>
      </c>
      <c r="AH1246" s="69">
        <v>318</v>
      </c>
      <c r="AI1246" s="69">
        <v>46000</v>
      </c>
      <c r="AJ1246" s="67">
        <v>44519</v>
      </c>
      <c r="AK1246" s="69">
        <v>2025</v>
      </c>
      <c r="AL1246" s="61">
        <v>1481</v>
      </c>
      <c r="AM1246" s="143"/>
    </row>
    <row r="1247" spans="1:39" x14ac:dyDescent="0.35">
      <c r="A1247" s="69" t="s">
        <v>4124</v>
      </c>
      <c r="B1247" s="41">
        <v>1121403568</v>
      </c>
      <c r="C1247" s="41"/>
      <c r="D1247" s="69"/>
      <c r="E1247" s="41">
        <v>0</v>
      </c>
      <c r="F1247" s="41" t="s">
        <v>2961</v>
      </c>
      <c r="G1247" s="69" t="s">
        <v>2960</v>
      </c>
      <c r="H1247" s="41">
        <v>9013000211</v>
      </c>
      <c r="I1247" s="41" t="s">
        <v>593</v>
      </c>
      <c r="J1247" s="41">
        <v>1202020101</v>
      </c>
      <c r="K1247" s="41"/>
      <c r="L1247" s="52" t="s">
        <v>3837</v>
      </c>
      <c r="M1247" s="69" t="s">
        <v>3838</v>
      </c>
      <c r="N1247" s="69"/>
      <c r="O1247" s="69">
        <v>1</v>
      </c>
      <c r="P1247" s="69" t="s">
        <v>50</v>
      </c>
      <c r="Q1247" s="69" t="s">
        <v>51</v>
      </c>
      <c r="R1247" s="69"/>
      <c r="S1247" s="48">
        <v>44245</v>
      </c>
      <c r="T1247" s="48">
        <v>44245</v>
      </c>
      <c r="U1247" s="69"/>
      <c r="V1247" s="69"/>
      <c r="W1247" s="69"/>
      <c r="X1247" s="69"/>
      <c r="Y1247" s="69" t="s">
        <v>4128</v>
      </c>
      <c r="Z1247" s="52">
        <v>184000</v>
      </c>
      <c r="AA1247" s="43" t="s">
        <v>52</v>
      </c>
      <c r="AB1247" s="43" t="s">
        <v>53</v>
      </c>
      <c r="AC1247" s="85">
        <v>1460</v>
      </c>
      <c r="AD1247" s="141">
        <v>4</v>
      </c>
      <c r="AE1247" s="142">
        <v>0</v>
      </c>
      <c r="AF1247" s="69" t="str">
        <f t="shared" si="118"/>
        <v>3 years 318 days</v>
      </c>
      <c r="AG1247" s="69">
        <v>3</v>
      </c>
      <c r="AH1247" s="69">
        <v>318</v>
      </c>
      <c r="AI1247" s="69">
        <v>184000</v>
      </c>
      <c r="AJ1247" s="67">
        <v>178077</v>
      </c>
      <c r="AK1247" s="69">
        <v>2025</v>
      </c>
      <c r="AL1247" s="61">
        <v>5923</v>
      </c>
      <c r="AM1247" s="143"/>
    </row>
    <row r="1248" spans="1:39" x14ac:dyDescent="0.35">
      <c r="A1248" s="69" t="s">
        <v>4124</v>
      </c>
      <c r="B1248" s="41">
        <v>1121403621</v>
      </c>
      <c r="C1248" s="41"/>
      <c r="D1248" s="69"/>
      <c r="E1248" s="41">
        <v>0</v>
      </c>
      <c r="F1248" s="41" t="s">
        <v>2961</v>
      </c>
      <c r="G1248" s="69" t="s">
        <v>2960</v>
      </c>
      <c r="H1248" s="41">
        <v>9013000211</v>
      </c>
      <c r="I1248" s="41" t="s">
        <v>593</v>
      </c>
      <c r="J1248" s="41">
        <v>1202020101</v>
      </c>
      <c r="K1248" s="41"/>
      <c r="L1248" s="52" t="s">
        <v>3840</v>
      </c>
      <c r="M1248" s="69" t="s">
        <v>3841</v>
      </c>
      <c r="N1248" s="69"/>
      <c r="O1248" s="69">
        <v>1</v>
      </c>
      <c r="P1248" s="69" t="s">
        <v>50</v>
      </c>
      <c r="Q1248" s="69" t="s">
        <v>51</v>
      </c>
      <c r="R1248" s="69"/>
      <c r="S1248" s="48">
        <v>44285</v>
      </c>
      <c r="T1248" s="48">
        <v>44285</v>
      </c>
      <c r="U1248" s="69"/>
      <c r="V1248" s="69"/>
      <c r="W1248" s="69"/>
      <c r="X1248" s="69"/>
      <c r="Y1248" s="69" t="s">
        <v>4128</v>
      </c>
      <c r="Z1248" s="52">
        <v>21000</v>
      </c>
      <c r="AA1248" s="43" t="s">
        <v>52</v>
      </c>
      <c r="AB1248" s="43" t="s">
        <v>53</v>
      </c>
      <c r="AC1248" s="85">
        <v>1460</v>
      </c>
      <c r="AD1248" s="141">
        <v>4</v>
      </c>
      <c r="AE1248" s="142">
        <v>0</v>
      </c>
      <c r="AF1248" s="69" t="str">
        <f t="shared" si="118"/>
        <v>3 years 278 days</v>
      </c>
      <c r="AG1248" s="69">
        <v>3</v>
      </c>
      <c r="AH1248" s="69">
        <v>278</v>
      </c>
      <c r="AI1248" s="69">
        <v>21000</v>
      </c>
      <c r="AJ1248" s="67">
        <v>19749</v>
      </c>
      <c r="AK1248" s="69">
        <v>2025</v>
      </c>
      <c r="AL1248" s="61">
        <v>1251</v>
      </c>
      <c r="AM1248" s="143"/>
    </row>
    <row r="1249" spans="1:39" x14ac:dyDescent="0.35">
      <c r="A1249" s="69" t="s">
        <v>4124</v>
      </c>
      <c r="B1249" s="41">
        <v>1121504392</v>
      </c>
      <c r="C1249" s="41"/>
      <c r="D1249" s="69"/>
      <c r="E1249" s="41">
        <v>0</v>
      </c>
      <c r="F1249" s="41" t="s">
        <v>2961</v>
      </c>
      <c r="G1249" s="69" t="s">
        <v>2960</v>
      </c>
      <c r="H1249" s="41">
        <v>9013000211</v>
      </c>
      <c r="I1249" s="41" t="s">
        <v>593</v>
      </c>
      <c r="J1249" s="41">
        <v>1202020101</v>
      </c>
      <c r="K1249" s="41"/>
      <c r="L1249" s="52" t="s">
        <v>4080</v>
      </c>
      <c r="M1249" s="69" t="s">
        <v>4081</v>
      </c>
      <c r="N1249" s="69"/>
      <c r="O1249" s="69">
        <v>1</v>
      </c>
      <c r="P1249" s="69" t="s">
        <v>50</v>
      </c>
      <c r="Q1249" s="69" t="s">
        <v>51</v>
      </c>
      <c r="R1249" s="69"/>
      <c r="S1249" s="48">
        <v>44314</v>
      </c>
      <c r="T1249" s="48">
        <v>44314</v>
      </c>
      <c r="U1249" s="69"/>
      <c r="V1249" s="69"/>
      <c r="W1249" s="69"/>
      <c r="X1249" s="69"/>
      <c r="Y1249" s="69" t="s">
        <v>4128</v>
      </c>
      <c r="Z1249" s="52">
        <v>210000</v>
      </c>
      <c r="AA1249" s="43" t="s">
        <v>52</v>
      </c>
      <c r="AB1249" s="43" t="s">
        <v>53</v>
      </c>
      <c r="AC1249" s="85">
        <v>1460</v>
      </c>
      <c r="AD1249" s="141">
        <v>4</v>
      </c>
      <c r="AE1249" s="142">
        <v>0</v>
      </c>
      <c r="AF1249" s="69" t="str">
        <f t="shared" si="118"/>
        <v>3 years 249 days</v>
      </c>
      <c r="AG1249" s="69">
        <v>3</v>
      </c>
      <c r="AH1249" s="69">
        <v>249</v>
      </c>
      <c r="AI1249" s="69">
        <v>210000</v>
      </c>
      <c r="AJ1249" s="67">
        <v>193315</v>
      </c>
      <c r="AK1249" s="69">
        <v>2025</v>
      </c>
      <c r="AL1249" s="61">
        <v>16685</v>
      </c>
      <c r="AM1249" s="143"/>
    </row>
    <row r="1250" spans="1:39" x14ac:dyDescent="0.35">
      <c r="A1250" s="69" t="s">
        <v>4124</v>
      </c>
      <c r="B1250" s="41">
        <v>1121504319</v>
      </c>
      <c r="C1250" s="41"/>
      <c r="D1250" s="69"/>
      <c r="E1250" s="41">
        <v>0</v>
      </c>
      <c r="F1250" s="41" t="s">
        <v>2961</v>
      </c>
      <c r="G1250" s="69" t="s">
        <v>2960</v>
      </c>
      <c r="H1250" s="41">
        <v>9013000211</v>
      </c>
      <c r="I1250" s="41" t="s">
        <v>593</v>
      </c>
      <c r="J1250" s="41">
        <v>1202020101</v>
      </c>
      <c r="K1250" s="41"/>
      <c r="L1250" s="52" t="s">
        <v>4083</v>
      </c>
      <c r="M1250" s="69" t="s">
        <v>4084</v>
      </c>
      <c r="N1250" s="69"/>
      <c r="O1250" s="69">
        <v>1</v>
      </c>
      <c r="P1250" s="69" t="s">
        <v>50</v>
      </c>
      <c r="Q1250" s="69" t="s">
        <v>51</v>
      </c>
      <c r="R1250" s="69"/>
      <c r="S1250" s="48">
        <v>44314</v>
      </c>
      <c r="T1250" s="48">
        <v>44314</v>
      </c>
      <c r="U1250" s="69"/>
      <c r="V1250" s="69"/>
      <c r="W1250" s="69"/>
      <c r="X1250" s="69"/>
      <c r="Y1250" s="69" t="s">
        <v>4128</v>
      </c>
      <c r="Z1250" s="52">
        <v>186500</v>
      </c>
      <c r="AA1250" s="43" t="s">
        <v>52</v>
      </c>
      <c r="AB1250" s="43" t="s">
        <v>53</v>
      </c>
      <c r="AC1250" s="85">
        <v>3650</v>
      </c>
      <c r="AD1250" s="141">
        <v>10</v>
      </c>
      <c r="AE1250" s="142">
        <v>0</v>
      </c>
      <c r="AF1250" s="69" t="str">
        <f t="shared" si="118"/>
        <v>3 years 249 days</v>
      </c>
      <c r="AG1250" s="69">
        <v>3</v>
      </c>
      <c r="AH1250" s="69">
        <v>249</v>
      </c>
      <c r="AI1250" s="69">
        <v>186500</v>
      </c>
      <c r="AJ1250" s="67">
        <v>68673</v>
      </c>
      <c r="AK1250" s="69">
        <v>2025</v>
      </c>
      <c r="AL1250" s="61">
        <v>9248.2328767123399</v>
      </c>
      <c r="AM1250" s="143"/>
    </row>
    <row r="1251" spans="1:39" x14ac:dyDescent="0.35">
      <c r="A1251" s="69" t="s">
        <v>4124</v>
      </c>
      <c r="B1251" s="41">
        <v>1121403684</v>
      </c>
      <c r="C1251" s="41"/>
      <c r="D1251" s="69"/>
      <c r="E1251" s="41">
        <v>0</v>
      </c>
      <c r="F1251" s="41" t="s">
        <v>2961</v>
      </c>
      <c r="G1251" s="69" t="s">
        <v>2960</v>
      </c>
      <c r="H1251" s="41">
        <v>9013000211</v>
      </c>
      <c r="I1251" s="41" t="s">
        <v>593</v>
      </c>
      <c r="J1251" s="41">
        <v>1202020101</v>
      </c>
      <c r="K1251" s="41"/>
      <c r="L1251" s="52" t="s">
        <v>3843</v>
      </c>
      <c r="M1251" s="69" t="s">
        <v>3844</v>
      </c>
      <c r="N1251" s="69"/>
      <c r="O1251" s="69">
        <v>1</v>
      </c>
      <c r="P1251" s="69" t="s">
        <v>50</v>
      </c>
      <c r="Q1251" s="69" t="s">
        <v>51</v>
      </c>
      <c r="R1251" s="69"/>
      <c r="S1251" s="48">
        <v>44326</v>
      </c>
      <c r="T1251" s="48">
        <v>44326</v>
      </c>
      <c r="U1251" s="69"/>
      <c r="V1251" s="69"/>
      <c r="W1251" s="69"/>
      <c r="X1251" s="69"/>
      <c r="Y1251" s="69" t="s">
        <v>4128</v>
      </c>
      <c r="Z1251" s="52">
        <v>583975</v>
      </c>
      <c r="AA1251" s="43" t="s">
        <v>52</v>
      </c>
      <c r="AB1251" s="43" t="s">
        <v>53</v>
      </c>
      <c r="AC1251" s="85">
        <v>1460</v>
      </c>
      <c r="AD1251" s="141">
        <v>4</v>
      </c>
      <c r="AE1251" s="142">
        <v>0</v>
      </c>
      <c r="AF1251" s="69" t="str">
        <f t="shared" si="118"/>
        <v>3 years 237 days</v>
      </c>
      <c r="AG1251" s="69">
        <v>3</v>
      </c>
      <c r="AH1251" s="69">
        <v>237</v>
      </c>
      <c r="AI1251" s="69">
        <v>583975</v>
      </c>
      <c r="AJ1251" s="67">
        <v>532777</v>
      </c>
      <c r="AK1251" s="69">
        <v>2025</v>
      </c>
      <c r="AL1251" s="61">
        <v>51198</v>
      </c>
      <c r="AM1251" s="143"/>
    </row>
    <row r="1252" spans="1:39" x14ac:dyDescent="0.35">
      <c r="A1252" s="69" t="s">
        <v>4124</v>
      </c>
      <c r="B1252" s="41">
        <v>1121404439</v>
      </c>
      <c r="C1252" s="41"/>
      <c r="D1252" s="69"/>
      <c r="E1252" s="41">
        <v>0</v>
      </c>
      <c r="F1252" s="41" t="s">
        <v>2961</v>
      </c>
      <c r="G1252" s="69" t="s">
        <v>2960</v>
      </c>
      <c r="H1252" s="41">
        <v>9013000211</v>
      </c>
      <c r="I1252" s="41" t="s">
        <v>593</v>
      </c>
      <c r="J1252" s="41">
        <v>1202020101</v>
      </c>
      <c r="K1252" s="41"/>
      <c r="L1252" s="52" t="s">
        <v>3873</v>
      </c>
      <c r="M1252" s="69" t="s">
        <v>3874</v>
      </c>
      <c r="N1252" s="69"/>
      <c r="O1252" s="69">
        <v>1</v>
      </c>
      <c r="P1252" s="69" t="s">
        <v>50</v>
      </c>
      <c r="Q1252" s="69" t="s">
        <v>51</v>
      </c>
      <c r="R1252" s="69"/>
      <c r="S1252" s="48">
        <v>44343</v>
      </c>
      <c r="T1252" s="48">
        <v>44343</v>
      </c>
      <c r="U1252" s="69"/>
      <c r="V1252" s="69"/>
      <c r="W1252" s="69"/>
      <c r="X1252" s="69"/>
      <c r="Y1252" s="69" t="s">
        <v>4128</v>
      </c>
      <c r="Z1252" s="52">
        <v>180000</v>
      </c>
      <c r="AA1252" s="43" t="s">
        <v>52</v>
      </c>
      <c r="AB1252" s="43" t="s">
        <v>53</v>
      </c>
      <c r="AC1252" s="85">
        <v>1460</v>
      </c>
      <c r="AD1252" s="141">
        <v>4</v>
      </c>
      <c r="AE1252" s="142">
        <v>0</v>
      </c>
      <c r="AF1252" s="69" t="str">
        <f t="shared" si="118"/>
        <v>3 years 220 days</v>
      </c>
      <c r="AG1252" s="69">
        <v>3</v>
      </c>
      <c r="AH1252" s="69">
        <v>220</v>
      </c>
      <c r="AI1252" s="69">
        <v>180000</v>
      </c>
      <c r="AJ1252" s="67">
        <v>162123</v>
      </c>
      <c r="AK1252" s="69">
        <v>2025</v>
      </c>
      <c r="AL1252" s="61">
        <v>17877</v>
      </c>
      <c r="AM1252" s="143"/>
    </row>
    <row r="1253" spans="1:39" x14ac:dyDescent="0.35">
      <c r="A1253" s="69" t="s">
        <v>4124</v>
      </c>
      <c r="B1253" s="41">
        <v>1121103753</v>
      </c>
      <c r="C1253" s="41"/>
      <c r="D1253" s="69"/>
      <c r="E1253" s="41">
        <v>0</v>
      </c>
      <c r="F1253" s="41" t="s">
        <v>2961</v>
      </c>
      <c r="G1253" s="69" t="s">
        <v>2960</v>
      </c>
      <c r="H1253" s="41">
        <v>9013000211</v>
      </c>
      <c r="I1253" s="41" t="s">
        <v>593</v>
      </c>
      <c r="J1253" s="41">
        <v>1202020101</v>
      </c>
      <c r="K1253" s="41"/>
      <c r="L1253" s="52" t="s">
        <v>4065</v>
      </c>
      <c r="M1253" s="69" t="s">
        <v>4066</v>
      </c>
      <c r="N1253" s="69"/>
      <c r="O1253" s="69">
        <v>1</v>
      </c>
      <c r="P1253" s="69" t="s">
        <v>50</v>
      </c>
      <c r="Q1253" s="69" t="s">
        <v>51</v>
      </c>
      <c r="R1253" s="69"/>
      <c r="S1253" s="48">
        <v>44378</v>
      </c>
      <c r="T1253" s="48">
        <v>44378</v>
      </c>
      <c r="U1253" s="69"/>
      <c r="V1253" s="69"/>
      <c r="W1253" s="69"/>
      <c r="X1253" s="69"/>
      <c r="Y1253" s="69" t="s">
        <v>4128</v>
      </c>
      <c r="Z1253" s="52">
        <v>6460</v>
      </c>
      <c r="AA1253" s="43" t="s">
        <v>52</v>
      </c>
      <c r="AB1253" s="43" t="s">
        <v>53</v>
      </c>
      <c r="AC1253" s="85">
        <v>1460</v>
      </c>
      <c r="AD1253" s="141">
        <v>4</v>
      </c>
      <c r="AE1253" s="142">
        <v>0</v>
      </c>
      <c r="AF1253" s="69" t="str">
        <f t="shared" si="118"/>
        <v>3 years 185 days</v>
      </c>
      <c r="AG1253" s="69">
        <v>3</v>
      </c>
      <c r="AH1253" s="69">
        <v>185</v>
      </c>
      <c r="AI1253" s="69">
        <v>6460</v>
      </c>
      <c r="AJ1253" s="67">
        <v>5664</v>
      </c>
      <c r="AK1253" s="69">
        <v>2025</v>
      </c>
      <c r="AL1253" s="61">
        <v>796</v>
      </c>
      <c r="AM1253" s="143"/>
    </row>
    <row r="1254" spans="1:39" x14ac:dyDescent="0.35">
      <c r="A1254" s="69" t="s">
        <v>4124</v>
      </c>
      <c r="B1254" s="41">
        <v>1121103754</v>
      </c>
      <c r="C1254" s="41"/>
      <c r="D1254" s="69"/>
      <c r="E1254" s="41">
        <v>0</v>
      </c>
      <c r="F1254" s="41" t="s">
        <v>2961</v>
      </c>
      <c r="G1254" s="69" t="s">
        <v>2960</v>
      </c>
      <c r="H1254" s="41">
        <v>9013000211</v>
      </c>
      <c r="I1254" s="41" t="s">
        <v>593</v>
      </c>
      <c r="J1254" s="41">
        <v>1202020101</v>
      </c>
      <c r="K1254" s="41"/>
      <c r="L1254" s="52" t="s">
        <v>4068</v>
      </c>
      <c r="M1254" s="69" t="s">
        <v>4069</v>
      </c>
      <c r="N1254" s="69"/>
      <c r="O1254" s="69">
        <v>1</v>
      </c>
      <c r="P1254" s="69" t="s">
        <v>50</v>
      </c>
      <c r="Q1254" s="69" t="s">
        <v>51</v>
      </c>
      <c r="R1254" s="69"/>
      <c r="S1254" s="48">
        <v>44378</v>
      </c>
      <c r="T1254" s="48">
        <v>44378</v>
      </c>
      <c r="U1254" s="69"/>
      <c r="V1254" s="69"/>
      <c r="W1254" s="69"/>
      <c r="X1254" s="69"/>
      <c r="Y1254" s="69" t="s">
        <v>4128</v>
      </c>
      <c r="Z1254" s="52">
        <v>150000</v>
      </c>
      <c r="AA1254" s="43" t="s">
        <v>52</v>
      </c>
      <c r="AB1254" s="43" t="s">
        <v>53</v>
      </c>
      <c r="AC1254" s="85">
        <v>1460</v>
      </c>
      <c r="AD1254" s="141">
        <v>4</v>
      </c>
      <c r="AE1254" s="142">
        <v>0</v>
      </c>
      <c r="AF1254" s="69" t="str">
        <f t="shared" si="118"/>
        <v>3 years 185 days</v>
      </c>
      <c r="AG1254" s="69">
        <v>3</v>
      </c>
      <c r="AH1254" s="69">
        <v>185</v>
      </c>
      <c r="AI1254" s="69">
        <v>150000</v>
      </c>
      <c r="AJ1254" s="67">
        <v>131507</v>
      </c>
      <c r="AK1254" s="69">
        <v>2025</v>
      </c>
      <c r="AL1254" s="61">
        <v>18493</v>
      </c>
      <c r="AM1254" s="143"/>
    </row>
    <row r="1255" spans="1:39" x14ac:dyDescent="0.35">
      <c r="A1255" s="69" t="s">
        <v>4124</v>
      </c>
      <c r="B1255" s="41">
        <v>1121403819</v>
      </c>
      <c r="C1255" s="41"/>
      <c r="D1255" s="69"/>
      <c r="E1255" s="41">
        <v>0</v>
      </c>
      <c r="F1255" s="41" t="s">
        <v>2961</v>
      </c>
      <c r="G1255" s="69" t="s">
        <v>2960</v>
      </c>
      <c r="H1255" s="41">
        <v>9013000211</v>
      </c>
      <c r="I1255" s="41" t="s">
        <v>593</v>
      </c>
      <c r="J1255" s="41">
        <v>1202020101</v>
      </c>
      <c r="K1255" s="41"/>
      <c r="L1255" s="52" t="s">
        <v>3846</v>
      </c>
      <c r="M1255" s="69" t="s">
        <v>3847</v>
      </c>
      <c r="N1255" s="69"/>
      <c r="O1255" s="69">
        <v>1</v>
      </c>
      <c r="P1255" s="69" t="s">
        <v>50</v>
      </c>
      <c r="Q1255" s="69" t="s">
        <v>51</v>
      </c>
      <c r="R1255" s="69"/>
      <c r="S1255" s="48">
        <v>44434</v>
      </c>
      <c r="T1255" s="48">
        <v>44434</v>
      </c>
      <c r="U1255" s="69"/>
      <c r="V1255" s="69"/>
      <c r="W1255" s="69"/>
      <c r="X1255" s="69"/>
      <c r="Y1255" s="69" t="s">
        <v>4128</v>
      </c>
      <c r="Z1255" s="52">
        <v>385000</v>
      </c>
      <c r="AA1255" s="43" t="s">
        <v>52</v>
      </c>
      <c r="AB1255" s="43" t="s">
        <v>53</v>
      </c>
      <c r="AC1255" s="85">
        <v>1460</v>
      </c>
      <c r="AD1255" s="141">
        <v>4</v>
      </c>
      <c r="AE1255" s="142">
        <v>0</v>
      </c>
      <c r="AF1255" s="69" t="str">
        <f t="shared" si="118"/>
        <v>3 years 129 days</v>
      </c>
      <c r="AG1255" s="69">
        <v>3</v>
      </c>
      <c r="AH1255" s="69">
        <v>129</v>
      </c>
      <c r="AI1255" s="69">
        <v>385000</v>
      </c>
      <c r="AJ1255" s="67">
        <v>322767</v>
      </c>
      <c r="AK1255" s="69">
        <v>2025</v>
      </c>
      <c r="AL1255" s="61">
        <v>47729.575342465774</v>
      </c>
      <c r="AM1255" s="143"/>
    </row>
    <row r="1256" spans="1:39" x14ac:dyDescent="0.35">
      <c r="A1256" s="69" t="s">
        <v>4124</v>
      </c>
      <c r="B1256" s="41">
        <v>1121403823</v>
      </c>
      <c r="C1256" s="41"/>
      <c r="D1256" s="69"/>
      <c r="E1256" s="41">
        <v>0</v>
      </c>
      <c r="F1256" s="41" t="s">
        <v>2961</v>
      </c>
      <c r="G1256" s="69" t="s">
        <v>2960</v>
      </c>
      <c r="H1256" s="41">
        <v>9013000211</v>
      </c>
      <c r="I1256" s="41" t="s">
        <v>593</v>
      </c>
      <c r="J1256" s="41">
        <v>1202020101</v>
      </c>
      <c r="K1256" s="41"/>
      <c r="L1256" s="52" t="s">
        <v>3849</v>
      </c>
      <c r="M1256" s="69" t="s">
        <v>3850</v>
      </c>
      <c r="N1256" s="69"/>
      <c r="O1256" s="69">
        <v>1</v>
      </c>
      <c r="P1256" s="69" t="s">
        <v>50</v>
      </c>
      <c r="Q1256" s="69" t="s">
        <v>51</v>
      </c>
      <c r="R1256" s="69"/>
      <c r="S1256" s="48">
        <v>44436</v>
      </c>
      <c r="T1256" s="48">
        <v>44436</v>
      </c>
      <c r="U1256" s="69"/>
      <c r="V1256" s="69"/>
      <c r="W1256" s="69"/>
      <c r="X1256" s="69"/>
      <c r="Y1256" s="69" t="s">
        <v>4128</v>
      </c>
      <c r="Z1256" s="52">
        <v>353000</v>
      </c>
      <c r="AA1256" s="43" t="s">
        <v>52</v>
      </c>
      <c r="AB1256" s="43" t="s">
        <v>53</v>
      </c>
      <c r="AC1256" s="85">
        <v>1460</v>
      </c>
      <c r="AD1256" s="141">
        <v>4</v>
      </c>
      <c r="AE1256" s="142">
        <v>0</v>
      </c>
      <c r="AF1256" s="69" t="str">
        <f t="shared" si="118"/>
        <v>3 years 127 days</v>
      </c>
      <c r="AG1256" s="69">
        <v>3</v>
      </c>
      <c r="AH1256" s="69">
        <v>127</v>
      </c>
      <c r="AI1256" s="69">
        <v>353000</v>
      </c>
      <c r="AJ1256" s="67">
        <v>295456</v>
      </c>
      <c r="AK1256" s="69">
        <v>2025</v>
      </c>
      <c r="AL1256" s="61">
        <v>43762.493150684924</v>
      </c>
      <c r="AM1256" s="143"/>
    </row>
    <row r="1257" spans="1:39" x14ac:dyDescent="0.35">
      <c r="A1257" s="69" t="s">
        <v>4124</v>
      </c>
      <c r="B1257" s="41">
        <v>1121403828</v>
      </c>
      <c r="C1257" s="41"/>
      <c r="D1257" s="69"/>
      <c r="E1257" s="41">
        <v>0</v>
      </c>
      <c r="F1257" s="41" t="s">
        <v>2961</v>
      </c>
      <c r="G1257" s="69" t="s">
        <v>2960</v>
      </c>
      <c r="H1257" s="41">
        <v>9013000211</v>
      </c>
      <c r="I1257" s="41" t="s">
        <v>593</v>
      </c>
      <c r="J1257" s="41">
        <v>1202020101</v>
      </c>
      <c r="K1257" s="41"/>
      <c r="L1257" s="52" t="s">
        <v>3852</v>
      </c>
      <c r="M1257" s="69" t="s">
        <v>3853</v>
      </c>
      <c r="N1257" s="69"/>
      <c r="O1257" s="69">
        <v>1</v>
      </c>
      <c r="P1257" s="69" t="s">
        <v>50</v>
      </c>
      <c r="Q1257" s="69" t="s">
        <v>51</v>
      </c>
      <c r="R1257" s="69"/>
      <c r="S1257" s="48">
        <v>44438</v>
      </c>
      <c r="T1257" s="48">
        <v>44438</v>
      </c>
      <c r="U1257" s="69"/>
      <c r="V1257" s="69"/>
      <c r="W1257" s="69"/>
      <c r="X1257" s="69"/>
      <c r="Y1257" s="69" t="s">
        <v>4128</v>
      </c>
      <c r="Z1257" s="52">
        <v>20250</v>
      </c>
      <c r="AA1257" s="43" t="s">
        <v>52</v>
      </c>
      <c r="AB1257" s="43" t="s">
        <v>53</v>
      </c>
      <c r="AC1257" s="85">
        <v>1460</v>
      </c>
      <c r="AD1257" s="141">
        <v>4</v>
      </c>
      <c r="AE1257" s="142">
        <v>0</v>
      </c>
      <c r="AF1257" s="69" t="str">
        <f t="shared" si="118"/>
        <v>3 years 125 days</v>
      </c>
      <c r="AG1257" s="69">
        <v>3</v>
      </c>
      <c r="AH1257" s="69">
        <v>125</v>
      </c>
      <c r="AI1257" s="69">
        <v>20250</v>
      </c>
      <c r="AJ1257" s="67">
        <v>16921</v>
      </c>
      <c r="AK1257" s="69">
        <v>2025</v>
      </c>
      <c r="AL1257" s="61">
        <v>2510.6780821917819</v>
      </c>
      <c r="AM1257" s="143"/>
    </row>
    <row r="1258" spans="1:39" x14ac:dyDescent="0.35">
      <c r="A1258" s="69" t="s">
        <v>4124</v>
      </c>
      <c r="B1258" s="41">
        <v>1121504328</v>
      </c>
      <c r="C1258" s="41"/>
      <c r="D1258" s="69"/>
      <c r="E1258" s="41">
        <v>0</v>
      </c>
      <c r="F1258" s="41" t="s">
        <v>2961</v>
      </c>
      <c r="G1258" s="69" t="s">
        <v>2960</v>
      </c>
      <c r="H1258" s="41">
        <v>9013000211</v>
      </c>
      <c r="I1258" s="41" t="s">
        <v>593</v>
      </c>
      <c r="J1258" s="41">
        <v>1202020101</v>
      </c>
      <c r="K1258" s="41"/>
      <c r="L1258" s="52" t="s">
        <v>4094</v>
      </c>
      <c r="M1258" s="69" t="s">
        <v>4095</v>
      </c>
      <c r="N1258" s="69"/>
      <c r="O1258" s="69">
        <v>1</v>
      </c>
      <c r="P1258" s="69" t="s">
        <v>50</v>
      </c>
      <c r="Q1258" s="69" t="s">
        <v>51</v>
      </c>
      <c r="R1258" s="69"/>
      <c r="S1258" s="48">
        <v>44440</v>
      </c>
      <c r="T1258" s="48">
        <v>44440</v>
      </c>
      <c r="U1258" s="69"/>
      <c r="V1258" s="69"/>
      <c r="W1258" s="69"/>
      <c r="X1258" s="69"/>
      <c r="Y1258" s="69" t="s">
        <v>4128</v>
      </c>
      <c r="Z1258" s="52">
        <v>62500</v>
      </c>
      <c r="AA1258" s="43" t="s">
        <v>52</v>
      </c>
      <c r="AB1258" s="43" t="s">
        <v>53</v>
      </c>
      <c r="AC1258" s="85">
        <v>1460</v>
      </c>
      <c r="AD1258" s="141">
        <v>4</v>
      </c>
      <c r="AE1258" s="142">
        <v>0</v>
      </c>
      <c r="AF1258" s="69" t="str">
        <f t="shared" si="118"/>
        <v>3 years 123 days</v>
      </c>
      <c r="AG1258" s="69">
        <v>3</v>
      </c>
      <c r="AH1258" s="69">
        <v>123</v>
      </c>
      <c r="AI1258" s="69">
        <v>62500</v>
      </c>
      <c r="AJ1258" s="67">
        <v>52140</v>
      </c>
      <c r="AK1258" s="69">
        <v>2025</v>
      </c>
      <c r="AL1258" s="61">
        <v>7748.6986301369834</v>
      </c>
      <c r="AM1258" s="143"/>
    </row>
    <row r="1259" spans="1:39" x14ac:dyDescent="0.35">
      <c r="A1259" s="69" t="s">
        <v>4124</v>
      </c>
      <c r="B1259" s="41">
        <v>1121403924</v>
      </c>
      <c r="C1259" s="41"/>
      <c r="D1259" s="69"/>
      <c r="E1259" s="41">
        <v>0</v>
      </c>
      <c r="F1259" s="41" t="s">
        <v>2961</v>
      </c>
      <c r="G1259" s="69" t="s">
        <v>2960</v>
      </c>
      <c r="H1259" s="41">
        <v>9013000211</v>
      </c>
      <c r="I1259" s="41" t="s">
        <v>593</v>
      </c>
      <c r="J1259" s="41">
        <v>1202020101</v>
      </c>
      <c r="K1259" s="41"/>
      <c r="L1259" s="52" t="s">
        <v>3855</v>
      </c>
      <c r="M1259" s="69" t="s">
        <v>3856</v>
      </c>
      <c r="N1259" s="69"/>
      <c r="O1259" s="69">
        <v>1</v>
      </c>
      <c r="P1259" s="69" t="s">
        <v>50</v>
      </c>
      <c r="Q1259" s="69" t="s">
        <v>51</v>
      </c>
      <c r="R1259" s="69"/>
      <c r="S1259" s="48">
        <v>44531</v>
      </c>
      <c r="T1259" s="48">
        <v>44531</v>
      </c>
      <c r="U1259" s="69"/>
      <c r="V1259" s="69"/>
      <c r="W1259" s="69"/>
      <c r="X1259" s="69"/>
      <c r="Y1259" s="69" t="s">
        <v>4128</v>
      </c>
      <c r="Z1259" s="52">
        <v>89640</v>
      </c>
      <c r="AA1259" s="43" t="s">
        <v>52</v>
      </c>
      <c r="AB1259" s="43" t="s">
        <v>53</v>
      </c>
      <c r="AC1259" s="85">
        <v>1460</v>
      </c>
      <c r="AD1259" s="141">
        <v>4</v>
      </c>
      <c r="AE1259" s="142">
        <v>0</v>
      </c>
      <c r="AF1259" s="69" t="str">
        <f t="shared" si="118"/>
        <v>3 years 32 days</v>
      </c>
      <c r="AG1259" s="69">
        <v>3</v>
      </c>
      <c r="AH1259" s="69">
        <v>32</v>
      </c>
      <c r="AI1259" s="69">
        <v>89640</v>
      </c>
      <c r="AJ1259" s="67">
        <v>69195</v>
      </c>
      <c r="AK1259" s="69">
        <v>2025</v>
      </c>
      <c r="AL1259" s="61">
        <v>11112.616438356155</v>
      </c>
      <c r="AM1259" s="143"/>
    </row>
    <row r="1260" spans="1:39" x14ac:dyDescent="0.35">
      <c r="A1260" s="69" t="s">
        <v>4124</v>
      </c>
      <c r="B1260" s="41">
        <v>1121403925</v>
      </c>
      <c r="C1260" s="41"/>
      <c r="D1260" s="69"/>
      <c r="E1260" s="41">
        <v>0</v>
      </c>
      <c r="F1260" s="41" t="s">
        <v>2961</v>
      </c>
      <c r="G1260" s="69" t="s">
        <v>2960</v>
      </c>
      <c r="H1260" s="41">
        <v>9013000211</v>
      </c>
      <c r="I1260" s="41" t="s">
        <v>593</v>
      </c>
      <c r="J1260" s="41">
        <v>1202020101</v>
      </c>
      <c r="K1260" s="41"/>
      <c r="L1260" s="52" t="s">
        <v>3858</v>
      </c>
      <c r="M1260" s="69" t="s">
        <v>3859</v>
      </c>
      <c r="N1260" s="69"/>
      <c r="O1260" s="69">
        <v>1</v>
      </c>
      <c r="P1260" s="69" t="s">
        <v>50</v>
      </c>
      <c r="Q1260" s="69" t="s">
        <v>51</v>
      </c>
      <c r="R1260" s="69"/>
      <c r="S1260" s="48">
        <v>44531</v>
      </c>
      <c r="T1260" s="48">
        <v>44531</v>
      </c>
      <c r="U1260" s="69"/>
      <c r="V1260" s="69"/>
      <c r="W1260" s="69"/>
      <c r="X1260" s="69"/>
      <c r="Y1260" s="69" t="s">
        <v>4128</v>
      </c>
      <c r="Z1260" s="52">
        <v>30150</v>
      </c>
      <c r="AA1260" s="43" t="s">
        <v>52</v>
      </c>
      <c r="AB1260" s="43" t="s">
        <v>53</v>
      </c>
      <c r="AC1260" s="85">
        <v>1460</v>
      </c>
      <c r="AD1260" s="141">
        <v>4</v>
      </c>
      <c r="AE1260" s="142">
        <v>0</v>
      </c>
      <c r="AF1260" s="69" t="str">
        <f t="shared" si="118"/>
        <v>3 years 32 days</v>
      </c>
      <c r="AG1260" s="69">
        <v>3</v>
      </c>
      <c r="AH1260" s="69">
        <v>32</v>
      </c>
      <c r="AI1260" s="69">
        <v>30150</v>
      </c>
      <c r="AJ1260" s="67">
        <v>23273</v>
      </c>
      <c r="AK1260" s="69">
        <v>2025</v>
      </c>
      <c r="AL1260" s="61">
        <v>3738.0958904109611</v>
      </c>
      <c r="AM1260" s="143"/>
    </row>
    <row r="1261" spans="1:39" x14ac:dyDescent="0.35">
      <c r="A1261" s="69" t="s">
        <v>4124</v>
      </c>
      <c r="B1261" s="41">
        <v>1121404027</v>
      </c>
      <c r="C1261" s="41"/>
      <c r="D1261" s="69"/>
      <c r="E1261" s="41">
        <v>0</v>
      </c>
      <c r="F1261" s="41" t="s">
        <v>2961</v>
      </c>
      <c r="G1261" s="69" t="s">
        <v>2960</v>
      </c>
      <c r="H1261" s="41">
        <v>9013000211</v>
      </c>
      <c r="I1261" s="41" t="s">
        <v>593</v>
      </c>
      <c r="J1261" s="41">
        <v>1202020101</v>
      </c>
      <c r="K1261" s="41"/>
      <c r="L1261" s="52" t="s">
        <v>3861</v>
      </c>
      <c r="M1261" s="69" t="s">
        <v>3862</v>
      </c>
      <c r="N1261" s="69"/>
      <c r="O1261" s="69">
        <v>1</v>
      </c>
      <c r="P1261" s="69" t="s">
        <v>50</v>
      </c>
      <c r="Q1261" s="69" t="s">
        <v>51</v>
      </c>
      <c r="R1261" s="69"/>
      <c r="S1261" s="48">
        <v>44621</v>
      </c>
      <c r="T1261" s="48">
        <v>44621</v>
      </c>
      <c r="U1261" s="69"/>
      <c r="V1261" s="69"/>
      <c r="W1261" s="69"/>
      <c r="X1261" s="69"/>
      <c r="Y1261" s="69" t="s">
        <v>4131</v>
      </c>
      <c r="Z1261" s="52">
        <v>320000</v>
      </c>
      <c r="AA1261" s="43" t="s">
        <v>52</v>
      </c>
      <c r="AB1261" s="43" t="s">
        <v>53</v>
      </c>
      <c r="AC1261" s="85">
        <v>1460</v>
      </c>
      <c r="AD1261" s="141">
        <v>4</v>
      </c>
      <c r="AE1261" s="142">
        <v>0</v>
      </c>
      <c r="AF1261" s="69" t="str">
        <f t="shared" si="118"/>
        <v>2 years 307 days</v>
      </c>
      <c r="AG1261" s="69">
        <v>2</v>
      </c>
      <c r="AH1261" s="69">
        <v>307</v>
      </c>
      <c r="AI1261" s="69">
        <v>320000</v>
      </c>
      <c r="AJ1261" s="67">
        <v>223211</v>
      </c>
      <c r="AK1261" s="69">
        <v>2025</v>
      </c>
      <c r="AL1261" s="61">
        <v>39671.191780821886</v>
      </c>
      <c r="AM1261" s="143"/>
    </row>
    <row r="1262" spans="1:39" x14ac:dyDescent="0.35">
      <c r="A1262" s="69" t="s">
        <v>4124</v>
      </c>
      <c r="B1262" s="41">
        <v>1121404028</v>
      </c>
      <c r="C1262" s="41"/>
      <c r="D1262" s="69"/>
      <c r="E1262" s="41">
        <v>0</v>
      </c>
      <c r="F1262" s="41" t="s">
        <v>2961</v>
      </c>
      <c r="G1262" s="69" t="s">
        <v>2960</v>
      </c>
      <c r="H1262" s="41">
        <v>9013000211</v>
      </c>
      <c r="I1262" s="41" t="s">
        <v>593</v>
      </c>
      <c r="J1262" s="41">
        <v>1202020101</v>
      </c>
      <c r="K1262" s="41"/>
      <c r="L1262" s="52" t="s">
        <v>3864</v>
      </c>
      <c r="M1262" s="69" t="s">
        <v>3865</v>
      </c>
      <c r="N1262" s="69"/>
      <c r="O1262" s="69">
        <v>1</v>
      </c>
      <c r="P1262" s="69" t="s">
        <v>50</v>
      </c>
      <c r="Q1262" s="69" t="s">
        <v>51</v>
      </c>
      <c r="R1262" s="69"/>
      <c r="S1262" s="48">
        <v>44621</v>
      </c>
      <c r="T1262" s="48">
        <v>44621</v>
      </c>
      <c r="U1262" s="69"/>
      <c r="V1262" s="69"/>
      <c r="W1262" s="69"/>
      <c r="X1262" s="69"/>
      <c r="Y1262" s="69" t="s">
        <v>4131</v>
      </c>
      <c r="Z1262" s="52">
        <v>320000</v>
      </c>
      <c r="AA1262" s="43" t="s">
        <v>52</v>
      </c>
      <c r="AB1262" s="43" t="s">
        <v>53</v>
      </c>
      <c r="AC1262" s="85">
        <v>1460</v>
      </c>
      <c r="AD1262" s="141">
        <v>4</v>
      </c>
      <c r="AE1262" s="142">
        <v>0</v>
      </c>
      <c r="AF1262" s="69" t="str">
        <f t="shared" si="118"/>
        <v>2 years 307 days</v>
      </c>
      <c r="AG1262" s="69">
        <v>2</v>
      </c>
      <c r="AH1262" s="69">
        <v>307</v>
      </c>
      <c r="AI1262" s="69">
        <v>320000</v>
      </c>
      <c r="AJ1262" s="67">
        <v>223211</v>
      </c>
      <c r="AK1262" s="69">
        <v>2025</v>
      </c>
      <c r="AL1262" s="61">
        <v>39671.191780821886</v>
      </c>
      <c r="AM1262" s="143"/>
    </row>
    <row r="1263" spans="1:39" x14ac:dyDescent="0.35">
      <c r="A1263" s="69" t="s">
        <v>4124</v>
      </c>
      <c r="B1263" s="41">
        <v>1101104039</v>
      </c>
      <c r="C1263" s="41"/>
      <c r="D1263" s="69"/>
      <c r="E1263" s="41">
        <v>0</v>
      </c>
      <c r="F1263" s="41" t="s">
        <v>2961</v>
      </c>
      <c r="G1263" s="69" t="s">
        <v>2960</v>
      </c>
      <c r="H1263" s="41">
        <v>9013000211</v>
      </c>
      <c r="I1263" s="41" t="s">
        <v>593</v>
      </c>
      <c r="J1263" s="41">
        <v>1202020101</v>
      </c>
      <c r="K1263" s="41"/>
      <c r="L1263" s="52" t="s">
        <v>4071</v>
      </c>
      <c r="M1263" s="69" t="s">
        <v>4072</v>
      </c>
      <c r="N1263" s="69"/>
      <c r="O1263" s="69">
        <v>1</v>
      </c>
      <c r="P1263" s="69" t="s">
        <v>50</v>
      </c>
      <c r="Q1263" s="69" t="s">
        <v>51</v>
      </c>
      <c r="R1263" s="69"/>
      <c r="S1263" s="48">
        <v>44622</v>
      </c>
      <c r="T1263" s="48">
        <v>44622</v>
      </c>
      <c r="U1263" s="69"/>
      <c r="V1263" s="69"/>
      <c r="W1263" s="69"/>
      <c r="X1263" s="69"/>
      <c r="Y1263" s="69" t="s">
        <v>4131</v>
      </c>
      <c r="Z1263" s="52">
        <v>626724</v>
      </c>
      <c r="AA1263" s="43" t="s">
        <v>52</v>
      </c>
      <c r="AB1263" s="43" t="s">
        <v>53</v>
      </c>
      <c r="AC1263" s="85">
        <v>3650</v>
      </c>
      <c r="AD1263" s="141">
        <v>10</v>
      </c>
      <c r="AE1263" s="142">
        <v>0</v>
      </c>
      <c r="AF1263" s="69" t="str">
        <f t="shared" si="118"/>
        <v>2 years 306 days</v>
      </c>
      <c r="AG1263" s="69">
        <v>2</v>
      </c>
      <c r="AH1263" s="69">
        <v>306</v>
      </c>
      <c r="AI1263" s="69">
        <v>626724</v>
      </c>
      <c r="AJ1263" s="67">
        <v>177887</v>
      </c>
      <c r="AK1263" s="69">
        <v>2025</v>
      </c>
      <c r="AL1263" s="61">
        <v>31078.235068493144</v>
      </c>
      <c r="AM1263" s="143"/>
    </row>
    <row r="1264" spans="1:39" x14ac:dyDescent="0.35">
      <c r="A1264" s="69" t="s">
        <v>4124</v>
      </c>
      <c r="B1264" s="41">
        <v>1121504315</v>
      </c>
      <c r="C1264" s="41"/>
      <c r="D1264" s="69"/>
      <c r="E1264" s="41">
        <v>0</v>
      </c>
      <c r="F1264" s="41" t="s">
        <v>2961</v>
      </c>
      <c r="G1264" s="69" t="s">
        <v>2960</v>
      </c>
      <c r="H1264" s="41">
        <v>9013000211</v>
      </c>
      <c r="I1264" s="41" t="s">
        <v>593</v>
      </c>
      <c r="J1264" s="41">
        <v>1202020101</v>
      </c>
      <c r="K1264" s="41"/>
      <c r="L1264" s="52" t="s">
        <v>4077</v>
      </c>
      <c r="M1264" s="69" t="s">
        <v>4078</v>
      </c>
      <c r="N1264" s="69"/>
      <c r="O1264" s="69">
        <v>1</v>
      </c>
      <c r="P1264" s="69" t="s">
        <v>50</v>
      </c>
      <c r="Q1264" s="69" t="s">
        <v>51</v>
      </c>
      <c r="R1264" s="69"/>
      <c r="S1264" s="48">
        <v>44652</v>
      </c>
      <c r="T1264" s="48">
        <v>44652</v>
      </c>
      <c r="U1264" s="69"/>
      <c r="V1264" s="69"/>
      <c r="W1264" s="69"/>
      <c r="X1264" s="69"/>
      <c r="Y1264" s="69" t="s">
        <v>4131</v>
      </c>
      <c r="Z1264" s="52">
        <v>320000</v>
      </c>
      <c r="AA1264" s="43" t="s">
        <v>52</v>
      </c>
      <c r="AB1264" s="43" t="s">
        <v>53</v>
      </c>
      <c r="AC1264" s="85">
        <v>1460</v>
      </c>
      <c r="AD1264" s="141">
        <v>4</v>
      </c>
      <c r="AE1264" s="142">
        <v>0</v>
      </c>
      <c r="AF1264" s="69" t="str">
        <f t="shared" si="118"/>
        <v>2 years 276 days</v>
      </c>
      <c r="AG1264" s="69">
        <v>2</v>
      </c>
      <c r="AH1264" s="69">
        <v>276</v>
      </c>
      <c r="AI1264" s="69">
        <v>320000</v>
      </c>
      <c r="AJ1264" s="67">
        <v>220493</v>
      </c>
      <c r="AK1264" s="69">
        <v>2025</v>
      </c>
      <c r="AL1264" s="61">
        <v>39671.383561643859</v>
      </c>
      <c r="AM1264" s="143"/>
    </row>
    <row r="1265" spans="1:39" x14ac:dyDescent="0.35">
      <c r="A1265" s="69" t="s">
        <v>4124</v>
      </c>
      <c r="B1265" s="41">
        <v>1121204082</v>
      </c>
      <c r="C1265" s="41"/>
      <c r="D1265" s="69"/>
      <c r="E1265" s="41">
        <v>0</v>
      </c>
      <c r="F1265" s="41" t="s">
        <v>2961</v>
      </c>
      <c r="G1265" s="69" t="s">
        <v>2960</v>
      </c>
      <c r="H1265" s="41">
        <v>9013000211</v>
      </c>
      <c r="I1265" s="41" t="s">
        <v>593</v>
      </c>
      <c r="J1265" s="41">
        <v>1202020101</v>
      </c>
      <c r="K1265" s="41"/>
      <c r="L1265" s="52" t="s">
        <v>3961</v>
      </c>
      <c r="M1265" s="69" t="s">
        <v>3962</v>
      </c>
      <c r="N1265" s="69"/>
      <c r="O1265" s="69">
        <v>1</v>
      </c>
      <c r="P1265" s="69" t="s">
        <v>50</v>
      </c>
      <c r="Q1265" s="69" t="s">
        <v>51</v>
      </c>
      <c r="R1265" s="69"/>
      <c r="S1265" s="48">
        <v>44682</v>
      </c>
      <c r="T1265" s="48">
        <v>44682</v>
      </c>
      <c r="U1265" s="69"/>
      <c r="V1265" s="69"/>
      <c r="W1265" s="69"/>
      <c r="X1265" s="69"/>
      <c r="Y1265" s="69" t="s">
        <v>4131</v>
      </c>
      <c r="Z1265" s="52">
        <v>88000</v>
      </c>
      <c r="AA1265" s="43" t="s">
        <v>52</v>
      </c>
      <c r="AB1265" s="43" t="s">
        <v>53</v>
      </c>
      <c r="AC1265" s="85">
        <v>1460</v>
      </c>
      <c r="AD1265" s="141">
        <v>4</v>
      </c>
      <c r="AE1265" s="142">
        <v>0</v>
      </c>
      <c r="AF1265" s="69" t="str">
        <f t="shared" si="118"/>
        <v>2 years 246 days</v>
      </c>
      <c r="AG1265" s="69">
        <v>2</v>
      </c>
      <c r="AH1265" s="69">
        <v>246</v>
      </c>
      <c r="AI1265" s="69">
        <v>88000</v>
      </c>
      <c r="AJ1265" s="67">
        <v>58827</v>
      </c>
      <c r="AK1265" s="69">
        <v>2025</v>
      </c>
      <c r="AL1265" s="61">
        <v>10909.986301369863</v>
      </c>
      <c r="AM1265" s="143"/>
    </row>
    <row r="1266" spans="1:39" x14ac:dyDescent="0.35">
      <c r="A1266" s="69" t="s">
        <v>4124</v>
      </c>
      <c r="B1266" s="41">
        <v>1121204094</v>
      </c>
      <c r="C1266" s="41"/>
      <c r="D1266" s="69"/>
      <c r="E1266" s="41">
        <v>0</v>
      </c>
      <c r="F1266" s="41" t="s">
        <v>2961</v>
      </c>
      <c r="G1266" s="69" t="s">
        <v>2960</v>
      </c>
      <c r="H1266" s="41">
        <v>9013000211</v>
      </c>
      <c r="I1266" s="41" t="s">
        <v>593</v>
      </c>
      <c r="J1266" s="41">
        <v>1202020101</v>
      </c>
      <c r="K1266" s="41"/>
      <c r="L1266" s="52" t="s">
        <v>3964</v>
      </c>
      <c r="M1266" s="69" t="s">
        <v>3965</v>
      </c>
      <c r="N1266" s="69"/>
      <c r="O1266" s="69">
        <v>1</v>
      </c>
      <c r="P1266" s="69" t="s">
        <v>50</v>
      </c>
      <c r="Q1266" s="69" t="s">
        <v>51</v>
      </c>
      <c r="R1266" s="69"/>
      <c r="S1266" s="48">
        <v>44690</v>
      </c>
      <c r="T1266" s="48">
        <v>44690</v>
      </c>
      <c r="U1266" s="69"/>
      <c r="V1266" s="69"/>
      <c r="W1266" s="69"/>
      <c r="X1266" s="69"/>
      <c r="Y1266" s="69" t="s">
        <v>4131</v>
      </c>
      <c r="Z1266" s="52">
        <v>142000</v>
      </c>
      <c r="AA1266" s="43" t="s">
        <v>52</v>
      </c>
      <c r="AB1266" s="43" t="s">
        <v>53</v>
      </c>
      <c r="AC1266" s="85">
        <v>1460</v>
      </c>
      <c r="AD1266" s="141">
        <v>4</v>
      </c>
      <c r="AE1266" s="142">
        <v>0</v>
      </c>
      <c r="AF1266" s="69" t="str">
        <f t="shared" si="118"/>
        <v>2 years 238 days</v>
      </c>
      <c r="AG1266" s="69">
        <v>2</v>
      </c>
      <c r="AH1266" s="69">
        <v>238</v>
      </c>
      <c r="AI1266" s="69">
        <v>142000</v>
      </c>
      <c r="AJ1266" s="67">
        <v>94148</v>
      </c>
      <c r="AK1266" s="69">
        <v>2025</v>
      </c>
      <c r="AL1266" s="61">
        <v>17604.054794520562</v>
      </c>
      <c r="AM1266" s="143"/>
    </row>
    <row r="1267" spans="1:39" x14ac:dyDescent="0.35">
      <c r="A1267" s="69" t="s">
        <v>4124</v>
      </c>
      <c r="B1267" s="41">
        <v>1101404099</v>
      </c>
      <c r="C1267" s="41"/>
      <c r="D1267" s="69"/>
      <c r="E1267" s="41">
        <v>0</v>
      </c>
      <c r="F1267" s="41" t="s">
        <v>2961</v>
      </c>
      <c r="G1267" s="69" t="s">
        <v>2960</v>
      </c>
      <c r="H1267" s="41">
        <v>9013000211</v>
      </c>
      <c r="I1267" s="41" t="s">
        <v>593</v>
      </c>
      <c r="J1267" s="41">
        <v>1202020101</v>
      </c>
      <c r="K1267" s="41"/>
      <c r="L1267" s="52" t="s">
        <v>3867</v>
      </c>
      <c r="M1267" s="69" t="s">
        <v>3868</v>
      </c>
      <c r="N1267" s="69"/>
      <c r="O1267" s="69">
        <v>2</v>
      </c>
      <c r="P1267" s="69" t="s">
        <v>50</v>
      </c>
      <c r="Q1267" s="69" t="s">
        <v>51</v>
      </c>
      <c r="R1267" s="69"/>
      <c r="S1267" s="48">
        <v>44693</v>
      </c>
      <c r="T1267" s="48">
        <v>44693</v>
      </c>
      <c r="U1267" s="69"/>
      <c r="V1267" s="69"/>
      <c r="W1267" s="69"/>
      <c r="X1267" s="69"/>
      <c r="Y1267" s="69" t="s">
        <v>4131</v>
      </c>
      <c r="Z1267" s="52">
        <v>560948</v>
      </c>
      <c r="AA1267" s="43" t="s">
        <v>52</v>
      </c>
      <c r="AB1267" s="43" t="s">
        <v>53</v>
      </c>
      <c r="AC1267" s="85">
        <v>3650</v>
      </c>
      <c r="AD1267" s="141">
        <v>10</v>
      </c>
      <c r="AE1267" s="142">
        <v>0</v>
      </c>
      <c r="AF1267" s="69" t="str">
        <f t="shared" si="118"/>
        <v>2 years 235 days</v>
      </c>
      <c r="AG1267" s="69">
        <v>2</v>
      </c>
      <c r="AH1267" s="69">
        <v>235</v>
      </c>
      <c r="AI1267" s="69">
        <v>560948</v>
      </c>
      <c r="AJ1267" s="67">
        <v>148305</v>
      </c>
      <c r="AK1267" s="69">
        <v>2025</v>
      </c>
      <c r="AL1267" s="61">
        <v>27817.303561643843</v>
      </c>
      <c r="AM1267" s="143"/>
    </row>
    <row r="1268" spans="1:39" x14ac:dyDescent="0.35">
      <c r="A1268" s="69" t="s">
        <v>4124</v>
      </c>
      <c r="B1268" s="41">
        <v>1101104123</v>
      </c>
      <c r="C1268" s="41"/>
      <c r="D1268" s="69"/>
      <c r="E1268" s="41">
        <v>0</v>
      </c>
      <c r="F1268" s="41" t="s">
        <v>2961</v>
      </c>
      <c r="G1268" s="69" t="s">
        <v>2960</v>
      </c>
      <c r="H1268" s="41">
        <v>9013000211</v>
      </c>
      <c r="I1268" s="41" t="s">
        <v>593</v>
      </c>
      <c r="J1268" s="41">
        <v>1202020101</v>
      </c>
      <c r="K1268" s="41"/>
      <c r="L1268" s="52" t="s">
        <v>4074</v>
      </c>
      <c r="M1268" s="69" t="s">
        <v>4075</v>
      </c>
      <c r="N1268" s="69"/>
      <c r="O1268" s="69">
        <v>1</v>
      </c>
      <c r="P1268" s="69" t="s">
        <v>50</v>
      </c>
      <c r="Q1268" s="69" t="s">
        <v>51</v>
      </c>
      <c r="R1268" s="69"/>
      <c r="S1268" s="48">
        <v>44713</v>
      </c>
      <c r="T1268" s="48">
        <v>44713</v>
      </c>
      <c r="U1268" s="69"/>
      <c r="V1268" s="69"/>
      <c r="W1268" s="69"/>
      <c r="X1268" s="69"/>
      <c r="Y1268" s="69" t="s">
        <v>4131</v>
      </c>
      <c r="Z1268" s="52">
        <v>609800</v>
      </c>
      <c r="AA1268" s="43" t="s">
        <v>52</v>
      </c>
      <c r="AB1268" s="43" t="s">
        <v>53</v>
      </c>
      <c r="AC1268" s="85">
        <v>3650</v>
      </c>
      <c r="AD1268" s="141">
        <v>10</v>
      </c>
      <c r="AE1268" s="142">
        <v>0</v>
      </c>
      <c r="AF1268" s="69" t="str">
        <f t="shared" si="118"/>
        <v>2 years 215 days</v>
      </c>
      <c r="AG1268" s="69">
        <v>2</v>
      </c>
      <c r="AH1268" s="69">
        <v>215</v>
      </c>
      <c r="AI1268" s="69">
        <v>609800</v>
      </c>
      <c r="AJ1268" s="67">
        <v>157880</v>
      </c>
      <c r="AK1268" s="69">
        <v>2025</v>
      </c>
      <c r="AL1268" s="61">
        <v>30239.123287671246</v>
      </c>
      <c r="AM1268" s="143"/>
    </row>
    <row r="1269" spans="1:39" x14ac:dyDescent="0.35">
      <c r="A1269" s="69" t="s">
        <v>4124</v>
      </c>
      <c r="B1269" s="41">
        <v>1121404184</v>
      </c>
      <c r="C1269" s="41"/>
      <c r="D1269" s="69"/>
      <c r="E1269" s="41">
        <v>0</v>
      </c>
      <c r="F1269" s="41" t="s">
        <v>2961</v>
      </c>
      <c r="G1269" s="69" t="s">
        <v>2960</v>
      </c>
      <c r="H1269" s="41">
        <v>9013000211</v>
      </c>
      <c r="I1269" s="41" t="s">
        <v>593</v>
      </c>
      <c r="J1269" s="41">
        <v>1202020101</v>
      </c>
      <c r="K1269" s="41"/>
      <c r="L1269" s="52" t="s">
        <v>3870</v>
      </c>
      <c r="M1269" s="69" t="s">
        <v>3871</v>
      </c>
      <c r="N1269" s="69"/>
      <c r="O1269" s="69">
        <v>1</v>
      </c>
      <c r="P1269" s="69" t="s">
        <v>50</v>
      </c>
      <c r="Q1269" s="69" t="s">
        <v>51</v>
      </c>
      <c r="R1269" s="69"/>
      <c r="S1269" s="48">
        <v>44822</v>
      </c>
      <c r="T1269" s="48">
        <v>44822</v>
      </c>
      <c r="U1269" s="69"/>
      <c r="V1269" s="69"/>
      <c r="W1269" s="69"/>
      <c r="X1269" s="69"/>
      <c r="Y1269" s="69" t="s">
        <v>4131</v>
      </c>
      <c r="Z1269" s="52">
        <v>143000</v>
      </c>
      <c r="AA1269" s="43" t="s">
        <v>52</v>
      </c>
      <c r="AB1269" s="43" t="s">
        <v>53</v>
      </c>
      <c r="AC1269" s="85">
        <v>1460</v>
      </c>
      <c r="AD1269" s="141">
        <v>4</v>
      </c>
      <c r="AE1269" s="142">
        <v>0</v>
      </c>
      <c r="AF1269" s="69" t="str">
        <f t="shared" si="118"/>
        <v>2 years 106 days</v>
      </c>
      <c r="AG1269" s="69">
        <v>2</v>
      </c>
      <c r="AH1269" s="69">
        <v>106</v>
      </c>
      <c r="AI1269" s="69">
        <v>143000</v>
      </c>
      <c r="AJ1269" s="67">
        <v>81882</v>
      </c>
      <c r="AK1269" s="69">
        <v>2025</v>
      </c>
      <c r="AL1269" s="61">
        <v>17728.273972602736</v>
      </c>
      <c r="AM1269" s="143"/>
    </row>
    <row r="1270" spans="1:39" x14ac:dyDescent="0.35">
      <c r="A1270" s="69" t="s">
        <v>4124</v>
      </c>
      <c r="B1270" s="41">
        <v>1121404488</v>
      </c>
      <c r="C1270" s="41"/>
      <c r="D1270" s="69"/>
      <c r="E1270" s="41">
        <v>0</v>
      </c>
      <c r="F1270" s="41" t="s">
        <v>2961</v>
      </c>
      <c r="G1270" s="69" t="s">
        <v>2960</v>
      </c>
      <c r="H1270" s="41">
        <v>9013000211</v>
      </c>
      <c r="I1270" s="41" t="s">
        <v>593</v>
      </c>
      <c r="J1270" s="41">
        <v>1202020101</v>
      </c>
      <c r="K1270" s="41"/>
      <c r="L1270" s="52" t="s">
        <v>3876</v>
      </c>
      <c r="M1270" s="69" t="s">
        <v>3877</v>
      </c>
      <c r="N1270" s="69"/>
      <c r="O1270" s="69">
        <v>1</v>
      </c>
      <c r="P1270" s="69" t="s">
        <v>50</v>
      </c>
      <c r="Q1270" s="69" t="s">
        <v>51</v>
      </c>
      <c r="R1270" s="69"/>
      <c r="S1270" s="48">
        <v>44896</v>
      </c>
      <c r="T1270" s="48">
        <v>44896</v>
      </c>
      <c r="U1270" s="69"/>
      <c r="V1270" s="69"/>
      <c r="W1270" s="69"/>
      <c r="X1270" s="69"/>
      <c r="Y1270" s="69" t="s">
        <v>4131</v>
      </c>
      <c r="Z1270" s="52">
        <v>59912</v>
      </c>
      <c r="AA1270" s="43" t="s">
        <v>52</v>
      </c>
      <c r="AB1270" s="43" t="s">
        <v>53</v>
      </c>
      <c r="AC1270" s="85">
        <v>1460</v>
      </c>
      <c r="AD1270" s="141">
        <v>4</v>
      </c>
      <c r="AE1270" s="142">
        <v>0</v>
      </c>
      <c r="AF1270" s="69" t="str">
        <f t="shared" si="118"/>
        <v>2 years 32 days</v>
      </c>
      <c r="AG1270" s="69">
        <v>2</v>
      </c>
      <c r="AH1270" s="69">
        <v>32</v>
      </c>
      <c r="AI1270" s="69">
        <v>59912</v>
      </c>
      <c r="AJ1270" s="67">
        <v>31269</v>
      </c>
      <c r="AK1270" s="69">
        <v>2025</v>
      </c>
      <c r="AL1270" s="61">
        <v>7427.5863013698545</v>
      </c>
      <c r="AM1270" s="143"/>
    </row>
    <row r="1271" spans="1:39" x14ac:dyDescent="0.35">
      <c r="A1271" s="69" t="s">
        <v>4124</v>
      </c>
      <c r="B1271" s="41">
        <v>1121404498</v>
      </c>
      <c r="C1271" s="41"/>
      <c r="D1271" s="69"/>
      <c r="E1271" s="41">
        <v>0</v>
      </c>
      <c r="F1271" s="41" t="s">
        <v>2961</v>
      </c>
      <c r="G1271" s="69" t="s">
        <v>2960</v>
      </c>
      <c r="H1271" s="41">
        <v>9013000211</v>
      </c>
      <c r="I1271" s="41" t="s">
        <v>593</v>
      </c>
      <c r="J1271" s="41">
        <v>1202020101</v>
      </c>
      <c r="K1271" s="41"/>
      <c r="L1271" s="52" t="s">
        <v>3879</v>
      </c>
      <c r="M1271" s="69" t="s">
        <v>3880</v>
      </c>
      <c r="N1271" s="69"/>
      <c r="O1271" s="69">
        <v>1</v>
      </c>
      <c r="P1271" s="69" t="s">
        <v>50</v>
      </c>
      <c r="Q1271" s="69" t="s">
        <v>51</v>
      </c>
      <c r="R1271" s="69"/>
      <c r="S1271" s="48">
        <v>44900</v>
      </c>
      <c r="T1271" s="48">
        <v>44900</v>
      </c>
      <c r="U1271" s="69"/>
      <c r="V1271" s="69"/>
      <c r="W1271" s="69"/>
      <c r="X1271" s="69"/>
      <c r="Y1271" s="69" t="s">
        <v>4131</v>
      </c>
      <c r="Z1271" s="52">
        <v>30000</v>
      </c>
      <c r="AA1271" s="43" t="s">
        <v>52</v>
      </c>
      <c r="AB1271" s="43" t="s">
        <v>53</v>
      </c>
      <c r="AC1271" s="85">
        <v>1460</v>
      </c>
      <c r="AD1271" s="141">
        <v>4</v>
      </c>
      <c r="AE1271" s="142">
        <v>0</v>
      </c>
      <c r="AF1271" s="69" t="str">
        <f t="shared" si="118"/>
        <v>2 years 28 days</v>
      </c>
      <c r="AG1271" s="69">
        <v>2</v>
      </c>
      <c r="AH1271" s="69">
        <v>28</v>
      </c>
      <c r="AI1271" s="69">
        <v>30000</v>
      </c>
      <c r="AJ1271" s="67">
        <v>15575</v>
      </c>
      <c r="AK1271" s="69">
        <v>2025</v>
      </c>
      <c r="AL1271" s="61">
        <v>3719.5205479452052</v>
      </c>
      <c r="AM1271" s="143"/>
    </row>
    <row r="1272" spans="1:39" x14ac:dyDescent="0.35">
      <c r="A1272" s="69" t="s">
        <v>4124</v>
      </c>
      <c r="B1272" s="41">
        <v>1121404558</v>
      </c>
      <c r="C1272" s="41"/>
      <c r="D1272" s="69"/>
      <c r="E1272" s="41">
        <v>0</v>
      </c>
      <c r="F1272" s="41" t="s">
        <v>2961</v>
      </c>
      <c r="G1272" s="69" t="s">
        <v>2960</v>
      </c>
      <c r="H1272" s="41">
        <v>9013000211</v>
      </c>
      <c r="I1272" s="41" t="s">
        <v>593</v>
      </c>
      <c r="J1272" s="41">
        <v>1202020101</v>
      </c>
      <c r="K1272" s="41"/>
      <c r="L1272" s="52" t="s">
        <v>3882</v>
      </c>
      <c r="M1272" s="69" t="s">
        <v>3883</v>
      </c>
      <c r="N1272" s="69"/>
      <c r="O1272" s="69">
        <v>1</v>
      </c>
      <c r="P1272" s="69" t="s">
        <v>50</v>
      </c>
      <c r="Q1272" s="69" t="s">
        <v>51</v>
      </c>
      <c r="R1272" s="69"/>
      <c r="S1272" s="48">
        <v>44915</v>
      </c>
      <c r="T1272" s="48">
        <v>44915</v>
      </c>
      <c r="U1272" s="69"/>
      <c r="V1272" s="69"/>
      <c r="W1272" s="69"/>
      <c r="X1272" s="69"/>
      <c r="Y1272" s="69" t="s">
        <v>4131</v>
      </c>
      <c r="Z1272" s="52">
        <v>417100</v>
      </c>
      <c r="AA1272" s="43" t="s">
        <v>52</v>
      </c>
      <c r="AB1272" s="43" t="s">
        <v>53</v>
      </c>
      <c r="AC1272" s="85">
        <v>1460</v>
      </c>
      <c r="AD1272" s="141">
        <v>4</v>
      </c>
      <c r="AE1272" s="142">
        <v>0</v>
      </c>
      <c r="AF1272" s="69" t="str">
        <f t="shared" si="118"/>
        <v>2 years 13 days</v>
      </c>
      <c r="AG1272" s="69">
        <v>2</v>
      </c>
      <c r="AH1272" s="69">
        <v>13</v>
      </c>
      <c r="AI1272" s="69">
        <v>417100</v>
      </c>
      <c r="AJ1272" s="67">
        <v>212264</v>
      </c>
      <c r="AK1272" s="69">
        <v>2025</v>
      </c>
      <c r="AL1272" s="61">
        <v>51708.876712328754</v>
      </c>
      <c r="AM1272" s="143"/>
    </row>
    <row r="1273" spans="1:39" x14ac:dyDescent="0.35">
      <c r="A1273" s="69" t="s">
        <v>4124</v>
      </c>
      <c r="B1273" s="41">
        <v>1121404730</v>
      </c>
      <c r="C1273" s="41"/>
      <c r="D1273" s="69"/>
      <c r="E1273" s="41">
        <v>0</v>
      </c>
      <c r="F1273" s="41" t="s">
        <v>2961</v>
      </c>
      <c r="G1273" s="69" t="s">
        <v>2960</v>
      </c>
      <c r="H1273" s="41">
        <v>9013000211</v>
      </c>
      <c r="I1273" s="41" t="s">
        <v>593</v>
      </c>
      <c r="J1273" s="41">
        <v>1202020101</v>
      </c>
      <c r="K1273" s="41"/>
      <c r="L1273" s="52" t="s">
        <v>3885</v>
      </c>
      <c r="M1273" s="69" t="s">
        <v>3886</v>
      </c>
      <c r="N1273" s="69"/>
      <c r="O1273" s="69">
        <v>1</v>
      </c>
      <c r="P1273" s="69" t="s">
        <v>50</v>
      </c>
      <c r="Q1273" s="69" t="s">
        <v>51</v>
      </c>
      <c r="R1273" s="69"/>
      <c r="S1273" s="48">
        <v>45047</v>
      </c>
      <c r="T1273" s="48">
        <v>45047</v>
      </c>
      <c r="U1273" s="69"/>
      <c r="V1273" s="69"/>
      <c r="W1273" s="69"/>
      <c r="X1273" s="69"/>
      <c r="Y1273" s="69" t="s">
        <v>4129</v>
      </c>
      <c r="Z1273" s="52">
        <v>210672</v>
      </c>
      <c r="AA1273" s="43" t="s">
        <v>52</v>
      </c>
      <c r="AB1273" s="43" t="s">
        <v>53</v>
      </c>
      <c r="AC1273" s="85">
        <v>1460</v>
      </c>
      <c r="AD1273" s="141">
        <v>4</v>
      </c>
      <c r="AE1273" s="142">
        <v>0</v>
      </c>
      <c r="AF1273" s="69" t="str">
        <f t="shared" si="118"/>
        <v>1 years 246 days</v>
      </c>
      <c r="AG1273" s="69">
        <v>1</v>
      </c>
      <c r="AH1273" s="69">
        <v>246</v>
      </c>
      <c r="AI1273" s="69">
        <v>210672</v>
      </c>
      <c r="AJ1273" s="67">
        <v>88165</v>
      </c>
      <c r="AK1273" s="69">
        <v>2025</v>
      </c>
      <c r="AL1273" s="61">
        <v>26117.345205479462</v>
      </c>
      <c r="AM1273" s="143"/>
    </row>
    <row r="1274" spans="1:39" x14ac:dyDescent="0.35">
      <c r="A1274" s="69" t="s">
        <v>4124</v>
      </c>
      <c r="B1274" s="41">
        <v>1121404731</v>
      </c>
      <c r="C1274" s="41"/>
      <c r="D1274" s="69"/>
      <c r="E1274" s="41">
        <v>0</v>
      </c>
      <c r="F1274" s="41" t="s">
        <v>2961</v>
      </c>
      <c r="G1274" s="69" t="s">
        <v>2960</v>
      </c>
      <c r="H1274" s="41">
        <v>9013000211</v>
      </c>
      <c r="I1274" s="41" t="s">
        <v>593</v>
      </c>
      <c r="J1274" s="41">
        <v>1202020101</v>
      </c>
      <c r="K1274" s="41"/>
      <c r="L1274" s="52" t="s">
        <v>3888</v>
      </c>
      <c r="M1274" s="69" t="s">
        <v>3889</v>
      </c>
      <c r="N1274" s="69"/>
      <c r="O1274" s="69">
        <v>1</v>
      </c>
      <c r="P1274" s="69" t="s">
        <v>50</v>
      </c>
      <c r="Q1274" s="69" t="s">
        <v>51</v>
      </c>
      <c r="R1274" s="69"/>
      <c r="S1274" s="48">
        <v>45047</v>
      </c>
      <c r="T1274" s="48">
        <v>45047</v>
      </c>
      <c r="U1274" s="69"/>
      <c r="V1274" s="69"/>
      <c r="W1274" s="69"/>
      <c r="X1274" s="69"/>
      <c r="Y1274" s="69" t="s">
        <v>4129</v>
      </c>
      <c r="Z1274" s="52">
        <v>808600</v>
      </c>
      <c r="AA1274" s="43" t="s">
        <v>52</v>
      </c>
      <c r="AB1274" s="43" t="s">
        <v>53</v>
      </c>
      <c r="AC1274" s="85">
        <v>1460</v>
      </c>
      <c r="AD1274" s="141">
        <v>4</v>
      </c>
      <c r="AE1274" s="142">
        <v>0</v>
      </c>
      <c r="AF1274" s="69" t="str">
        <f t="shared" si="118"/>
        <v>1 years 246 days</v>
      </c>
      <c r="AG1274" s="69">
        <v>1</v>
      </c>
      <c r="AH1274" s="69">
        <v>246</v>
      </c>
      <c r="AI1274" s="69">
        <v>808600</v>
      </c>
      <c r="AJ1274" s="67">
        <v>338394</v>
      </c>
      <c r="AK1274" s="69">
        <v>2025</v>
      </c>
      <c r="AL1274" s="61">
        <v>100243.80821917806</v>
      </c>
      <c r="AM1274" s="143"/>
    </row>
    <row r="1275" spans="1:39" x14ac:dyDescent="0.35">
      <c r="A1275" s="69" t="s">
        <v>4124</v>
      </c>
      <c r="B1275" s="41">
        <v>1121404823</v>
      </c>
      <c r="C1275" s="41"/>
      <c r="D1275" s="69"/>
      <c r="E1275" s="41">
        <v>0</v>
      </c>
      <c r="F1275" s="41" t="s">
        <v>2961</v>
      </c>
      <c r="G1275" s="69" t="s">
        <v>2960</v>
      </c>
      <c r="H1275" s="41">
        <v>9013000211</v>
      </c>
      <c r="I1275" s="41" t="s">
        <v>593</v>
      </c>
      <c r="J1275" s="41">
        <v>1202020101</v>
      </c>
      <c r="K1275" s="41"/>
      <c r="L1275" s="52" t="s">
        <v>3891</v>
      </c>
      <c r="M1275" s="69" t="s">
        <v>3892</v>
      </c>
      <c r="N1275" s="69"/>
      <c r="O1275" s="69">
        <v>2</v>
      </c>
      <c r="P1275" s="69" t="s">
        <v>50</v>
      </c>
      <c r="Q1275" s="69" t="s">
        <v>51</v>
      </c>
      <c r="R1275" s="69"/>
      <c r="S1275" s="48">
        <v>45127</v>
      </c>
      <c r="T1275" s="48">
        <v>45127</v>
      </c>
      <c r="U1275" s="69"/>
      <c r="V1275" s="69"/>
      <c r="W1275" s="69"/>
      <c r="X1275" s="69"/>
      <c r="Y1275" s="69" t="s">
        <v>4129</v>
      </c>
      <c r="Z1275" s="52">
        <v>353191</v>
      </c>
      <c r="AA1275" s="43" t="s">
        <v>52</v>
      </c>
      <c r="AB1275" s="43" t="s">
        <v>53</v>
      </c>
      <c r="AC1275" s="85">
        <v>1460</v>
      </c>
      <c r="AD1275" s="141">
        <v>4</v>
      </c>
      <c r="AE1275" s="142">
        <v>0</v>
      </c>
      <c r="AF1275" s="69" t="str">
        <f t="shared" si="118"/>
        <v>1 years 166 days</v>
      </c>
      <c r="AG1275" s="69">
        <v>1</v>
      </c>
      <c r="AH1275" s="69">
        <v>166</v>
      </c>
      <c r="AI1275" s="69">
        <v>353191</v>
      </c>
      <c r="AJ1275" s="67">
        <v>128455</v>
      </c>
      <c r="AK1275" s="69">
        <v>2025</v>
      </c>
      <c r="AL1275" s="61">
        <v>43786.090410958917</v>
      </c>
      <c r="AM1275" s="143"/>
    </row>
    <row r="1276" spans="1:39" x14ac:dyDescent="0.35">
      <c r="A1276" s="69" t="s">
        <v>4124</v>
      </c>
      <c r="B1276" s="41">
        <v>1121404824</v>
      </c>
      <c r="C1276" s="41"/>
      <c r="D1276" s="69"/>
      <c r="E1276" s="41">
        <v>0</v>
      </c>
      <c r="F1276" s="41" t="s">
        <v>2961</v>
      </c>
      <c r="G1276" s="69" t="s">
        <v>2960</v>
      </c>
      <c r="H1276" s="41">
        <v>9013000211</v>
      </c>
      <c r="I1276" s="41" t="s">
        <v>593</v>
      </c>
      <c r="J1276" s="41">
        <v>1202020101</v>
      </c>
      <c r="K1276" s="41"/>
      <c r="L1276" s="52" t="s">
        <v>3894</v>
      </c>
      <c r="M1276" s="69" t="s">
        <v>3895</v>
      </c>
      <c r="N1276" s="69"/>
      <c r="O1276" s="69">
        <v>24</v>
      </c>
      <c r="P1276" s="69" t="s">
        <v>50</v>
      </c>
      <c r="Q1276" s="69" t="s">
        <v>51</v>
      </c>
      <c r="R1276" s="69"/>
      <c r="S1276" s="48">
        <v>45127</v>
      </c>
      <c r="T1276" s="48">
        <v>45127</v>
      </c>
      <c r="U1276" s="69"/>
      <c r="V1276" s="69"/>
      <c r="W1276" s="69"/>
      <c r="X1276" s="69"/>
      <c r="Y1276" s="69" t="s">
        <v>4129</v>
      </c>
      <c r="Z1276" s="52">
        <v>975280</v>
      </c>
      <c r="AA1276" s="43" t="s">
        <v>52</v>
      </c>
      <c r="AB1276" s="43" t="s">
        <v>53</v>
      </c>
      <c r="AC1276" s="85">
        <v>1460</v>
      </c>
      <c r="AD1276" s="141">
        <v>4</v>
      </c>
      <c r="AE1276" s="142">
        <v>0</v>
      </c>
      <c r="AF1276" s="69" t="str">
        <f t="shared" ref="AF1276:AF1300" si="119">_xlfn.CONCAT(AG1276," years ",AH1276," days")</f>
        <v>1 years 166 days</v>
      </c>
      <c r="AG1276" s="69">
        <v>1</v>
      </c>
      <c r="AH1276" s="69">
        <v>166</v>
      </c>
      <c r="AI1276" s="69">
        <v>975280</v>
      </c>
      <c r="AJ1276" s="67">
        <v>354708</v>
      </c>
      <c r="AK1276" s="69">
        <v>2025</v>
      </c>
      <c r="AL1276" s="61">
        <v>120908</v>
      </c>
      <c r="AM1276" s="143"/>
    </row>
    <row r="1277" spans="1:39" x14ac:dyDescent="0.35">
      <c r="A1277" s="69" t="s">
        <v>4124</v>
      </c>
      <c r="B1277" s="41">
        <v>1121404900</v>
      </c>
      <c r="C1277" s="41"/>
      <c r="D1277" s="69"/>
      <c r="E1277" s="41">
        <v>0</v>
      </c>
      <c r="F1277" s="41" t="s">
        <v>2961</v>
      </c>
      <c r="G1277" s="69" t="s">
        <v>2960</v>
      </c>
      <c r="H1277" s="41">
        <v>9013000211</v>
      </c>
      <c r="I1277" s="41" t="s">
        <v>593</v>
      </c>
      <c r="J1277" s="41">
        <v>1202020101</v>
      </c>
      <c r="K1277" s="41"/>
      <c r="L1277" s="52" t="s">
        <v>3897</v>
      </c>
      <c r="M1277" s="69" t="s">
        <v>3898</v>
      </c>
      <c r="N1277" s="69"/>
      <c r="O1277" s="69">
        <v>1</v>
      </c>
      <c r="P1277" s="69" t="s">
        <v>50</v>
      </c>
      <c r="Q1277" s="69" t="s">
        <v>51</v>
      </c>
      <c r="R1277" s="69"/>
      <c r="S1277" s="48">
        <v>45179</v>
      </c>
      <c r="T1277" s="48">
        <v>45179</v>
      </c>
      <c r="U1277" s="69"/>
      <c r="V1277" s="69"/>
      <c r="W1277" s="69"/>
      <c r="X1277" s="69"/>
      <c r="Y1277" s="69" t="s">
        <v>4129</v>
      </c>
      <c r="Z1277" s="52">
        <v>712800</v>
      </c>
      <c r="AA1277" s="43" t="s">
        <v>52</v>
      </c>
      <c r="AB1277" s="43" t="s">
        <v>53</v>
      </c>
      <c r="AC1277" s="85">
        <v>1460</v>
      </c>
      <c r="AD1277" s="141">
        <v>4</v>
      </c>
      <c r="AE1277" s="142">
        <v>0</v>
      </c>
      <c r="AF1277" s="69" t="str">
        <f t="shared" si="119"/>
        <v>1 years 114 days</v>
      </c>
      <c r="AG1277" s="69">
        <v>1</v>
      </c>
      <c r="AH1277" s="69">
        <v>114</v>
      </c>
      <c r="AI1277" s="69">
        <v>712800</v>
      </c>
      <c r="AJ1277" s="67">
        <v>233857</v>
      </c>
      <c r="AK1277" s="69">
        <v>2025</v>
      </c>
      <c r="AL1277" s="61">
        <v>88367.657534246566</v>
      </c>
      <c r="AM1277" s="143"/>
    </row>
    <row r="1278" spans="1:39" x14ac:dyDescent="0.35">
      <c r="A1278" s="69" t="s">
        <v>4124</v>
      </c>
      <c r="B1278" s="41">
        <v>1121404883</v>
      </c>
      <c r="C1278" s="41"/>
      <c r="D1278" s="69"/>
      <c r="E1278" s="41">
        <v>0</v>
      </c>
      <c r="F1278" s="41" t="s">
        <v>2961</v>
      </c>
      <c r="G1278" s="69" t="s">
        <v>2960</v>
      </c>
      <c r="H1278" s="41">
        <v>9013000211</v>
      </c>
      <c r="I1278" s="41" t="s">
        <v>593</v>
      </c>
      <c r="J1278" s="41">
        <v>1202020101</v>
      </c>
      <c r="K1278" s="41"/>
      <c r="L1278" s="52" t="s">
        <v>3900</v>
      </c>
      <c r="M1278" s="69" t="s">
        <v>3901</v>
      </c>
      <c r="N1278" s="69"/>
      <c r="O1278" s="69">
        <v>1</v>
      </c>
      <c r="P1278" s="69" t="s">
        <v>50</v>
      </c>
      <c r="Q1278" s="69" t="s">
        <v>51</v>
      </c>
      <c r="R1278" s="69"/>
      <c r="S1278" s="48">
        <v>45170</v>
      </c>
      <c r="T1278" s="48">
        <v>45170</v>
      </c>
      <c r="U1278" s="69"/>
      <c r="V1278" s="69"/>
      <c r="W1278" s="69"/>
      <c r="X1278" s="69"/>
      <c r="Y1278" s="69" t="s">
        <v>4129</v>
      </c>
      <c r="Z1278" s="52">
        <v>458550</v>
      </c>
      <c r="AA1278" s="43" t="s">
        <v>52</v>
      </c>
      <c r="AB1278" s="43" t="s">
        <v>53</v>
      </c>
      <c r="AC1278" s="85">
        <v>1460</v>
      </c>
      <c r="AD1278" s="141">
        <v>4</v>
      </c>
      <c r="AE1278" s="142">
        <v>0</v>
      </c>
      <c r="AF1278" s="69" t="str">
        <f t="shared" si="119"/>
        <v>1 years 123 days</v>
      </c>
      <c r="AG1278" s="69">
        <v>1</v>
      </c>
      <c r="AH1278" s="69">
        <v>123</v>
      </c>
      <c r="AI1278" s="69">
        <v>458550</v>
      </c>
      <c r="AJ1278" s="67">
        <v>153269</v>
      </c>
      <c r="AK1278" s="69">
        <v>2025</v>
      </c>
      <c r="AL1278" s="61">
        <v>56847.404109589028</v>
      </c>
      <c r="AM1278" s="143"/>
    </row>
    <row r="1279" spans="1:39" x14ac:dyDescent="0.35">
      <c r="A1279" s="69" t="s">
        <v>4124</v>
      </c>
      <c r="B1279" s="41">
        <v>1121404884</v>
      </c>
      <c r="C1279" s="41"/>
      <c r="D1279" s="69"/>
      <c r="E1279" s="41">
        <v>0</v>
      </c>
      <c r="F1279" s="41" t="s">
        <v>2961</v>
      </c>
      <c r="G1279" s="69" t="s">
        <v>2960</v>
      </c>
      <c r="H1279" s="41">
        <v>9013000211</v>
      </c>
      <c r="I1279" s="41" t="s">
        <v>593</v>
      </c>
      <c r="J1279" s="41">
        <v>1202020101</v>
      </c>
      <c r="K1279" s="41"/>
      <c r="L1279" s="52" t="s">
        <v>3903</v>
      </c>
      <c r="M1279" s="69" t="s">
        <v>3904</v>
      </c>
      <c r="N1279" s="69"/>
      <c r="O1279" s="69">
        <v>2</v>
      </c>
      <c r="P1279" s="69" t="s">
        <v>50</v>
      </c>
      <c r="Q1279" s="69" t="s">
        <v>51</v>
      </c>
      <c r="R1279" s="69"/>
      <c r="S1279" s="48">
        <v>45170</v>
      </c>
      <c r="T1279" s="48">
        <v>45170</v>
      </c>
      <c r="U1279" s="69"/>
      <c r="V1279" s="69"/>
      <c r="W1279" s="69"/>
      <c r="X1279" s="69"/>
      <c r="Y1279" s="69" t="s">
        <v>4129</v>
      </c>
      <c r="Z1279" s="52">
        <v>591216</v>
      </c>
      <c r="AA1279" s="43" t="s">
        <v>52</v>
      </c>
      <c r="AB1279" s="43" t="s">
        <v>53</v>
      </c>
      <c r="AC1279" s="85">
        <v>1460</v>
      </c>
      <c r="AD1279" s="141">
        <v>4</v>
      </c>
      <c r="AE1279" s="142">
        <v>0</v>
      </c>
      <c r="AF1279" s="69" t="str">
        <f t="shared" si="119"/>
        <v>1 years 123 days</v>
      </c>
      <c r="AG1279" s="69">
        <v>1</v>
      </c>
      <c r="AH1279" s="69">
        <v>123</v>
      </c>
      <c r="AI1279" s="69">
        <v>591216</v>
      </c>
      <c r="AJ1279" s="67">
        <v>197612</v>
      </c>
      <c r="AK1279" s="69">
        <v>2025</v>
      </c>
      <c r="AL1279" s="61">
        <v>73294.509589041118</v>
      </c>
      <c r="AM1279" s="143"/>
    </row>
    <row r="1280" spans="1:39" x14ac:dyDescent="0.35">
      <c r="A1280" s="69" t="s">
        <v>4124</v>
      </c>
      <c r="B1280" s="41">
        <v>1121404886</v>
      </c>
      <c r="C1280" s="41"/>
      <c r="D1280" s="69"/>
      <c r="E1280" s="41">
        <v>0</v>
      </c>
      <c r="F1280" s="41" t="s">
        <v>2961</v>
      </c>
      <c r="G1280" s="69" t="s">
        <v>2960</v>
      </c>
      <c r="H1280" s="41">
        <v>9013000211</v>
      </c>
      <c r="I1280" s="41" t="s">
        <v>593</v>
      </c>
      <c r="J1280" s="41">
        <v>1202020101</v>
      </c>
      <c r="K1280" s="41"/>
      <c r="L1280" s="52" t="s">
        <v>3906</v>
      </c>
      <c r="M1280" s="69" t="s">
        <v>3907</v>
      </c>
      <c r="N1280" s="69"/>
      <c r="O1280" s="69">
        <v>3</v>
      </c>
      <c r="P1280" s="69" t="s">
        <v>50</v>
      </c>
      <c r="Q1280" s="69" t="s">
        <v>51</v>
      </c>
      <c r="R1280" s="69"/>
      <c r="S1280" s="48">
        <v>45170</v>
      </c>
      <c r="T1280" s="48">
        <v>45170</v>
      </c>
      <c r="U1280" s="69"/>
      <c r="V1280" s="69"/>
      <c r="W1280" s="69"/>
      <c r="X1280" s="69"/>
      <c r="Y1280" s="69" t="s">
        <v>4129</v>
      </c>
      <c r="Z1280" s="52">
        <v>34900</v>
      </c>
      <c r="AA1280" s="43" t="s">
        <v>52</v>
      </c>
      <c r="AB1280" s="43" t="s">
        <v>53</v>
      </c>
      <c r="AC1280" s="85">
        <v>1460</v>
      </c>
      <c r="AD1280" s="141">
        <v>4</v>
      </c>
      <c r="AE1280" s="142">
        <v>0</v>
      </c>
      <c r="AF1280" s="69" t="str">
        <f t="shared" si="119"/>
        <v>1 years 123 days</v>
      </c>
      <c r="AG1280" s="69">
        <v>1</v>
      </c>
      <c r="AH1280" s="69">
        <v>123</v>
      </c>
      <c r="AI1280" s="69">
        <v>34900</v>
      </c>
      <c r="AJ1280" s="67">
        <v>11665</v>
      </c>
      <c r="AK1280" s="69">
        <v>2025</v>
      </c>
      <c r="AL1280" s="61">
        <v>4326.8493150684917</v>
      </c>
      <c r="AM1280" s="143"/>
    </row>
    <row r="1281" spans="1:39" x14ac:dyDescent="0.35">
      <c r="A1281" s="69" t="s">
        <v>4124</v>
      </c>
      <c r="B1281" s="41">
        <v>1121404917</v>
      </c>
      <c r="C1281" s="41"/>
      <c r="D1281" s="69"/>
      <c r="E1281" s="41">
        <v>0</v>
      </c>
      <c r="F1281" s="41" t="s">
        <v>2961</v>
      </c>
      <c r="G1281" s="69" t="s">
        <v>2960</v>
      </c>
      <c r="H1281" s="41">
        <v>9013000211</v>
      </c>
      <c r="I1281" s="41" t="s">
        <v>593</v>
      </c>
      <c r="J1281" s="41">
        <v>1202020101</v>
      </c>
      <c r="K1281" s="41"/>
      <c r="L1281" s="52" t="s">
        <v>3909</v>
      </c>
      <c r="M1281" s="69" t="s">
        <v>3910</v>
      </c>
      <c r="N1281" s="69"/>
      <c r="O1281" s="69">
        <v>1</v>
      </c>
      <c r="P1281" s="69" t="s">
        <v>50</v>
      </c>
      <c r="Q1281" s="69" t="s">
        <v>51</v>
      </c>
      <c r="R1281" s="69"/>
      <c r="S1281" s="48">
        <v>45199</v>
      </c>
      <c r="T1281" s="48">
        <v>45199</v>
      </c>
      <c r="U1281" s="69"/>
      <c r="V1281" s="69"/>
      <c r="W1281" s="69"/>
      <c r="X1281" s="69"/>
      <c r="Y1281" s="69" t="s">
        <v>4129</v>
      </c>
      <c r="Z1281" s="52">
        <v>321940</v>
      </c>
      <c r="AA1281" s="43" t="s">
        <v>52</v>
      </c>
      <c r="AB1281" s="43" t="s">
        <v>53</v>
      </c>
      <c r="AC1281" s="85">
        <v>1460</v>
      </c>
      <c r="AD1281" s="141">
        <v>4</v>
      </c>
      <c r="AE1281" s="142">
        <v>0</v>
      </c>
      <c r="AF1281" s="69" t="str">
        <f t="shared" si="119"/>
        <v>1 years 94 days</v>
      </c>
      <c r="AG1281" s="69">
        <v>1</v>
      </c>
      <c r="AH1281" s="69">
        <v>94</v>
      </c>
      <c r="AI1281" s="69">
        <v>321940</v>
      </c>
      <c r="AJ1281" s="67">
        <v>101213</v>
      </c>
      <c r="AK1281" s="69">
        <v>2025</v>
      </c>
      <c r="AL1281" s="61">
        <v>39911.38356164383</v>
      </c>
      <c r="AM1281" s="143"/>
    </row>
    <row r="1282" spans="1:39" x14ac:dyDescent="0.35">
      <c r="A1282" s="69" t="s">
        <v>4124</v>
      </c>
      <c r="B1282" s="41">
        <v>1121404963</v>
      </c>
      <c r="C1282" s="41"/>
      <c r="D1282" s="69"/>
      <c r="E1282" s="41">
        <v>0</v>
      </c>
      <c r="F1282" s="41" t="s">
        <v>2961</v>
      </c>
      <c r="G1282" s="69" t="s">
        <v>2960</v>
      </c>
      <c r="H1282" s="41">
        <v>9013000211</v>
      </c>
      <c r="I1282" s="41" t="s">
        <v>593</v>
      </c>
      <c r="J1282" s="41">
        <v>1202020101</v>
      </c>
      <c r="K1282" s="41"/>
      <c r="L1282" s="52" t="s">
        <v>3912</v>
      </c>
      <c r="M1282" s="69" t="s">
        <v>3913</v>
      </c>
      <c r="N1282" s="69"/>
      <c r="O1282" s="69">
        <v>6</v>
      </c>
      <c r="P1282" s="69" t="s">
        <v>50</v>
      </c>
      <c r="Q1282" s="69" t="s">
        <v>51</v>
      </c>
      <c r="R1282" s="69"/>
      <c r="S1282" s="48">
        <v>45231</v>
      </c>
      <c r="T1282" s="48">
        <v>45231</v>
      </c>
      <c r="U1282" s="69"/>
      <c r="V1282" s="69"/>
      <c r="W1282" s="69"/>
      <c r="X1282" s="69"/>
      <c r="Y1282" s="69" t="s">
        <v>4129</v>
      </c>
      <c r="Z1282" s="52">
        <v>588570</v>
      </c>
      <c r="AA1282" s="43" t="s">
        <v>52</v>
      </c>
      <c r="AB1282" s="43" t="s">
        <v>53</v>
      </c>
      <c r="AC1282" s="85">
        <v>1460</v>
      </c>
      <c r="AD1282" s="141">
        <v>4</v>
      </c>
      <c r="AE1282" s="142">
        <v>0</v>
      </c>
      <c r="AF1282" s="69" t="str">
        <f t="shared" si="119"/>
        <v>1 years 62 days</v>
      </c>
      <c r="AG1282" s="69">
        <v>1</v>
      </c>
      <c r="AH1282" s="69">
        <v>62</v>
      </c>
      <c r="AI1282" s="69">
        <v>588570</v>
      </c>
      <c r="AJ1282" s="67">
        <v>172137</v>
      </c>
      <c r="AK1282" s="69">
        <v>2025</v>
      </c>
      <c r="AL1282" s="61">
        <v>72966.123287671246</v>
      </c>
      <c r="AM1282" s="143"/>
    </row>
    <row r="1283" spans="1:39" x14ac:dyDescent="0.35">
      <c r="A1283" s="69" t="s">
        <v>4124</v>
      </c>
      <c r="B1283" s="41">
        <v>1121404987</v>
      </c>
      <c r="C1283" s="41"/>
      <c r="D1283" s="69"/>
      <c r="E1283" s="41">
        <v>0</v>
      </c>
      <c r="F1283" s="41" t="s">
        <v>2961</v>
      </c>
      <c r="G1283" s="69" t="s">
        <v>2960</v>
      </c>
      <c r="H1283" s="41">
        <v>9013000211</v>
      </c>
      <c r="I1283" s="41" t="s">
        <v>593</v>
      </c>
      <c r="J1283" s="41">
        <v>1202020101</v>
      </c>
      <c r="K1283" s="41"/>
      <c r="L1283" s="52" t="s">
        <v>3915</v>
      </c>
      <c r="M1283" s="69" t="s">
        <v>3916</v>
      </c>
      <c r="N1283" s="69"/>
      <c r="O1283" s="69">
        <v>1</v>
      </c>
      <c r="P1283" s="69" t="s">
        <v>50</v>
      </c>
      <c r="Q1283" s="69" t="s">
        <v>51</v>
      </c>
      <c r="R1283" s="69"/>
      <c r="S1283" s="48">
        <v>45235</v>
      </c>
      <c r="T1283" s="48">
        <v>45235</v>
      </c>
      <c r="U1283" s="69"/>
      <c r="V1283" s="69"/>
      <c r="W1283" s="69"/>
      <c r="X1283" s="69"/>
      <c r="Y1283" s="69" t="s">
        <v>4129</v>
      </c>
      <c r="Z1283" s="52">
        <v>92150</v>
      </c>
      <c r="AA1283" s="43" t="s">
        <v>52</v>
      </c>
      <c r="AB1283" s="43" t="s">
        <v>53</v>
      </c>
      <c r="AC1283" s="85">
        <v>1460</v>
      </c>
      <c r="AD1283" s="141">
        <v>4</v>
      </c>
      <c r="AE1283" s="142">
        <v>0</v>
      </c>
      <c r="AF1283" s="69" t="str">
        <f t="shared" si="119"/>
        <v>1 years 58 days</v>
      </c>
      <c r="AG1283" s="69">
        <v>1</v>
      </c>
      <c r="AH1283" s="69">
        <v>58</v>
      </c>
      <c r="AI1283" s="69">
        <v>92150</v>
      </c>
      <c r="AJ1283" s="67">
        <v>26698</v>
      </c>
      <c r="AK1283" s="69">
        <v>2025</v>
      </c>
      <c r="AL1283" s="61">
        <v>11424.32876712329</v>
      </c>
      <c r="AM1283" s="143"/>
    </row>
    <row r="1284" spans="1:39" x14ac:dyDescent="0.35">
      <c r="A1284" s="69" t="s">
        <v>4124</v>
      </c>
      <c r="B1284" s="41">
        <v>1121405072</v>
      </c>
      <c r="C1284" s="41"/>
      <c r="D1284" s="69"/>
      <c r="E1284" s="41">
        <v>0</v>
      </c>
      <c r="F1284" s="41" t="s">
        <v>2961</v>
      </c>
      <c r="G1284" s="69" t="s">
        <v>2960</v>
      </c>
      <c r="H1284" s="41">
        <v>9013000211</v>
      </c>
      <c r="I1284" s="41" t="s">
        <v>593</v>
      </c>
      <c r="J1284" s="41">
        <v>1202020101</v>
      </c>
      <c r="K1284" s="41"/>
      <c r="L1284" s="52" t="s">
        <v>3918</v>
      </c>
      <c r="M1284" s="69" t="s">
        <v>3919</v>
      </c>
      <c r="N1284" s="69"/>
      <c r="O1284" s="69">
        <v>1</v>
      </c>
      <c r="P1284" s="69" t="s">
        <v>50</v>
      </c>
      <c r="Q1284" s="69" t="s">
        <v>51</v>
      </c>
      <c r="R1284" s="69"/>
      <c r="S1284" s="48">
        <v>45308</v>
      </c>
      <c r="T1284" s="48">
        <v>45308</v>
      </c>
      <c r="U1284" s="69"/>
      <c r="V1284" s="69"/>
      <c r="W1284" s="69"/>
      <c r="X1284" s="69"/>
      <c r="Y1284" s="69" t="s">
        <v>4130</v>
      </c>
      <c r="Z1284" s="52">
        <v>560000</v>
      </c>
      <c r="AA1284" s="43" t="s">
        <v>52</v>
      </c>
      <c r="AB1284" s="43" t="s">
        <v>53</v>
      </c>
      <c r="AC1284" s="85">
        <v>1460</v>
      </c>
      <c r="AD1284" s="141">
        <v>4</v>
      </c>
      <c r="AE1284" s="142">
        <v>0</v>
      </c>
      <c r="AF1284" s="69" t="str">
        <f t="shared" si="119"/>
        <v>0 years 350 days</v>
      </c>
      <c r="AG1284" s="69">
        <v>0</v>
      </c>
      <c r="AH1284" s="69">
        <v>350</v>
      </c>
      <c r="AI1284" s="69">
        <v>560000</v>
      </c>
      <c r="AJ1284" s="67">
        <v>134247</v>
      </c>
      <c r="AK1284" s="69">
        <v>2025</v>
      </c>
      <c r="AL1284" s="61">
        <v>69424.23287671234</v>
      </c>
      <c r="AM1284" s="143"/>
    </row>
    <row r="1285" spans="1:39" x14ac:dyDescent="0.35">
      <c r="A1285" s="69" t="s">
        <v>4124</v>
      </c>
      <c r="B1285" s="41">
        <v>1121405070</v>
      </c>
      <c r="C1285" s="41"/>
      <c r="D1285" s="69"/>
      <c r="E1285" s="41">
        <v>0</v>
      </c>
      <c r="F1285" s="41" t="s">
        <v>2961</v>
      </c>
      <c r="G1285" s="69" t="s">
        <v>2960</v>
      </c>
      <c r="H1285" s="41">
        <v>9013000211</v>
      </c>
      <c r="I1285" s="41" t="s">
        <v>593</v>
      </c>
      <c r="J1285" s="41">
        <v>1202020101</v>
      </c>
      <c r="K1285" s="41"/>
      <c r="L1285" s="52" t="s">
        <v>3921</v>
      </c>
      <c r="M1285" s="69" t="s">
        <v>3922</v>
      </c>
      <c r="N1285" s="69"/>
      <c r="O1285" s="69">
        <v>1</v>
      </c>
      <c r="P1285" s="69" t="s">
        <v>50</v>
      </c>
      <c r="Q1285" s="69" t="s">
        <v>51</v>
      </c>
      <c r="R1285" s="69"/>
      <c r="S1285" s="48">
        <v>45306</v>
      </c>
      <c r="T1285" s="48">
        <v>45306</v>
      </c>
      <c r="U1285" s="69"/>
      <c r="V1285" s="69"/>
      <c r="W1285" s="69"/>
      <c r="X1285" s="69"/>
      <c r="Y1285" s="69" t="s">
        <v>4130</v>
      </c>
      <c r="Z1285" s="52">
        <v>657500</v>
      </c>
      <c r="AA1285" s="43" t="s">
        <v>52</v>
      </c>
      <c r="AB1285" s="43" t="s">
        <v>53</v>
      </c>
      <c r="AC1285" s="85">
        <v>1460</v>
      </c>
      <c r="AD1285" s="141">
        <v>4</v>
      </c>
      <c r="AE1285" s="142">
        <v>0</v>
      </c>
      <c r="AF1285" s="69" t="str">
        <f t="shared" si="119"/>
        <v>0 years 352 days</v>
      </c>
      <c r="AG1285" s="69">
        <v>0</v>
      </c>
      <c r="AH1285" s="69">
        <v>352</v>
      </c>
      <c r="AI1285" s="69">
        <v>657500</v>
      </c>
      <c r="AJ1285" s="67">
        <v>158521</v>
      </c>
      <c r="AK1285" s="69">
        <v>2025</v>
      </c>
      <c r="AL1285" s="61">
        <v>81511.534246575349</v>
      </c>
      <c r="AM1285" s="143"/>
    </row>
    <row r="1286" spans="1:39" x14ac:dyDescent="0.35">
      <c r="A1286" s="69" t="s">
        <v>4124</v>
      </c>
      <c r="B1286" s="41">
        <v>1121405102</v>
      </c>
      <c r="C1286" s="41"/>
      <c r="D1286" s="69"/>
      <c r="E1286" s="41">
        <v>0</v>
      </c>
      <c r="F1286" s="41" t="s">
        <v>2961</v>
      </c>
      <c r="G1286" s="69" t="s">
        <v>2960</v>
      </c>
      <c r="H1286" s="41">
        <v>9013000211</v>
      </c>
      <c r="I1286" s="41" t="s">
        <v>593</v>
      </c>
      <c r="J1286" s="41">
        <v>1202020101</v>
      </c>
      <c r="K1286" s="41"/>
      <c r="L1286" s="52" t="s">
        <v>3924</v>
      </c>
      <c r="M1286" s="69" t="s">
        <v>3925</v>
      </c>
      <c r="N1286" s="69"/>
      <c r="O1286" s="69">
        <v>1</v>
      </c>
      <c r="P1286" s="69" t="s">
        <v>50</v>
      </c>
      <c r="Q1286" s="69" t="s">
        <v>51</v>
      </c>
      <c r="R1286" s="69"/>
      <c r="S1286" s="48">
        <v>45352</v>
      </c>
      <c r="T1286" s="48">
        <v>45352</v>
      </c>
      <c r="U1286" s="69"/>
      <c r="V1286" s="69"/>
      <c r="W1286" s="69"/>
      <c r="X1286" s="69"/>
      <c r="Y1286" s="69" t="s">
        <v>4130</v>
      </c>
      <c r="Z1286" s="52">
        <v>150000</v>
      </c>
      <c r="AA1286" s="43" t="s">
        <v>52</v>
      </c>
      <c r="AB1286" s="43" t="s">
        <v>53</v>
      </c>
      <c r="AC1286" s="85">
        <v>1460</v>
      </c>
      <c r="AD1286" s="141">
        <v>4</v>
      </c>
      <c r="AE1286" s="142">
        <v>0</v>
      </c>
      <c r="AF1286" s="69" t="str">
        <f t="shared" si="119"/>
        <v>0 years 306 days</v>
      </c>
      <c r="AG1286" s="69">
        <v>0</v>
      </c>
      <c r="AH1286" s="69">
        <v>306</v>
      </c>
      <c r="AI1286" s="69">
        <v>150000</v>
      </c>
      <c r="AJ1286" s="67">
        <v>31438</v>
      </c>
      <c r="AK1286" s="69">
        <v>2025</v>
      </c>
      <c r="AL1286" s="61">
        <v>18596.246575342469</v>
      </c>
      <c r="AM1286" s="143"/>
    </row>
    <row r="1287" spans="1:39" x14ac:dyDescent="0.35">
      <c r="A1287" s="69" t="s">
        <v>4124</v>
      </c>
      <c r="B1287" s="41">
        <v>1121405103</v>
      </c>
      <c r="C1287" s="41"/>
      <c r="D1287" s="69"/>
      <c r="E1287" s="41">
        <v>0</v>
      </c>
      <c r="F1287" s="41" t="s">
        <v>2961</v>
      </c>
      <c r="G1287" s="69" t="s">
        <v>2960</v>
      </c>
      <c r="H1287" s="41">
        <v>9013000211</v>
      </c>
      <c r="I1287" s="41" t="s">
        <v>593</v>
      </c>
      <c r="J1287" s="41">
        <v>1202020101</v>
      </c>
      <c r="K1287" s="41"/>
      <c r="L1287" s="52" t="s">
        <v>3927</v>
      </c>
      <c r="M1287" s="69" t="s">
        <v>3928</v>
      </c>
      <c r="N1287" s="69"/>
      <c r="O1287" s="69">
        <v>8</v>
      </c>
      <c r="P1287" s="69" t="s">
        <v>50</v>
      </c>
      <c r="Q1287" s="69" t="s">
        <v>51</v>
      </c>
      <c r="R1287" s="69"/>
      <c r="S1287" s="48">
        <v>45354</v>
      </c>
      <c r="T1287" s="48">
        <v>45354</v>
      </c>
      <c r="U1287" s="69"/>
      <c r="V1287" s="69"/>
      <c r="W1287" s="69"/>
      <c r="X1287" s="69"/>
      <c r="Y1287" s="69" t="s">
        <v>4130</v>
      </c>
      <c r="Z1287" s="52">
        <v>133400</v>
      </c>
      <c r="AA1287" s="43" t="s">
        <v>52</v>
      </c>
      <c r="AB1287" s="43" t="s">
        <v>53</v>
      </c>
      <c r="AC1287" s="85">
        <v>1460</v>
      </c>
      <c r="AD1287" s="141">
        <v>4</v>
      </c>
      <c r="AE1287" s="142">
        <v>0</v>
      </c>
      <c r="AF1287" s="69" t="str">
        <f t="shared" si="119"/>
        <v>0 years 304 days</v>
      </c>
      <c r="AG1287" s="69">
        <v>0</v>
      </c>
      <c r="AH1287" s="69">
        <v>304</v>
      </c>
      <c r="AI1287" s="69">
        <v>133400</v>
      </c>
      <c r="AJ1287" s="67">
        <v>27776</v>
      </c>
      <c r="AK1287" s="69">
        <v>2025</v>
      </c>
      <c r="AL1287" s="61">
        <v>16538.38356164383</v>
      </c>
      <c r="AM1287" s="143"/>
    </row>
    <row r="1288" spans="1:39" x14ac:dyDescent="0.35">
      <c r="A1288" s="69" t="s">
        <v>4124</v>
      </c>
      <c r="B1288" s="41">
        <v>1121405118</v>
      </c>
      <c r="C1288" s="41"/>
      <c r="D1288" s="69"/>
      <c r="E1288" s="41">
        <v>0</v>
      </c>
      <c r="F1288" s="41" t="s">
        <v>2961</v>
      </c>
      <c r="G1288" s="69" t="s">
        <v>2960</v>
      </c>
      <c r="H1288" s="41">
        <v>9013000211</v>
      </c>
      <c r="I1288" s="41" t="s">
        <v>593</v>
      </c>
      <c r="J1288" s="41">
        <v>1202020101</v>
      </c>
      <c r="K1288" s="41"/>
      <c r="L1288" s="52" t="s">
        <v>3930</v>
      </c>
      <c r="M1288" s="69" t="s">
        <v>3931</v>
      </c>
      <c r="N1288" s="69"/>
      <c r="O1288" s="69">
        <v>1</v>
      </c>
      <c r="P1288" s="69" t="s">
        <v>50</v>
      </c>
      <c r="Q1288" s="69" t="s">
        <v>51</v>
      </c>
      <c r="R1288" s="69"/>
      <c r="S1288" s="48">
        <v>45364</v>
      </c>
      <c r="T1288" s="48">
        <v>45364</v>
      </c>
      <c r="U1288" s="69"/>
      <c r="V1288" s="69"/>
      <c r="W1288" s="69"/>
      <c r="X1288" s="69"/>
      <c r="Y1288" s="69" t="s">
        <v>4130</v>
      </c>
      <c r="Z1288" s="52">
        <v>120500</v>
      </c>
      <c r="AA1288" s="43" t="s">
        <v>52</v>
      </c>
      <c r="AB1288" s="43" t="s">
        <v>53</v>
      </c>
      <c r="AC1288" s="85">
        <v>1460</v>
      </c>
      <c r="AD1288" s="141">
        <v>4</v>
      </c>
      <c r="AE1288" s="142">
        <v>0</v>
      </c>
      <c r="AF1288" s="69" t="str">
        <f t="shared" si="119"/>
        <v>0 years 294 days</v>
      </c>
      <c r="AG1288" s="69">
        <v>0</v>
      </c>
      <c r="AH1288" s="69">
        <v>294</v>
      </c>
      <c r="AI1288" s="69">
        <v>120500</v>
      </c>
      <c r="AJ1288" s="67">
        <v>24265</v>
      </c>
      <c r="AK1288" s="69">
        <v>2025</v>
      </c>
      <c r="AL1288" s="61">
        <v>14938.767123287675</v>
      </c>
      <c r="AM1288" s="143"/>
    </row>
    <row r="1289" spans="1:39" x14ac:dyDescent="0.35">
      <c r="A1289" s="69" t="s">
        <v>4124</v>
      </c>
      <c r="B1289" s="41">
        <v>1121405132</v>
      </c>
      <c r="C1289" s="41"/>
      <c r="D1289" s="69"/>
      <c r="E1289" s="41">
        <v>0</v>
      </c>
      <c r="F1289" s="41" t="s">
        <v>2961</v>
      </c>
      <c r="G1289" s="69" t="s">
        <v>2960</v>
      </c>
      <c r="H1289" s="41">
        <v>9013000211</v>
      </c>
      <c r="I1289" s="41" t="s">
        <v>593</v>
      </c>
      <c r="J1289" s="41">
        <v>1202020101</v>
      </c>
      <c r="K1289" s="41"/>
      <c r="L1289" s="52" t="s">
        <v>3933</v>
      </c>
      <c r="M1289" s="69" t="s">
        <v>3934</v>
      </c>
      <c r="N1289" s="69"/>
      <c r="O1289" s="69">
        <v>6</v>
      </c>
      <c r="P1289" s="69" t="s">
        <v>50</v>
      </c>
      <c r="Q1289" s="69" t="s">
        <v>51</v>
      </c>
      <c r="R1289" s="69"/>
      <c r="S1289" s="48">
        <v>45382</v>
      </c>
      <c r="T1289" s="48">
        <v>45382</v>
      </c>
      <c r="U1289" s="69"/>
      <c r="V1289" s="69"/>
      <c r="W1289" s="69"/>
      <c r="X1289" s="69"/>
      <c r="Y1289" s="69" t="s">
        <v>4130</v>
      </c>
      <c r="Z1289" s="52">
        <v>148500</v>
      </c>
      <c r="AA1289" s="43" t="s">
        <v>52</v>
      </c>
      <c r="AB1289" s="43" t="s">
        <v>53</v>
      </c>
      <c r="AC1289" s="85">
        <v>1460</v>
      </c>
      <c r="AD1289" s="141">
        <v>4</v>
      </c>
      <c r="AE1289" s="142">
        <v>0</v>
      </c>
      <c r="AF1289" s="69" t="str">
        <f t="shared" si="119"/>
        <v>0 years 276 days</v>
      </c>
      <c r="AG1289" s="69">
        <v>0</v>
      </c>
      <c r="AH1289" s="69">
        <v>276</v>
      </c>
      <c r="AI1289" s="69">
        <v>148500</v>
      </c>
      <c r="AJ1289" s="67">
        <v>28174</v>
      </c>
      <c r="AK1289" s="69">
        <v>2025</v>
      </c>
      <c r="AL1289" s="61">
        <v>18410.246575342462</v>
      </c>
      <c r="AM1289" s="143"/>
    </row>
    <row r="1290" spans="1:39" x14ac:dyDescent="0.35">
      <c r="A1290" s="69" t="s">
        <v>4124</v>
      </c>
      <c r="B1290" s="41">
        <v>1121405153</v>
      </c>
      <c r="C1290" s="41"/>
      <c r="D1290" s="69"/>
      <c r="E1290" s="41">
        <v>0</v>
      </c>
      <c r="F1290" s="41" t="s">
        <v>2961</v>
      </c>
      <c r="G1290" s="69" t="s">
        <v>2960</v>
      </c>
      <c r="H1290" s="41">
        <v>9013000211</v>
      </c>
      <c r="I1290" s="41" t="s">
        <v>593</v>
      </c>
      <c r="J1290" s="41">
        <v>1202020101</v>
      </c>
      <c r="K1290" s="41"/>
      <c r="L1290" s="52" t="s">
        <v>3936</v>
      </c>
      <c r="M1290" s="69" t="s">
        <v>3937</v>
      </c>
      <c r="N1290" s="69"/>
      <c r="O1290" s="69">
        <v>20</v>
      </c>
      <c r="P1290" s="69" t="s">
        <v>50</v>
      </c>
      <c r="Q1290" s="69" t="s">
        <v>51</v>
      </c>
      <c r="R1290" s="69"/>
      <c r="S1290" s="48">
        <v>45383</v>
      </c>
      <c r="T1290" s="48">
        <v>45383</v>
      </c>
      <c r="U1290" s="69"/>
      <c r="V1290" s="69"/>
      <c r="W1290" s="69"/>
      <c r="X1290" s="69"/>
      <c r="Y1290" s="69" t="s">
        <v>4130</v>
      </c>
      <c r="Z1290" s="83">
        <v>838960</v>
      </c>
      <c r="AA1290" s="43" t="s">
        <v>52</v>
      </c>
      <c r="AB1290" s="43" t="s">
        <v>53</v>
      </c>
      <c r="AC1290" s="85">
        <v>1460</v>
      </c>
      <c r="AD1290" s="141">
        <v>4</v>
      </c>
      <c r="AE1290" s="142">
        <v>0</v>
      </c>
      <c r="AF1290" s="69" t="str">
        <f t="shared" si="119"/>
        <v>0 years 275 days</v>
      </c>
      <c r="AG1290" s="69">
        <v>0</v>
      </c>
      <c r="AH1290" s="69">
        <v>275</v>
      </c>
      <c r="AI1290" s="69">
        <v>838960</v>
      </c>
      <c r="AJ1290" s="67">
        <v>158023</v>
      </c>
      <c r="AK1290" s="69">
        <v>2025</v>
      </c>
      <c r="AL1290" s="61">
        <v>104008.34246575343</v>
      </c>
      <c r="AM1290" s="143"/>
    </row>
    <row r="1291" spans="1:39" x14ac:dyDescent="0.35">
      <c r="A1291" s="69" t="s">
        <v>4124</v>
      </c>
      <c r="B1291" s="41">
        <v>1121405155</v>
      </c>
      <c r="C1291" s="41"/>
      <c r="D1291" s="69"/>
      <c r="E1291" s="41">
        <v>0</v>
      </c>
      <c r="F1291" s="41" t="s">
        <v>2961</v>
      </c>
      <c r="G1291" s="69" t="s">
        <v>2960</v>
      </c>
      <c r="H1291" s="41">
        <v>9013000211</v>
      </c>
      <c r="I1291" s="41" t="s">
        <v>593</v>
      </c>
      <c r="J1291" s="41">
        <v>1202020101</v>
      </c>
      <c r="K1291" s="41"/>
      <c r="L1291" s="52" t="s">
        <v>3939</v>
      </c>
      <c r="M1291" s="69" t="s">
        <v>3940</v>
      </c>
      <c r="N1291" s="69"/>
      <c r="O1291" s="69">
        <v>2</v>
      </c>
      <c r="P1291" s="69" t="s">
        <v>50</v>
      </c>
      <c r="Q1291" s="69" t="s">
        <v>51</v>
      </c>
      <c r="R1291" s="69"/>
      <c r="S1291" s="48">
        <v>45405</v>
      </c>
      <c r="T1291" s="48">
        <v>45405</v>
      </c>
      <c r="U1291" s="69"/>
      <c r="V1291" s="69"/>
      <c r="W1291" s="69"/>
      <c r="X1291" s="69"/>
      <c r="Y1291" s="69" t="s">
        <v>4130</v>
      </c>
      <c r="Z1291" s="83">
        <v>604700</v>
      </c>
      <c r="AA1291" s="43" t="s">
        <v>52</v>
      </c>
      <c r="AB1291" s="43" t="s">
        <v>53</v>
      </c>
      <c r="AC1291" s="85">
        <v>1460</v>
      </c>
      <c r="AD1291" s="141">
        <v>4</v>
      </c>
      <c r="AE1291" s="142">
        <v>0</v>
      </c>
      <c r="AF1291" s="69" t="str">
        <f t="shared" si="119"/>
        <v>0 years 253 days</v>
      </c>
      <c r="AG1291" s="69">
        <v>0</v>
      </c>
      <c r="AH1291" s="69">
        <v>253</v>
      </c>
      <c r="AI1291" s="69">
        <v>604700</v>
      </c>
      <c r="AJ1291" s="67">
        <v>104787</v>
      </c>
      <c r="AK1291" s="69">
        <v>2025</v>
      </c>
      <c r="AL1291" s="61">
        <v>74966.287671232887</v>
      </c>
      <c r="AM1291" s="143"/>
    </row>
    <row r="1292" spans="1:39" x14ac:dyDescent="0.35">
      <c r="A1292" s="69" t="s">
        <v>4124</v>
      </c>
      <c r="B1292" s="41">
        <v>1121405186</v>
      </c>
      <c r="C1292" s="41"/>
      <c r="D1292" s="69"/>
      <c r="E1292" s="41">
        <v>0</v>
      </c>
      <c r="F1292" s="41" t="s">
        <v>2961</v>
      </c>
      <c r="G1292" s="69" t="s">
        <v>2960</v>
      </c>
      <c r="H1292" s="41">
        <v>9013000211</v>
      </c>
      <c r="I1292" s="41" t="s">
        <v>593</v>
      </c>
      <c r="J1292" s="41">
        <v>1202020101</v>
      </c>
      <c r="K1292" s="41"/>
      <c r="L1292" s="52" t="s">
        <v>3942</v>
      </c>
      <c r="M1292" s="69" t="s">
        <v>3943</v>
      </c>
      <c r="N1292" s="69"/>
      <c r="O1292" s="69">
        <v>76</v>
      </c>
      <c r="P1292" s="69" t="s">
        <v>50</v>
      </c>
      <c r="Q1292" s="69" t="s">
        <v>51</v>
      </c>
      <c r="R1292" s="69"/>
      <c r="S1292" s="48">
        <v>45435</v>
      </c>
      <c r="T1292" s="48">
        <v>45435</v>
      </c>
      <c r="U1292" s="69"/>
      <c r="V1292" s="69"/>
      <c r="W1292" s="69"/>
      <c r="X1292" s="69"/>
      <c r="Y1292" s="69" t="s">
        <v>4130</v>
      </c>
      <c r="Z1292" s="83">
        <v>186200</v>
      </c>
      <c r="AA1292" s="43" t="s">
        <v>52</v>
      </c>
      <c r="AB1292" s="43" t="s">
        <v>53</v>
      </c>
      <c r="AC1292" s="85">
        <v>1460</v>
      </c>
      <c r="AD1292" s="141">
        <v>4</v>
      </c>
      <c r="AE1292" s="142">
        <v>0</v>
      </c>
      <c r="AF1292" s="69" t="str">
        <f t="shared" si="119"/>
        <v>0 years 223 days</v>
      </c>
      <c r="AG1292" s="69">
        <v>0</v>
      </c>
      <c r="AH1292" s="69">
        <v>223</v>
      </c>
      <c r="AI1292" s="69">
        <v>186200</v>
      </c>
      <c r="AJ1292" s="67">
        <v>28440</v>
      </c>
      <c r="AK1292" s="69">
        <v>2025</v>
      </c>
      <c r="AL1292" s="61">
        <v>23083.835616438351</v>
      </c>
      <c r="AM1292" s="143"/>
    </row>
    <row r="1293" spans="1:39" x14ac:dyDescent="0.35">
      <c r="A1293" s="69" t="s">
        <v>4124</v>
      </c>
      <c r="B1293" s="41">
        <v>1121405242</v>
      </c>
      <c r="C1293" s="41"/>
      <c r="D1293" s="69"/>
      <c r="E1293" s="41">
        <v>0</v>
      </c>
      <c r="F1293" s="41" t="s">
        <v>2961</v>
      </c>
      <c r="G1293" s="69" t="s">
        <v>2960</v>
      </c>
      <c r="H1293" s="41">
        <v>9013000211</v>
      </c>
      <c r="I1293" s="41" t="s">
        <v>593</v>
      </c>
      <c r="J1293" s="41">
        <v>1202020101</v>
      </c>
      <c r="K1293" s="41"/>
      <c r="L1293" s="52" t="s">
        <v>3945</v>
      </c>
      <c r="M1293" s="69" t="s">
        <v>3946</v>
      </c>
      <c r="N1293" s="69"/>
      <c r="O1293" s="69">
        <v>2</v>
      </c>
      <c r="P1293" s="69" t="s">
        <v>50</v>
      </c>
      <c r="Q1293" s="69" t="s">
        <v>51</v>
      </c>
      <c r="R1293" s="69"/>
      <c r="S1293" s="48">
        <v>45475</v>
      </c>
      <c r="T1293" s="48">
        <v>45475</v>
      </c>
      <c r="U1293" s="69"/>
      <c r="V1293" s="69"/>
      <c r="W1293" s="69"/>
      <c r="X1293" s="69"/>
      <c r="Y1293" s="69" t="s">
        <v>4130</v>
      </c>
      <c r="Z1293" s="83">
        <v>482328</v>
      </c>
      <c r="AA1293" s="43" t="s">
        <v>52</v>
      </c>
      <c r="AB1293" s="43" t="s">
        <v>53</v>
      </c>
      <c r="AC1293" s="85">
        <v>1460</v>
      </c>
      <c r="AD1293" s="141">
        <v>4</v>
      </c>
      <c r="AE1293" s="142">
        <v>0</v>
      </c>
      <c r="AF1293" s="69" t="str">
        <f t="shared" si="119"/>
        <v>0 years 183 days</v>
      </c>
      <c r="AG1293" s="69">
        <v>0</v>
      </c>
      <c r="AH1293" s="69">
        <v>183</v>
      </c>
      <c r="AI1293" s="69">
        <v>482328</v>
      </c>
      <c r="AJ1293" s="67">
        <v>60456</v>
      </c>
      <c r="AK1293" s="69">
        <v>2025</v>
      </c>
      <c r="AL1293" s="61">
        <v>59795.638356164389</v>
      </c>
      <c r="AM1293" s="143"/>
    </row>
    <row r="1294" spans="1:39" x14ac:dyDescent="0.35">
      <c r="A1294" s="69" t="s">
        <v>4124</v>
      </c>
      <c r="B1294" s="41">
        <v>1121405243</v>
      </c>
      <c r="C1294" s="41"/>
      <c r="D1294" s="69"/>
      <c r="E1294" s="41">
        <v>0</v>
      </c>
      <c r="F1294" s="41" t="s">
        <v>2961</v>
      </c>
      <c r="G1294" s="69" t="s">
        <v>2960</v>
      </c>
      <c r="H1294" s="41">
        <v>9013000211</v>
      </c>
      <c r="I1294" s="41" t="s">
        <v>593</v>
      </c>
      <c r="J1294" s="41">
        <v>1202020101</v>
      </c>
      <c r="K1294" s="41"/>
      <c r="L1294" s="52" t="s">
        <v>3948</v>
      </c>
      <c r="M1294" s="69" t="s">
        <v>3949</v>
      </c>
      <c r="N1294" s="69"/>
      <c r="O1294" s="69">
        <v>1</v>
      </c>
      <c r="P1294" s="69" t="s">
        <v>50</v>
      </c>
      <c r="Q1294" s="69" t="s">
        <v>51</v>
      </c>
      <c r="R1294" s="69"/>
      <c r="S1294" s="48">
        <v>45481</v>
      </c>
      <c r="T1294" s="48">
        <v>45481</v>
      </c>
      <c r="U1294" s="69"/>
      <c r="V1294" s="69"/>
      <c r="W1294" s="69"/>
      <c r="X1294" s="69"/>
      <c r="Y1294" s="69" t="s">
        <v>4130</v>
      </c>
      <c r="Z1294" s="83">
        <v>767000</v>
      </c>
      <c r="AA1294" s="43" t="s">
        <v>52</v>
      </c>
      <c r="AB1294" s="43" t="s">
        <v>53</v>
      </c>
      <c r="AC1294" s="85">
        <v>1460</v>
      </c>
      <c r="AD1294" s="141">
        <v>4</v>
      </c>
      <c r="AE1294" s="142">
        <v>0</v>
      </c>
      <c r="AF1294" s="69" t="str">
        <f t="shared" si="119"/>
        <v>0 years 177 days</v>
      </c>
      <c r="AG1294" s="69">
        <v>0</v>
      </c>
      <c r="AH1294" s="69">
        <v>177</v>
      </c>
      <c r="AI1294" s="69">
        <v>767000</v>
      </c>
      <c r="AJ1294" s="67">
        <v>92986</v>
      </c>
      <c r="AK1294" s="69">
        <v>2025</v>
      </c>
      <c r="AL1294" s="61">
        <v>95086.602739726019</v>
      </c>
      <c r="AM1294" s="143"/>
    </row>
    <row r="1295" spans="1:39" x14ac:dyDescent="0.35">
      <c r="A1295" s="69" t="s">
        <v>4124</v>
      </c>
      <c r="B1295" s="41">
        <v>1121405244</v>
      </c>
      <c r="C1295" s="41"/>
      <c r="D1295" s="69"/>
      <c r="E1295" s="41">
        <v>0</v>
      </c>
      <c r="F1295" s="41" t="s">
        <v>2961</v>
      </c>
      <c r="G1295" s="69" t="s">
        <v>2960</v>
      </c>
      <c r="H1295" s="41">
        <v>9013000211</v>
      </c>
      <c r="I1295" s="41" t="s">
        <v>593</v>
      </c>
      <c r="J1295" s="41">
        <v>1202020101</v>
      </c>
      <c r="K1295" s="41"/>
      <c r="L1295" s="52" t="s">
        <v>3951</v>
      </c>
      <c r="M1295" s="69" t="s">
        <v>3952</v>
      </c>
      <c r="N1295" s="69"/>
      <c r="O1295" s="69">
        <v>2</v>
      </c>
      <c r="P1295" s="69" t="s">
        <v>50</v>
      </c>
      <c r="Q1295" s="69" t="s">
        <v>51</v>
      </c>
      <c r="R1295" s="69"/>
      <c r="S1295" s="48">
        <v>45485</v>
      </c>
      <c r="T1295" s="48">
        <v>45485</v>
      </c>
      <c r="U1295" s="69"/>
      <c r="V1295" s="69"/>
      <c r="W1295" s="69"/>
      <c r="X1295" s="69"/>
      <c r="Y1295" s="69" t="s">
        <v>4130</v>
      </c>
      <c r="Z1295" s="83">
        <v>517408</v>
      </c>
      <c r="AA1295" s="43" t="s">
        <v>52</v>
      </c>
      <c r="AB1295" s="43" t="s">
        <v>53</v>
      </c>
      <c r="AC1295" s="85">
        <v>1460</v>
      </c>
      <c r="AD1295" s="141">
        <v>4</v>
      </c>
      <c r="AE1295" s="142">
        <v>0</v>
      </c>
      <c r="AF1295" s="69" t="str">
        <f t="shared" si="119"/>
        <v>0 years 173 days</v>
      </c>
      <c r="AG1295" s="69">
        <v>0</v>
      </c>
      <c r="AH1295" s="69">
        <v>173</v>
      </c>
      <c r="AI1295" s="69">
        <v>517408</v>
      </c>
      <c r="AJ1295" s="67">
        <v>61309</v>
      </c>
      <c r="AK1295" s="69">
        <v>2025</v>
      </c>
      <c r="AL1295" s="61">
        <v>64144.72054794521</v>
      </c>
      <c r="AM1295" s="143"/>
    </row>
    <row r="1296" spans="1:39" x14ac:dyDescent="0.35">
      <c r="A1296" s="69" t="s">
        <v>4124</v>
      </c>
      <c r="B1296" s="41">
        <v>1121405338</v>
      </c>
      <c r="C1296" s="41"/>
      <c r="D1296" s="69"/>
      <c r="E1296" s="41">
        <v>0</v>
      </c>
      <c r="F1296" s="41" t="s">
        <v>2961</v>
      </c>
      <c r="G1296" s="69" t="s">
        <v>2960</v>
      </c>
      <c r="H1296" s="41">
        <v>9013000211</v>
      </c>
      <c r="I1296" s="41" t="s">
        <v>593</v>
      </c>
      <c r="J1296" s="41">
        <v>1202020101</v>
      </c>
      <c r="K1296" s="41"/>
      <c r="L1296" s="52" t="s">
        <v>3958</v>
      </c>
      <c r="M1296" s="69" t="s">
        <v>3959</v>
      </c>
      <c r="N1296" s="69"/>
      <c r="O1296" s="69">
        <v>1</v>
      </c>
      <c r="P1296" s="69" t="s">
        <v>50</v>
      </c>
      <c r="Q1296" s="69" t="s">
        <v>51</v>
      </c>
      <c r="R1296" s="69"/>
      <c r="S1296" s="48">
        <v>45653</v>
      </c>
      <c r="T1296" s="48">
        <v>45653</v>
      </c>
      <c r="U1296" s="69"/>
      <c r="V1296" s="69"/>
      <c r="W1296" s="69"/>
      <c r="X1296" s="69"/>
      <c r="Y1296" s="69" t="s">
        <v>4130</v>
      </c>
      <c r="Z1296" s="83">
        <v>318500</v>
      </c>
      <c r="AA1296" s="43" t="s">
        <v>52</v>
      </c>
      <c r="AB1296" s="43" t="s">
        <v>53</v>
      </c>
      <c r="AC1296" s="85">
        <v>1460</v>
      </c>
      <c r="AD1296" s="141">
        <v>4</v>
      </c>
      <c r="AE1296" s="142">
        <v>0</v>
      </c>
      <c r="AF1296" s="69" t="str">
        <f t="shared" si="119"/>
        <v>0 years 5 days</v>
      </c>
      <c r="AG1296" s="69">
        <v>0</v>
      </c>
      <c r="AH1296" s="69">
        <v>5</v>
      </c>
      <c r="AI1296" s="69">
        <v>318500</v>
      </c>
      <c r="AJ1296" s="67">
        <v>1091</v>
      </c>
      <c r="AK1296" s="69">
        <v>2025</v>
      </c>
      <c r="AL1296" s="61">
        <v>39485.027397260274</v>
      </c>
      <c r="AM1296" s="143"/>
    </row>
    <row r="1297" spans="1:39" x14ac:dyDescent="0.35">
      <c r="A1297" s="69" t="s">
        <v>4124</v>
      </c>
      <c r="B1297" s="41">
        <v>1121405412</v>
      </c>
      <c r="C1297" s="41"/>
      <c r="D1297" s="69"/>
      <c r="E1297" s="41">
        <v>0</v>
      </c>
      <c r="F1297" s="41" t="s">
        <v>2961</v>
      </c>
      <c r="G1297" s="69" t="s">
        <v>2960</v>
      </c>
      <c r="H1297" s="41">
        <v>9013000211</v>
      </c>
      <c r="I1297" s="41" t="s">
        <v>593</v>
      </c>
      <c r="J1297" s="41">
        <v>1202020101</v>
      </c>
      <c r="K1297" s="41"/>
      <c r="L1297" s="52" t="s">
        <v>3967</v>
      </c>
      <c r="M1297" s="69" t="s">
        <v>3968</v>
      </c>
      <c r="N1297" s="69"/>
      <c r="O1297" s="69">
        <v>1</v>
      </c>
      <c r="P1297" s="69" t="s">
        <v>50</v>
      </c>
      <c r="Q1297" s="69" t="s">
        <v>51</v>
      </c>
      <c r="R1297" s="69"/>
      <c r="S1297" s="48">
        <v>45717</v>
      </c>
      <c r="T1297" s="48">
        <v>45717</v>
      </c>
      <c r="U1297" s="69"/>
      <c r="V1297" s="69"/>
      <c r="W1297" s="69"/>
      <c r="X1297" s="69"/>
      <c r="Y1297" s="69" t="s">
        <v>4132</v>
      </c>
      <c r="Z1297" s="83">
        <v>197200</v>
      </c>
      <c r="AA1297" s="43" t="s">
        <v>52</v>
      </c>
      <c r="AB1297" s="43" t="s">
        <v>53</v>
      </c>
      <c r="AC1297" s="85">
        <v>1460</v>
      </c>
      <c r="AD1297" s="141">
        <v>4</v>
      </c>
      <c r="AE1297" s="142">
        <v>0</v>
      </c>
      <c r="AF1297" s="69" t="str">
        <f t="shared" si="119"/>
        <v>0 years 0 days</v>
      </c>
      <c r="AG1297" s="69">
        <v>0</v>
      </c>
      <c r="AH1297" s="69">
        <v>0</v>
      </c>
      <c r="AI1297" s="69">
        <v>197200</v>
      </c>
      <c r="AJ1297" s="67">
        <v>0</v>
      </c>
      <c r="AK1297" s="69">
        <v>2025</v>
      </c>
      <c r="AL1297" s="61">
        <v>16478.356164383564</v>
      </c>
      <c r="AM1297" s="143"/>
    </row>
    <row r="1298" spans="1:39" x14ac:dyDescent="0.35">
      <c r="A1298" s="69" t="s">
        <v>4124</v>
      </c>
      <c r="B1298" s="41">
        <v>1121405413</v>
      </c>
      <c r="C1298" s="41"/>
      <c r="D1298" s="69"/>
      <c r="E1298" s="41">
        <v>0</v>
      </c>
      <c r="F1298" s="41" t="s">
        <v>2961</v>
      </c>
      <c r="G1298" s="69" t="s">
        <v>2960</v>
      </c>
      <c r="H1298" s="41">
        <v>9013000211</v>
      </c>
      <c r="I1298" s="41" t="s">
        <v>593</v>
      </c>
      <c r="J1298" s="41">
        <v>1202020101</v>
      </c>
      <c r="K1298" s="41"/>
      <c r="L1298" s="52" t="s">
        <v>3970</v>
      </c>
      <c r="M1298" s="69" t="s">
        <v>3971</v>
      </c>
      <c r="N1298" s="69"/>
      <c r="O1298" s="69">
        <v>1</v>
      </c>
      <c r="P1298" s="69" t="s">
        <v>50</v>
      </c>
      <c r="Q1298" s="69" t="s">
        <v>51</v>
      </c>
      <c r="R1298" s="69"/>
      <c r="S1298" s="48">
        <v>45809</v>
      </c>
      <c r="T1298" s="48">
        <v>45809</v>
      </c>
      <c r="U1298" s="69"/>
      <c r="V1298" s="69"/>
      <c r="W1298" s="69"/>
      <c r="X1298" s="69"/>
      <c r="Y1298" s="69" t="s">
        <v>4132</v>
      </c>
      <c r="Z1298" s="83">
        <v>0</v>
      </c>
      <c r="AA1298" s="43" t="s">
        <v>52</v>
      </c>
      <c r="AB1298" s="43" t="s">
        <v>53</v>
      </c>
      <c r="AC1298" s="85">
        <v>1460</v>
      </c>
      <c r="AD1298" s="141">
        <v>4</v>
      </c>
      <c r="AE1298" s="142">
        <v>0</v>
      </c>
      <c r="AF1298" s="69" t="str">
        <f t="shared" si="119"/>
        <v>0 years 0 days</v>
      </c>
      <c r="AG1298" s="69">
        <v>0</v>
      </c>
      <c r="AH1298" s="69">
        <v>0</v>
      </c>
      <c r="AI1298" s="69">
        <v>250000</v>
      </c>
      <c r="AJ1298" s="67">
        <v>0</v>
      </c>
      <c r="AK1298" s="69">
        <v>2025</v>
      </c>
      <c r="AL1298" s="61">
        <v>5136.9863013698632</v>
      </c>
      <c r="AM1298" s="143"/>
    </row>
    <row r="1299" spans="1:39" x14ac:dyDescent="0.35">
      <c r="A1299" s="69" t="s">
        <v>4124</v>
      </c>
      <c r="B1299" s="41">
        <v>1121405417</v>
      </c>
      <c r="C1299" s="41"/>
      <c r="D1299" s="69"/>
      <c r="E1299" s="41">
        <v>0</v>
      </c>
      <c r="F1299" s="41" t="s">
        <v>2961</v>
      </c>
      <c r="G1299" s="69" t="s">
        <v>2960</v>
      </c>
      <c r="H1299" s="41">
        <v>9013000211</v>
      </c>
      <c r="I1299" s="41" t="s">
        <v>593</v>
      </c>
      <c r="J1299" s="41">
        <v>1202020101</v>
      </c>
      <c r="K1299" s="41"/>
      <c r="L1299" s="52" t="s">
        <v>3973</v>
      </c>
      <c r="M1299" s="69" t="s">
        <v>3974</v>
      </c>
      <c r="N1299" s="69"/>
      <c r="O1299" s="69">
        <v>1</v>
      </c>
      <c r="P1299" s="69" t="s">
        <v>50</v>
      </c>
      <c r="Q1299" s="69" t="s">
        <v>51</v>
      </c>
      <c r="R1299" s="69"/>
      <c r="S1299" s="48">
        <v>45821</v>
      </c>
      <c r="T1299" s="48">
        <v>45821</v>
      </c>
      <c r="U1299" s="69"/>
      <c r="V1299" s="69"/>
      <c r="W1299" s="69"/>
      <c r="X1299" s="69"/>
      <c r="Y1299" s="69" t="s">
        <v>4132</v>
      </c>
      <c r="Z1299" s="83">
        <v>0</v>
      </c>
      <c r="AA1299" s="43" t="s">
        <v>52</v>
      </c>
      <c r="AB1299" s="43" t="s">
        <v>53</v>
      </c>
      <c r="AC1299" s="85">
        <v>1460</v>
      </c>
      <c r="AD1299" s="141">
        <v>4</v>
      </c>
      <c r="AE1299" s="142">
        <v>0</v>
      </c>
      <c r="AF1299" s="69" t="str">
        <f t="shared" si="119"/>
        <v>0 years 0 days</v>
      </c>
      <c r="AG1299" s="69">
        <v>0</v>
      </c>
      <c r="AH1299" s="69">
        <v>0</v>
      </c>
      <c r="AI1299" s="69">
        <v>141000</v>
      </c>
      <c r="AJ1299" s="67">
        <v>0</v>
      </c>
      <c r="AK1299" s="69">
        <v>2025</v>
      </c>
      <c r="AL1299" s="61">
        <v>1738.3561643835617</v>
      </c>
      <c r="AM1299" s="143"/>
    </row>
    <row r="1300" spans="1:39" x14ac:dyDescent="0.35">
      <c r="A1300" s="69" t="s">
        <v>4124</v>
      </c>
      <c r="B1300" s="41">
        <v>1121405418</v>
      </c>
      <c r="C1300" s="41"/>
      <c r="D1300" s="69"/>
      <c r="E1300" s="41">
        <v>0</v>
      </c>
      <c r="F1300" s="41" t="s">
        <v>2961</v>
      </c>
      <c r="G1300" s="69" t="s">
        <v>2960</v>
      </c>
      <c r="H1300" s="41">
        <v>9013000211</v>
      </c>
      <c r="I1300" s="41" t="s">
        <v>593</v>
      </c>
      <c r="J1300" s="41">
        <v>1202020101</v>
      </c>
      <c r="K1300" s="41"/>
      <c r="L1300" s="52" t="s">
        <v>3976</v>
      </c>
      <c r="M1300" s="69" t="s">
        <v>3977</v>
      </c>
      <c r="N1300" s="69"/>
      <c r="O1300" s="69">
        <v>1</v>
      </c>
      <c r="P1300" s="69" t="s">
        <v>50</v>
      </c>
      <c r="Q1300" s="69" t="s">
        <v>51</v>
      </c>
      <c r="R1300" s="69"/>
      <c r="S1300" s="48">
        <v>45834</v>
      </c>
      <c r="T1300" s="48">
        <v>45834</v>
      </c>
      <c r="U1300" s="69"/>
      <c r="V1300" s="69"/>
      <c r="W1300" s="69"/>
      <c r="X1300" s="69"/>
      <c r="Y1300" s="69" t="s">
        <v>4132</v>
      </c>
      <c r="Z1300" s="83">
        <v>0</v>
      </c>
      <c r="AA1300" s="43" t="s">
        <v>52</v>
      </c>
      <c r="AB1300" s="43" t="s">
        <v>53</v>
      </c>
      <c r="AC1300" s="85">
        <v>1460</v>
      </c>
      <c r="AD1300" s="141">
        <v>4</v>
      </c>
      <c r="AE1300" s="142">
        <v>0</v>
      </c>
      <c r="AF1300" s="69" t="str">
        <f t="shared" si="119"/>
        <v>0 years 0 days</v>
      </c>
      <c r="AG1300" s="69">
        <v>0</v>
      </c>
      <c r="AH1300" s="69">
        <v>0</v>
      </c>
      <c r="AI1300" s="69">
        <v>302400</v>
      </c>
      <c r="AJ1300" s="67">
        <v>0</v>
      </c>
      <c r="AK1300" s="69">
        <v>2025</v>
      </c>
      <c r="AL1300" s="61">
        <v>1035.6164383561643</v>
      </c>
      <c r="AM1300" s="143"/>
    </row>
    <row r="1301" spans="1:39" x14ac:dyDescent="0.35">
      <c r="A1301" s="69" t="s">
        <v>4124</v>
      </c>
      <c r="B1301" s="41">
        <v>1161400698</v>
      </c>
      <c r="C1301" s="41"/>
      <c r="D1301" s="69"/>
      <c r="E1301" s="41">
        <v>0</v>
      </c>
      <c r="F1301" s="41" t="s">
        <v>4115</v>
      </c>
      <c r="G1301" s="69" t="s">
        <v>4114</v>
      </c>
      <c r="H1301" s="41">
        <v>9014000001</v>
      </c>
      <c r="I1301" s="41" t="s">
        <v>47</v>
      </c>
      <c r="J1301" s="41">
        <v>1202010202</v>
      </c>
      <c r="K1301" s="41"/>
      <c r="L1301" s="52" t="s">
        <v>4116</v>
      </c>
      <c r="M1301" s="69" t="s">
        <v>49</v>
      </c>
      <c r="N1301" s="69"/>
      <c r="O1301" s="69">
        <v>1</v>
      </c>
      <c r="P1301" s="69" t="s">
        <v>50</v>
      </c>
      <c r="Q1301" s="69" t="s">
        <v>51</v>
      </c>
      <c r="R1301" s="69"/>
      <c r="S1301" s="48">
        <v>40959</v>
      </c>
      <c r="T1301" s="48">
        <v>43340</v>
      </c>
      <c r="U1301" s="69"/>
      <c r="V1301" s="69"/>
      <c r="W1301" s="69"/>
      <c r="X1301" s="69"/>
      <c r="Y1301" s="69" t="s">
        <v>4125</v>
      </c>
      <c r="Z1301" s="52">
        <v>48000</v>
      </c>
      <c r="AA1301" s="43" t="s">
        <v>52</v>
      </c>
      <c r="AB1301" s="43" t="s">
        <v>53</v>
      </c>
      <c r="AC1301" s="85">
        <v>256</v>
      </c>
      <c r="AD1301" s="141">
        <v>0</v>
      </c>
      <c r="AE1301" s="142">
        <v>9</v>
      </c>
      <c r="AF1301" s="69" t="str">
        <f t="shared" ref="AF1301:AF1304" si="120">_xlfn.CONCAT(AG1301," years ",AH1301," days")</f>
        <v>0 years 256 days</v>
      </c>
      <c r="AG1301" s="69">
        <v>0</v>
      </c>
      <c r="AH1301" s="69">
        <v>256</v>
      </c>
      <c r="AI1301" s="69">
        <v>48000</v>
      </c>
      <c r="AJ1301" s="67">
        <v>48000</v>
      </c>
      <c r="AK1301" s="69">
        <v>2025</v>
      </c>
      <c r="AL1301" s="61">
        <v>0</v>
      </c>
      <c r="AM1301" s="143"/>
    </row>
    <row r="1302" spans="1:39" x14ac:dyDescent="0.35">
      <c r="A1302" s="69" t="s">
        <v>4124</v>
      </c>
      <c r="B1302" s="41">
        <v>1161401425</v>
      </c>
      <c r="C1302" s="41"/>
      <c r="D1302" s="69"/>
      <c r="E1302" s="41">
        <v>0</v>
      </c>
      <c r="F1302" s="41" t="s">
        <v>4115</v>
      </c>
      <c r="G1302" s="69" t="s">
        <v>4114</v>
      </c>
      <c r="H1302" s="41">
        <v>9014000002</v>
      </c>
      <c r="I1302" s="41" t="s">
        <v>47</v>
      </c>
      <c r="J1302" s="41">
        <v>1202010202</v>
      </c>
      <c r="K1302" s="41"/>
      <c r="L1302" s="52" t="s">
        <v>4118</v>
      </c>
      <c r="M1302" s="69" t="s">
        <v>49</v>
      </c>
      <c r="N1302" s="69"/>
      <c r="O1302" s="69">
        <v>1</v>
      </c>
      <c r="P1302" s="69" t="s">
        <v>50</v>
      </c>
      <c r="Q1302" s="69" t="s">
        <v>51</v>
      </c>
      <c r="R1302" s="69"/>
      <c r="S1302" s="48">
        <v>41801</v>
      </c>
      <c r="T1302" s="48">
        <v>43340</v>
      </c>
      <c r="U1302" s="69"/>
      <c r="V1302" s="69"/>
      <c r="W1302" s="69"/>
      <c r="X1302" s="69"/>
      <c r="Y1302" s="69" t="s">
        <v>4125</v>
      </c>
      <c r="Z1302" s="52">
        <v>320000</v>
      </c>
      <c r="AA1302" s="43" t="s">
        <v>52</v>
      </c>
      <c r="AB1302" s="43" t="s">
        <v>53</v>
      </c>
      <c r="AC1302" s="85">
        <v>1022</v>
      </c>
      <c r="AD1302" s="141">
        <v>2</v>
      </c>
      <c r="AE1302" s="142">
        <v>10</v>
      </c>
      <c r="AF1302" s="69" t="str">
        <f t="shared" si="120"/>
        <v>2 years 292 days</v>
      </c>
      <c r="AG1302" s="69">
        <v>2</v>
      </c>
      <c r="AH1302" s="69">
        <v>292</v>
      </c>
      <c r="AI1302" s="69">
        <v>320000</v>
      </c>
      <c r="AJ1302" s="67">
        <v>320000</v>
      </c>
      <c r="AK1302" s="69">
        <v>2025</v>
      </c>
      <c r="AL1302" s="61">
        <v>0</v>
      </c>
      <c r="AM1302" s="143"/>
    </row>
    <row r="1303" spans="1:39" x14ac:dyDescent="0.35">
      <c r="A1303" s="69" t="s">
        <v>4124</v>
      </c>
      <c r="B1303" s="41">
        <v>1161402320</v>
      </c>
      <c r="C1303" s="41"/>
      <c r="D1303" s="69"/>
      <c r="E1303" s="41">
        <v>0</v>
      </c>
      <c r="F1303" s="41" t="s">
        <v>4115</v>
      </c>
      <c r="G1303" s="69" t="s">
        <v>4114</v>
      </c>
      <c r="H1303" s="41">
        <v>9014000003</v>
      </c>
      <c r="I1303" s="41" t="s">
        <v>47</v>
      </c>
      <c r="J1303" s="41">
        <v>1202010202</v>
      </c>
      <c r="K1303" s="41"/>
      <c r="L1303" s="52" t="s">
        <v>4120</v>
      </c>
      <c r="M1303" s="69" t="s">
        <v>4121</v>
      </c>
      <c r="N1303" s="69"/>
      <c r="O1303" s="69">
        <v>1</v>
      </c>
      <c r="P1303" s="69" t="s">
        <v>50</v>
      </c>
      <c r="Q1303" s="69" t="s">
        <v>51</v>
      </c>
      <c r="R1303" s="69"/>
      <c r="S1303" s="48">
        <v>42838</v>
      </c>
      <c r="T1303" s="48">
        <v>43340</v>
      </c>
      <c r="U1303" s="69"/>
      <c r="V1303" s="69"/>
      <c r="W1303" s="69"/>
      <c r="X1303" s="69"/>
      <c r="Y1303" s="69" t="s">
        <v>4125</v>
      </c>
      <c r="Z1303" s="52">
        <v>440000</v>
      </c>
      <c r="AA1303" s="43" t="s">
        <v>52</v>
      </c>
      <c r="AB1303" s="43" t="s">
        <v>53</v>
      </c>
      <c r="AC1303" s="85">
        <v>2044</v>
      </c>
      <c r="AD1303" s="141">
        <v>5</v>
      </c>
      <c r="AE1303" s="142">
        <v>7</v>
      </c>
      <c r="AF1303" s="69" t="str">
        <f t="shared" si="120"/>
        <v>5 years 219 days</v>
      </c>
      <c r="AG1303" s="69">
        <v>5</v>
      </c>
      <c r="AH1303" s="69">
        <v>219</v>
      </c>
      <c r="AI1303" s="69">
        <v>440000</v>
      </c>
      <c r="AJ1303" s="67">
        <v>440000</v>
      </c>
      <c r="AK1303" s="69">
        <v>2025</v>
      </c>
      <c r="AL1303" s="61">
        <v>0</v>
      </c>
      <c r="AM1303" s="143"/>
    </row>
    <row r="1304" spans="1:39" x14ac:dyDescent="0.35">
      <c r="A1304" s="69" t="s">
        <v>4124</v>
      </c>
      <c r="B1304" s="41">
        <v>1161100674</v>
      </c>
      <c r="C1304" s="41"/>
      <c r="D1304" s="69"/>
      <c r="E1304" s="41">
        <v>0</v>
      </c>
      <c r="F1304" s="41" t="s">
        <v>4115</v>
      </c>
      <c r="G1304" s="69" t="s">
        <v>4114</v>
      </c>
      <c r="H1304" s="41">
        <v>9014000004</v>
      </c>
      <c r="I1304" s="41" t="s">
        <v>47</v>
      </c>
      <c r="J1304" s="41">
        <v>1202010202</v>
      </c>
      <c r="K1304" s="41"/>
      <c r="L1304" s="52" t="s">
        <v>4123</v>
      </c>
      <c r="M1304" s="69" t="s">
        <v>49</v>
      </c>
      <c r="N1304" s="69"/>
      <c r="O1304" s="69">
        <v>1</v>
      </c>
      <c r="P1304" s="69" t="s">
        <v>50</v>
      </c>
      <c r="Q1304" s="69" t="s">
        <v>51</v>
      </c>
      <c r="R1304" s="69"/>
      <c r="S1304" s="48">
        <v>40856</v>
      </c>
      <c r="T1304" s="48">
        <v>43340</v>
      </c>
      <c r="U1304" s="69"/>
      <c r="V1304" s="69"/>
      <c r="W1304" s="69"/>
      <c r="X1304" s="69"/>
      <c r="Y1304" s="69" t="s">
        <v>4125</v>
      </c>
      <c r="Z1304" s="52">
        <v>72500</v>
      </c>
      <c r="AA1304" s="43" t="s">
        <v>52</v>
      </c>
      <c r="AB1304" s="43" t="s">
        <v>53</v>
      </c>
      <c r="AC1304" s="85">
        <v>256</v>
      </c>
      <c r="AD1304" s="141">
        <v>0</v>
      </c>
      <c r="AE1304" s="142">
        <v>9</v>
      </c>
      <c r="AF1304" s="69" t="str">
        <f t="shared" si="120"/>
        <v>0 years 256 days</v>
      </c>
      <c r="AG1304" s="69">
        <v>0</v>
      </c>
      <c r="AH1304" s="69">
        <v>256</v>
      </c>
      <c r="AI1304" s="69">
        <v>72500</v>
      </c>
      <c r="AJ1304" s="67">
        <v>72500</v>
      </c>
      <c r="AK1304" s="69">
        <v>2025</v>
      </c>
      <c r="AL1304" s="61">
        <v>0</v>
      </c>
      <c r="AM1304" s="143"/>
    </row>
  </sheetData>
  <phoneticPr fontId="15" type="noConversion"/>
  <conditionalFormatting sqref="B2:C1048576 B1">
    <cfRule type="duplicateValues" dxfId="0" priority="132"/>
  </conditionalFormatting>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6b31cb77-0146-4cd3-a882-861c92560dcf">
      <Terms xmlns="http://schemas.microsoft.com/office/infopath/2007/PartnerControls"/>
    </lcf76f155ced4ddcb4097134ff3c332f>
    <TaxCatchAll xmlns="d5ea5964-1b6b-4582-af56-5732c5dad1ff"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4171499D1313FB4FBD84E2F1C1F3D7D3" ma:contentTypeVersion="14" ma:contentTypeDescription="Create a new document." ma:contentTypeScope="" ma:versionID="08af1970db08467324bd4205b9cb77a7">
  <xsd:schema xmlns:xsd="http://www.w3.org/2001/XMLSchema" xmlns:xs="http://www.w3.org/2001/XMLSchema" xmlns:p="http://schemas.microsoft.com/office/2006/metadata/properties" xmlns:ns2="6b31cb77-0146-4cd3-a882-861c92560dcf" xmlns:ns3="d5ea5964-1b6b-4582-af56-5732c5dad1ff" targetNamespace="http://schemas.microsoft.com/office/2006/metadata/properties" ma:root="true" ma:fieldsID="264d200f32e226a6f5c8c722d7b3046a" ns2:_="" ns3:_="">
    <xsd:import namespace="6b31cb77-0146-4cd3-a882-861c92560dcf"/>
    <xsd:import namespace="d5ea5964-1b6b-4582-af56-5732c5dad1f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b31cb77-0146-4cd3-a882-861c92560dc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28b07bca-c93c-4d1d-9307-aae5d6f40d38"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5ea5964-1b6b-4582-af56-5732c5dad1ff"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79f94d99-19d5-4910-bdfc-26b73663323a}" ma:internalName="TaxCatchAll" ma:showField="CatchAllData" ma:web="d5ea5964-1b6b-4582-af56-5732c5dad1f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000FF83-73B7-406D-BF72-23344A0F1B54}">
  <ds:schemaRefs>
    <ds:schemaRef ds:uri="http://purl.org/dc/elements/1.1/"/>
    <ds:schemaRef ds:uri="d5ea5964-1b6b-4582-af56-5732c5dad1ff"/>
    <ds:schemaRef ds:uri="http://schemas.microsoft.com/office/2006/documentManagement/types"/>
    <ds:schemaRef ds:uri="http://www.w3.org/XML/1998/namespace"/>
    <ds:schemaRef ds:uri="6b31cb77-0146-4cd3-a882-861c92560dcf"/>
    <ds:schemaRef ds:uri="http://purl.org/dc/terms/"/>
    <ds:schemaRef ds:uri="http://schemas.microsoft.com/office/2006/metadata/properties"/>
    <ds:schemaRef ds:uri="http://purl.org/dc/dcmitype/"/>
    <ds:schemaRef ds:uri="http://schemas.microsoft.com/office/infopath/2007/PartnerControls"/>
    <ds:schemaRef ds:uri="http://schemas.openxmlformats.org/package/2006/metadata/core-properties"/>
  </ds:schemaRefs>
</ds:datastoreItem>
</file>

<file path=customXml/itemProps2.xml><?xml version="1.0" encoding="utf-8"?>
<ds:datastoreItem xmlns:ds="http://schemas.openxmlformats.org/officeDocument/2006/customXml" ds:itemID="{9CAADF4C-9785-4B3C-AFD9-CBBEE30EE80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b31cb77-0146-4cd3-a882-861c92560dcf"/>
    <ds:schemaRef ds:uri="d5ea5964-1b6b-4582-af56-5732c5dad1f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9036731-EA86-486E-98C2-DA2E3B16053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RC GP</vt:lpstr>
      <vt:lpstr>SOM</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Kashif Mohammad</dc:creator>
  <cp:keywords/>
  <dc:description/>
  <cp:lastModifiedBy>Rajiv Das</cp:lastModifiedBy>
  <cp:revision/>
  <dcterms:created xsi:type="dcterms:W3CDTF">2025-11-11T18:28:24Z</dcterms:created>
  <dcterms:modified xsi:type="dcterms:W3CDTF">2026-06-02T07:55:56Z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0x0101004171499D1313FB4FBD84E2F1C1F3D7D3</vt:lpwstr>
  </property>
  <property fmtid="{D5CDD505-2E9C-101B-9397-08002B2CF9AE}" pid="3" name="MediaServiceImageTags">
    <vt:lpwstr/>
  </property>
</Properties>
</file>